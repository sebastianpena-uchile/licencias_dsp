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24226"/>
  <xr:revisionPtr revIDLastSave="0" documentId="13_ncr:1_{BC333671-56F1-4352-A6BD-9BE425DE4387}" xr6:coauthVersionLast="47" xr6:coauthVersionMax="47" xr10:uidLastSave="{00000000-0000-0000-0000-000000000000}"/>
  <bookViews>
    <workbookView xWindow="-120" yWindow="-16485" windowWidth="29040" windowHeight="15720" tabRatio="913" activeTab="8" xr2:uid="{00000000-000D-0000-FFFF-FFFF00000000}"/>
  </bookViews>
  <sheets>
    <sheet name="Introducción" sheetId="47" r:id="rId1"/>
    <sheet name="Índice" sheetId="48" r:id="rId2"/>
    <sheet name="Glosario" sheetId="41" r:id="rId3"/>
    <sheet name="C1_COT" sheetId="15" r:id="rId4"/>
    <sheet name="C2_LMT" sheetId="25" r:id="rId5"/>
    <sheet name="C3_LMA" sheetId="10" r:id="rId6"/>
    <sheet name="C4_LMR" sheetId="23" r:id="rId7"/>
    <sheet name="C5_LMT_DIAG" sheetId="26" r:id="rId8"/>
    <sheet name="C6_LMA_DIAG" sheetId="35" r:id="rId9"/>
    <sheet name="C7_LMR_DIAG" sheetId="36" r:id="rId10"/>
    <sheet name="C8_GTO_SIL" sheetId="29" r:id="rId11"/>
    <sheet name="C9_IND_SIL" sheetId="46" r:id="rId12"/>
    <sheet name="C10_LMT_SECTOR" sheetId="38" r:id="rId13"/>
    <sheet name="C11_LMA_SECTOR" sheetId="39" r:id="rId14"/>
    <sheet name="C12_LMR_SECTOR" sheetId="40" r:id="rId15"/>
  </sheets>
  <definedNames>
    <definedName name="_xlnm._FilterDatabase" localSheetId="10" hidden="1">'C8_GTO_SIL'!$L$28:$N$37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6" i="35" l="1" a="1"/>
  <c r="B26" i="3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<sst xmlns="http://schemas.openxmlformats.org/spreadsheetml/2006/main" count="3136" uniqueCount="641">
  <si>
    <t>FONASA</t>
  </si>
  <si>
    <t>ISAPRE</t>
  </si>
  <si>
    <t>20-24</t>
  </si>
  <si>
    <t>65 y más</t>
  </si>
  <si>
    <t>Independiente</t>
  </si>
  <si>
    <t>Hombre</t>
  </si>
  <si>
    <t>Mujer</t>
  </si>
  <si>
    <t>Rechazadas</t>
  </si>
  <si>
    <t>Pendientes</t>
  </si>
  <si>
    <t>Trastornos mentales</t>
  </si>
  <si>
    <t>Enf. osteomusculares</t>
  </si>
  <si>
    <t>Enf. respiratorias</t>
  </si>
  <si>
    <t>Traumatismos, env. y otros</t>
  </si>
  <si>
    <t>Enf. infecciosas</t>
  </si>
  <si>
    <t>Arica y Parinacota (XV)</t>
  </si>
  <si>
    <t>Tarapacá (I)</t>
  </si>
  <si>
    <t>Antofagasta (II)</t>
  </si>
  <si>
    <t>Atacama (III)</t>
  </si>
  <si>
    <t>Coquimbo (IV)</t>
  </si>
  <si>
    <t>Valparaíso (V)</t>
  </si>
  <si>
    <t>Metropolitana (RM)</t>
  </si>
  <si>
    <t>O'Higgins (VI)</t>
  </si>
  <si>
    <t>Maule (VII)</t>
  </si>
  <si>
    <t>Biobío (VIII)</t>
  </si>
  <si>
    <t>La Araucanía (IX)</t>
  </si>
  <si>
    <t>Los Ríos (XIV)</t>
  </si>
  <si>
    <t>Los Lagos (X)</t>
  </si>
  <si>
    <t>Aysén (XI)</t>
  </si>
  <si>
    <t>Magallanes (XII)</t>
  </si>
  <si>
    <t>Dependiente privado</t>
  </si>
  <si>
    <t>Dependiente público</t>
  </si>
  <si>
    <t>Otros diagnósticos</t>
  </si>
  <si>
    <t>Dependiente</t>
  </si>
  <si>
    <t>Agricultura y Pesca</t>
  </si>
  <si>
    <t>Minería</t>
  </si>
  <si>
    <t>Industria Manufacturera</t>
  </si>
  <si>
    <t>Electricidad, Gas y Agua</t>
  </si>
  <si>
    <t>Construcción</t>
  </si>
  <si>
    <t xml:space="preserve">Comercio </t>
  </si>
  <si>
    <t>Transportes y Comunicaciones</t>
  </si>
  <si>
    <t>19 y menos</t>
  </si>
  <si>
    <t>25-34</t>
  </si>
  <si>
    <t>35-44</t>
  </si>
  <si>
    <t>45-54</t>
  </si>
  <si>
    <t>55-64</t>
  </si>
  <si>
    <t>SISTEMA</t>
  </si>
  <si>
    <t>Total</t>
  </si>
  <si>
    <t>Servicios</t>
  </si>
  <si>
    <t>TOTAL</t>
  </si>
  <si>
    <t>AÑOS</t>
  </si>
  <si>
    <t>SEXO</t>
  </si>
  <si>
    <t>TRAMO ETARIO</t>
  </si>
  <si>
    <t>TIPO DE COTIZANTE</t>
  </si>
  <si>
    <t>Cuadro N° 1.1:</t>
  </si>
  <si>
    <t>Cuadro N° 1.2:</t>
  </si>
  <si>
    <t>Cuadro N° 1.3:</t>
  </si>
  <si>
    <t xml:space="preserve">Cuadro N° 1.4: </t>
  </si>
  <si>
    <t>Cuadro N° 1.5:</t>
  </si>
  <si>
    <t xml:space="preserve">Cuadro N° 1.6: </t>
  </si>
  <si>
    <t>Cuadro N° 1.7:</t>
  </si>
  <si>
    <t>Cuadro N° 8.1:</t>
  </si>
  <si>
    <t>Cuadro N° 8.2:</t>
  </si>
  <si>
    <t>Cuadro N° 8.3:</t>
  </si>
  <si>
    <t>Cuadro N° 2.1.1:</t>
  </si>
  <si>
    <t>Cuadro N° 2.1.2:</t>
  </si>
  <si>
    <t>Cuadro N° 2.2.1:</t>
  </si>
  <si>
    <t>Cuadro N° 2.2.2:</t>
  </si>
  <si>
    <t>Cuadro N° 3.1.2:</t>
  </si>
  <si>
    <t>Cuadro N° 3.2.2:</t>
  </si>
  <si>
    <t>Cuadro N° 4.1.1:</t>
  </si>
  <si>
    <t>Cuadro N° 4.1.2:</t>
  </si>
  <si>
    <t>Cuadro N° 4.2.1:</t>
  </si>
  <si>
    <t>Cuadro N° 4.2.2:</t>
  </si>
  <si>
    <t>Cuadro N° 1.8:</t>
  </si>
  <si>
    <t>CUADROS N° 1: COTIZANTES CON DERECHO A LICENCIA MÉDICA</t>
  </si>
  <si>
    <t>Cuadro N° 2.1.3:</t>
  </si>
  <si>
    <t>Cuadro N° 2.1.4:</t>
  </si>
  <si>
    <t>Cuadro N° 2.1.5:</t>
  </si>
  <si>
    <t>Cuadro N° 2.2.3:</t>
  </si>
  <si>
    <t>Cuadro N° 2.2.4:</t>
  </si>
  <si>
    <t>Cuadro N° 2.2.5:</t>
  </si>
  <si>
    <t>Cuadro N° 3.1.3:</t>
  </si>
  <si>
    <t>Cuadro N° 3.1.4:</t>
  </si>
  <si>
    <t>Cuadro N° 3.2.3:</t>
  </si>
  <si>
    <t>Cuadro N° 3.1.1:</t>
  </si>
  <si>
    <t>Cuadro N° 4.1.3:</t>
  </si>
  <si>
    <t>Cuadro N° 4.2.3:</t>
  </si>
  <si>
    <t>Cuadro N° 2.1.6:</t>
  </si>
  <si>
    <t>Cuadro N° 2.2.6:</t>
  </si>
  <si>
    <t>Cuadro N° 3.1.5:</t>
  </si>
  <si>
    <t>Cuadro N° 3.2.1:</t>
  </si>
  <si>
    <t>Cuadro N° 3.2.5:</t>
  </si>
  <si>
    <t>Cuadro N° 3.2.4:</t>
  </si>
  <si>
    <t>Cuadro N° 4.1.4:</t>
  </si>
  <si>
    <t>Cuadro N° 4.2.4:</t>
  </si>
  <si>
    <t>Cuadro N° 5.1.1.1:</t>
  </si>
  <si>
    <t>Cuadro N° 5.1.2.1:</t>
  </si>
  <si>
    <t>Cuadro N° 5.1.2.2:</t>
  </si>
  <si>
    <t>Cuadro N° 5.1.3.1:</t>
  </si>
  <si>
    <t>Cuadro N° 5.1.4.1:</t>
  </si>
  <si>
    <t>Cuadro N° 5.1.3.2:</t>
  </si>
  <si>
    <t>Cuadro N° 5.1.4.2:</t>
  </si>
  <si>
    <t>Cuadro N° 5.2.1.1:</t>
  </si>
  <si>
    <t>Cuadro N° 5.2.2.1:</t>
  </si>
  <si>
    <t>Cuadro N° 5.2.3.1:</t>
  </si>
  <si>
    <t>Cuadro N° 5.2.4.1:</t>
  </si>
  <si>
    <t>Cuadro N° 5.2.2.2:</t>
  </si>
  <si>
    <t>Cuadro N° 5.2.3.2:</t>
  </si>
  <si>
    <t>Cuadro N° 5.2.4.2:</t>
  </si>
  <si>
    <t>Cuadro N° 6.1.1.1:</t>
  </si>
  <si>
    <t>Cuadro N° 6.1.2.1:</t>
  </si>
  <si>
    <t>Cuadro N° 6.1.3.1:</t>
  </si>
  <si>
    <t>Cuadro N° 6.1.4.1:</t>
  </si>
  <si>
    <t>Cuadro N° 6.1.2.2:</t>
  </si>
  <si>
    <t>Cuadro N° 6.1.3.2:</t>
  </si>
  <si>
    <t>Cuadro N° 6.1.4.2:</t>
  </si>
  <si>
    <t>Cuadro N° 6.2.1.1:</t>
  </si>
  <si>
    <t>Cuadro N° 6.2.2.1:</t>
  </si>
  <si>
    <t>Cuadro N° 6.2.3.1:</t>
  </si>
  <si>
    <t>Cuadro N° 6.2.4.1:</t>
  </si>
  <si>
    <t>Cuadro N° 6.2.2.2:</t>
  </si>
  <si>
    <t>Cuadro N° 6.2.3.2:</t>
  </si>
  <si>
    <t>Cuadro N° 6.2.4.2:</t>
  </si>
  <si>
    <t>Cuadro N° 7.1.1.1:</t>
  </si>
  <si>
    <t>Cuadro N° 7.1.2.1:</t>
  </si>
  <si>
    <t>Cuadro N° 7.1.3.1:</t>
  </si>
  <si>
    <t>Cuadro N° 7.1.4.1:</t>
  </si>
  <si>
    <t>Cuadro N° 7.1.2.2:</t>
  </si>
  <si>
    <t>Cuadro N° 7.1.3.2:</t>
  </si>
  <si>
    <t>Cuadro N° 7.1.4.2:</t>
  </si>
  <si>
    <t>Cuadro N° 7.2.1.1:</t>
  </si>
  <si>
    <t>Cuadro N° 7.2.2.1:</t>
  </si>
  <si>
    <t>Cuadro N° 7.2.3.1:</t>
  </si>
  <si>
    <t>Cuadro N° 7.2.4.1:</t>
  </si>
  <si>
    <t>Cuadro N° 7.2.2.2:</t>
  </si>
  <si>
    <t>Cuadro N° 7.2.3.2:</t>
  </si>
  <si>
    <t>Cuadro N° 7.2.4.2:</t>
  </si>
  <si>
    <t>CUADROS N° 2: LICENCIAS MÉDICAS TRAMITADAS Y DÍAS OTORGADOS</t>
  </si>
  <si>
    <t>CUADROS N° 3: LICENCIAS MÉDICAS AUTORIZADAS Y DÍAS PAGADOS</t>
  </si>
  <si>
    <t>CUADROS N° 4: LICENCIAS MÉDICAS RECHAZADAS Y DÍAS RECHAZADOS</t>
  </si>
  <si>
    <t>CUADROS N° 5: LICENCIAS MÉDICAS TRAMITADAS Y DÍAS OTORGADOS POR PRINCIPALES GRUPOS DIAGNÓSTICOS (CIE-10)</t>
  </si>
  <si>
    <t>CUADROS N° 6: LICENCIAS MÉDICAS AUTORIZADAS Y DÍAS PAGADOS POR PRINCIPALES GRUPOS DIAGNÓSTICOS (CIE-10)</t>
  </si>
  <si>
    <t>CUADROS N° 7: LICENCIAS MÉDICAS RECHAZADAS Y DÍAS RECHAZADOS POR PRINCIPALES GRUPOS DIAGNÓSTICOS (CIE-10)</t>
  </si>
  <si>
    <t>CUADROS N° 8: GASTO EN SUBSIDIOS POR INCAPACIDAD LABORAL</t>
  </si>
  <si>
    <t>TIPO DE DIAGNÓSTICO</t>
  </si>
  <si>
    <t>REGIÓN</t>
  </si>
  <si>
    <t>ACTIVIDAD ECONÓMICA</t>
  </si>
  <si>
    <t>TIPO DE RESOLUCIÓN</t>
  </si>
  <si>
    <t xml:space="preserve">Cuadro N° 1.9.1: </t>
  </si>
  <si>
    <t xml:space="preserve">Cuadro N° 1.9.2: </t>
  </si>
  <si>
    <t>HOMBRE</t>
  </si>
  <si>
    <t>MUJER</t>
  </si>
  <si>
    <t xml:space="preserve">Cuadro N° 1.10.1: </t>
  </si>
  <si>
    <t xml:space="preserve">Cuadro N° 1.10.2: </t>
  </si>
  <si>
    <t>VALORES PROMEDIOS</t>
  </si>
  <si>
    <t>Remuneración</t>
  </si>
  <si>
    <t>Reumeración dependientes</t>
  </si>
  <si>
    <t>Remuneración independientes</t>
  </si>
  <si>
    <t>Edad</t>
  </si>
  <si>
    <t>Enf. del Sistema Digestivo</t>
  </si>
  <si>
    <t>Afecciones del embarazo, Parto y Puerperio</t>
  </si>
  <si>
    <t>Enfermedades del Sist Genito urinario</t>
  </si>
  <si>
    <t>Tumores y Cánceres</t>
  </si>
  <si>
    <t>Otros Diagnósticos</t>
  </si>
  <si>
    <t>Cuadro 8.4.1:</t>
  </si>
  <si>
    <t>PÚBLICO</t>
  </si>
  <si>
    <t>PRIVADO</t>
  </si>
  <si>
    <t>Cuadro 8.4.2:</t>
  </si>
  <si>
    <t>Cuadro N° 11.1.1.1:</t>
  </si>
  <si>
    <t>TIPO DE SECTOR</t>
  </si>
  <si>
    <t>Cuadro N° 11.1.2.1:</t>
  </si>
  <si>
    <t>Cuadro N° 11.1.2.2:</t>
  </si>
  <si>
    <t>Cuadro N° 11.1.3.1:</t>
  </si>
  <si>
    <t>Cuadro N° 11.1.3.2:</t>
  </si>
  <si>
    <t>Cuadro N° 11.1.4.1:</t>
  </si>
  <si>
    <t>Cuadro N° 11.1.4.2:</t>
  </si>
  <si>
    <t>Cuadro N° 11.2.1.1:</t>
  </si>
  <si>
    <t>Cuadro N° 11.2.2.1:</t>
  </si>
  <si>
    <t>Cuadro N° 11.2.2.2:</t>
  </si>
  <si>
    <t>Cuadro N° 11.2.3.1:</t>
  </si>
  <si>
    <t>Cuadro N° 11.2.3.2:</t>
  </si>
  <si>
    <t>Cuadro N° 11.2.4.1:</t>
  </si>
  <si>
    <t>Cuadro N° 11.2.4.2:</t>
  </si>
  <si>
    <t>Cuadro N° 12.1.1.1:</t>
  </si>
  <si>
    <t>Cuadro N° 12.1.2.1:</t>
  </si>
  <si>
    <t>Cuadro N° 12.1.2.2:</t>
  </si>
  <si>
    <t>Cuadro N° 12.1.3.1:</t>
  </si>
  <si>
    <t>Cuadro N° 12.1.3.2:</t>
  </si>
  <si>
    <t>Cuadro N° 12.1.4.1:</t>
  </si>
  <si>
    <t>Cuadro N° 12.1.4.2:</t>
  </si>
  <si>
    <t>Cuadro N° 12.2.1.1:</t>
  </si>
  <si>
    <t>Cuadro N° 12.2.2.1:</t>
  </si>
  <si>
    <t>Cuadro N° 12.2.2.2:</t>
  </si>
  <si>
    <t>Cuadro N° 12.2.3.1:</t>
  </si>
  <si>
    <t>Cuadro N° 12.2.3.2:</t>
  </si>
  <si>
    <t>Cuadro N° 12.2.4.1:</t>
  </si>
  <si>
    <t>Cuadro N° 12.2.4.2:</t>
  </si>
  <si>
    <t>Enf. cardiovasculares</t>
  </si>
  <si>
    <t>Enf. Cardiovasculares</t>
  </si>
  <si>
    <t>Cuadro N° 10.1.1.1:</t>
  </si>
  <si>
    <t>Cuadro N° 10.1.2.1:</t>
  </si>
  <si>
    <t>Cuadro N° 10.1.2.2:</t>
  </si>
  <si>
    <t>Cuadro N° 10.1.3.1:</t>
  </si>
  <si>
    <t>Cuadro N° 10.1.3.2:</t>
  </si>
  <si>
    <t>Cuadro N° 10.1.4.1:</t>
  </si>
  <si>
    <t>Cuadro N° 10.1.4.2:</t>
  </si>
  <si>
    <t>Cuadro N° 10.2.1.1:</t>
  </si>
  <si>
    <t>Cuadro N° 10.2.2.1:</t>
  </si>
  <si>
    <t>Cuadro N° 10.2.2.2:</t>
  </si>
  <si>
    <t>Cuadro N° 10.2.3.1:</t>
  </si>
  <si>
    <t>Cuadro N° 10.2.3.2:</t>
  </si>
  <si>
    <t>Cuadro N° 10.2.4.1:</t>
  </si>
  <si>
    <t>Cuadro N° 10.2.4.2:</t>
  </si>
  <si>
    <t>CUADROS N° 10: LICENCIAS MÉDICAS TRAMITADAS Y DÍAS OTORGADOS POR TIPO SECTOR</t>
  </si>
  <si>
    <t>CUADROS N° 11: LICENCIAS MÉDICAS AUTORIZADAS Y DÍAS PAGADOS POR TIPO SECTOR</t>
  </si>
  <si>
    <t>CUADROS N° 12: LICENCIAS MÉDICAS RECHAZADAS Y DÍAS RECHAZADOS POR TIPO SECTOR</t>
  </si>
  <si>
    <t>Sin información</t>
  </si>
  <si>
    <t>SIN INFORMACIÓN</t>
  </si>
  <si>
    <t>Traumatismos, envenenamientos y otros</t>
  </si>
  <si>
    <t>Enfermedades del Sist. Genito urinario</t>
  </si>
  <si>
    <t>Sin Información</t>
  </si>
  <si>
    <t>INDEPENDIENTE</t>
  </si>
  <si>
    <t>Autorizadas</t>
  </si>
  <si>
    <t>Ampliadas</t>
  </si>
  <si>
    <t>Reducidas</t>
  </si>
  <si>
    <t>Cuadro N° 2.1.7:</t>
  </si>
  <si>
    <t>Cuadro N° 2.1.8:</t>
  </si>
  <si>
    <t>Cuadro N° 2.2.7:</t>
  </si>
  <si>
    <t>Cuadro N° 2.2.8:</t>
  </si>
  <si>
    <t>Cuadro N° 3.1.6:</t>
  </si>
  <si>
    <t>Cuadro N° 3.1.7:</t>
  </si>
  <si>
    <t>Cuadro N° 3.2.6:</t>
  </si>
  <si>
    <t>Cuadro N° 3.2.7:</t>
  </si>
  <si>
    <t>Cuadro N° 4.1.5:</t>
  </si>
  <si>
    <t>Cuadro N° 4.1.6:</t>
  </si>
  <si>
    <t>Cuadro N° 4.2.5:</t>
  </si>
  <si>
    <t>Cuadro N° 4.2.6:</t>
  </si>
  <si>
    <t>Ñuble (XVI)</t>
  </si>
  <si>
    <t>TRAMO DE REMUNERACIONES (EN MILES DE $)</t>
  </si>
  <si>
    <t>Otro</t>
  </si>
  <si>
    <t>SIN INFORMACION</t>
  </si>
  <si>
    <t>INDETERMINADO</t>
  </si>
  <si>
    <t>Número de cotizantes, según seguro de salud años 2016-2020</t>
  </si>
  <si>
    <t>Número de cotizantes, según seguro de salud y sexo año 2020</t>
  </si>
  <si>
    <t>Número de cotizantes, según seguro de salud y tramo etario año 2020</t>
  </si>
  <si>
    <t>Número de cotizantes, según seguro de salud y tipo de cotizante año 2020</t>
  </si>
  <si>
    <t>Número de cotizantes, según seguro de salud y región año 2020</t>
  </si>
  <si>
    <t>Número de cotizantes, según seguro de salud y tramo de remuneraciones año 2020</t>
  </si>
  <si>
    <t>Número de cotizantes, según seguro de salud y actividad económica año 2020</t>
  </si>
  <si>
    <t>Número de cotizantes FONASA, según sexo y tramo de remuneraciones año 2020</t>
  </si>
  <si>
    <t>Número de cotizantes ISAPREs, según sexo y tramo de remuneraciones año 2020</t>
  </si>
  <si>
    <t>Estadísticas promedio de cotizantes FONASA, según sexo año 2020</t>
  </si>
  <si>
    <t>Estadísticas promedio de cotizantes ISAPREs, según sexo año 2020</t>
  </si>
  <si>
    <t>Número de licencias médicas tramitadas, según seguro de salud años 2016-2020</t>
  </si>
  <si>
    <t>Número de días otorgados, según seguro de salud años 2016-2020</t>
  </si>
  <si>
    <t>Número de licencias médicas tramitadas, según seguro de salud y sexo año 2020</t>
  </si>
  <si>
    <t>Número de días otorgados, según seguro de salud y sexo año 2020</t>
  </si>
  <si>
    <t>Número de licencias médicas tramitadas, según seguro de salud y tramo etario año 2020</t>
  </si>
  <si>
    <t>Número de dias otorgados, según seguro de salud y tramo etario año 2020</t>
  </si>
  <si>
    <t>Número de licencias médicas tramitadas, según seguro de salud y tipo de sector año 2020</t>
  </si>
  <si>
    <t>Número de dias otorgados, según seguro de salud y tipo de sector año 2020</t>
  </si>
  <si>
    <t>Número de licencias médicas tramitadas, según seguro de salud y región año 2020</t>
  </si>
  <si>
    <t>Número de dias otorgados, según seguro de salud y región año 2020</t>
  </si>
  <si>
    <t>Número de licencias médicas tramitadas, según seguro de salud y  tipo de resolución año 2020</t>
  </si>
  <si>
    <t>Número de dias otorgados, según seguro de salud y  tipo de resolución año 2020</t>
  </si>
  <si>
    <t>Número de licencias médicas tramitadas MUJERES, según seguro de salud y región año 2020</t>
  </si>
  <si>
    <t>Número de dias otorgados a MUJERES, según seguro de salud y región año 2020</t>
  </si>
  <si>
    <t>Número de licencias médicas tramitadas HOMBRES, según seguro de salud y región año 2020</t>
  </si>
  <si>
    <t>Número de dias otorgados a HOMBRES, según seguro de salud y región año 2020</t>
  </si>
  <si>
    <t>Número de licencias médicas autorizadas, según seguro de salud y sexo año 2020</t>
  </si>
  <si>
    <t>Número de días pagados, según seguro de salud y sexo año 2020</t>
  </si>
  <si>
    <t>Número de licencias médicas autorizadas, según seguro de salud y tramo etario año 2020</t>
  </si>
  <si>
    <t>Número de dias pagados, según seguro de salud y tramo etario año 2020</t>
  </si>
  <si>
    <t>Número de licencias médicas autorizadas, según seguro de salud y tipo de sector año 2020</t>
  </si>
  <si>
    <t>Número de dias pagados, según seguro de salud y tipo de sector año 2020</t>
  </si>
  <si>
    <t>Número de licencias médicas autorizadas, según seguro de salud y región año 2020</t>
  </si>
  <si>
    <t>Número de dias pagados, según seguro de salud y región año 2020</t>
  </si>
  <si>
    <t>Número de licencias médicas autorizadas a MUJERES, según seguro de salud y región año 2020</t>
  </si>
  <si>
    <t>Número de dias  pagados a MUJERES, según seguro de salud y región año 2020</t>
  </si>
  <si>
    <t>Número de licencias médicas autorizadas a HOMBRES, según seguro de salud y región año 2020</t>
  </si>
  <si>
    <t>Número de dias pagados a HOMBRES, según seguro de salud y región año 2020</t>
  </si>
  <si>
    <t>Número de licencias médicas autorizadas, según seguro de salud años 2016-2020</t>
  </si>
  <si>
    <t>Número de días pagados, según seguro de salud años 2016-2020</t>
  </si>
  <si>
    <t>Número de licencias médicas rechazadas, según seguro de salud años 2016-2020</t>
  </si>
  <si>
    <t>Número de días rechazados, según seguro de salud años 2016-2020</t>
  </si>
  <si>
    <t>Número de licencias médicas rechazadas, según seguro de salud y sexo año 2020</t>
  </si>
  <si>
    <t>Número de días rechazados, según seguro de salud y sexo año 2020</t>
  </si>
  <si>
    <t>Número de licencias médicas rechazadas, según seguro de salud y tramo etario año 2020</t>
  </si>
  <si>
    <t>Número de dias rechazados, según seguro de salud y tramo etario año 2020</t>
  </si>
  <si>
    <t>Número de licencias médicas rechazadas, según seguro de salud y región año 2020</t>
  </si>
  <si>
    <t>Número de dias rechazados, según seguro de salud y región año 2020</t>
  </si>
  <si>
    <t>Número de licencias médicas rechazadas a MUJERES, según seguro de salud y región año 2020</t>
  </si>
  <si>
    <t>Número de dias  rechazados a MUJERES, según seguro de salud y región año 2020</t>
  </si>
  <si>
    <t>Número de licencias médicas rechazadas a HOMBRES, según seguro de salud y región año 2020</t>
  </si>
  <si>
    <t>Número de dias rechazados a HOMBRES, según seguro de salud y región año 2020</t>
  </si>
  <si>
    <t>Número de licencias médicas tramitadas FONASA, según tipo de diagnóstico y sexo año 2020</t>
  </si>
  <si>
    <t>Número de licencias médicas tramitadas ISAPREs, según tipo de diagnóstico y sexo año 2020</t>
  </si>
  <si>
    <t>Número de licencias médicas tramitadas FONASA, según tipo de diagnóstico y tramo etario año 2020</t>
  </si>
  <si>
    <t>Número de licencias médicas tramitadas ISAPREs, según tipo de diagnóstico y tramo etario año 2020</t>
  </si>
  <si>
    <t>Número de licencias médicas tramitadas FONASA, según tipo de diagnóstico y región año 2020</t>
  </si>
  <si>
    <t>Número de licencias médicas tramitadas ISAPREs, según tipo de diagnóstico y región año 2020</t>
  </si>
  <si>
    <t>Número de días otorgados, según seguro de salud y tipo de diagnóstico año 2020</t>
  </si>
  <si>
    <t>Número de días otorgados FONASA, según tipo de diagnóstico y sexo año 2020</t>
  </si>
  <si>
    <t>Número de días otorgados ISAPREs, según tipo de diagnóstico y sexo año 2020</t>
  </si>
  <si>
    <t>Número de días otorgados FONASA, según tipo de diagnóstico y tramo etario año 2020</t>
  </si>
  <si>
    <t>Número de días otorgados ISAPREs, según tipo de diagnóstico y tramo etario año 2020</t>
  </si>
  <si>
    <t>Número de días otorgados FONASA, según tipo de diagnóstico y región año 2020</t>
  </si>
  <si>
    <t>Número de días otorgados ISAPREs, según tipo de diagnóstico y región año 2020</t>
  </si>
  <si>
    <t>Número de licencias médicas rechazadas, según seguro de salud y tipo de diagnóstico año 2020</t>
  </si>
  <si>
    <t>Número de licencias médicas rechazadas FONASA, según tipo de diagnóstico y sexo año 2020</t>
  </si>
  <si>
    <t>Número de licencias médicas rechazadas ISAPREs, según tipo de diagnóstico y sexo año 2020</t>
  </si>
  <si>
    <t>Número de licencias médicas rechazadas FONASA, según tipo de diagnóstico y tramo etario año 2020</t>
  </si>
  <si>
    <t>Número de licencias médicas rechazadas ISAPREs, según tipo de diagnóstico y tramo etario año 2020</t>
  </si>
  <si>
    <t>Número de licencias médicas rechazadas FONASA, según tipo de diagnóstico y región año 2020</t>
  </si>
  <si>
    <t>Número de licencias médicas rechazadas ISAPREs, según tipo de diagnóstico y región año 2020</t>
  </si>
  <si>
    <t>Número de días rechazados, según seguro de salud y tipo de diagnóstico año 2020</t>
  </si>
  <si>
    <t>Número de días rechazados FONASA, según tipo de diagnóstico y sexo año 2020</t>
  </si>
  <si>
    <t>Número de días rechazados ISAPREs, según tipo de diagnóstico y sexo año 2020</t>
  </si>
  <si>
    <t>Número de días rechazados FONASA, según tipo de diagnóstico y tramo etario año 2020</t>
  </si>
  <si>
    <t>Número de días rechazados ISAPREs, según tipo de diagnóstico y tramo etario año 2020</t>
  </si>
  <si>
    <t>Número de días rechazados FONASA, según tipo de diagnóstico y región año 2020</t>
  </si>
  <si>
    <t>Número de días rechazados ISAPREs, según tipo de diagnóstico y región año 2020</t>
  </si>
  <si>
    <t>Gasto en SIL nominal por licencias médicas, según seguro de salud (miles $ de cada año) años 2016-2020</t>
  </si>
  <si>
    <t>Gasto en SIL por licencias médicas, según seguro de salud (miles $ de diciembre 2020) años 2016-2020</t>
  </si>
  <si>
    <t>Gasto en SIL por licencias médicas, según seguro de salud y tipo de diagnóstico (miles $ de diciembre 2020) año 2020</t>
  </si>
  <si>
    <t>Número de licencias médicas tramitadas ISAPREs, según tipo de sector y sexo año 2020</t>
  </si>
  <si>
    <t>Número de licencias médicas tramitadas ISAPREs, según tipo de sector y tramo etario año 2020</t>
  </si>
  <si>
    <t>Número de licencias médicas tramitadas ISAPREs, según tipo de sector y diagnóstico año 2020</t>
  </si>
  <si>
    <t>Número de días otorgados, según seguro de salud y tipo de sector año 2020</t>
  </si>
  <si>
    <t>Número de días otorgados ISAPREs, según tipo de sector y sexo año 2020</t>
  </si>
  <si>
    <t>Número de días otorgados ISAPREs, según tipo de sector y tramo etario año 2020</t>
  </si>
  <si>
    <t>Número de días otorgados ISAPREs, según tipo de sector y diagnóstico año 2020</t>
  </si>
  <si>
    <t>Número de días pagados, según seguro de salud y tipo de sector año 2020</t>
  </si>
  <si>
    <t>Número de licencias médicas rechazadas, según seguro de salud y tipo de sector año 2020</t>
  </si>
  <si>
    <t>Número de licencias médicas rechazadas ISAPREs, según tipo de sector y sexo año 2020</t>
  </si>
  <si>
    <t>Número de licencias médicas rechazadas ISAPREs, según tipo de sector y tramo etario año 2020</t>
  </si>
  <si>
    <t>Número de licencias médicas rechazadas ISAPREs, según tipo de sector y diagnóstico año 2020</t>
  </si>
  <si>
    <t>Número de días rechazados, según seguro de salud y tipo de sector año 2020</t>
  </si>
  <si>
    <t>Número de días rechazados ISAPREs, según tipo de sector y sexo año 2020</t>
  </si>
  <si>
    <t>Número de días rechazados ISAPREs, según tipo de sector y tramo etario año 2020</t>
  </si>
  <si>
    <t>Número de días rechazados ISAPREs, según tipo de sector y diagnóstico año 2020</t>
  </si>
  <si>
    <t>Número de licencias médicas autorizadas, según seguro de salud y tipo de diagnóstico año 2020</t>
  </si>
  <si>
    <t>Número de licencias médicas autorizadas FONASA, según tipo de diagnóstico y sexo año 2020</t>
  </si>
  <si>
    <t>Número de licencias médicas autorizadas FONASA, según tipo de diagnóstico y tramo etario año 2020</t>
  </si>
  <si>
    <t>Número de licencias médicas autorizadas FONASA, según tipo de diagnóstico y región año 2020</t>
  </si>
  <si>
    <t>Número de días pagados, según seguro de salud y tipo de diagnóstico año 2020</t>
  </si>
  <si>
    <t>Número de días pagados FONASA, según tipo de diagnóstico y sexo año 2020</t>
  </si>
  <si>
    <t>Número de días pagados FONASA, según tipo de diagnóstico y tramo etario año 2020</t>
  </si>
  <si>
    <t>Número de días pagados FONASA, según tipo de diagnóstico y región año 2020</t>
  </si>
  <si>
    <t>Licencia médica preventiva parental</t>
  </si>
  <si>
    <t>Indeterminado</t>
  </si>
  <si>
    <t>GLOSARIO</t>
  </si>
  <si>
    <t>Abreviatura</t>
  </si>
  <si>
    <t>Glosa</t>
  </si>
  <si>
    <t>C1</t>
  </si>
  <si>
    <t>Cuadros N° 1</t>
  </si>
  <si>
    <t>C2</t>
  </si>
  <si>
    <t>Cuadros N° 2</t>
  </si>
  <si>
    <t>C3</t>
  </si>
  <si>
    <t>Cuadros N° 3</t>
  </si>
  <si>
    <t>C4</t>
  </si>
  <si>
    <t>Cuadros N° 4</t>
  </si>
  <si>
    <t>C5</t>
  </si>
  <si>
    <t>Cuadros N° 5</t>
  </si>
  <si>
    <t>C6</t>
  </si>
  <si>
    <t>Cuadros N° 6</t>
  </si>
  <si>
    <t>C7</t>
  </si>
  <si>
    <t>Cuadros N° 7</t>
  </si>
  <si>
    <t>C8</t>
  </si>
  <si>
    <t>Cuadros N° 8</t>
  </si>
  <si>
    <t>C9</t>
  </si>
  <si>
    <t>Cuadros N° 9</t>
  </si>
  <si>
    <t>C10</t>
  </si>
  <si>
    <t>Cuadros N° 10</t>
  </si>
  <si>
    <t>C11</t>
  </si>
  <si>
    <t>Cuadros N° 11</t>
  </si>
  <si>
    <t>C12</t>
  </si>
  <si>
    <t>Cuadros N° 12</t>
  </si>
  <si>
    <t>COT</t>
  </si>
  <si>
    <t>Cotizantes con Derecho a Licencia Médica</t>
  </si>
  <si>
    <t>DIAG</t>
  </si>
  <si>
    <t>Diagnósticos (CIE-10)</t>
  </si>
  <si>
    <t>GTO</t>
  </si>
  <si>
    <t>Gasto</t>
  </si>
  <si>
    <t>IND</t>
  </si>
  <si>
    <t>Indicadores</t>
  </si>
  <si>
    <t>LMA</t>
  </si>
  <si>
    <t>Licencia Médica Autorizada</t>
  </si>
  <si>
    <t>LMR</t>
  </si>
  <si>
    <t>Licencia Médica Rechazada</t>
  </si>
  <si>
    <t>LMT</t>
  </si>
  <si>
    <t>Licencia Médica Tramitada</t>
  </si>
  <si>
    <t>SIL</t>
  </si>
  <si>
    <t>Subsidio por Incapacidad Laboral</t>
  </si>
  <si>
    <t>&lt;350</t>
  </si>
  <si>
    <t>350-700</t>
  </si>
  <si>
    <t>700-1050</t>
  </si>
  <si>
    <t>1050-1400</t>
  </si>
  <si>
    <t>1400-1750</t>
  </si>
  <si>
    <t>1750-2100</t>
  </si>
  <si>
    <t>2100-2400</t>
  </si>
  <si>
    <t>&gt;2400</t>
  </si>
  <si>
    <t>(1) Se incluyen los códigos: U07.1 "Enfermedad respiratoria aguda debido al nuevo coronavirus"; U07.2 "Covid-19, virus no identificado (a la espera del resultado del examen PCR)."; Z29.0 "Aislamiento" y Z20.8 "Contacto con y exposición a otras enfermedades transmisibles".</t>
  </si>
  <si>
    <t>(1) incluye LM reclamadas y acogidas total o parcialmente en las instancias de apelación.</t>
  </si>
  <si>
    <t>(2) Se incluyen los códigos: U07.1 "Enfermedad respiratoria aguda debido al nuevo coronavirus"; U07.2 "Covid-19, virus no identificado (a la espera del resultado del examen PCR)."; Z29.0 "Aislamiento" y Z20.8 "Contacto con y exposición a otras enfermedades transmisibles".</t>
  </si>
  <si>
    <t>(1) incluye los días pagados por las LM reclamadas y acogidas total o parcialmente en las instancias de apelación.</t>
  </si>
  <si>
    <t xml:space="preserve">(1) Se incluyen los códigos: U07.1 "Enfermedad respiratoria aguda debido al nuevo coronavirus"; U07.2 "Covid-19, virus no identificado (a la espera del resultado del examen PCR)."; Z29.0 "Aislamiento" y Z20.8 "Contacto con y exposición a otras enfermedades transmisibles".			</t>
  </si>
  <si>
    <t>(1) Incluye el monto pagado en LM atrasadas en COMPIN y gasto no ejecutado de Instituciones Públicas.</t>
  </si>
  <si>
    <t>(2) Incluye LM reclamadas y acogidas total o parcialmente en las instancias de apelación.</t>
  </si>
  <si>
    <r>
      <t>ISAPRE</t>
    </r>
    <r>
      <rPr>
        <b/>
        <vertAlign val="superscript"/>
        <sz val="10"/>
        <color theme="0"/>
        <rFont val="Calibri (Cuerpo)"/>
      </rPr>
      <t>1</t>
    </r>
  </si>
  <si>
    <r>
      <t>Número de días pagados ISAPREs, según tipo de diagnóstico y región año 2020</t>
    </r>
    <r>
      <rPr>
        <b/>
        <vertAlign val="superscript"/>
        <sz val="10"/>
        <rFont val="Calibri (Cuerpo)"/>
      </rPr>
      <t>1</t>
    </r>
  </si>
  <si>
    <r>
      <t>Número de días pagados ISAPREs, según tipo de diagnóstico y tramo etario año 2020</t>
    </r>
    <r>
      <rPr>
        <b/>
        <vertAlign val="superscript"/>
        <sz val="10"/>
        <rFont val="Calibri (Cuerpo)"/>
      </rPr>
      <t>1</t>
    </r>
  </si>
  <si>
    <r>
      <t>Número de días pagados ISAPREs, según tipo de diagnóstico y sexo año 2020</t>
    </r>
    <r>
      <rPr>
        <b/>
        <vertAlign val="superscript"/>
        <sz val="10"/>
        <rFont val="Calibri (Cuerpo)"/>
      </rPr>
      <t>1</t>
    </r>
  </si>
  <si>
    <r>
      <t>Número de licencias médicas autorizadas ISAPREs, según tipo de diagnóstico y región año 2020</t>
    </r>
    <r>
      <rPr>
        <b/>
        <vertAlign val="superscript"/>
        <sz val="10"/>
        <rFont val="Calibri (Cuerpo)"/>
      </rPr>
      <t>1</t>
    </r>
  </si>
  <si>
    <r>
      <t>Número de licencias médicas autorizadas ISAPREs, según tipo de diagnóstico y tramo etario año 2020</t>
    </r>
    <r>
      <rPr>
        <b/>
        <vertAlign val="superscript"/>
        <sz val="10"/>
        <rFont val="Calibri (Cuerpo)"/>
      </rPr>
      <t>1</t>
    </r>
  </si>
  <si>
    <r>
      <t>Número de licencias médicas autorizadas ISAPREs, según tipo de diagnóstico y sexo año 2020</t>
    </r>
    <r>
      <rPr>
        <b/>
        <vertAlign val="superscript"/>
        <sz val="10"/>
        <rFont val="Calibri (Cuerpo)"/>
      </rPr>
      <t>1</t>
    </r>
  </si>
  <si>
    <r>
      <t>FONASA</t>
    </r>
    <r>
      <rPr>
        <b/>
        <vertAlign val="superscript"/>
        <sz val="10"/>
        <color theme="0"/>
        <rFont val="Calibri (Cuerpo)"/>
      </rPr>
      <t>1</t>
    </r>
  </si>
  <si>
    <r>
      <t>ISAPRE</t>
    </r>
    <r>
      <rPr>
        <b/>
        <vertAlign val="superscript"/>
        <sz val="10"/>
        <color theme="0"/>
        <rFont val="Calibri (Cuerpo)"/>
      </rPr>
      <t>2</t>
    </r>
  </si>
  <si>
    <t>(3) Se incluyen los códigos: U07.1 "Enfermedad respiratoria aguda debido al nuevo coronavirus"; U07.2 "Covid-19, virus no identificado (a la espera del resultado del examen PCR)."; Z29.0 "Aislamiento" y Z20.8 "Contacto con y exposición a otras enfermedades transmisibles".</t>
  </si>
  <si>
    <r>
      <t>Gasto en SIL por licencias médicas FONASA, según tipo de sector y tipo de diagnóstico (miles $ de diciembre 2020) año 2020</t>
    </r>
    <r>
      <rPr>
        <b/>
        <vertAlign val="superscript"/>
        <sz val="10"/>
        <rFont val="Calibri (Cuerpo)"/>
      </rPr>
      <t>1</t>
    </r>
  </si>
  <si>
    <t>(1) Incluye LM reclamadas y acogidas total o parcialmente en las instancias de apelación.</t>
  </si>
  <si>
    <r>
      <t>Gasto en SIL por licencias médicas ISAPRE, según tipo de sector y tipo de diagnóstico (miles $ de diciembre 2020) año 2020</t>
    </r>
    <r>
      <rPr>
        <b/>
        <vertAlign val="superscript"/>
        <sz val="10"/>
        <rFont val="Calibri (Cuerpo)"/>
      </rPr>
      <t>1</t>
    </r>
  </si>
  <si>
    <t>DEPENDIENTE PÚBLICO</t>
  </si>
  <si>
    <t>DEPENDIENTE PRIVADO</t>
  </si>
  <si>
    <t>Cuadro N° 4.1.7:</t>
  </si>
  <si>
    <t>Cuadro N° 4.2.7</t>
  </si>
  <si>
    <t>Número de licencias médicas tramitadas FONASA, según tipo de sector y sexo año 2020</t>
  </si>
  <si>
    <t xml:space="preserve">Número de licencias médicas tramitadas FONASA, según tipo de sector y tramo etario año 2020 </t>
  </si>
  <si>
    <t>Número de licencias médicas tramitadas FONASA, según tipo de sector y diagnóstico año 2020</t>
  </si>
  <si>
    <t>Número de días otorgados FONASA, según tipo de sector y sexo año 2020</t>
  </si>
  <si>
    <t>Número de días otorgados FONASA, según tipo de sector y tramo etario año 2020</t>
  </si>
  <si>
    <t>Número de días otorgados FONASA, según tipo de sector y diagnóstico año 2020</t>
  </si>
  <si>
    <t>Número de licencias médicas autorizadas FONASA, según tipo de sector y sexo año 2020</t>
  </si>
  <si>
    <t>Número de licencias médicas autorizadas FONASA, según tipo de sector y tramo etario año 2020</t>
  </si>
  <si>
    <t>Número de licencias médicas autorizadas FONASA, según tipo de sector y diagnóstico año 2020</t>
  </si>
  <si>
    <t>Número de días pagados FONASA, según tipo de sector y sexo año 2020</t>
  </si>
  <si>
    <t>Número de días pagados FONASA, según tipo de sector y tramo etario año 2020</t>
  </si>
  <si>
    <t>Número de días pagados FONASA, según tipo de sector y diagnóstico año 2020</t>
  </si>
  <si>
    <r>
      <t>ISAPRE</t>
    </r>
    <r>
      <rPr>
        <b/>
        <vertAlign val="superscript"/>
        <sz val="10"/>
        <color theme="0"/>
        <rFont val="Calibri (Cuerpo)"/>
      </rPr>
      <t>(1)</t>
    </r>
  </si>
  <si>
    <r>
      <t>Número de licencias médicas autorizadas ISAPREs, según tipo de sector y sexo año 2020</t>
    </r>
    <r>
      <rPr>
        <b/>
        <vertAlign val="superscript"/>
        <sz val="10"/>
        <rFont val="Calibri (Cuerpo)"/>
      </rPr>
      <t>(1)</t>
    </r>
  </si>
  <si>
    <r>
      <t>Número de licencias médicas autorizadas ISAPREs, según tipo de sector y tramo etario año 2020</t>
    </r>
    <r>
      <rPr>
        <b/>
        <vertAlign val="superscript"/>
        <sz val="10"/>
        <rFont val="Calibri (Cuerpo)"/>
      </rPr>
      <t>(1)</t>
    </r>
  </si>
  <si>
    <r>
      <t>Número de licencias médicas autorizadas ISAPREs, según tipo de sector y diagnóstico año 2020</t>
    </r>
    <r>
      <rPr>
        <b/>
        <vertAlign val="superscript"/>
        <sz val="10"/>
        <rFont val="Calibri (Cuerpo)"/>
      </rPr>
      <t>(1)</t>
    </r>
  </si>
  <si>
    <r>
      <t>Número de días pagados ISAPREs, según tipo de sector y sexo año 2020</t>
    </r>
    <r>
      <rPr>
        <b/>
        <vertAlign val="superscript"/>
        <sz val="10"/>
        <rFont val="Calibri (Cuerpo)"/>
      </rPr>
      <t>(1)</t>
    </r>
  </si>
  <si>
    <r>
      <t>Número de días pagados ISAPREs, según tipo de sector y tramo etario año 2020</t>
    </r>
    <r>
      <rPr>
        <b/>
        <vertAlign val="superscript"/>
        <sz val="10"/>
        <rFont val="Calibri (Cuerpo)"/>
      </rPr>
      <t>(1)</t>
    </r>
  </si>
  <si>
    <r>
      <t>Número de días pagados ISAPREs, según tipo de sector y diagnóstico año 2020</t>
    </r>
    <r>
      <rPr>
        <b/>
        <vertAlign val="superscript"/>
        <sz val="10"/>
        <rFont val="Calibri (Cuerpo)"/>
      </rPr>
      <t>(1)</t>
    </r>
  </si>
  <si>
    <t>Número de licencias médicas rechazadas FONASA, según tipo de sector y sexo año 2020</t>
  </si>
  <si>
    <t>Número de licencias médicas rechazadas FONASA, según tipo de sector y tramo etario año 2020</t>
  </si>
  <si>
    <t>Número de licencias médicas rechazadas FONASA, según tipo de sector y diagnóstico año 2020</t>
  </si>
  <si>
    <t xml:space="preserve">FONASA </t>
  </si>
  <si>
    <t>Número de días rechazados FONASA, según tipo de sector y sexo año 2020</t>
  </si>
  <si>
    <t>Número de días rechazados FONASA, según tipo de sector y tramo etario año 2020</t>
  </si>
  <si>
    <t>Número de días rechazados FONASA, según tipo de sector y diagnóstico año 2020</t>
  </si>
  <si>
    <t>Número de dias rechazados, según seguro de salud y tipo de sector año 2020</t>
  </si>
  <si>
    <r>
      <t>COVID-19</t>
    </r>
    <r>
      <rPr>
        <vertAlign val="superscript"/>
        <sz val="10"/>
        <color theme="1"/>
        <rFont val="Calibri (Cuerpo)"/>
      </rPr>
      <t>1</t>
    </r>
  </si>
  <si>
    <r>
      <t>COVID-19</t>
    </r>
    <r>
      <rPr>
        <b/>
        <vertAlign val="superscript"/>
        <sz val="10"/>
        <color theme="0"/>
        <rFont val="Calibri (Cuerpo)"/>
      </rPr>
      <t>1</t>
    </r>
  </si>
  <si>
    <r>
      <t>COVID-19</t>
    </r>
    <r>
      <rPr>
        <vertAlign val="superscript"/>
        <sz val="10"/>
        <color theme="1"/>
        <rFont val="Calibri (Cuerpo)"/>
      </rPr>
      <t>2</t>
    </r>
  </si>
  <si>
    <r>
      <t>COVID-19</t>
    </r>
    <r>
      <rPr>
        <b/>
        <vertAlign val="superscript"/>
        <sz val="10"/>
        <color theme="0"/>
        <rFont val="Calibri (Cuerpo)"/>
      </rPr>
      <t>2</t>
    </r>
  </si>
  <si>
    <r>
      <t>COVID-19</t>
    </r>
    <r>
      <rPr>
        <vertAlign val="superscript"/>
        <sz val="10"/>
        <color theme="1"/>
        <rFont val="Calibri (Cuerpo)"/>
      </rPr>
      <t>3</t>
    </r>
  </si>
  <si>
    <t>CUADROS N° 9: INDICADORES DE GASTO EN SUBSIDIOS POR INCAPACIDAD LABORAL</t>
  </si>
  <si>
    <t>Cuadro N° 9.1:</t>
  </si>
  <si>
    <t>Cuadro N° 9.2:</t>
  </si>
  <si>
    <t>Cuadro N° 9.3:</t>
  </si>
  <si>
    <t>Cuadro N° 9.4:</t>
  </si>
  <si>
    <t>Cuadro N° 9.5:</t>
  </si>
  <si>
    <t>Cuadro N° 9.6:</t>
  </si>
  <si>
    <t>Gasto en SIL por cotizante, según seguro de salud (miles $ de diciembre 2020) años 2016-2020</t>
  </si>
  <si>
    <t>Número de días pagados por cotizante, según seguro de salud años 2016-2020</t>
  </si>
  <si>
    <t>Número de días pagados por licencia médica autorizada, según seguro de salud años 2016-2020</t>
  </si>
  <si>
    <t>Porcentaje de cotización necesario para financiar el SIL, según seguro de salud años 2016-2020</t>
  </si>
  <si>
    <t>Gasto en SIL por día pagado, según seguro de salud (miles $ de diciembre 2020) años 2016-2020</t>
  </si>
  <si>
    <t>Gasto en SIL por licencia médica autorizada, según seguro de salud (miles $ de diciembre 2020) años 2016-2020</t>
  </si>
  <si>
    <t>(1) No se incluyen las LM sin información de sexo y región, las que ascienden a 24 LM.</t>
  </si>
  <si>
    <r>
      <t>ISAPRE</t>
    </r>
    <r>
      <rPr>
        <b/>
        <vertAlign val="superscript"/>
        <sz val="10"/>
        <color theme="0"/>
        <rFont val="Calibri (Cuerpo)"/>
      </rPr>
      <t>(1)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</si>
  <si>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t>(2) No se incluyen las LM sin información de sexo y región, las que ascienden a 36 LM.</t>
  </si>
  <si>
    <t>(2) No se incluyen los días pagados por LM sin información de sexo y región, los que ascienden a 521 días.</t>
  </si>
  <si>
    <t>(1) No se incluyen los días otorgados por LM sin información de sexo y región, los que ascienden a 418 días.</t>
  </si>
  <si>
    <t>Total Renta Imponible anual de la cartera de cotizantes (afecta a cotización legal), según seguro de salud (miles $ de cada año) años 2016-2020</t>
  </si>
  <si>
    <t>Introducción</t>
  </si>
  <si>
    <t xml:space="preserve">(*)Para una mejor comprensión de la metodología y términos utilizados para elaborar esta información se sugiere revisar el siguiente glosario y documento metodológico </t>
  </si>
  <si>
    <t>ÍNDICE DE CUADROS</t>
  </si>
  <si>
    <t>CUADROS N° 5: LICENCIAS MÉDICAS TRAMITADAS Y DÍAS OTORGADOS POR PRINCIPALES GRUPOS DIAGNÓSTICO (CIE-10)</t>
  </si>
  <si>
    <t>CUADROS N° 6: LICENCIAS MÉDICAS AUTORIZADAS Y DÍAS PAGADOS POR PRINCIPALES GRUPOS DIAGNÓSTICO (CIE-10)</t>
  </si>
  <si>
    <t>CUADROS N° 7: LICENCIAS MÉDICAS RECHAZADAS Y DÍAS RECHAZADOS POR PRINCIPALES GRUPOS DIAGNÓSTICO (CIE-10)</t>
  </si>
  <si>
    <t>CUADROS N° 8: GASTO POR SUBSIDIO POR INCAPACIDAD LABORAL</t>
  </si>
  <si>
    <t>CUADROS N° 9: INDICADORES DE GASTO POR SUBSIDIO POR INCAPACIDAD LABORAL</t>
  </si>
  <si>
    <t>Cuadro N° 1.1: Número de cotizantes, según seguro de salud años 2016-2020</t>
  </si>
  <si>
    <t>Cuadro N° 2.1.1: Número de licencias médicas tramitadas, según seguro de salud años 2016-2020</t>
  </si>
  <si>
    <t>Cuadro N° 2.2.1: Número de días otorgados, según seguro de salud años 2016-2020</t>
  </si>
  <si>
    <t>Cuadro N° 3.1.1: Número de licencias médicas autorizadas, según seguro de salud años 2016-2020</t>
  </si>
  <si>
    <t>Cuadro N° 3.2.1: Número de días pagados, según seguro de salud años 2016-2020</t>
  </si>
  <si>
    <t>Cuadro N° 4.1.1: Número de licencias médicas rechazadas, según seguro de salud años 2016-2020</t>
  </si>
  <si>
    <t>Cuadro N° 4.2.1: Número de días rechazados, según seguro de salud años 2016-2020</t>
  </si>
  <si>
    <t>Cuadro N° 8.1: Gasto en SIL nominal por licencias médicas, según seguro de salud (miles $ de cada año) años 2016-2020</t>
  </si>
  <si>
    <t>Cuadro N° 9.2: Número de días pagados por cotizante, según seguro de salud años 2016-2020</t>
  </si>
  <si>
    <t>Cuadro N° 9.5: Número de días pagados por licencia médica autorizada, según seguro de salud años 2016-2020</t>
  </si>
  <si>
    <t>Cuadro N° 9.6: Porcentaje de cotización necesario para financiar el SIL, según seguro de salud años 2016-2020</t>
  </si>
  <si>
    <t>Cuadro N° 1.2: Número de cotizantes, según seguro de salud y sexo año 2020</t>
  </si>
  <si>
    <t>Cuadro N° 1.3: Número de cotizantes, según seguro de salud y tramo etario año 2020</t>
  </si>
  <si>
    <t>Cuadro N° 1.4: Número de cotizantes, según seguro de salud y tipo de cotizante año 2020</t>
  </si>
  <si>
    <t>Cuadro N° 1.5: Número de cotizantes, según seguro de salud y región año 2020</t>
  </si>
  <si>
    <t>Cuadro N° 1.6: Número de cotizantes, según seguro de salud y tramo de remuneraciones año 2020</t>
  </si>
  <si>
    <t>Cuadro N° 1.7: Número de cotizantes, según seguro de salud y actividad económica año 2020</t>
  </si>
  <si>
    <t>Cuadro N° 1.9.1: Número de cotizantes FONASA, según sexo y tramo de remuneraciones año 2020</t>
  </si>
  <si>
    <t>Cuadro N° 1.9.2: Número de cotizantes ISAPREs, según sexo y tramo de remuneraciones año 2020</t>
  </si>
  <si>
    <t>Cuadro N° 1.10.1: Estadísticas promedio de cotizantes FONASA, según sexo año 2020</t>
  </si>
  <si>
    <t>Cuadro N° 1.10.2: Estadísticas promedio de cotizantes ISAPREs, según y sexo año 2020</t>
  </si>
  <si>
    <t>Cuadro N° 2.1.2: Número de licencias médicas tramitadas, según seguro de salud y sexo año 2020</t>
  </si>
  <si>
    <t>Cuadro N° 2.1.3: Número de licencias médicas tramitadas, según seguro de salud y tramo etario año 2020</t>
  </si>
  <si>
    <t>Cuadro N° 2.1.4: Número de licencias médicas tramitadas, según seguro de salud y tipo de sector año 2020</t>
  </si>
  <si>
    <t>Cuadro N° 2.1.5: Número de licencias médicas tramitadas, según seguro de salud y región año 2020</t>
  </si>
  <si>
    <t>Cuadro N° 2.1.6: Número de licencias médicas tramitadas, según seguro de salud y  tipo de resolución año 2020</t>
  </si>
  <si>
    <t>Cuadro N° 2.1.7: Número de licencias médicas tramitadas MUJERES, según seguro de salud y región año 2020</t>
  </si>
  <si>
    <t>Cuadro N° 2.1.8: Número de licencias médicas tramitadas HOMBRES, según seguro de salud y  región año 2020</t>
  </si>
  <si>
    <t>Cuadro N° 2.2.2: Número de días otorgados, según seguro de salud y sexo año 2020</t>
  </si>
  <si>
    <t>Cuadro N° 2.2.3: Número de días otorgados, según seguro de salud y tramo etario año 2020</t>
  </si>
  <si>
    <t>Cuadro N° 2.2.4: Número de días otorgados, según seguro de salud y tipo de sector año 2020</t>
  </si>
  <si>
    <t>Cuadro N° 2.2.5: Número de días otorgados, según seguro de salud y región año 2020</t>
  </si>
  <si>
    <t>Cuadro N° 2.2.7: Número de dias otorgados a MUJERES, según seguro de salud y región año 2020</t>
  </si>
  <si>
    <t>Cuadro N° 2.2.8: Número de dias otorgados a HOMBRES, según seguro de salud y región año 2020</t>
  </si>
  <si>
    <t>Cuadro N° 3.1.2: Número de licencias médicas autorizadas, según seguro de salud y sexo año 2020</t>
  </si>
  <si>
    <t>Cuadro N° 3.1.3: Número de licencias médicas autorizadas, según seguro de salud y tramo etario año 2020</t>
  </si>
  <si>
    <t>Cuadro N° 3.1.4: Número de licencias médicas autorizadas, según seguro de salud y tipo de sector año 2020</t>
  </si>
  <si>
    <t>Cuadro N° 3.1.5: Número de licencias médicas autorizadas, según seguro de salud y región año 2020</t>
  </si>
  <si>
    <t>Cuadro N° 3.1.6: Número de licencias médicas autorizadas a MUJERES, según seguro de salud y región año 2020</t>
  </si>
  <si>
    <t>Cuadro N° 3.1.7: Número de licencias médicas autorizadas a HOMBRES, según seguro de salud y región año 2020</t>
  </si>
  <si>
    <t>Cuadro N° 3.2.2: Número de días pagados, según seguro de salud y sexo año 2020</t>
  </si>
  <si>
    <t>Cuadro N° 3.2.3: Número de días pagados, según seguro de salud y tramo etario año 2020</t>
  </si>
  <si>
    <t>Cuadro N° 3.2.4: Número de días pagados, según seguro de salud y tipo de sector año 2020</t>
  </si>
  <si>
    <t>Cuadro N° 3.2.5: Número de días pagados, según seguro de salud y región año 2020</t>
  </si>
  <si>
    <t>Cuadro N° 3.2.7: Número de dias pagados a HOMBRES, según seguro de salud y región año 2020</t>
  </si>
  <si>
    <t>Cuadro N° 4.1.2: Número de licencias médicas rechazadas, según seguro de salud y sexo año 2020</t>
  </si>
  <si>
    <t>Cuadro N° 4.1.3: Número de licencias médicas rechazadas, según seguro de salud y tramo etario año 2020</t>
  </si>
  <si>
    <t>Cuadro N° 4.2.2: Número de días rechazados, según seguro de salud y sexo año 2020</t>
  </si>
  <si>
    <t>Cuadro N° 4.2.3: Número de días rechazados, según seguro de salud y tramo etario año 2020</t>
  </si>
  <si>
    <t>Cuadro N° 5.1.1.1: Número de licencias médicas tramitadas, según seguro de salud y tipo de diagnóstico año 2020</t>
  </si>
  <si>
    <t>Cuadro N° 5.1.2.1: Número de licencias médicas tramitadas FONASA, según tipo de diagnóstico y sexo año 2020</t>
  </si>
  <si>
    <t>Cuadro N° 5.1.2.2: Número de licencias médicas tramitadas ISAPREs, según tipo de diagnóstico y sexo año 2020</t>
  </si>
  <si>
    <t>Cuadro N° 5.1.3.1: Número de licencias médicas tramitadas FONASA, según tipo de diagnóstico y tramo etario año 2020</t>
  </si>
  <si>
    <t>Cuadro N° 5.1.3.2: Número de licencias médicas tramitadas ISAPREs, según tipo de diagnóstico y tramo etario año 2020</t>
  </si>
  <si>
    <t>Cuadro N° 5.1.4.1: Número de licencias médicas tramitadas FONASA, según tipo de diagnóstico y región año 2020</t>
  </si>
  <si>
    <t>Cuadro N° 5.1.4.2: Número de licencias médicas tramitadas ISAPREs, según tipo de diagnóstico y región año 2020</t>
  </si>
  <si>
    <t>Cuadro N° 5.2.1.1: Número de días otorgados, según seguro de salud y tipo de diagnóstico año 2020</t>
  </si>
  <si>
    <t>Cuadro N° 5.2.2.1: Número de días otorgados FONASA, según tipo de diagnóstico y sexo año 2020</t>
  </si>
  <si>
    <t>Cuadro N° 5.2.2.2: Número de días otorgados ISAPREs, según tipo de diagnóstico y sexo año 2020</t>
  </si>
  <si>
    <t>Cuadro N° 5.2.3.1: Número de días otorgados FONASA, según tipo de diagnóstico y tramo etario año 2020</t>
  </si>
  <si>
    <t>Cuadro N° 5.2.3.2: Número de días otorgados ISAPREs, según tipo de diagnóstico y tramo etario año 2020</t>
  </si>
  <si>
    <t>Cuadro N° 5.2.4.1: Número de días otorgados FONASA, según tipo de diagnóstico y región año 2020</t>
  </si>
  <si>
    <t>Cuadro N° 5.2.4.2: Número de días otorgados ISAPREs, según tipo de diagnóstico y región año 2020</t>
  </si>
  <si>
    <t>Cuadro N° 6.1.1.1: Número de licencias médicas autorizadas, según seguro de salud y tipo de diagnóstico año 2020</t>
  </si>
  <si>
    <t>Cuadro N° 6.1.2.1: Número de licencias médicas autorizadas FONASA, según tipo de diagnóstico y sexo año 2020</t>
  </si>
  <si>
    <t>Cuadro N° 6.1.2.2: Número de licencias médicas autorizadas ISAPREs, según tipo de diagnóstico y sexo año 2020</t>
  </si>
  <si>
    <t>Cuadro N° 6.1.3.1: Número de licencias médicas autorizadas FONASA, según tipo de diagnóstico y tramo etario año 2020</t>
  </si>
  <si>
    <t>Cuadro N° 6.1.3.2: Número de licencias médicas autorizadas ISAPREs, según tipo de diagnóstico y tramo etario año 2020</t>
  </si>
  <si>
    <t>Cuadro N° 6.1.4.1: Número de licencias médicas autorizadas FONASA, según tipo de diagnóstico y región año 2020</t>
  </si>
  <si>
    <t>Cuadro N° 6.1.4.2: Número de licencias médicas autorizadas ISAPREs, según tipo de diagnóstico y región año 2020</t>
  </si>
  <si>
    <t>Cuadro N° 6.2.1.1: Número de días pagados, según seguro de salud y tipo de diagnóstico año 2020</t>
  </si>
  <si>
    <t>Cuadro N° 6.2.2.1: Número de días pagados FONASA, según tipo de diagnóstico y sexo año 2020</t>
  </si>
  <si>
    <t>Cuadro N° 6.2.2.2: Número de días pagados ISAPREs, según tipo de diagnóstico y sexo año 2020</t>
  </si>
  <si>
    <t>Cuadro N° 6.2.3.1: Número de días pagados FONASA, según tipo de diagnóstico y tramo etario año 2020</t>
  </si>
  <si>
    <t>Cuadro N° 6.2.3.2: Número de días pagados ISAPREs, según tipo de diagnóstico y tramo etario año 2020</t>
  </si>
  <si>
    <t>Cuadro N° 6.2.4.1: Número de días pagados FONASA, según tipo de diagnóstico y región año 2020</t>
  </si>
  <si>
    <t>Cuadro N° 6.2.4.2: Número de días pagados ISAPREs, según tipo de diagnóstico y región año 2020</t>
  </si>
  <si>
    <t>Cuadro N° 7.1.1.1: Número de licencias médicas rechazadas, según seguro de salud y tipo de diagnóstico año 2020</t>
  </si>
  <si>
    <t>Cuadro N° 7.1.2.1: Número de licencias médicas rechazadas FONASA, según tipo de diagnóstico y sexo año 2020</t>
  </si>
  <si>
    <t>Cuadro N° 7.1.2.2: Número de licencias médicas rechazadas ISAPREs, según tipo de diagnóstico y sexo año 2020</t>
  </si>
  <si>
    <t>Cuadro N° 7.1.3.1: Número de licencias médicas rechazadas FONASA, según tipo de diagnóstico y tramo etario año 2020</t>
  </si>
  <si>
    <t>Cuadro N° 7.1.3.2: Número de licencias médicas rechazadas ISAPREs, según tipo de diagnóstico y tramo etario año 2020</t>
  </si>
  <si>
    <t>Cuadro N° 7.1.4.1: Número de licencias médicas rechazadas FONASA, según tipo de diagnóstico y región año 2020</t>
  </si>
  <si>
    <t>Cuadro N° 7.1.4.2: Número de licencias médicas rechazadas ISAPREs, según tipo de diagnóstico y región año 2020</t>
  </si>
  <si>
    <t>Cuadro N° 7.2.1.1: Número de días rechazados, según seguro de salud y tipo de diagnóstico año 2020</t>
  </si>
  <si>
    <t>Cuadro N° 7.2.2.1: Número de días rechazados FONASA, según tipo de diagnóstico y sexo año 2020</t>
  </si>
  <si>
    <t>Cuadro N° 7.2.2.2: Número de días rechazados ISAPREs, según tipo de diagnóstico y sexo año 2020</t>
  </si>
  <si>
    <t>Cuadro N° 7.2.3.1: Número de días rechazados FONASA, según tipo de diagnóstico y tramo etario año 2020</t>
  </si>
  <si>
    <t>Cuadro N° 7.2.3.2: Número de días rechazados ISAPREs, según tipo de diagnóstico y tramo etario año 2020</t>
  </si>
  <si>
    <t>Cuadro N° 7.2.4.1: Número de días rechazados FONASA, según tipo de diagnóstico y región año 2020</t>
  </si>
  <si>
    <t>Cuadro N° 7.2.4.2: Número de días rechazados ISAPREs, según tipo de diagnóstico y región año 2020</t>
  </si>
  <si>
    <t>Cuadro N° 8.2: Gasto en SIL por licencias médicas, según seguro de salud (miles $ de diciembre 2020) años 2016-2020</t>
  </si>
  <si>
    <t>Cuadro N° 8.3: Gasto en SIL por licencias médicas, según seguro de salud y tipo de diagnóstico (miles $ de diciembre 2020) año 2020</t>
  </si>
  <si>
    <t>Cuadro N° 8.4.1: Gasto en SIL por licencias médicas FONASA, según  tipo de sector y tipo de diagnóstico (miles $ de diciembre 2020) año 2020</t>
  </si>
  <si>
    <t>Cuadro N° 8.4.2: Gasto en SIL por licencias médicas ISAPREs, según  tipo de sector y tipo de diagnóstico (miles $ de diciembre 2020) año 2020</t>
  </si>
  <si>
    <t>Cuadro N° 9.1: Gasto en SIL por cotizante, según seguro de salud (miles $ de diciembre 2020) años 2016-2020</t>
  </si>
  <si>
    <t>Cuadro N° 9.3: Gasto en SIL por día pagado, según seguro de salud (miles $ de diciembre 2020) años 2016-2020</t>
  </si>
  <si>
    <t>Cuadro N° 9.4: Gasto en SIL por licencia médica autorizada, según seguro de salud (miles $ de diciembre 2020) años 2016-2020</t>
  </si>
  <si>
    <t>Cuadro N° 10.1.1.1: Número de licencias médicas tramitadas, según seguro de salud y tipo de sector año 2020</t>
  </si>
  <si>
    <t>Cuadro N° 10.1.2.1: Número de licencias médicas tramitadas FONASA, según tipo de sector y sexo año 2020</t>
  </si>
  <si>
    <t>Cuadro N° 10.1.2.2: Número de licencias médicas tramitadas ISAPREs, según tipo de sector y sexo año 2020</t>
  </si>
  <si>
    <t>Cuadro N° 10.1.3.1: Número de licencias médicas tramitadas FONASA, según tipo de sector y tramo etario año 2020</t>
  </si>
  <si>
    <t>Cuadro N° 10.1.3.2: Número de licencias médicas tramitadas ISAPREs, según tipo de sector y tramo etario año 2020</t>
  </si>
  <si>
    <t>Cuadro N° 10.1.4.1: Número de licencias médicas tramitadas FONASA, según tipo de sector y diagnóstico año 2020</t>
  </si>
  <si>
    <t>Cuadro N° 10.1.4.2: Número de licencias médicas tramitadas ISAPREs, según tipo de sector y diagnóstico año 2020</t>
  </si>
  <si>
    <t>Cuadro N° 10.2.1.1: Número de días otorgados, según seguro de salud y tipo de sector año 2020</t>
  </si>
  <si>
    <t>Cuadro N° 10.2.2.1: Número de días otorgados FONASA, según tipo de sector y sexo año 2020</t>
  </si>
  <si>
    <t>Cuadro N° 10.2.2.2: Número de días otorgados ISAPREs, según tipo de sector y sexo año 2020</t>
  </si>
  <si>
    <t>Cuadro N° 10.2.3.1: Número de días otorgados FONASA, según tipo de sector y tramo etario año 2020</t>
  </si>
  <si>
    <t>Cuadro N° 10.2.3.2: Número de días otorgados ISAPREs, según tipo de sector y tramo etario año 2020</t>
  </si>
  <si>
    <t>Cuadro N° 10.2.4.1: Número de días otorgados FONASA, según tipo de sector y diagnóstico año 2020</t>
  </si>
  <si>
    <t>Cuadro N° 10.2.4.2: Número de días otorgados ISAPREs, según tipo de sector y diagnóstico año 2020</t>
  </si>
  <si>
    <t>Cuadro N° 11.1.1.1: Número de licencias médicas autorizadas, según seguro de salud y tipo de sector año 2020</t>
  </si>
  <si>
    <t>Cuadro N° 11.1.2.1: Número de licencias médicas autorizadas FONASA, según tipo de sector y sexo año 2020</t>
  </si>
  <si>
    <t>Cuadro N° 11.1.2.2: Número de licencias médicas autorizadas ISAPREs, según tipo de sector y sexo año 2020</t>
  </si>
  <si>
    <t>Cuadro N° 11.1.3.1: Número de licencias médicas autorizadas FONASA, según tipo de sector y tramo etario año 2020</t>
  </si>
  <si>
    <t>Cuadro N° 11.1.3.2: Número de licencias médicas autorizadas ISAPREs, según tipo de sector y tramo etario año 2020</t>
  </si>
  <si>
    <t>Cuadro N° 11.1.4.1: Número de licencias médicas autorizadas FONASA, según tipo de sector y diagnóstico año 2020</t>
  </si>
  <si>
    <t>Cuadro N° 11.1.4.2: Número de licencias médicas autorizadas ISAPREs, según tipo de sector y diagnóstico año 2020</t>
  </si>
  <si>
    <t>Cuadro N° 11.2.1.1: Número de días pagados, según seguro de salud y tipo de sector año 2020</t>
  </si>
  <si>
    <t>Cuadro N° 11.2.2.1: Número de días pagados FONASA, según tipo de sector y sexo año 2020</t>
  </si>
  <si>
    <t>Cuadro N° 11.2.2.2: Número de días pagados ISAPREs, según tipo de sector y sexo año 2020</t>
  </si>
  <si>
    <t>Cuadro N° 11.2.3.1: Número de días pagados FONASA, según tipo de sector y tramo etario año 2020</t>
  </si>
  <si>
    <t>Cuadro N° 11.2.3.2: Número de días pagados ISAPREs, según tipo de sector y tramo etario año 2020</t>
  </si>
  <si>
    <t>Cuadro N° 11.2.4.1: Número de días pagados FONASA, según tipo de sector y diagnóstico año 2020</t>
  </si>
  <si>
    <t>Cuadro N° 11.2.4.2: Número de días pagados ISAPREs, según tipo de sector y diagnóstico año 2020</t>
  </si>
  <si>
    <t>Cuadro N° 12.1.1.1: Número de licencias médicas rechazadas, según seguro de salud y tipo de sector año 2020</t>
  </si>
  <si>
    <t>Cuadro N° 12.1.2.1: Número de licencias médicas rechazadas FONASA, según tipo de sector y sexo año 2020</t>
  </si>
  <si>
    <t>Cuadro N° 12.1.2.2: Número de licencias médicas rechazadas ISAPREs, según tipo de sector y sexo año 2020</t>
  </si>
  <si>
    <t>Cuadro N° 12.1.3.1: Número de licencias médicas rechazadas FONASA, según tipo de sector y tramo etario año 2020</t>
  </si>
  <si>
    <t>Cuadro N° 12.1.3.2: Número de licencias médicas rechazadas ISAPREs, según tipo de sector y tramo etario año 2020</t>
  </si>
  <si>
    <t>Cuadro N° 12.1.4.1: Número de licencias médicas rechazadas FONASA, según tipo de sector y diagnóstico año 2020</t>
  </si>
  <si>
    <t>Cuadro N° 12.1.4.2: Número de licencias médicas rechazadas ISAPREs, según tipo de sector y diagnóstico año 2020</t>
  </si>
  <si>
    <t>Cuadro N° 12.2.1.1: Número de días rechazados, según seguro de salud y tipo de sector año 2020</t>
  </si>
  <si>
    <t>Cuadro N° 12.2.2.1: Número de días rechazados FONASA, según tipo de sector y sexo año 2020</t>
  </si>
  <si>
    <t>Cuadro N° 12.2.2.2: Número de días rechazados ISAPREs, según tipo de sector y sexo año 2020</t>
  </si>
  <si>
    <t>Cuadro N° 12.2.3.1: Número de días rechazados FONASA, según tipo de sector y tramo etario año 2020</t>
  </si>
  <si>
    <t>Cuadro N° 12.2.3.2: Número de días rechazados ISAPREs, según tipo de sector y tramo etario año 2020</t>
  </si>
  <si>
    <t>Cuadro N° 12.2.4.1: Número de días rechazados FONASA, según tipo de sector y diagnóstico año 2020</t>
  </si>
  <si>
    <t>Cuadro N° 12.2.4.2: Número de días rechazados ISAPREs, según tipo de sector y diagnóstico año 2020</t>
  </si>
  <si>
    <t>Cuadro N° 1.8: Total Renta Imponible anual de la cartera de cotizantes (afecta a cotización legal), según seguro de salud (miles $ de cada año) años 2016-2020</t>
  </si>
  <si>
    <t>Cuadro N° 2.2.6: Número de dias otorgados, según seguro de salud y tipo de resolución año 2020</t>
  </si>
  <si>
    <t>Cuadro N° 3.2.6: Número de dias pagados a MUJERES, según seguro de salud y región año 2020</t>
  </si>
  <si>
    <t>Cuadro N° 4.1.4: Número de licencias médicas rechazadas, según seguro de salud y tipo de sector año 2020</t>
  </si>
  <si>
    <t>Cuadro N° 4.1.5: Número de licencias médicas rechazadas, según seguro de salud y región año 2020</t>
  </si>
  <si>
    <t>Cuadro N° 4.1.6: Número de licencias médicas rechazadas a MUJERES, según seguro de salud y región año 2020</t>
  </si>
  <si>
    <t>Cuadro N° 4.1.7: Número de licencias médicas rechazadas a HOMBRES, según seguro de salud y región año 2020</t>
  </si>
  <si>
    <t>Cuadro N° 4.2.4: Número de dias rechazados, según seguro de salud y tipo de sector año 2020</t>
  </si>
  <si>
    <t>Cuadro N° 4.2.5: Número de días rechazados, según seguro de salud y región año 2020</t>
  </si>
  <si>
    <t>Cuadro N° 4.2.6: Número de dias  rechazados a MUJERES, según seguro de salud y región año 2020</t>
  </si>
  <si>
    <t>Cuadro N° 4.2.7: Número de dias rechazados a HOMBRES, según seguro de salud y región año 2020</t>
  </si>
  <si>
    <t>Número de licencias médicas tramitadas, según seguro de salud y tipo de diagnóstico año 2020</t>
  </si>
  <si>
    <r>
      <t xml:space="preserve">
Esta publicación es un trabajo conjunto entre la Comisión de Medicina Preventiva e invalidez (COMPIN), el Fondo Nacional de Salud (FONASA), la Superintendencia de Salud y la Superintendencia de Seguridad Social (SUSESO).
A continuación se presentan las principales estadísticas de licencias médicas y subsibio por incapacidad laboral (SIL) del año 2020, tales como: cotizantes a los seguros de salud, número de licencias médicas, principales patologías asociadas a las licencias médicas, gasto en SIL y número de licencias médicas por tipo de sector (privado y público</t>
    </r>
    <r>
      <rPr>
        <vertAlign val="superscript"/>
        <sz val="12"/>
        <color rgb="FF000000"/>
        <rFont val="Calibri (Cuerpo)"/>
      </rPr>
      <t>)</t>
    </r>
    <r>
      <rPr>
        <sz val="12"/>
        <color rgb="FF000000"/>
        <rFont val="Calibri"/>
        <family val="2"/>
        <scheme val="minor"/>
      </rPr>
      <t xml:space="preserve">*. Las cifras se desagregan por sexo, tramo de edad, tipo de cotizante, región, tipo de sector, entre otras. 
</t>
    </r>
  </si>
  <si>
    <t>"Metodología LM&amp;SIL año 2020".</t>
  </si>
  <si>
    <t>"Glosario LM&amp;SIL año 2020".</t>
  </si>
  <si>
    <t>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</si>
</sst>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0.0%"/>
    <numFmt numFmtId="168" formatCode="_(* #,##0.00_);_(* \(#,##0.00\);_(* &quot;-&quot;??_);_(@_)"/>
    <numFmt numFmtId="169" formatCode="#,##0;[Red]#,##0"/>
    <numFmt numFmtId="170" formatCode="_-* #,##0.00\ _P_t_s_-;\-* #,##0.00\ _P_t_s_-;_-* &quot;-&quot;??\ _P_t_s_-;_-@_-"/>
    <numFmt numFmtId="171" formatCode="&quot;$&quot;#,##0.00_);\(&quot;$&quot;#,##0.00\)"/>
    <numFmt numFmtId="172" formatCode="&quot;$&quot;#,##0_);\(&quot;$&quot;#,##0\)"/>
    <numFmt numFmtId="173" formatCode="_-* #,##0_-;\-* #,##0_-;_-* &quot;-&quot;??_-;_-@_-"/>
    <numFmt numFmtId="174" formatCode="#,##0.0"/>
    <numFmt numFmtId="175" formatCode="#,##0.000"/>
    <numFmt numFmtId="176" formatCode="0.000"/>
  </numFmts>
  <fonts count="5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name val="Arial"/>
      <family val="2"/>
    </font>
    <font>
      <b/>
      <sz val="9"/>
      <color theme="1"/>
      <name val="Verdana"/>
      <family val="2"/>
    </font>
    <font>
      <u/>
      <sz val="12"/>
      <color indexed="12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10"/>
      <color theme="0"/>
      <name val="Calibri (Cuerpo)"/>
    </font>
    <font>
      <b/>
      <vertAlign val="superscript"/>
      <sz val="10"/>
      <name val="Calibri (Cuerpo)"/>
    </font>
    <font>
      <vertAlign val="superscript"/>
      <sz val="10"/>
      <color theme="1"/>
      <name val="Calibri (Cuerpo)"/>
    </font>
    <font>
      <sz val="10"/>
      <color rgb="FF0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20"/>
      <color theme="3" tint="0.39997558519241921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perscript"/>
      <sz val="12"/>
      <color rgb="FF000000"/>
      <name val="Calibri (Cuerpo)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558ED5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558ED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20">
    <xf numFmtId="0" fontId="0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9" fillId="0" borderId="0">
      <alignment vertical="top"/>
    </xf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4" fillId="6" borderId="0" applyNumberFormat="0" applyBorder="0" applyAlignment="0" applyProtection="0"/>
    <xf numFmtId="0" fontId="15" fillId="23" borderId="7" applyNumberFormat="0" applyAlignment="0" applyProtection="0"/>
    <xf numFmtId="0" fontId="16" fillId="24" borderId="8" applyNumberFormat="0" applyAlignment="0" applyProtection="0"/>
    <xf numFmtId="0" fontId="17" fillId="0" borderId="0" applyNumberFormat="0" applyFill="0" applyBorder="0" applyAlignment="0" applyProtection="0"/>
    <xf numFmtId="0" fontId="18" fillId="7" borderId="0" applyNumberFormat="0" applyBorder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22" fillId="10" borderId="7" applyNumberFormat="0" applyAlignment="0" applyProtection="0"/>
    <xf numFmtId="0" fontId="23" fillId="0" borderId="12" applyNumberFormat="0" applyFill="0" applyAlignment="0" applyProtection="0"/>
    <xf numFmtId="0" fontId="24" fillId="25" borderId="0" applyNumberFormat="0" applyBorder="0" applyAlignment="0" applyProtection="0"/>
    <xf numFmtId="0" fontId="9" fillId="0" borderId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25" fillId="23" borderId="14" applyNumberFormat="0" applyAlignment="0" applyProtection="0"/>
    <xf numFmtId="9" fontId="1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1" fillId="0" borderId="15" applyNumberFormat="0" applyFill="0" applyAlignment="0" applyProtection="0"/>
    <xf numFmtId="0" fontId="27" fillId="0" borderId="0" applyNumberForma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9" fillId="0" borderId="0"/>
    <xf numFmtId="0" fontId="28" fillId="0" borderId="0" applyNumberFormat="0" applyFont="0" applyFill="0" applyAlignment="0" applyProtection="0"/>
    <xf numFmtId="0" fontId="7" fillId="0" borderId="0" applyNumberFormat="0" applyFont="0" applyFill="0" applyAlignment="0" applyProtection="0"/>
    <xf numFmtId="169" fontId="8" fillId="27" borderId="16"/>
    <xf numFmtId="3" fontId="29" fillId="28" borderId="17">
      <alignment horizontal="center" wrapText="1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0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top"/>
    </xf>
    <xf numFmtId="0" fontId="9" fillId="0" borderId="0">
      <alignment vertical="top"/>
    </xf>
    <xf numFmtId="0" fontId="6" fillId="0" borderId="0"/>
    <xf numFmtId="0" fontId="10" fillId="0" borderId="0">
      <alignment vertical="top"/>
    </xf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9" fillId="0" borderId="0"/>
    <xf numFmtId="0" fontId="9" fillId="0" borderId="0">
      <alignment vertical="top"/>
    </xf>
    <xf numFmtId="165" fontId="6" fillId="0" borderId="0" applyFont="0" applyFill="0" applyBorder="0" applyAlignment="0" applyProtection="0"/>
    <xf numFmtId="0" fontId="46" fillId="0" borderId="0" applyNumberFormat="0" applyFill="0" applyBorder="0" applyAlignment="0" applyProtection="0"/>
  </cellStyleXfs>
  <cellXfs count="1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4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2" fillId="4" borderId="0" xfId="0" applyFont="1" applyFill="1"/>
    <xf numFmtId="3" fontId="3" fillId="0" borderId="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indent="2"/>
    </xf>
    <xf numFmtId="0" fontId="2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31" fillId="0" borderId="4" xfId="0" applyNumberFormat="1" applyFont="1" applyBorder="1" applyAlignment="1">
      <alignment horizontal="center" vertical="center"/>
    </xf>
    <xf numFmtId="3" fontId="31" fillId="0" borderId="4" xfId="0" applyNumberFormat="1" applyFont="1" applyBorder="1" applyAlignment="1">
      <alignment horizontal="center"/>
    </xf>
    <xf numFmtId="3" fontId="31" fillId="0" borderId="5" xfId="0" applyNumberFormat="1" applyFont="1" applyBorder="1" applyAlignment="1">
      <alignment horizontal="center" vertical="center"/>
    </xf>
    <xf numFmtId="3" fontId="31" fillId="0" borderId="5" xfId="0" applyNumberFormat="1" applyFont="1" applyBorder="1" applyAlignment="1">
      <alignment horizontal="center"/>
    </xf>
    <xf numFmtId="3" fontId="3" fillId="0" borderId="0" xfId="0" applyNumberFormat="1" applyFont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5" fillId="4" borderId="0" xfId="0" applyFont="1" applyFill="1"/>
    <xf numFmtId="0" fontId="3" fillId="4" borderId="0" xfId="0" applyFont="1" applyFill="1" applyAlignment="1">
      <alignment vertical="center"/>
    </xf>
    <xf numFmtId="3" fontId="2" fillId="0" borderId="6" xfId="0" applyNumberFormat="1" applyFont="1" applyBorder="1" applyAlignment="1">
      <alignment horizontal="center" vertical="center"/>
    </xf>
    <xf numFmtId="3" fontId="3" fillId="0" borderId="0" xfId="0" applyNumberFormat="1" applyFont="1"/>
    <xf numFmtId="3" fontId="3" fillId="4" borderId="4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3" fontId="2" fillId="4" borderId="6" xfId="0" applyNumberFormat="1" applyFont="1" applyFill="1" applyBorder="1" applyAlignment="1">
      <alignment horizontal="center" vertical="center"/>
    </xf>
    <xf numFmtId="9" fontId="3" fillId="0" borderId="0" xfId="1" applyFont="1" applyAlignment="1">
      <alignment vertical="center"/>
    </xf>
    <xf numFmtId="167" fontId="3" fillId="0" borderId="0" xfId="1" applyNumberFormat="1" applyFont="1" applyAlignment="1">
      <alignment vertical="center"/>
    </xf>
    <xf numFmtId="167" fontId="3" fillId="0" borderId="0" xfId="1" applyNumberFormat="1" applyFont="1"/>
    <xf numFmtId="9" fontId="3" fillId="0" borderId="0" xfId="0" applyNumberFormat="1" applyFont="1"/>
    <xf numFmtId="173" fontId="3" fillId="0" borderId="0" xfId="118" applyNumberFormat="1" applyFont="1" applyFill="1" applyAlignment="1">
      <alignment vertical="center"/>
    </xf>
    <xf numFmtId="3" fontId="33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0" fontId="33" fillId="0" borderId="0" xfId="0" applyFont="1"/>
    <xf numFmtId="3" fontId="33" fillId="0" borderId="0" xfId="0" applyNumberFormat="1" applyFont="1"/>
    <xf numFmtId="3" fontId="32" fillId="0" borderId="0" xfId="0" applyNumberFormat="1" applyFont="1"/>
    <xf numFmtId="3" fontId="2" fillId="0" borderId="6" xfId="0" applyNumberFormat="1" applyFont="1" applyBorder="1" applyAlignment="1">
      <alignment horizontal="center"/>
    </xf>
    <xf numFmtId="3" fontId="34" fillId="0" borderId="0" xfId="0" applyNumberFormat="1" applyFont="1" applyAlignment="1">
      <alignment vertical="center"/>
    </xf>
    <xf numFmtId="3" fontId="34" fillId="0" borderId="0" xfId="0" applyNumberFormat="1" applyFont="1"/>
    <xf numFmtId="3" fontId="34" fillId="0" borderId="18" xfId="0" applyNumberFormat="1" applyFont="1" applyBorder="1" applyAlignment="1">
      <alignment vertical="center" wrapText="1"/>
    </xf>
    <xf numFmtId="1" fontId="3" fillId="0" borderId="0" xfId="0" applyNumberFormat="1" applyFont="1"/>
    <xf numFmtId="1" fontId="33" fillId="0" borderId="0" xfId="0" applyNumberFormat="1" applyFont="1"/>
    <xf numFmtId="167" fontId="33" fillId="0" borderId="0" xfId="1" applyNumberFormat="1" applyFont="1" applyAlignment="1">
      <alignment vertical="center"/>
    </xf>
    <xf numFmtId="167" fontId="33" fillId="0" borderId="0" xfId="1" applyNumberFormat="1" applyFont="1"/>
    <xf numFmtId="0" fontId="36" fillId="30" borderId="4" xfId="3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 indent="2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indent="2"/>
    </xf>
    <xf numFmtId="0" fontId="37" fillId="0" borderId="0" xfId="0" applyFont="1" applyAlignment="1">
      <alignment vertical="center"/>
    </xf>
    <xf numFmtId="0" fontId="37" fillId="0" borderId="0" xfId="0" applyFont="1"/>
    <xf numFmtId="3" fontId="2" fillId="0" borderId="0" xfId="0" applyNumberFormat="1" applyFont="1" applyAlignment="1">
      <alignment horizontal="center" vertical="center"/>
    </xf>
    <xf numFmtId="0" fontId="37" fillId="0" borderId="18" xfId="0" applyFont="1" applyBorder="1" applyAlignment="1">
      <alignment vertical="top"/>
    </xf>
    <xf numFmtId="1" fontId="33" fillId="0" borderId="0" xfId="0" applyNumberFormat="1" applyFont="1" applyAlignment="1">
      <alignment vertical="center"/>
    </xf>
    <xf numFmtId="3" fontId="41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7" fontId="3" fillId="0" borderId="0" xfId="1" applyNumberFormat="1" applyFont="1" applyAlignment="1">
      <alignment horizontal="center" vertical="center"/>
    </xf>
    <xf numFmtId="9" fontId="3" fillId="0" borderId="0" xfId="1" applyFont="1"/>
    <xf numFmtId="174" fontId="3" fillId="0" borderId="4" xfId="0" applyNumberFormat="1" applyFont="1" applyBorder="1" applyAlignment="1">
      <alignment horizontal="center" vertical="center"/>
    </xf>
    <xf numFmtId="174" fontId="3" fillId="0" borderId="5" xfId="0" applyNumberFormat="1" applyFont="1" applyBorder="1" applyAlignment="1">
      <alignment horizontal="center" vertical="center"/>
    </xf>
    <xf numFmtId="174" fontId="3" fillId="0" borderId="5" xfId="0" applyNumberFormat="1" applyFont="1" applyBorder="1" applyAlignment="1">
      <alignment horizontal="center"/>
    </xf>
    <xf numFmtId="174" fontId="3" fillId="0" borderId="6" xfId="0" applyNumberFormat="1" applyFont="1" applyBorder="1" applyAlignment="1">
      <alignment horizontal="center" vertical="center"/>
    </xf>
    <xf numFmtId="174" fontId="3" fillId="0" borderId="6" xfId="0" applyNumberFormat="1" applyFont="1" applyBorder="1" applyAlignment="1">
      <alignment horizontal="center"/>
    </xf>
    <xf numFmtId="167" fontId="3" fillId="0" borderId="5" xfId="1" applyNumberFormat="1" applyFont="1" applyBorder="1" applyAlignment="1">
      <alignment horizontal="center" vertical="center"/>
    </xf>
    <xf numFmtId="175" fontId="3" fillId="0" borderId="0" xfId="0" applyNumberFormat="1" applyFont="1" applyAlignment="1">
      <alignment vertical="center"/>
    </xf>
    <xf numFmtId="174" fontId="3" fillId="0" borderId="0" xfId="0" applyNumberFormat="1" applyFont="1" applyAlignment="1">
      <alignment vertical="center"/>
    </xf>
    <xf numFmtId="167" fontId="3" fillId="0" borderId="4" xfId="1" applyNumberFormat="1" applyFont="1" applyBorder="1" applyAlignment="1">
      <alignment horizontal="center" vertical="center"/>
    </xf>
    <xf numFmtId="167" fontId="3" fillId="0" borderId="5" xfId="1" applyNumberFormat="1" applyFont="1" applyBorder="1" applyAlignment="1">
      <alignment horizontal="center"/>
    </xf>
    <xf numFmtId="167" fontId="3" fillId="0" borderId="6" xfId="1" applyNumberFormat="1" applyFont="1" applyBorder="1" applyAlignment="1">
      <alignment horizontal="center" vertical="center"/>
    </xf>
    <xf numFmtId="167" fontId="3" fillId="0" borderId="6" xfId="1" applyNumberFormat="1" applyFont="1" applyBorder="1" applyAlignment="1">
      <alignment horizontal="center"/>
    </xf>
    <xf numFmtId="167" fontId="3" fillId="0" borderId="0" xfId="0" applyNumberFormat="1" applyFont="1"/>
    <xf numFmtId="10" fontId="3" fillId="0" borderId="0" xfId="0" applyNumberFormat="1" applyFont="1"/>
    <xf numFmtId="0" fontId="43" fillId="0" borderId="0" xfId="0" applyFont="1"/>
    <xf numFmtId="9" fontId="32" fillId="0" borderId="0" xfId="1" applyFont="1"/>
    <xf numFmtId="167" fontId="3" fillId="0" borderId="0" xfId="1" applyNumberFormat="1" applyFont="1" applyFill="1"/>
    <xf numFmtId="0" fontId="4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6" fontId="42" fillId="0" borderId="0" xfId="0" applyNumberFormat="1" applyFont="1" applyAlignment="1">
      <alignment horizontal="center"/>
    </xf>
    <xf numFmtId="167" fontId="3" fillId="0" borderId="0" xfId="1" applyNumberFormat="1" applyFont="1" applyFill="1" applyBorder="1"/>
    <xf numFmtId="167" fontId="3" fillId="0" borderId="0" xfId="1" applyNumberFormat="1" applyFont="1" applyFill="1" applyAlignment="1">
      <alignment vertical="center"/>
    </xf>
    <xf numFmtId="0" fontId="3" fillId="0" borderId="0" xfId="0" applyFont="1" applyAlignment="1">
      <alignment vertical="top"/>
    </xf>
    <xf numFmtId="0" fontId="45" fillId="0" borderId="0" xfId="0" applyFont="1"/>
    <xf numFmtId="0" fontId="45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47" fillId="4" borderId="0" xfId="3" applyFont="1" applyFill="1" applyAlignment="1">
      <alignment vertical="center" wrapText="1"/>
    </xf>
    <xf numFmtId="0" fontId="50" fillId="0" borderId="0" xfId="0" applyFont="1" applyAlignment="1">
      <alignment horizontal="left"/>
    </xf>
    <xf numFmtId="0" fontId="46" fillId="0" borderId="0" xfId="119" applyFill="1"/>
    <xf numFmtId="0" fontId="51" fillId="0" borderId="0" xfId="0" applyFont="1" applyAlignment="1">
      <alignment wrapText="1"/>
    </xf>
    <xf numFmtId="0" fontId="46" fillId="0" borderId="0" xfId="119"/>
    <xf numFmtId="0" fontId="52" fillId="0" borderId="0" xfId="0" applyFont="1" applyAlignment="1">
      <alignment wrapText="1"/>
    </xf>
    <xf numFmtId="0" fontId="53" fillId="0" borderId="0" xfId="0" applyFont="1" applyAlignment="1">
      <alignment wrapText="1"/>
    </xf>
    <xf numFmtId="0" fontId="51" fillId="0" borderId="0" xfId="0" applyFont="1" applyAlignment="1">
      <alignment vertical="top" wrapText="1"/>
    </xf>
    <xf numFmtId="0" fontId="54" fillId="0" borderId="0" xfId="0" applyFont="1" applyAlignment="1">
      <alignment wrapText="1"/>
    </xf>
    <xf numFmtId="0" fontId="55" fillId="0" borderId="0" xfId="0" applyFont="1" applyAlignment="1">
      <alignment wrapText="1"/>
    </xf>
    <xf numFmtId="0" fontId="51" fillId="0" borderId="0" xfId="0" applyFont="1" applyAlignment="1">
      <alignment vertical="center" wrapText="1"/>
    </xf>
    <xf numFmtId="0" fontId="56" fillId="30" borderId="1" xfId="3" applyFont="1" applyFill="1" applyBorder="1" applyAlignment="1">
      <alignment horizontal="left" vertical="top" indent="2"/>
    </xf>
    <xf numFmtId="0" fontId="0" fillId="0" borderId="4" xfId="0" applyBorder="1" applyAlignment="1">
      <alignment horizontal="left" indent="3"/>
    </xf>
    <xf numFmtId="0" fontId="46" fillId="0" borderId="5" xfId="119" applyBorder="1" applyAlignment="1">
      <alignment horizontal="left" indent="1"/>
    </xf>
    <xf numFmtId="0" fontId="57" fillId="0" borderId="0" xfId="0" applyFont="1"/>
    <xf numFmtId="0" fontId="0" fillId="0" borderId="6" xfId="0" applyBorder="1" applyAlignment="1">
      <alignment horizontal="left" indent="3"/>
    </xf>
    <xf numFmtId="0" fontId="46" fillId="0" borderId="5" xfId="119" applyFill="1" applyBorder="1" applyAlignment="1">
      <alignment horizontal="left" indent="1"/>
    </xf>
    <xf numFmtId="0" fontId="0" fillId="0" borderId="6" xfId="0" applyBorder="1"/>
    <xf numFmtId="0" fontId="48" fillId="0" borderId="3" xfId="0" applyFont="1" applyBorder="1" applyAlignment="1">
      <alignment horizontal="left" vertical="center" wrapText="1"/>
    </xf>
    <xf numFmtId="0" fontId="48" fillId="0" borderId="19" xfId="0" applyFont="1" applyBorder="1" applyAlignment="1">
      <alignment horizontal="left" vertical="center" wrapText="1"/>
    </xf>
    <xf numFmtId="0" fontId="48" fillId="0" borderId="2" xfId="0" applyFont="1" applyBorder="1" applyAlignment="1">
      <alignment horizontal="left" vertical="center" wrapText="1"/>
    </xf>
    <xf numFmtId="0" fontId="48" fillId="0" borderId="22" xfId="0" applyFont="1" applyBorder="1" applyAlignment="1">
      <alignment horizontal="left" vertical="center" wrapText="1"/>
    </xf>
    <xf numFmtId="0" fontId="48" fillId="0" borderId="20" xfId="0" applyFont="1" applyBorder="1" applyAlignment="1">
      <alignment horizontal="left" vertical="center" wrapText="1"/>
    </xf>
    <xf numFmtId="0" fontId="48" fillId="0" borderId="21" xfId="0" applyFont="1" applyBorder="1" applyAlignment="1">
      <alignment horizontal="left" vertical="center" wrapText="1"/>
    </xf>
    <xf numFmtId="0" fontId="35" fillId="29" borderId="4" xfId="0" applyFont="1" applyFill="1" applyBorder="1" applyAlignment="1">
      <alignment horizontal="center" vertical="center"/>
    </xf>
    <xf numFmtId="0" fontId="35" fillId="29" borderId="6" xfId="0" applyFont="1" applyFill="1" applyBorder="1" applyAlignment="1">
      <alignment horizontal="center" vertical="center"/>
    </xf>
    <xf numFmtId="0" fontId="35" fillId="29" borderId="3" xfId="0" applyFont="1" applyFill="1" applyBorder="1" applyAlignment="1">
      <alignment horizontal="center" vertical="center"/>
    </xf>
    <xf numFmtId="0" fontId="35" fillId="29" borderId="19" xfId="0" applyFont="1" applyFill="1" applyBorder="1" applyAlignment="1">
      <alignment horizontal="center" vertical="center"/>
    </xf>
    <xf numFmtId="0" fontId="35" fillId="29" borderId="20" xfId="0" applyFont="1" applyFill="1" applyBorder="1" applyAlignment="1">
      <alignment horizontal="center" vertical="center"/>
    </xf>
    <xf numFmtId="0" fontId="35" fillId="29" borderId="2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</cellXfs>
  <cellStyles count="120">
    <cellStyle name="20% - Accent1" xfId="12" xr:uid="{00000000-0005-0000-0000-000000000000}"/>
    <cellStyle name="20% - Accent2" xfId="13" xr:uid="{00000000-0005-0000-0000-000001000000}"/>
    <cellStyle name="20% - Accent3" xfId="14" xr:uid="{00000000-0005-0000-0000-000002000000}"/>
    <cellStyle name="20% - Accent4" xfId="15" xr:uid="{00000000-0005-0000-0000-000003000000}"/>
    <cellStyle name="20% - Accent5" xfId="16" xr:uid="{00000000-0005-0000-0000-000004000000}"/>
    <cellStyle name="20% - Accent6" xfId="17" xr:uid="{00000000-0005-0000-0000-000005000000}"/>
    <cellStyle name="40% - Accent1" xfId="18" xr:uid="{00000000-0005-0000-0000-000006000000}"/>
    <cellStyle name="40% - Accent2" xfId="19" xr:uid="{00000000-0005-0000-0000-000007000000}"/>
    <cellStyle name="40% - Accent3" xfId="20" xr:uid="{00000000-0005-0000-0000-000008000000}"/>
    <cellStyle name="40% - Accent4" xfId="21" xr:uid="{00000000-0005-0000-0000-000009000000}"/>
    <cellStyle name="40% - Accent5" xfId="22" xr:uid="{00000000-0005-0000-0000-00000A000000}"/>
    <cellStyle name="40% - Accent6" xfId="23" xr:uid="{00000000-0005-0000-0000-00000B000000}"/>
    <cellStyle name="60% - Accent1" xfId="24" xr:uid="{00000000-0005-0000-0000-00000C000000}"/>
    <cellStyle name="60% - Accent2" xfId="25" xr:uid="{00000000-0005-0000-0000-00000D000000}"/>
    <cellStyle name="60% - Accent3" xfId="26" xr:uid="{00000000-0005-0000-0000-00000E000000}"/>
    <cellStyle name="60% - Accent4" xfId="27" xr:uid="{00000000-0005-0000-0000-00000F000000}"/>
    <cellStyle name="60% - Accent5" xfId="28" xr:uid="{00000000-0005-0000-0000-000010000000}"/>
    <cellStyle name="60% - Accent6" xfId="29" xr:uid="{00000000-0005-0000-0000-000011000000}"/>
    <cellStyle name="Accent1" xfId="30" xr:uid="{00000000-0005-0000-0000-000012000000}"/>
    <cellStyle name="Accent2" xfId="31" xr:uid="{00000000-0005-0000-0000-000013000000}"/>
    <cellStyle name="Accent3" xfId="32" xr:uid="{00000000-0005-0000-0000-000014000000}"/>
    <cellStyle name="Accent4" xfId="33" xr:uid="{00000000-0005-0000-0000-000015000000}"/>
    <cellStyle name="Accent5" xfId="34" xr:uid="{00000000-0005-0000-0000-000016000000}"/>
    <cellStyle name="Accent6" xfId="35" xr:uid="{00000000-0005-0000-0000-000017000000}"/>
    <cellStyle name="Bad" xfId="36" xr:uid="{00000000-0005-0000-0000-000018000000}"/>
    <cellStyle name="Cabecera 1" xfId="59" xr:uid="{00000000-0005-0000-0000-000019000000}"/>
    <cellStyle name="Cabecera 2" xfId="60" xr:uid="{00000000-0005-0000-0000-00001A000000}"/>
    <cellStyle name="Calculation" xfId="37" xr:uid="{00000000-0005-0000-0000-00001B000000}"/>
    <cellStyle name="Check Cell" xfId="38" xr:uid="{00000000-0005-0000-0000-00001C000000}"/>
    <cellStyle name="Estilo 1" xfId="61" xr:uid="{00000000-0005-0000-0000-00001D000000}"/>
    <cellStyle name="Estilo 2" xfId="62" xr:uid="{00000000-0005-0000-0000-00001E000000}"/>
    <cellStyle name="Explanatory Text" xfId="39" xr:uid="{00000000-0005-0000-0000-00001F000000}"/>
    <cellStyle name="F2" xfId="63" xr:uid="{00000000-0005-0000-0000-000020000000}"/>
    <cellStyle name="F3" xfId="64" xr:uid="{00000000-0005-0000-0000-000021000000}"/>
    <cellStyle name="F4" xfId="65" xr:uid="{00000000-0005-0000-0000-000022000000}"/>
    <cellStyle name="F5" xfId="66" xr:uid="{00000000-0005-0000-0000-000023000000}"/>
    <cellStyle name="F6" xfId="67" xr:uid="{00000000-0005-0000-0000-000024000000}"/>
    <cellStyle name="F7" xfId="68" xr:uid="{00000000-0005-0000-0000-000025000000}"/>
    <cellStyle name="F8" xfId="69" xr:uid="{00000000-0005-0000-0000-000026000000}"/>
    <cellStyle name="Fecha" xfId="70" xr:uid="{00000000-0005-0000-0000-000027000000}"/>
    <cellStyle name="Fecha 2" xfId="71" xr:uid="{00000000-0005-0000-0000-000028000000}"/>
    <cellStyle name="Fijo" xfId="72" xr:uid="{00000000-0005-0000-0000-000029000000}"/>
    <cellStyle name="Fijo 2" xfId="73" xr:uid="{00000000-0005-0000-0000-00002A000000}"/>
    <cellStyle name="Good" xfId="40" xr:uid="{00000000-0005-0000-0000-00002B000000}"/>
    <cellStyle name="Heading 1" xfId="41" xr:uid="{00000000-0005-0000-0000-00002C000000}"/>
    <cellStyle name="Heading 2" xfId="42" xr:uid="{00000000-0005-0000-0000-00002D000000}"/>
    <cellStyle name="Heading 3" xfId="43" xr:uid="{00000000-0005-0000-0000-00002E000000}"/>
    <cellStyle name="Heading 4" xfId="44" xr:uid="{00000000-0005-0000-0000-00002F000000}"/>
    <cellStyle name="Hipervínculo" xfId="119" builtinId="8"/>
    <cellStyle name="Hipervínculo 2" xfId="74" xr:uid="{00000000-0005-0000-0000-000031000000}"/>
    <cellStyle name="Input" xfId="45" xr:uid="{00000000-0005-0000-0000-000032000000}"/>
    <cellStyle name="Linked Cell" xfId="46" xr:uid="{00000000-0005-0000-0000-000033000000}"/>
    <cellStyle name="Millares" xfId="118" builtinId="3"/>
    <cellStyle name="Millares [0] 2" xfId="2" xr:uid="{00000000-0005-0000-0000-000035000000}"/>
    <cellStyle name="Millares 2" xfId="7" xr:uid="{00000000-0005-0000-0000-000036000000}"/>
    <cellStyle name="Millares 2 2" xfId="57" xr:uid="{00000000-0005-0000-0000-000037000000}"/>
    <cellStyle name="Millares 3" xfId="56" xr:uid="{00000000-0005-0000-0000-000038000000}"/>
    <cellStyle name="Millares 4" xfId="75" xr:uid="{00000000-0005-0000-0000-000039000000}"/>
    <cellStyle name="Millares 4 2" xfId="76" xr:uid="{00000000-0005-0000-0000-00003A000000}"/>
    <cellStyle name="Millares 5" xfId="4" xr:uid="{00000000-0005-0000-0000-00003B000000}"/>
    <cellStyle name="Millares 6" xfId="77" xr:uid="{00000000-0005-0000-0000-00003C000000}"/>
    <cellStyle name="Monetario" xfId="78" xr:uid="{00000000-0005-0000-0000-00003D000000}"/>
    <cellStyle name="Monetario 2" xfId="79" xr:uid="{00000000-0005-0000-0000-00003E000000}"/>
    <cellStyle name="Monetario0" xfId="80" xr:uid="{00000000-0005-0000-0000-00003F000000}"/>
    <cellStyle name="Monetario0 2" xfId="81" xr:uid="{00000000-0005-0000-0000-000040000000}"/>
    <cellStyle name="Neutral 2" xfId="47" xr:uid="{00000000-0005-0000-0000-000041000000}"/>
    <cellStyle name="Normal" xfId="0" builtinId="0"/>
    <cellStyle name="Normal 10" xfId="58" xr:uid="{00000000-0005-0000-0000-000043000000}"/>
    <cellStyle name="Normal 11" xfId="82" xr:uid="{00000000-0005-0000-0000-000044000000}"/>
    <cellStyle name="Normal 12" xfId="83" xr:uid="{00000000-0005-0000-0000-000045000000}"/>
    <cellStyle name="Normal 13" xfId="84" xr:uid="{00000000-0005-0000-0000-000046000000}"/>
    <cellStyle name="Normal 14" xfId="85" xr:uid="{00000000-0005-0000-0000-000047000000}"/>
    <cellStyle name="Normal 15" xfId="86" xr:uid="{00000000-0005-0000-0000-000048000000}"/>
    <cellStyle name="Normal 16" xfId="87" xr:uid="{00000000-0005-0000-0000-000049000000}"/>
    <cellStyle name="Normal 17" xfId="88" xr:uid="{00000000-0005-0000-0000-00004A000000}"/>
    <cellStyle name="Normal 18" xfId="89" xr:uid="{00000000-0005-0000-0000-00004B000000}"/>
    <cellStyle name="Normal 19" xfId="90" xr:uid="{00000000-0005-0000-0000-00004C000000}"/>
    <cellStyle name="Normal 2" xfId="5" xr:uid="{00000000-0005-0000-0000-00004D000000}"/>
    <cellStyle name="Normal 2 2" xfId="10" xr:uid="{00000000-0005-0000-0000-00004E000000}"/>
    <cellStyle name="Normal 2 3" xfId="91" xr:uid="{00000000-0005-0000-0000-00004F000000}"/>
    <cellStyle name="Normal 2 4" xfId="117" xr:uid="{00000000-0005-0000-0000-000050000000}"/>
    <cellStyle name="Normal 2 5" xfId="116" xr:uid="{00000000-0005-0000-0000-000051000000}"/>
    <cellStyle name="Normal 20" xfId="92" xr:uid="{00000000-0005-0000-0000-000052000000}"/>
    <cellStyle name="Normal 20 2" xfId="93" xr:uid="{00000000-0005-0000-0000-000053000000}"/>
    <cellStyle name="Normal 20 3" xfId="94" xr:uid="{00000000-0005-0000-0000-000054000000}"/>
    <cellStyle name="Normal 21" xfId="95" xr:uid="{00000000-0005-0000-0000-000055000000}"/>
    <cellStyle name="Normal 21 2" xfId="96" xr:uid="{00000000-0005-0000-0000-000056000000}"/>
    <cellStyle name="Normal 21 3" xfId="97" xr:uid="{00000000-0005-0000-0000-000057000000}"/>
    <cellStyle name="Normal 22" xfId="3" xr:uid="{00000000-0005-0000-0000-000058000000}"/>
    <cellStyle name="Normal 22 2" xfId="98" xr:uid="{00000000-0005-0000-0000-000059000000}"/>
    <cellStyle name="Normal 23" xfId="99" xr:uid="{00000000-0005-0000-0000-00005A000000}"/>
    <cellStyle name="Normal 24" xfId="100" xr:uid="{00000000-0005-0000-0000-00005B000000}"/>
    <cellStyle name="Normal 3" xfId="6" xr:uid="{00000000-0005-0000-0000-00005C000000}"/>
    <cellStyle name="Normal 3 2" xfId="48" xr:uid="{00000000-0005-0000-0000-00005D000000}"/>
    <cellStyle name="Normal 3 3" xfId="101" xr:uid="{00000000-0005-0000-0000-00005E000000}"/>
    <cellStyle name="Normal 3 4" xfId="102" xr:uid="{00000000-0005-0000-0000-00005F000000}"/>
    <cellStyle name="Normal 4" xfId="9" xr:uid="{00000000-0005-0000-0000-000060000000}"/>
    <cellStyle name="Normal 4 2" xfId="103" xr:uid="{00000000-0005-0000-0000-000061000000}"/>
    <cellStyle name="Normal 4 3" xfId="104" xr:uid="{00000000-0005-0000-0000-000062000000}"/>
    <cellStyle name="Normal 4 4" xfId="105" xr:uid="{00000000-0005-0000-0000-000063000000}"/>
    <cellStyle name="Normal 5" xfId="106" xr:uid="{00000000-0005-0000-0000-000064000000}"/>
    <cellStyle name="Normal 6" xfId="107" xr:uid="{00000000-0005-0000-0000-000065000000}"/>
    <cellStyle name="Normal 6 2" xfId="108" xr:uid="{00000000-0005-0000-0000-000066000000}"/>
    <cellStyle name="Normal 7" xfId="109" xr:uid="{00000000-0005-0000-0000-000067000000}"/>
    <cellStyle name="Normal 8" xfId="110" xr:uid="{00000000-0005-0000-0000-000068000000}"/>
    <cellStyle name="Normal 9" xfId="111" xr:uid="{00000000-0005-0000-0000-000069000000}"/>
    <cellStyle name="Notas 2" xfId="49" xr:uid="{00000000-0005-0000-0000-00006A000000}"/>
    <cellStyle name="Note" xfId="50" xr:uid="{00000000-0005-0000-0000-00006B000000}"/>
    <cellStyle name="Output" xfId="51" xr:uid="{00000000-0005-0000-0000-00006C000000}"/>
    <cellStyle name="Porcentaje" xfId="1" builtinId="5"/>
    <cellStyle name="Porcentaje 2" xfId="8" xr:uid="{00000000-0005-0000-0000-00006E000000}"/>
    <cellStyle name="Porcentaje 3" xfId="112" xr:uid="{00000000-0005-0000-0000-00006F000000}"/>
    <cellStyle name="Porcentaje 3 2" xfId="113" xr:uid="{00000000-0005-0000-0000-000070000000}"/>
    <cellStyle name="Porcentual 2" xfId="52" xr:uid="{00000000-0005-0000-0000-000071000000}"/>
    <cellStyle name="Porcentual 3" xfId="11" xr:uid="{00000000-0005-0000-0000-000072000000}"/>
    <cellStyle name="Punto0" xfId="114" xr:uid="{00000000-0005-0000-0000-000073000000}"/>
    <cellStyle name="Punto0 2" xfId="115" xr:uid="{00000000-0005-0000-0000-000074000000}"/>
    <cellStyle name="Title" xfId="53" xr:uid="{00000000-0005-0000-0000-000075000000}"/>
    <cellStyle name="Total 2" xfId="54" xr:uid="{00000000-0005-0000-0000-000076000000}"/>
    <cellStyle name="Warning Text" xfId="55" xr:uid="{00000000-0005-0000-0000-00007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3541276</xdr:colOff>
      <xdr:row>0</xdr:row>
      <xdr:rowOff>38101</xdr:rowOff>
    </xdr:from>
    <xdr:to>
      <xdr:col>2</xdr:col>
      <xdr:colOff>3542353</xdr:colOff>
      <xdr:row>3</xdr:row>
      <xdr:rowOff>409874</xdr:rowOff>
    </xdr:to>
    <xdr:pic>
      <xdr:nvPicPr>
        <xdr:cNvPr id="2" name="7 Imagen">
          <a:extLst>
            <a:ext uri="{FF2B5EF4-FFF2-40B4-BE49-F238E27FC236}">
              <a16:creationId xmlns:a16="http://schemas.microsoft.com/office/drawing/2014/main" id="{C24C0F0D-3E59-3847-96F9-D39275014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4676" y="38101"/>
          <a:ext cx="1077" cy="943273"/>
        </a:xfrm>
        <a:prstGeom prst="rect">
          <a:avLst/>
        </a:prstGeom>
      </xdr:spPr>
    </xdr:pic>
    <xdr:clientData/>
  </xdr:twoCellAnchor>
  <xdr:twoCellAnchor editAs="oneCell">
    <xdr:from>
      <xdr:col>2</xdr:col>
      <xdr:colOff>1675764</xdr:colOff>
      <xdr:row>2</xdr:row>
      <xdr:rowOff>93980</xdr:rowOff>
    </xdr:from>
    <xdr:to>
      <xdr:col>2</xdr:col>
      <xdr:colOff>3530599</xdr:colOff>
      <xdr:row>3</xdr:row>
      <xdr:rowOff>355600</xdr:rowOff>
    </xdr:to>
    <xdr:pic>
      <xdr:nvPicPr>
        <xdr:cNvPr id="4" name="8 Imagen">
          <a:extLst>
            <a:ext uri="{FF2B5EF4-FFF2-40B4-BE49-F238E27FC236}">
              <a16:creationId xmlns:a16="http://schemas.microsoft.com/office/drawing/2014/main" id="{12A85C70-E9F5-5C41-8AC4-AD658E02C5F7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86" t="19359" r="12241" b="47922"/>
        <a:stretch/>
      </xdr:blipFill>
      <xdr:spPr bwMode="auto">
        <a:xfrm>
          <a:off x="2209164" y="474980"/>
          <a:ext cx="1854835" cy="64262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3834764</xdr:colOff>
      <xdr:row>2</xdr:row>
      <xdr:rowOff>297180</xdr:rowOff>
    </xdr:from>
    <xdr:to>
      <xdr:col>3</xdr:col>
      <xdr:colOff>487148</xdr:colOff>
      <xdr:row>3</xdr:row>
      <xdr:rowOff>384596</xdr:rowOff>
    </xdr:to>
    <xdr:pic>
      <xdr:nvPicPr>
        <xdr:cNvPr id="5" name="Google Shape;342;p1">
          <a:extLst>
            <a:ext uri="{FF2B5EF4-FFF2-40B4-BE49-F238E27FC236}">
              <a16:creationId xmlns:a16="http://schemas.microsoft.com/office/drawing/2014/main" id="{88C569B2-CDD1-7E41-B46B-BDDC9EA3D23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>
          <a:alphaModFix/>
        </a:blip>
        <a:srcRect/>
        <a:stretch/>
      </xdr:blipFill>
      <xdr:spPr>
        <a:xfrm>
          <a:off x="4368164" y="678180"/>
          <a:ext cx="1656184" cy="46841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25400</xdr:colOff>
      <xdr:row>0</xdr:row>
      <xdr:rowOff>25400</xdr:rowOff>
    </xdr:from>
    <xdr:to>
      <xdr:col>2</xdr:col>
      <xdr:colOff>1397000</xdr:colOff>
      <xdr:row>3</xdr:row>
      <xdr:rowOff>419100</xdr:rowOff>
    </xdr:to>
    <xdr:pic>
      <xdr:nvPicPr>
        <xdr:cNvPr id="6" name="Google Shape;341;p1">
          <a:extLst>
            <a:ext uri="{FF2B5EF4-FFF2-40B4-BE49-F238E27FC236}">
              <a16:creationId xmlns:a16="http://schemas.microsoft.com/office/drawing/2014/main" id="{FB811417-0C85-F44C-A619-6E6920A9C4DA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">
          <a:alphaModFix/>
        </a:blip>
        <a:srcRect/>
        <a:stretch/>
      </xdr:blipFill>
      <xdr:spPr>
        <a:xfrm>
          <a:off x="558800" y="25400"/>
          <a:ext cx="1371600" cy="1155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660400</xdr:colOff>
      <xdr:row>0</xdr:row>
      <xdr:rowOff>101600</xdr:rowOff>
    </xdr:from>
    <xdr:to>
      <xdr:col>3</xdr:col>
      <xdr:colOff>3911600</xdr:colOff>
      <xdr:row>3</xdr:row>
      <xdr:rowOff>406400</xdr:rowOff>
    </xdr:to>
    <xdr:pic>
      <xdr:nvPicPr>
        <xdr:cNvPr id="7" name="Google Shape;340;p1">
          <a:extLst>
            <a:ext uri="{FF2B5EF4-FFF2-40B4-BE49-F238E27FC236}">
              <a16:creationId xmlns:a16="http://schemas.microsoft.com/office/drawing/2014/main" id="{0F44AEF3-B460-D041-A55A-5905440D96C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">
          <a:alphaModFix/>
        </a:blip>
        <a:srcRect/>
        <a:stretch/>
      </xdr:blipFill>
      <xdr:spPr>
        <a:xfrm>
          <a:off x="6197600" y="101600"/>
          <a:ext cx="3251200" cy="1066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suseso.cl/607/w3-article-654236.html" TargetMode="External"/><Relationship Id="rId1" Type="http://schemas.openxmlformats.org/officeDocument/2006/relationships/hyperlink" Target="https://www.suseso.cl/607/w3-article-654235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AAE0-71CA-4740-A6B8-7A4F101516B6}">
  <dimension ref="C1:E52"/>
  <sheetViews>
    <sheetView showGridLines="0" workbookViewId="0"/>
  </sheetViews>
  <sheetFormatPr baseColWidth="10" defaultRowHeight="15"/>
  <cols>
    <col min="1" max="2" width="3.42578125" customWidth="1"/>
    <col min="3" max="3" width="65.7109375" customWidth="1"/>
    <col min="4" max="4" width="67.140625" customWidth="1"/>
  </cols>
  <sheetData>
    <row r="1" spans="3:5">
      <c r="C1" s="99"/>
    </row>
    <row r="3" spans="3:5" ht="30" customHeight="1">
      <c r="C3" s="99"/>
    </row>
    <row r="4" spans="3:5" ht="63" customHeight="1"/>
    <row r="5" spans="3:5" ht="30" customHeight="1">
      <c r="C5" s="100" t="s">
        <v>477</v>
      </c>
    </row>
    <row r="6" spans="3:5" ht="19.5" customHeight="1">
      <c r="C6" s="118" t="s">
        <v>637</v>
      </c>
      <c r="D6" s="119"/>
    </row>
    <row r="7" spans="3:5" ht="19.5" customHeight="1">
      <c r="C7" s="120"/>
      <c r="D7" s="121"/>
    </row>
    <row r="8" spans="3:5" ht="19.5" customHeight="1">
      <c r="C8" s="120"/>
      <c r="D8" s="121"/>
    </row>
    <row r="9" spans="3:5" ht="19.5" customHeight="1">
      <c r="C9" s="120"/>
      <c r="D9" s="121"/>
    </row>
    <row r="10" spans="3:5" ht="19.5" customHeight="1">
      <c r="C10" s="120"/>
      <c r="D10" s="121"/>
    </row>
    <row r="11" spans="3:5" ht="19.5" customHeight="1">
      <c r="C11" s="120"/>
      <c r="D11" s="121"/>
    </row>
    <row r="12" spans="3:5">
      <c r="C12" s="122"/>
      <c r="D12" s="123"/>
    </row>
    <row r="13" spans="3:5">
      <c r="C13" s="101" t="s">
        <v>478</v>
      </c>
      <c r="E13" s="102" t="s">
        <v>638</v>
      </c>
    </row>
    <row r="14" spans="3:5">
      <c r="C14" s="103"/>
      <c r="E14" s="104" t="s">
        <v>639</v>
      </c>
    </row>
    <row r="15" spans="3:5">
      <c r="C15" s="103"/>
    </row>
    <row r="16" spans="3:5">
      <c r="C16" s="103"/>
    </row>
    <row r="17" spans="3:4">
      <c r="C17" s="103"/>
    </row>
    <row r="18" spans="3:4">
      <c r="C18" s="103"/>
      <c r="D18" s="104"/>
    </row>
    <row r="19" spans="3:4" ht="15.75">
      <c r="C19" s="105"/>
      <c r="D19" s="104"/>
    </row>
    <row r="20" spans="3:4">
      <c r="C20" s="103"/>
    </row>
    <row r="22" spans="3:4">
      <c r="C22" s="103"/>
    </row>
    <row r="23" spans="3:4">
      <c r="C23" s="103"/>
    </row>
    <row r="24" spans="3:4">
      <c r="C24" s="103"/>
    </row>
    <row r="25" spans="3:4">
      <c r="C25" s="103"/>
    </row>
    <row r="26" spans="3:4">
      <c r="C26" s="106"/>
    </row>
    <row r="27" spans="3:4">
      <c r="C27" s="103"/>
    </row>
    <row r="28" spans="3:4" ht="15.75">
      <c r="C28" s="105"/>
    </row>
    <row r="29" spans="3:4">
      <c r="C29" s="103"/>
    </row>
    <row r="30" spans="3:4">
      <c r="C30" s="103"/>
    </row>
    <row r="31" spans="3:4">
      <c r="C31" s="103"/>
    </row>
    <row r="32" spans="3:4" ht="15.75">
      <c r="C32" s="105"/>
    </row>
    <row r="33" spans="3:3">
      <c r="C33" s="103"/>
    </row>
    <row r="34" spans="3:3">
      <c r="C34" s="103"/>
    </row>
    <row r="35" spans="3:3">
      <c r="C35" s="103"/>
    </row>
    <row r="36" spans="3:3">
      <c r="C36" s="103"/>
    </row>
    <row r="37" spans="3:3" ht="15.75">
      <c r="C37" s="105"/>
    </row>
    <row r="38" spans="3:3">
      <c r="C38" s="103"/>
    </row>
    <row r="39" spans="3:3" ht="33" customHeight="1">
      <c r="C39" s="107"/>
    </row>
    <row r="40" spans="3:3" ht="27.75" customHeight="1">
      <c r="C40" s="103"/>
    </row>
    <row r="41" spans="3:3">
      <c r="C41" s="108"/>
    </row>
    <row r="42" spans="3:3" ht="15.75">
      <c r="C42" s="105"/>
    </row>
    <row r="43" spans="3:3">
      <c r="C43" s="103"/>
    </row>
    <row r="44" spans="3:3">
      <c r="C44" s="103"/>
    </row>
    <row r="45" spans="3:3">
      <c r="C45" s="109"/>
    </row>
    <row r="46" spans="3:3" ht="15.75">
      <c r="C46" s="105"/>
    </row>
    <row r="47" spans="3:3">
      <c r="C47" s="103"/>
    </row>
    <row r="48" spans="3:3">
      <c r="C48" s="103"/>
    </row>
    <row r="49" spans="3:3" ht="17.25" customHeight="1">
      <c r="C49" s="103"/>
    </row>
    <row r="50" spans="3:3">
      <c r="C50" s="103"/>
    </row>
    <row r="51" spans="3:3" ht="15.75">
      <c r="C51" s="105"/>
    </row>
    <row r="52" spans="3:3">
      <c r="C52" s="110"/>
    </row>
  </sheetData>
  <mergeCells count="1">
    <mergeCell ref="C6:D12"/>
  </mergeCells>
  <hyperlinks>
    <hyperlink ref="E14" r:id="rId1" xr:uid="{821078EB-0D49-264D-B30D-53D4C2BB5306}"/>
    <hyperlink ref="E13" r:id="rId2" xr:uid="{A0684B8A-285E-A64C-A691-F143C4503678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72E5-4C97-F543-8047-E260534FF48D}">
  <dimension ref="A2:B190"/>
  <sheetViews>
    <sheetView showGridLines="0" zoomScale="110" zoomScaleNormal="110" workbookViewId="0"/>
  </sheetViews>
  <sheetFormatPr baseColWidth="10" defaultColWidth="11.42578125" defaultRowHeight="15"/>
  <cols>
    <col min="2" max="2" width="142.28515625" bestFit="1" customWidth="1"/>
  </cols>
  <sheetData>
    <row r="2" spans="1:2" ht="18.75" customHeight="1">
      <c r="B2" s="124" t="s">
        <v>479</v>
      </c>
    </row>
    <row r="3" spans="1:2" ht="15" customHeight="1">
      <c r="B3" s="125"/>
    </row>
    <row r="4" spans="1:2" ht="15.75">
      <c r="B4" s="111" t="s">
        <v>74</v>
      </c>
    </row>
    <row r="5" spans="1:2">
      <c r="B5" s="112"/>
    </row>
    <row r="6" spans="1:2">
      <c r="B6" s="113" t="s">
        <v>485</v>
      </c>
    </row>
    <row r="7" spans="1:2">
      <c r="B7" s="113" t="s">
        <v>496</v>
      </c>
    </row>
    <row r="8" spans="1:2">
      <c r="B8" s="113" t="s">
        <v>497</v>
      </c>
    </row>
    <row r="9" spans="1:2">
      <c r="B9" s="113" t="s">
        <v>498</v>
      </c>
    </row>
    <row r="10" spans="1:2">
      <c r="B10" s="113" t="s">
        <v>499</v>
      </c>
    </row>
    <row r="11" spans="1:2">
      <c r="B11" s="113" t="s">
        <v>500</v>
      </c>
    </row>
    <row r="12" spans="1:2">
      <c r="B12" s="113" t="s">
        <v>501</v>
      </c>
    </row>
    <row r="13" spans="1:2">
      <c r="A13" s="114"/>
      <c r="B13" s="113" t="s">
        <v>625</v>
      </c>
    </row>
    <row r="14" spans="1:2">
      <c r="A14" s="114"/>
      <c r="B14" s="113" t="s">
        <v>502</v>
      </c>
    </row>
    <row r="15" spans="1:2">
      <c r="A15" s="114"/>
      <c r="B15" s="113" t="s">
        <v>503</v>
      </c>
    </row>
    <row r="16" spans="1:2">
      <c r="A16" s="114"/>
      <c r="B16" s="113" t="s">
        <v>504</v>
      </c>
    </row>
    <row r="17" spans="1:2">
      <c r="A17" s="114"/>
      <c r="B17" s="113" t="s">
        <v>505</v>
      </c>
    </row>
    <row r="18" spans="1:2">
      <c r="B18" s="115"/>
    </row>
    <row r="19" spans="1:2" ht="15.75">
      <c r="B19" s="111" t="s">
        <v>137</v>
      </c>
    </row>
    <row r="20" spans="1:2">
      <c r="B20" s="112"/>
    </row>
    <row r="21" spans="1:2">
      <c r="B21" s="113" t="s">
        <v>486</v>
      </c>
    </row>
    <row r="22" spans="1:2">
      <c r="B22" s="113" t="s">
        <v>506</v>
      </c>
    </row>
    <row r="23" spans="1:2">
      <c r="B23" s="113" t="s">
        <v>507</v>
      </c>
    </row>
    <row r="24" spans="1:2">
      <c r="B24" s="113" t="s">
        <v>508</v>
      </c>
    </row>
    <row r="25" spans="1:2">
      <c r="B25" s="113" t="s">
        <v>509</v>
      </c>
    </row>
    <row r="26" spans="1:2">
      <c r="B26" s="113" t="s">
        <v>510</v>
      </c>
    </row>
    <row r="27" spans="1:2">
      <c r="B27" s="113" t="s">
        <v>511</v>
      </c>
    </row>
    <row r="28" spans="1:2">
      <c r="B28" s="113" t="s">
        <v>512</v>
      </c>
    </row>
    <row r="29" spans="1:2">
      <c r="B29" s="113" t="s">
        <v>487</v>
      </c>
    </row>
    <row r="30" spans="1:2">
      <c r="B30" s="113" t="s">
        <v>513</v>
      </c>
    </row>
    <row r="31" spans="1:2">
      <c r="B31" s="113" t="s">
        <v>514</v>
      </c>
    </row>
    <row r="32" spans="1:2">
      <c r="B32" s="113" t="s">
        <v>515</v>
      </c>
    </row>
    <row r="33" spans="2:2">
      <c r="B33" s="113" t="s">
        <v>516</v>
      </c>
    </row>
    <row r="34" spans="2:2">
      <c r="B34" s="113" t="s">
        <v>626</v>
      </c>
    </row>
    <row r="35" spans="2:2">
      <c r="B35" s="113" t="s">
        <v>517</v>
      </c>
    </row>
    <row r="36" spans="2:2">
      <c r="B36" s="113" t="s">
        <v>518</v>
      </c>
    </row>
    <row r="37" spans="2:2">
      <c r="B37" s="64"/>
    </row>
    <row r="38" spans="2:2" ht="15.75">
      <c r="B38" s="111" t="s">
        <v>138</v>
      </c>
    </row>
    <row r="39" spans="2:2">
      <c r="B39" s="112"/>
    </row>
    <row r="40" spans="2:2">
      <c r="B40" s="113" t="s">
        <v>488</v>
      </c>
    </row>
    <row r="41" spans="2:2">
      <c r="B41" s="113" t="s">
        <v>519</v>
      </c>
    </row>
    <row r="42" spans="2:2">
      <c r="B42" s="113" t="s">
        <v>520</v>
      </c>
    </row>
    <row r="43" spans="2:2">
      <c r="B43" s="113" t="s">
        <v>521</v>
      </c>
    </row>
    <row r="44" spans="2:2">
      <c r="B44" s="113" t="s">
        <v>522</v>
      </c>
    </row>
    <row r="45" spans="2:2">
      <c r="B45" s="113" t="s">
        <v>523</v>
      </c>
    </row>
    <row r="46" spans="2:2">
      <c r="B46" s="113" t="s">
        <v>524</v>
      </c>
    </row>
    <row r="47" spans="2:2">
      <c r="B47" s="113" t="s">
        <v>489</v>
      </c>
    </row>
    <row r="48" spans="2:2">
      <c r="B48" s="113" t="s">
        <v>525</v>
      </c>
    </row>
    <row r="49" spans="2:2">
      <c r="B49" s="113" t="s">
        <v>526</v>
      </c>
    </row>
    <row r="50" spans="2:2">
      <c r="B50" s="113" t="s">
        <v>527</v>
      </c>
    </row>
    <row r="51" spans="2:2">
      <c r="B51" s="113" t="s">
        <v>528</v>
      </c>
    </row>
    <row r="52" spans="2:2">
      <c r="B52" s="113" t="s">
        <v>627</v>
      </c>
    </row>
    <row r="53" spans="2:2">
      <c r="B53" s="113" t="s">
        <v>529</v>
      </c>
    </row>
    <row r="54" spans="2:2">
      <c r="B54" s="64"/>
    </row>
    <row r="55" spans="2:2" ht="15.75">
      <c r="B55" s="111" t="s">
        <v>139</v>
      </c>
    </row>
    <row r="56" spans="2:2">
      <c r="B56" s="112"/>
    </row>
    <row r="57" spans="2:2">
      <c r="B57" s="113" t="s">
        <v>490</v>
      </c>
    </row>
    <row r="58" spans="2:2">
      <c r="B58" s="113" t="s">
        <v>530</v>
      </c>
    </row>
    <row r="59" spans="2:2">
      <c r="B59" s="113" t="s">
        <v>531</v>
      </c>
    </row>
    <row r="60" spans="2:2">
      <c r="B60" s="113" t="s">
        <v>628</v>
      </c>
    </row>
    <row r="61" spans="2:2">
      <c r="B61" s="113" t="s">
        <v>629</v>
      </c>
    </row>
    <row r="62" spans="2:2">
      <c r="B62" s="113" t="s">
        <v>630</v>
      </c>
    </row>
    <row r="63" spans="2:2">
      <c r="B63" s="113" t="s">
        <v>631</v>
      </c>
    </row>
    <row r="64" spans="2:2">
      <c r="B64" s="113" t="s">
        <v>491</v>
      </c>
    </row>
    <row r="65" spans="2:2">
      <c r="B65" s="113" t="s">
        <v>532</v>
      </c>
    </row>
    <row r="66" spans="2:2">
      <c r="B66" s="113" t="s">
        <v>533</v>
      </c>
    </row>
    <row r="67" spans="2:2">
      <c r="B67" s="113" t="s">
        <v>632</v>
      </c>
    </row>
    <row r="68" spans="2:2">
      <c r="B68" s="113" t="s">
        <v>633</v>
      </c>
    </row>
    <row r="69" spans="2:2">
      <c r="B69" s="116" t="s">
        <v>634</v>
      </c>
    </row>
    <row r="70" spans="2:2">
      <c r="B70" s="113" t="s">
        <v>635</v>
      </c>
    </row>
    <row r="71" spans="2:2">
      <c r="B71" s="64"/>
    </row>
    <row r="72" spans="2:2" ht="15.75">
      <c r="B72" s="111" t="s">
        <v>480</v>
      </c>
    </row>
    <row r="73" spans="2:2">
      <c r="B73" s="112"/>
    </row>
    <row r="74" spans="2:2">
      <c r="B74" s="113" t="s">
        <v>534</v>
      </c>
    </row>
    <row r="75" spans="2:2">
      <c r="B75" s="113" t="s">
        <v>535</v>
      </c>
    </row>
    <row r="76" spans="2:2">
      <c r="B76" s="113" t="s">
        <v>536</v>
      </c>
    </row>
    <row r="77" spans="2:2">
      <c r="B77" s="113" t="s">
        <v>537</v>
      </c>
    </row>
    <row r="78" spans="2:2">
      <c r="B78" s="113" t="s">
        <v>538</v>
      </c>
    </row>
    <row r="79" spans="2:2">
      <c r="B79" s="113" t="s">
        <v>539</v>
      </c>
    </row>
    <row r="80" spans="2:2">
      <c r="B80" s="113" t="s">
        <v>540</v>
      </c>
    </row>
    <row r="81" spans="2:2">
      <c r="B81" s="113" t="s">
        <v>541</v>
      </c>
    </row>
    <row r="82" spans="2:2">
      <c r="B82" s="113" t="s">
        <v>542</v>
      </c>
    </row>
    <row r="83" spans="2:2">
      <c r="B83" s="113" t="s">
        <v>543</v>
      </c>
    </row>
    <row r="84" spans="2:2">
      <c r="B84" s="113" t="s">
        <v>544</v>
      </c>
    </row>
    <row r="85" spans="2:2">
      <c r="B85" s="113" t="s">
        <v>545</v>
      </c>
    </row>
    <row r="86" spans="2:2">
      <c r="B86" s="113" t="s">
        <v>546</v>
      </c>
    </row>
    <row r="87" spans="2:2">
      <c r="B87" s="113" t="s">
        <v>547</v>
      </c>
    </row>
    <row r="88" spans="2:2">
      <c r="B88" s="115"/>
    </row>
    <row r="89" spans="2:2" ht="15.75">
      <c r="B89" s="111" t="s">
        <v>481</v>
      </c>
    </row>
    <row r="90" spans="2:2">
      <c r="B90" s="112"/>
    </row>
    <row r="91" spans="2:2">
      <c r="B91" s="113" t="s">
        <v>548</v>
      </c>
    </row>
    <row r="92" spans="2:2">
      <c r="B92" s="113" t="s">
        <v>549</v>
      </c>
    </row>
    <row r="93" spans="2:2">
      <c r="B93" s="113" t="s">
        <v>550</v>
      </c>
    </row>
    <row r="94" spans="2:2">
      <c r="B94" s="113" t="s">
        <v>551</v>
      </c>
    </row>
    <row r="95" spans="2:2">
      <c r="B95" s="113" t="s">
        <v>552</v>
      </c>
    </row>
    <row r="96" spans="2:2">
      <c r="B96" s="113" t="s">
        <v>553</v>
      </c>
    </row>
    <row r="97" spans="2:2">
      <c r="B97" s="113" t="s">
        <v>554</v>
      </c>
    </row>
    <row r="98" spans="2:2">
      <c r="B98" s="113" t="s">
        <v>555</v>
      </c>
    </row>
    <row r="99" spans="2:2">
      <c r="B99" s="113" t="s">
        <v>556</v>
      </c>
    </row>
    <row r="100" spans="2:2">
      <c r="B100" s="113" t="s">
        <v>557</v>
      </c>
    </row>
    <row r="101" spans="2:2">
      <c r="B101" s="113" t="s">
        <v>558</v>
      </c>
    </row>
    <row r="102" spans="2:2">
      <c r="B102" s="113" t="s">
        <v>559</v>
      </c>
    </row>
    <row r="103" spans="2:2">
      <c r="B103" s="113" t="s">
        <v>560</v>
      </c>
    </row>
    <row r="104" spans="2:2">
      <c r="B104" s="113" t="s">
        <v>561</v>
      </c>
    </row>
    <row r="105" spans="2:2">
      <c r="B105" s="115"/>
    </row>
    <row r="106" spans="2:2" ht="15.75">
      <c r="B106" s="111" t="s">
        <v>482</v>
      </c>
    </row>
    <row r="107" spans="2:2">
      <c r="B107" s="112"/>
    </row>
    <row r="108" spans="2:2">
      <c r="B108" s="113" t="s">
        <v>562</v>
      </c>
    </row>
    <row r="109" spans="2:2">
      <c r="B109" s="113" t="s">
        <v>563</v>
      </c>
    </row>
    <row r="110" spans="2:2">
      <c r="B110" s="113" t="s">
        <v>564</v>
      </c>
    </row>
    <row r="111" spans="2:2">
      <c r="B111" s="113" t="s">
        <v>565</v>
      </c>
    </row>
    <row r="112" spans="2:2">
      <c r="B112" s="113" t="s">
        <v>566</v>
      </c>
    </row>
    <row r="113" spans="2:2">
      <c r="B113" s="113" t="s">
        <v>567</v>
      </c>
    </row>
    <row r="114" spans="2:2">
      <c r="B114" s="113" t="s">
        <v>568</v>
      </c>
    </row>
    <row r="115" spans="2:2">
      <c r="B115" s="113" t="s">
        <v>569</v>
      </c>
    </row>
    <row r="116" spans="2:2">
      <c r="B116" s="113" t="s">
        <v>570</v>
      </c>
    </row>
    <row r="117" spans="2:2">
      <c r="B117" s="113" t="s">
        <v>571</v>
      </c>
    </row>
    <row r="118" spans="2:2">
      <c r="B118" s="113" t="s">
        <v>572</v>
      </c>
    </row>
    <row r="119" spans="2:2">
      <c r="B119" s="113" t="s">
        <v>573</v>
      </c>
    </row>
    <row r="120" spans="2:2">
      <c r="B120" s="113" t="s">
        <v>574</v>
      </c>
    </row>
    <row r="121" spans="2:2">
      <c r="B121" s="113" t="s">
        <v>575</v>
      </c>
    </row>
    <row r="122" spans="2:2">
      <c r="B122" s="115"/>
    </row>
    <row r="123" spans="2:2" ht="15.75">
      <c r="B123" s="111" t="s">
        <v>483</v>
      </c>
    </row>
    <row r="124" spans="2:2">
      <c r="B124" s="112"/>
    </row>
    <row r="125" spans="2:2">
      <c r="B125" s="113" t="s">
        <v>492</v>
      </c>
    </row>
    <row r="126" spans="2:2">
      <c r="B126" s="113" t="s">
        <v>576</v>
      </c>
    </row>
    <row r="127" spans="2:2">
      <c r="B127" s="113" t="s">
        <v>577</v>
      </c>
    </row>
    <row r="128" spans="2:2">
      <c r="B128" s="113" t="s">
        <v>578</v>
      </c>
    </row>
    <row r="129" spans="2:2">
      <c r="B129" s="113" t="s">
        <v>579</v>
      </c>
    </row>
    <row r="130" spans="2:2">
      <c r="B130" s="115"/>
    </row>
    <row r="131" spans="2:2" ht="15.75">
      <c r="B131" s="111" t="s">
        <v>484</v>
      </c>
    </row>
    <row r="132" spans="2:2">
      <c r="B132" s="112"/>
    </row>
    <row r="133" spans="2:2">
      <c r="B133" s="113" t="s">
        <v>580</v>
      </c>
    </row>
    <row r="134" spans="2:2">
      <c r="B134" s="113" t="s">
        <v>493</v>
      </c>
    </row>
    <row r="135" spans="2:2">
      <c r="B135" s="113" t="s">
        <v>581</v>
      </c>
    </row>
    <row r="136" spans="2:2">
      <c r="B136" s="113" t="s">
        <v>582</v>
      </c>
    </row>
    <row r="137" spans="2:2">
      <c r="B137" s="113" t="s">
        <v>494</v>
      </c>
    </row>
    <row r="138" spans="2:2">
      <c r="B138" s="113" t="s">
        <v>495</v>
      </c>
    </row>
    <row r="139" spans="2:2">
      <c r="B139" s="115"/>
    </row>
    <row r="140" spans="2:2" ht="15.75">
      <c r="B140" s="111" t="s">
        <v>213</v>
      </c>
    </row>
    <row r="141" spans="2:2">
      <c r="B141" s="112"/>
    </row>
    <row r="142" spans="2:2">
      <c r="B142" s="113" t="s">
        <v>583</v>
      </c>
    </row>
    <row r="143" spans="2:2">
      <c r="B143" s="113" t="s">
        <v>584</v>
      </c>
    </row>
    <row r="144" spans="2:2">
      <c r="B144" s="113" t="s">
        <v>585</v>
      </c>
    </row>
    <row r="145" spans="2:2">
      <c r="B145" s="113" t="s">
        <v>586</v>
      </c>
    </row>
    <row r="146" spans="2:2">
      <c r="B146" s="113" t="s">
        <v>587</v>
      </c>
    </row>
    <row r="147" spans="2:2">
      <c r="B147" s="113" t="s">
        <v>588</v>
      </c>
    </row>
    <row r="148" spans="2:2">
      <c r="B148" s="113" t="s">
        <v>589</v>
      </c>
    </row>
    <row r="149" spans="2:2">
      <c r="B149" s="113" t="s">
        <v>590</v>
      </c>
    </row>
    <row r="150" spans="2:2">
      <c r="B150" s="113" t="s">
        <v>591</v>
      </c>
    </row>
    <row r="151" spans="2:2">
      <c r="B151" s="113" t="s">
        <v>592</v>
      </c>
    </row>
    <row r="152" spans="2:2">
      <c r="B152" s="113" t="s">
        <v>593</v>
      </c>
    </row>
    <row r="153" spans="2:2">
      <c r="B153" s="113" t="s">
        <v>594</v>
      </c>
    </row>
    <row r="154" spans="2:2">
      <c r="B154" s="113" t="s">
        <v>595</v>
      </c>
    </row>
    <row r="155" spans="2:2">
      <c r="B155" s="113" t="s">
        <v>596</v>
      </c>
    </row>
    <row r="156" spans="2:2">
      <c r="B156" s="115"/>
    </row>
    <row r="157" spans="2:2" ht="15.75">
      <c r="B157" s="111" t="s">
        <v>214</v>
      </c>
    </row>
    <row r="158" spans="2:2">
      <c r="B158" s="112"/>
    </row>
    <row r="159" spans="2:2">
      <c r="B159" s="113" t="s">
        <v>597</v>
      </c>
    </row>
    <row r="160" spans="2:2">
      <c r="B160" s="113" t="s">
        <v>598</v>
      </c>
    </row>
    <row r="161" spans="2:2">
      <c r="B161" s="113" t="s">
        <v>599</v>
      </c>
    </row>
    <row r="162" spans="2:2">
      <c r="B162" s="113" t="s">
        <v>600</v>
      </c>
    </row>
    <row r="163" spans="2:2">
      <c r="B163" s="113" t="s">
        <v>601</v>
      </c>
    </row>
    <row r="164" spans="2:2">
      <c r="B164" s="113" t="s">
        <v>602</v>
      </c>
    </row>
    <row r="165" spans="2:2">
      <c r="B165" s="113" t="s">
        <v>603</v>
      </c>
    </row>
    <row r="166" spans="2:2">
      <c r="B166" s="113" t="s">
        <v>604</v>
      </c>
    </row>
    <row r="167" spans="2:2">
      <c r="B167" s="113" t="s">
        <v>605</v>
      </c>
    </row>
    <row r="168" spans="2:2">
      <c r="B168" s="113" t="s">
        <v>606</v>
      </c>
    </row>
    <row r="169" spans="2:2">
      <c r="B169" s="113" t="s">
        <v>607</v>
      </c>
    </row>
    <row r="170" spans="2:2">
      <c r="B170" s="113" t="s">
        <v>608</v>
      </c>
    </row>
    <row r="171" spans="2:2">
      <c r="B171" s="113" t="s">
        <v>609</v>
      </c>
    </row>
    <row r="172" spans="2:2">
      <c r="B172" s="113" t="s">
        <v>610</v>
      </c>
    </row>
    <row r="173" spans="2:2">
      <c r="B173" s="115"/>
    </row>
    <row r="174" spans="2:2" ht="15.75">
      <c r="B174" s="111" t="s">
        <v>215</v>
      </c>
    </row>
    <row r="175" spans="2:2">
      <c r="B175" s="112"/>
    </row>
    <row r="176" spans="2:2">
      <c r="B176" s="113" t="s">
        <v>611</v>
      </c>
    </row>
    <row r="177" spans="2:2">
      <c r="B177" s="113" t="s">
        <v>612</v>
      </c>
    </row>
    <row r="178" spans="2:2">
      <c r="B178" s="113" t="s">
        <v>613</v>
      </c>
    </row>
    <row r="179" spans="2:2">
      <c r="B179" s="113" t="s">
        <v>614</v>
      </c>
    </row>
    <row r="180" spans="2:2">
      <c r="B180" s="113" t="s">
        <v>615</v>
      </c>
    </row>
    <row r="181" spans="2:2">
      <c r="B181" s="113" t="s">
        <v>616</v>
      </c>
    </row>
    <row r="182" spans="2:2">
      <c r="B182" s="113" t="s">
        <v>617</v>
      </c>
    </row>
    <row r="183" spans="2:2">
      <c r="B183" s="113" t="s">
        <v>618</v>
      </c>
    </row>
    <row r="184" spans="2:2">
      <c r="B184" s="113" t="s">
        <v>619</v>
      </c>
    </row>
    <row r="185" spans="2:2">
      <c r="B185" s="113" t="s">
        <v>620</v>
      </c>
    </row>
    <row r="186" spans="2:2">
      <c r="B186" s="113" t="s">
        <v>621</v>
      </c>
    </row>
    <row r="187" spans="2:2">
      <c r="B187" s="113" t="s">
        <v>622</v>
      </c>
    </row>
    <row r="188" spans="2:2">
      <c r="B188" s="113" t="s">
        <v>623</v>
      </c>
    </row>
    <row r="189" spans="2:2">
      <c r="B189" s="113" t="s">
        <v>624</v>
      </c>
    </row>
    <row r="190" spans="2:2">
      <c r="B190" s="117"/>
    </row>
  </sheetData>
  <mergeCells count="1">
    <mergeCell ref="B2:B3"/>
  </mergeCells>
  <hyperlinks>
    <hyperlink ref="B6" location="'C1_COT'!A3" display="Cuadro N° 1.1: Número de cotizantes, según seguro de salud años 2011-2015" xr:uid="{929E2896-8055-7045-A0B8-EE52CAE00268}"/>
    <hyperlink ref="B7" location="'C1_COT'!A13" display="Cuadro N° 1.2: Número de cotizantes, según seguro de salud y sexo año 2015" xr:uid="{C0A74B84-905E-FC4B-9EB8-793B4690D857}"/>
    <hyperlink ref="B8" location="'C1_COT'!A23" display="Cuadro N° 1.3: Número de cotizantes, según seguro de salud y tramo etario año 2019" xr:uid="{0A12AA51-E5C8-3245-A112-96D7B087DF19}"/>
    <hyperlink ref="B9" location="'C1_COT'!A37" display="Cuadro N° 1.4: Número de cotizantes, según seguro de salud y tipo de cotizante año 2019" xr:uid="{567F70CC-0ACB-8749-A642-DDC6E7032E8D}"/>
    <hyperlink ref="B10" location="'C1_COT'!A47" display="Cuadro N° 1.5: Número de cotizantes, según seguro de salud y región año 2019" xr:uid="{02A160C2-F553-9F49-9267-342561655E69}"/>
    <hyperlink ref="B11" location="'C1_COT'!A70" display="Cuadro N° 1.6: Número de cotizantes, según seguro de salud y tramo de remuneraciones año 2019" xr:uid="{88411339-2983-A045-B103-82E35012B306}"/>
    <hyperlink ref="B12" location="'C1_COT'!A85" display="Cuadro N° 1.7: Número de cotizantes, según seguro de salud y actividad económica año 2019" xr:uid="{C34A79F7-6D3A-5841-9623-FF648A963B59}"/>
    <hyperlink ref="B13" location="'C1_COT'!A100" display="Cuadro N° 1.8: Renta imponible promedio anual para el universo de cotizantes, según seguro de salud (miles $ de cada año) años 2015-2019" xr:uid="{AAAE73DF-F65E-764D-8F09-42AA5D09FA60}"/>
    <hyperlink ref="B21" location="'C2_LMT'!A3" display="Cuadro N° 2.1.: Número de licencias médicas tramitadas, según seguro de salud años 2011-2015" xr:uid="{C0C7BA15-7996-8447-A3C6-6898CBCA04A3}"/>
    <hyperlink ref="B22" location="'C2_LMT'!A13" display="Cuadro N° 2.1.1: Número de licencias médicas tramitadas, según seguro de salud y sexo año 2015" xr:uid="{9EB764F0-4ED3-3749-A977-5219AE5496F6}"/>
    <hyperlink ref="B23" location="'C2_LMT'!A22" display="Cuadro N° 2.1.3: Número de licencias médicas tramitadas, según seguro de salud y tramo etario año 2017" xr:uid="{830753BB-B78A-EA4E-A794-941AD759F639}"/>
    <hyperlink ref="B24" location="'C2_LMT'!A36" display="Cuadro N° 2.1.4: Número de licencias médicas tramitadas, según seguro de salud y tipo de sector año 2017" xr:uid="{13D6A12B-9900-BB4C-B83C-88B04BCEF020}"/>
    <hyperlink ref="B25" location="'C2_LMT'!A46" display="Cuadro N° 2.1.5: Número de licencias médicas tramitadas, según seguro de salud y región año 2017" xr:uid="{C3A50A43-4A25-2D42-8424-D932976F14EB}"/>
    <hyperlink ref="B28" location="'C2_LMT'!A104" display="Cuadro N° 2.1.8: Número de licencias médicas tramitadas, según seguro de salud y  tipo de resolución año 2019" xr:uid="{19C1936D-336D-FD49-B460-2F12B065645A}"/>
    <hyperlink ref="B29" location="'C2_LMT'!F3" display="Cuadro N° 2.2.: Número de días otorgados, según seguro de salud años 2011-2015" xr:uid="{A9B93140-FC30-C24C-AC97-F5FFB4912483}"/>
    <hyperlink ref="B30" location="'C2_LMT'!F13" display="Cuadro N° 2.2.1: Número de días otorgados, según seguro de salud y sexo año 2015" xr:uid="{AD25BF36-6BCB-DB40-B23E-3CE77AC9D630}"/>
    <hyperlink ref="B31" location="'C2_LMT'!F22" display="Cuadro N° 2.2.3: Número de días otorgados, según seguro de salud y tramo etario año 2017" xr:uid="{9DD64232-8ADB-794F-9AAD-72ACC80E6BB1}"/>
    <hyperlink ref="B32" location="'C2_LMT'!F36" display="Cuadro N° 2.2.4: Número de días otorgados, según seguro de salud y tipo de sector año 2017" xr:uid="{819311B6-BDC6-F140-9ABA-A666DDB1E1AF}"/>
    <hyperlink ref="B33" location="'C2_LMT'!F46" display="Cuadro N° 2.2.5: Número de días otorgados, según seguro de salud y región año 2017" xr:uid="{6C5F3551-C2F4-9149-BDA6-681EE70994D8}"/>
    <hyperlink ref="B36" location="'C2_LMT'!F104" display="Cuadro N° 2.2.6: Número de dias otorgados a HOMBRES, según seguro de salud y región año 2019" xr:uid="{70157443-E55D-934A-866C-67A7E1223A2C}"/>
    <hyperlink ref="B40" location="'C3_LMA'!A3" display="Cuadro N° 3.1.: Número de licencias médicas autorizadas, según seguro de salud años 2011-2015" xr:uid="{C50FE7F6-C2F9-E448-8807-9C1E92DE2309}"/>
    <hyperlink ref="B41" location="'C3_LMA'!A13" display="Cuadro N° 3.1.1: Número de licencias médicas autorizadas, según seguro de salud y sexo año 2015" xr:uid="{4B5E03E0-B38D-AB48-892F-F28098ACF534}"/>
    <hyperlink ref="B42" location="'C3_LMA'!A22" display="Cuadro N° 3.1.3: Número de licencias médicas autorizadas, según seguro de salud y tramo etario año 2017" xr:uid="{973836D6-A5BC-4F44-9E6A-202D128338BF}"/>
    <hyperlink ref="B43" location="'C3_LMA'!A36" display="Cuadro N° 3.1.4: Número de licencias médicas autorizadas, según seguro de salud y tipo de sector año 2017" xr:uid="{B672A891-71C5-B043-A8DD-9F4E94281C7A}"/>
    <hyperlink ref="B44" location="'C3_LMA'!A46" display="Cuadro N° 3.1.5: Número de licencias médicas autorizadas, según seguro de salud y región año 2017" xr:uid="{BC65474E-8703-5445-85A3-DEB36D7FEFA5}"/>
    <hyperlink ref="B47" location="'C3_LMA'!F3" display="Cuadro N° 3.2.: Número de días pagados, según seguro de salud años 2011-2015" xr:uid="{2E1A6779-0633-AE42-842F-F4CB661DBDE2}"/>
    <hyperlink ref="B48" location="'C3_LMA'!F13" display="Cuadro N° 3.2.1: Número de días pagados, según seguro de salud y sexo año 2015" xr:uid="{5CCC86A1-941E-254A-B1D1-5B58EFD40DB5}"/>
    <hyperlink ref="B49" location="'C3_LMA'!F22" display="Cuadro N° 3.2.3: Número de días pagados, según seguro de salud y tramo etario año 2017" xr:uid="{40436FBF-E485-5841-B1D4-2D8CE456B186}"/>
    <hyperlink ref="B50" location="'C3_LMA'!F36" display="Cuadro N° 3.2.4: Número de días pagados, según seguro de salud y tipo de sector año 2017" xr:uid="{3B298E00-CEBF-9B4C-85B9-6C79A85AE0F3}"/>
    <hyperlink ref="B51" location="'C3_LMA'!F46" display="Cuadro N° 3.2.5: Número de días pagados, según seguro de salud y región año 2017" xr:uid="{07813DA1-9373-1041-9247-8214963A9C29}"/>
    <hyperlink ref="B57" location="'C4_LMR'!A3" display="Cuadro N° 4.1.: Número de licencias médicas rechazadas, según seguro de salud años 2011-2015" xr:uid="{A45C9F7B-D330-E144-A30D-5CAA796E7065}"/>
    <hyperlink ref="B58" location="'C4_LMR'!A13" display="Cuadro N° 4.1.1: Número de licencias médicas rechazadas, según seguro de salud y sexo año 2015" xr:uid="{46D57C7E-131C-CB45-8CD2-7CD4EA59C338}"/>
    <hyperlink ref="B59" location="'C4_LMR'!A22" display="Cuadro N° 4.1.3: Número de licencias médicas rechazadas, según seguro de salud y tramo etario año 2017" xr:uid="{B7F4B8D7-6330-1644-BFB9-38A727C77A03}"/>
    <hyperlink ref="B60" location="'C4_LMR'!A36" display="Cuadro N° 4.1.4: Número de licencias médicas rechazadas, según seguro de salud y región año 2017" xr:uid="{E8CE7CAA-805C-5D44-8CBA-715D12CBDEF9}"/>
    <hyperlink ref="B64" location="'C4_LMR'!F3" display="Cuadro N° 4.2.: Número de días rechazados, según seguro de salud años 2011-2015" xr:uid="{63D48728-C698-8342-AEA6-19538B441C61}"/>
    <hyperlink ref="B65" location="'C4_LMR'!F13" display="Cuadro N° 4.2.1: Número de días rechazados, según seguro de salud y sexo año 2015" xr:uid="{7ABC86D4-33E1-9240-8B16-5BDCA2BF68E9}"/>
    <hyperlink ref="B66" location="'C4_LMR'!F22" display="Cuadro N° 4.2.3: Número de días rechazados, según seguro de salud y tramo etario año 2017" xr:uid="{3EF37823-A93A-CD47-8C42-6BD5533B6794}"/>
    <hyperlink ref="B68" location="'C4_LMR'!F46" display="Cuadro N° 4.2.5: Número de días rechazados, según seguro de salud y región año 2020" xr:uid="{ACB2975A-4C1D-7941-98FE-9047AB43439B}"/>
    <hyperlink ref="B125" location="'C8_GTO_SIL'!A3" display="Cuadro N° 8.1: Gasto en SIL nominal por licencias médicas, según seguro de salud (miles $ de cada año) años 2011-2015" xr:uid="{6611EDFF-DE4D-E14E-8713-905D25729DF6}"/>
    <hyperlink ref="B126" location="'C8_GTO_SIL'!A14" display="Cuadro N° 8.2: Gasto en SIL por licencias médicas, según seguro de salud (miles $ de diciembre 2020) años 2016-2020" xr:uid="{56DE1663-85BA-AD4D-A84D-BF327245C110}"/>
    <hyperlink ref="B127" location="'C8_GTO_SIL'!A25" display="Cuadro N° 8.3: Gasto en SIL por licencias médicas, según seguro de salud y tipo de diagnóstico (miles $ de diciembre 2020) año 2020" xr:uid="{7F825940-B92B-0444-89E4-CD82A70194AF}"/>
    <hyperlink ref="B133" location="'C9_IND_SIL'!A3" display="Cuadro N° 9.1: Gasto en SIL por cotizante, según seguro de salud (miles $ de diciembre 2015) años 2011-2015" xr:uid="{D4330BF1-FA86-6941-B4D6-80F9AC3AD4A1}"/>
    <hyperlink ref="B134" location="'C9_IND_SIL'!A13" display="Cuadro N° 9.2: Número de días pagados por cotizante, según seguro de salud años 2011-2015" xr:uid="{58486F18-654E-A046-96DB-7FA8E63A8515}"/>
    <hyperlink ref="B136" location="'C9_IND_SIL'!A33" display="Cuadro N° 9.4: Gasto en SIL por licencia médica autorizada, según seguro de salud (miles $ de diciembre 2015) años 2011-2015" xr:uid="{AEC27633-5EAD-7844-83A3-2FDADDC593D3}"/>
    <hyperlink ref="B137" location="'C9_IND_SIL'!A43" display="Cuadro N° 9.5: Número de días pagados por licencia médica autorizada, según seguro de salud años 2011-2015" xr:uid="{EE576E6B-E89E-5D4E-80B7-CF55DC3F51EA}"/>
    <hyperlink ref="B135" location="'C9_IND_SIL'!A23" display="Cuadro N° 9.3: Gasto en SIL por día pagado, según seguro de salud (miles $ de diciembre 2015) años 2011-2015" xr:uid="{20E3280D-8401-AF48-A832-C909BB377B8E}"/>
    <hyperlink ref="B138" location="'C9_IND_SIL'!A53" display="Cuadro N° 9.6: Porcentaje de cotización necesario para financiar el SIL, según seguro de salud años 2011-2015" xr:uid="{EE507234-DFDB-384C-AB7A-3B73D5D111D1}"/>
    <hyperlink ref="B74" location="'C5_LMT_DIAG'!A3" display="Cuadro 5.1.1.1: Número de licencias médicas tramitadas, según seguro de salud y tipo de diagnóstico año 2015" xr:uid="{945437B6-96A5-0A48-9864-20B92A1448E5}"/>
    <hyperlink ref="B75" location="'C5_LMT_DIAG'!A23" display="Cuadro N° 5.1.2.1: Número de licencias médicas tramitadas FONASA, según tipo de diagnóstico y sexo año 2020" xr:uid="{2BF77057-4858-7943-83B9-177A0A41CD83}"/>
    <hyperlink ref="B76" location="'C5_LMT_DIAG'!R23" display="Cuadro N° 5.1.2.2: Número de licencias médicas tramitadas ISAPREs, según tipo de diagnóstico y sexo año 2020" xr:uid="{DC546714-E013-264D-9299-3F34FE31917B}"/>
    <hyperlink ref="B77" location="'C5_LMT_DIAG'!A32" display="Cuadro N° 5.1.3.1: Número de licencias médicas tramitadas FONASA, según tipo de diagnóstico y tramo etario año 2020" xr:uid="{E2F73267-CF49-EC4D-98A1-8D1273DD7CEA}"/>
    <hyperlink ref="B78" location="'C5_LMT_DIAG'!R32" display="Cuadro N° 5.1.3.2: Número de licencias médicas tramitadas ISAPREs, según tipo de diagnóstico y tramo etario año 2020" xr:uid="{2C184FCF-F831-8644-812E-A1D4420C8EC6}"/>
    <hyperlink ref="B79" location="'C5_LMT_DIAG'!A46" display="Cuadro N° 5.1.4.1: Número de licencias médicas tramitadas FONASA, según tipo de diagnóstico y región año 2020" xr:uid="{A53D4593-681F-7F4F-88B3-E88B94D53E0F}"/>
    <hyperlink ref="B80" location="'C5_LMT_DIAG'!R46" display="Cuadro N° 5.1.4.2: Número de licencias médicas tramitadas ISAPREs, según tipo de diagnóstico y región año 2020" xr:uid="{7E1D3CE8-D140-1943-9012-FA09DAEF999F}"/>
    <hyperlink ref="B81" location="'C5_LMT_DIAG'!A69" display="Cuadro N° 5.2.1.1: Número de días otorgados, según seguro de salud y tipo de diagnóstico año 2020" xr:uid="{4A0E6756-1513-3F42-947B-AFBF6809E25B}"/>
    <hyperlink ref="B82" location="'C5_LMT_DIAG'!A89" display="Cuadro N° 5.2.2.1: Número de días otorgados FONASA, según tipo de diagnóstico y sexo año 2020" xr:uid="{3A966ACF-8294-CA47-91ED-454C5EE85413}"/>
    <hyperlink ref="B83" location="'C5_LMT_DIAG'!R89" display="Cuadro N° 5.2.2.2: Número de días otorgados ISAPREs, según tipo de diagnóstico y sexo año 2020" xr:uid="{5B872E00-9142-AB43-BD01-A5E29CC41544}"/>
    <hyperlink ref="B84" location="'C5_LMT_DIAG'!A98" display="Cuadro N° 5.2.3.1: Número de días otorgados FONASA, según tipo de diagnóstico y tramo etario año 2020" xr:uid="{E2146FBC-F58D-2448-8B59-1B396E067539}"/>
    <hyperlink ref="B86" location="'C5_LMT_DIAG'!A112" display="Cuadro N° 5.2.4.1: Número de días otorgados FONASA, según tipo de diagnóstico y región año 2020" xr:uid="{862E0D87-7135-8049-A1AD-E7CF04C28BAF}"/>
    <hyperlink ref="B87" location="'C5_LMT_DIAG'!R112" display="Cuadro N° 5.2.4.2: Número de días otorgados ISAPREs, según tipo de diagnóstico y región año 2020" xr:uid="{FCA125B5-8042-EC4D-BDA0-B7135A0C808A}"/>
    <hyperlink ref="B85" location="'C5_LMT_DIAG'!R98" display="Cuadro N° 5.2.3.2: Número de días otorgados ISAPREs, según tipo de diagnóstico y tramo etario año 2020" xr:uid="{9AB27C0F-9087-2C47-A49E-EF2B56565BD1}"/>
    <hyperlink ref="B91" location="'C6_LMA_DIAG'!A3" display="Cuadro N° 6.1.1.1: Número de licencias médicas autorizadas, según seguro de salud y tipo de diagnóstico año 2015" xr:uid="{E14ACF37-9112-284C-B746-4D839C71CA8D}"/>
    <hyperlink ref="B92" location="'C6_LMA_DIAG'!A24" display="Cuadro N° 6.1.2.1: Número de licencias médicas autorizadas FONASA, según tipo de diagnóstico y sexo año 2020" xr:uid="{AE4294B2-C86C-E44E-A2CF-19FBDAF1B970}"/>
    <hyperlink ref="B93" location="'C6_LMA_DIAG'!R24" display="Cuadro N° 6.1.2.2: Número de licencias médicas autorizadas ISAPREs, según tipo de diagnóstico y sexo año 2020" xr:uid="{12ABA7E6-3627-8D40-9220-53646A126C5A}"/>
    <hyperlink ref="B94" location="'C6_LMA_DIAG'!A34" display="Cuadro N° 6.1.3.1: Número de licencias médicas autorizadas FONASA, según tipo de diagnóstico y tramo etario año 2020" xr:uid="{57D1DF1C-C5B3-7B4B-9172-CAE181AC2EF3}"/>
    <hyperlink ref="B95" location="'C6_LMA_DIAG'!R34" display="Cuadro N° 6.1.3.2: Número de licencias médicas autorizadas ISAPREs, según tipo de diagnóstico y tramo etario año 2020" xr:uid="{C9A71542-FE17-364C-8F12-58BB65F0CE0D}"/>
    <hyperlink ref="B96" location="'C6_LMA_DIAG'!A49" display="Cuadro N° 6.1.4.1: Número de licencias médicas autorizadas FONASA, según tipo de diagnóstico y región año 2020" xr:uid="{B6A79782-4525-C44D-BFB9-F0E093DCF670}"/>
    <hyperlink ref="B97" location="'C6_LMA_DIAG'!R49" display="Cuadro N° 6.1.4.2: Número de licencias médicas autorizadas ISAPREs, según tipo de diagnóstico y región año 2020" xr:uid="{B71AC1DC-0BF4-F441-9C57-07C57ACD9ADE}"/>
    <hyperlink ref="B98" location="'C6_LMA_DIAG'!A72" display="Cuadro N° 6.2.1.1: Número de días pagados, según seguro de salud y tipo de diagnóstico año 2020" xr:uid="{192F57E3-33DA-B146-92C5-7E7478F0046C}"/>
    <hyperlink ref="B99" location="'C6_LMA_DIAG'!A93" display="Cuadro N° 6.2.2.1: Número de días pagados FONASA, según tipo de diagnóstico y sexo año 2020" xr:uid="{3C4EA63E-E346-AC43-B9C8-AE8B90411F63}"/>
    <hyperlink ref="B100" location="'C6_LMA_DIAG'!R93" display="Cuadro N° 6.2.2.2: Número de días pagados ISAPREs, según tipo de diagnóstico y sexo año 2020" xr:uid="{56930BBD-B731-8B46-86BB-37DA8B30686B}"/>
    <hyperlink ref="B101" location="'C6_LMA_DIAG'!A103" display="Cuadro N° 6.2.3.1: Número de días pagados FONASA, según tipo de diagnóstico y tramo etario año 2020" xr:uid="{BD6FF967-0E59-B642-B4A4-FD2FD2C1FA0F}"/>
    <hyperlink ref="B103" location="'C6_LMA_DIAG'!A118" display="Cuadro N° 6.2.4.1: Número de días pagados FONASA, según tipo de diagnóstico y región año 2020" xr:uid="{B5FD2CFE-B243-514D-8B15-B3544B7CF7A4}"/>
    <hyperlink ref="B104" location="'C6_LMA_DIAG'!R118" display="Cuadro N° 6.2.4.2: Número de días pagados ISAPREs, según tipo de diagnóstico y región año 2020" xr:uid="{2A0B1886-D030-CA4F-9AC7-46368EF5C771}"/>
    <hyperlink ref="B102" location="'C6_LMA_DIAG'!R103" display="Cuadro N° 6.2.3.2: Número de días pagados ISAPREs, según tipo de diagnóstico y tramo etario año 2020" xr:uid="{2BE696B4-7D75-D546-AFDE-7A6B4CE6CD7B}"/>
    <hyperlink ref="B108" location="'C7_LMR_DIAG'!A3" display="Cuadro N° 7.1.1.1: Número de licencias médicas rechazadas, según seguro de salud y tipo de diagnóstico año 2015" xr:uid="{D7693AFC-4E36-3F4A-A1C6-71EB9F130C91}"/>
    <hyperlink ref="B109" location="'C7_LMR_DIAG'!A23" display="Cuadro N° 7.1.2.1: Número de licencias médicas rechazadas FONASA, según tipo de diagnóstico y sexo año 2020" xr:uid="{9FFE9C2B-542D-F845-B289-BF08714CA8A9}"/>
    <hyperlink ref="B110" location="'C7_LMR_DIAG'!R23" display="Cuadro N° 7.1.2.2: Número de licencias médicas rechazadas ISAPREs, según tipo de diagnóstico y sexo año 2020" xr:uid="{50EF2981-E725-BA45-A1A7-E367CB63C41F}"/>
    <hyperlink ref="B111" location="'C7_LMR_DIAG'!A32" display="Cuadro N° 7.1.3.1: Número de licencias médicas rechazadas FONASA, según tipo de diagnóstico y tramo etario año 2020" xr:uid="{04256408-366F-C34D-BCEC-A4E189C8CC52}"/>
    <hyperlink ref="B112" location="'C7_LMR_DIAG'!R32" display="Cuadro N° 7.1.3.2: Número de licencias médicas rechazadas ISAPREs, según tipo de diagnóstico y tramo etario año 2020" xr:uid="{3F6A05E6-75E3-1345-AB3C-B26A9CFCBFCC}"/>
    <hyperlink ref="B113" location="'C7_LMR_DIAG'!A46" display="Cuadro N° 7.1.4.1: Número de licencias médicas rechazadas FONASA, según tipo de diagnóstico y región año 2020" xr:uid="{61FCEE03-5545-2F4A-B960-441903B5519E}"/>
    <hyperlink ref="B114" location="'C7_LMR_DIAG'!R46" display="Cuadro N° 7.1.4.2: Número de licencias médicas rechazadas ISAPREs, según tipo de diagnóstico y región año 2020" xr:uid="{B6451BC2-B315-564D-8D60-31C207A1A59B}"/>
    <hyperlink ref="B115" location="'C7_LMR_DIAG'!A69" display="Cuadro N° 7.2.1.1: Número de días rechazados, según seguro de salud y tipo de diagnóstico año 2020" xr:uid="{CA74C8AB-6D6A-FE44-916D-BC1486F7F9BC}"/>
    <hyperlink ref="B116" location="'C7_LMR_DIAG'!A89" display="Cuadro N° 7.2.2.1: Número de días rechazados FONASA, según tipo de diagnóstico y sexo año 2020" xr:uid="{6A8F9D1B-C131-454B-B9D0-F02F62DE5EDF}"/>
    <hyperlink ref="B117" location="'C7_LMR_DIAG'!R89" display="Cuadro N° 7.2.2.2: Número de días rechazados ISAPREs, según tipo de diagnóstico y sexo año 2020" xr:uid="{2CDC2DD6-37D4-CF41-BF06-5C653B8AB7EE}"/>
    <hyperlink ref="B118" location="'C7_LMR_DIAG'!A98" display="Cuadro N° 7.2.3.1: Número de días rechazados FONASA, según tipo de diagnóstico y tramo etario año 2020" xr:uid="{4FC329D6-EDCE-B74E-9FC2-8D0BB9CEC30B}"/>
    <hyperlink ref="B120" location="'C7_LMR_DIAG'!A112" display="Cuadro N° 7.2.4.1: Número de días rechazados FONASA, según tipo de diagnóstico y región año 2020" xr:uid="{76EC06C5-2110-0E4A-B32A-2EFD70936556}"/>
    <hyperlink ref="B121" location="'C7_LMR_DIAG'!R112" display="Cuadro N° 7.2.4.2: Número de días rechazados ISAPREs, según tipo de diagnóstico y región año 2020" xr:uid="{CFE8F615-EF94-9E49-A75B-6C62F93C9CDB}"/>
    <hyperlink ref="B119" location="'C7_LMR_DIAG'!R98" display="Cuadro N° 7.2.3.2: Número de días rechazados ISAPREs, según tipo de diagnóstico y tramo etario año 2020" xr:uid="{C78B9A9F-65AF-724C-8C4A-E86ED695C436}"/>
    <hyperlink ref="B143" location="'C10_LMT_SECTOR'!A13" display="Cuadro N° 10.1.2.1: Número de licencias médicas tramitadas FONASA, según tipo de sector y sexo año 2020" xr:uid="{51013465-1D80-1E42-AABB-0B721587DE03}"/>
    <hyperlink ref="B144" location="'C10_LMT_SECTOR'!H13" display="Cuadro N° 10.1.2.2: Número de licencias médicas tramitadas ISAPREs, según tipo de sector y sexo año 2020" xr:uid="{A4F1FEA1-49C1-EB4B-8E2A-7375CC2AE565}"/>
    <hyperlink ref="B145" location="'C10_LMT_SECTOR'!A22" display="Cuadro N° 10.1.3.1: Número de licencias médicas tramitadas FONASA, según tipo de sector y tramo etario año 2020" xr:uid="{BD9FC725-DE65-3640-AEF6-B9B75A2CCB8E}"/>
    <hyperlink ref="B146" location="'C10_LMT_SECTOR'!H22" display="Cuadro N° 10.1.3.2: Número de licencias médicas tramitadas ISAPREs, según tipo de sector y tramo etario año 2020" xr:uid="{B5B695DE-DACC-DA45-8AC5-72E267E669D1}"/>
    <hyperlink ref="B147" location="'C10_LMT_SECTOR'!A36" display="Cuadro N° 10.1.4.1: Número de licencias médicas tramitadas FONASA, según tipo de sector y diagnóstico año 2020" xr:uid="{9E0CA1F7-D601-D64D-8BF4-5EBB7457A13B}"/>
    <hyperlink ref="B148" location="'C10_LMT_SECTOR'!H36" display="Cuadro N° 10.1.4.2: Número de licencias médicas tramitadas ISAPREs, según tipo de sector y diagnóstico año 2020" xr:uid="{355F72BA-C596-2B44-968F-F84F8F2456D7}"/>
    <hyperlink ref="B149" location="'C10_LMT_SECTOR'!A56" display="Cuadro N° 10.2.1.1: Número de días otorgados, según seguro de salud y tipo de sector año 2020" xr:uid="{6479700C-C414-B24E-B904-15C559B6DC26}"/>
    <hyperlink ref="B150" location="'C10_LMT_SECTOR'!A66" display="Cuadro N° 10.2.2.1: Número de días otorgados FONASA, según tipo de sector y sexo año 2020" xr:uid="{B598FFAC-34AE-DB43-8EDE-A0FFC4B3B3CA}"/>
    <hyperlink ref="B151" location="'C10_LMT_SECTOR'!H66" display="Cuadro N° 10.2.2.2: Número de días otorgados ISAPREs, según tipo de sector y sexo año 2020" xr:uid="{0524FCB5-318B-AC4A-A561-6499CF843D39}"/>
    <hyperlink ref="B152" location="'C10_LMT_SECTOR'!A75" display="Cuadro N° 10.2.3.1: Número de días otorgados FONASA, según tipo de sector y tramo etario año 2020" xr:uid="{4EEC5088-095B-0543-B9FD-07B37CD557AE}"/>
    <hyperlink ref="B154" location="'C10_LMT_SECTOR'!A89" display="Cuadro N° 10.2.4.1: Número de días otorgados FONASA, según tipo de sector y diagnóstico año 2020" xr:uid="{D70B05C4-0979-FA4B-861F-99F8B6E1D444}"/>
    <hyperlink ref="B155" location="'C10_LMT_SECTOR'!H89" display="Cuadro N° 10.2.4.2: Número de días otorgados ISAPREs, según tipo de sector y diagnóstico año 2020" xr:uid="{2689805E-9D5B-5349-906B-4EDE946F2A6D}"/>
    <hyperlink ref="B153" location="'C10_LMT_SECTOR'!H75" display="Cuadro N° 10.2.3.2: Número de días otorgados ISAPREs, según tipo de sector y tramo etario año 2020" xr:uid="{E374CFF3-B1DF-5A49-AC3A-4E581F64DEE3}"/>
    <hyperlink ref="B159" location="'C11_LMA_SECTOR'!A3" display="Cuadro N° 11.1.1.1: Número de licencias médicas autorizadas, según seguro de salud y tipo de sector año 2017" xr:uid="{5BF8CFCE-865E-AD45-990B-A0F4F16E2A80}"/>
    <hyperlink ref="B160" location="'C11_LMA_SECTOR'!A13" display="Cuadro N° 11.1.2.1: Número de licencias médicas autorizadas FONASA, según tipo de sector y sexo año 2020" xr:uid="{923172C4-BE01-E948-8F0A-8B1A94FE022C}"/>
    <hyperlink ref="B162" location="'C11_LMA_SECTOR'!A22" display="Cuadro N° 11.1.3.1: Número de licencias médicas autorizadas FONASA, según tipo de sector y tramo etario año 2020" xr:uid="{DBB969DE-620E-BE4B-BDEB-96F384CB0FA7}"/>
    <hyperlink ref="B163" location="'C11_LMA_SECTOR'!H22" display="Cuadro N° 11.1.3.2: Número de licencias médicas autorizadas ISAPREs, según tipo de sector y tramo etario año 2020" xr:uid="{CDE1D42E-49A7-6B42-9F5A-08D7EA85A86F}"/>
    <hyperlink ref="B164" location="'C11_LMA_SECTOR'!A36" display="Cuadro N° 11.1.4.1: Número de licencias médicas autorizadas FONASA, según tipo de sector y diagnóstico año 2020" xr:uid="{84CAF294-6E9E-4E48-B08F-64B980BC39A8}"/>
    <hyperlink ref="B165" location="'C11_LMA_SECTOR'!H36" display="Cuadro N° 11.1.4.2: Número de licencias médicas autorizadas ISAPREs, según tipo de sector y diagnóstico año 2020" xr:uid="{5CB7D46C-F71C-5140-AE94-318325E3F7B9}"/>
    <hyperlink ref="B166" location="'C11_LMA_SECTOR'!A56" display="Cuadro N° 11.2.1.1: Número de días pagados, según seguro de salud y tipo de sector año 2020" xr:uid="{CA9E37FC-8F49-7649-8DCA-A5985143C0BE}"/>
    <hyperlink ref="B167" location="'C11_LMA_SECTOR'!A66" display="Cuadro N° 11.2.2.1: Número de días pagados FONASA, según tipo de sector y sexo año 2020" xr:uid="{32DEC61F-314E-AC44-9AB2-B4FF765C0D2A}"/>
    <hyperlink ref="B168" location="'C11_LMA_SECTOR'!H66" display="Cuadro N° 11.2.2.2: Número de días pagados ISAPREs, según tipo de sector y sexo año 2020" xr:uid="{C762BA3E-7F1E-C243-BA6B-CD8464A589B5}"/>
    <hyperlink ref="B169" location="'C11_LMA_SECTOR'!A75" display="Cuadro N° 11.2.3.1: Número de días pagados FONASA, según tipo de sector y tramo etario año 2020" xr:uid="{D6893165-8CFC-1E45-A5A9-35048A061465}"/>
    <hyperlink ref="B171" location="'C11_LMA_SECTOR'!A89" display="Cuadro N° 11.2.4.1: Número de días pagados FONASA, según tipo de sector y diagnóstico año 2020" xr:uid="{01C4B84C-EF9E-2B4B-AD0B-DFB9C3D7E630}"/>
    <hyperlink ref="B172" location="'C11_LMA_SECTOR'!H89" display="Cuadro N° 11.2.4.2: Número de días pagados ISAPREs, según tipo de sector y diagnóstico año 2020" xr:uid="{DAB87F0A-CC57-C643-B4D1-2BD753DECE82}"/>
    <hyperlink ref="B170" location="'C11_LMA_SECTOR'!H75" display="Cuadro N° 11.2.3.2: Número de días pagados ISAPREs, según tipo de sector y tramo etario año 2020" xr:uid="{CF2CDFD0-E115-1F45-9A81-D0585EEFBE73}"/>
    <hyperlink ref="B176" location="'C12_LMR_SECTOR'!A3" display="Cuadro N° 12.1.1.1: Número de licencias médicas rechazadas, según seguro de salud y tipo de sector año 2017" xr:uid="{B5F75F85-99C2-B241-BDD2-9B4485BF1854}"/>
    <hyperlink ref="B177" location="'C12_LMR_SECTOR'!A13" display="Cuadro N° 12.1.2.1: Número de licencias médicas rechazadas FONASA, según tipo de sector y sexo año 2020" xr:uid="{B932F04C-0732-1045-9CE7-E75B9471A7AC}"/>
    <hyperlink ref="B178" location="'C12_LMR_SECTOR'!H13" display="Cuadro N° 12.1.2.2: Número de licencias médicas rechazadas ISAPREs, según tipo de sector y sexo año 2020" xr:uid="{CED3D787-1388-4F42-9606-D373095F8DE7}"/>
    <hyperlink ref="B179" location="'C12_LMR_SECTOR'!A22" display="Cuadro N° 12.1.3.1: Número de licencias médicas rechazadas FONASA, según tipo de sector y tramo etario año 2020" xr:uid="{EEAAB5CA-A621-1944-9216-CBCE0B9FBD69}"/>
    <hyperlink ref="B180" location="'C12_LMR_SECTOR'!H22" display="Cuadro N° 12.1.3.2: Número de licencias médicas rechazadas ISAPREs, según tipo de sector y tramo etario año 2020" xr:uid="{90FFBF91-4450-9D45-9F5C-3327D8FDFD6A}"/>
    <hyperlink ref="B181" location="'C12_LMR_SECTOR'!A36" display="Cuadro N° 12.1.4.1: Número de licencias médicas rechazadas FONASA, según tipo de sector y diagnóstico año 2020" xr:uid="{BF4CF251-7894-4941-B4C6-3CF845FF2004}"/>
    <hyperlink ref="B182" location="'C12_LMR_SECTOR'!H36" display="Cuadro N° 12.1.4.2: Número de licencias médicas rechazadas ISAPREs, según tipo de sector y diagnóstico año 2020" xr:uid="{486C67ED-577E-DC4E-85A7-9FC321F02CA3}"/>
    <hyperlink ref="B183" location="'C12_LMR_SECTOR'!A56" display="Cuadro N° 12.2.1.1: Número de días rechazados, según seguro de salud y tipo de sector año 2020" xr:uid="{C16609BE-6AF3-CF46-AEB4-395EF3B26C88}"/>
    <hyperlink ref="B184" location="'C12_LMR_SECTOR'!A66" display="Cuadro N° 12.2.2.1: Número de días rechazados FONASA, según tipo de sector y sexo año 2020" xr:uid="{128EF63C-CDA5-6F4B-A18D-63E9B8804098}"/>
    <hyperlink ref="B185" location="'C12_LMR_SECTOR'!H66" display="Cuadro N° 12.2.2.2: Número de días rechazados ISAPREs, según tipo de sector y sexo año 2020" xr:uid="{D7FB00D3-2FB7-8C4D-BBFA-347527BD03E1}"/>
    <hyperlink ref="B186" location="'C12_LMR_SECTOR'!A75" display="Cuadro N° 12.2.3.1: Número de días rechazados FONASA, según tipo de sector y tramo etario año 2020" xr:uid="{19CF7C79-4166-1A45-983D-C4209C4B1494}"/>
    <hyperlink ref="B188" location="'C12_LMR_SECTOR'!A89" display="Cuadro N° 12.2.4.1: Número de días rechazados FONASA, según tipo de sector y diagnóstico año 2020" xr:uid="{3070C85A-2EAF-D247-BCF2-340B4E5FF9D4}"/>
    <hyperlink ref="B189" location="'C12_LMR_SECTOR'!H89" display="Cuadro N° 12.2.4.2: Número de días rechazados ISAPREs, según tipo de sector y diagnóstico año 2020" xr:uid="{08C32982-DB8C-4A44-B4E6-67833D00D339}"/>
    <hyperlink ref="B187" location="'C12_LMR_SECTOR'!H75" display="Cuadro N° 12.2.3.2: Número de días rechazados ISAPREs, según tipo de sector y tramo etario año 2020" xr:uid="{5A137AE0-C022-2B4E-93D7-F779ADD292EF}"/>
    <hyperlink ref="B142" location="'C10_LMT_SECTOR'!A3" display="Cuadro N° 10.1.1.1: Número de licencias médicas tramitadas, según seguro de salud y tipo de sector año 2017" xr:uid="{9FFB7ACC-AED2-E847-BF27-7C5936B1598E}"/>
    <hyperlink ref="B14" location="'C1_COT'!A110" display="Cuadro N° 1.9.1: Número de cotizantes, según seguro de salud, sexo y tramo de remuneraciones año 2019" xr:uid="{DBF7BFC4-B30E-384A-878A-2632CA0CA2DA}"/>
    <hyperlink ref="B16" location="'C1_COT'!A125" display="Cuadro N° 1.10.1: Estadísticas promedio de cotizantes de cotizantes, según seguro de salud y sexo año 2019" xr:uid="{70BA2E43-27DF-7542-A43A-8C03DBC3C60E}"/>
    <hyperlink ref="B128" location="'C8_GTO_SIL'!A47" display="Cuadro N° 8.4.1: Gasto en SIL por licencias médicas FONASA, según  tipo de sector y tipo de diagnóstico (miles $ de diciembre 2020) año 2020" xr:uid="{FFBE39BF-7CFE-C04F-BCE3-4B895DB51A00}"/>
    <hyperlink ref="B129" location="'C8_GTO_SIL'!I47" display="Cuadro N° 8.4.2: Gasto en SIL por licencias médicas ISAPREs, según  tipo de sector y tipo de diagnóstico (miles $ de diciembre 2020) año 2020" xr:uid="{7D92E0C7-59DC-E943-A44D-BF6A9D94CCB2}"/>
    <hyperlink ref="B161" location="'C11_LMA_SECTOR'!H13" display="Cuadro N° 11.1.2.2: Número de licencias médicas autorizadas ISAPREs, según tipo de sector y sexo año 2020" xr:uid="{57045803-FD41-A642-A968-C7F95DFE3E60}"/>
    <hyperlink ref="B15" location="'C1_COT'!H110" display="Cuadro N° 1.9.2: Número de cotizantes, según seguro de salud, sexo y tramo de remuneraciones año 2019" xr:uid="{758B9A6E-2A16-B244-B4F0-DC71AF1B7DD0}"/>
    <hyperlink ref="B17" location="'C1_COT'!H125" display="Cuadro N° 1.10.2: Estadísticas promedio de cotizantes de cotizantes, según seguro de salud y sexo año 2019" xr:uid="{5F67B648-065B-8A4C-B619-FBB025050C1E}"/>
    <hyperlink ref="B26" location="'C2_LMT'!A69" display="Cuadro N° 2.1.6: Número de licencias médicas tramitadas, según seguro de salud y  tipo de resolución año 2019" xr:uid="{2E7F52C5-1B67-E44A-814B-B02684DC8DDC}"/>
    <hyperlink ref="B27" location="'C2_LMT'!A81" display="Cuadro N° 2.1.7: Número de licencias médicas tramitadas MUJERES, según seguro de salud y región año 2019" xr:uid="{F0F7FF29-5E85-764E-98CB-37BBBB5640FC}"/>
    <hyperlink ref="B34" location="'C2_LMT'!F69" display="Cuadro N° 2.2.6: Número de dias otorgados, según seguro de salud y  tipo de resolución año 2019" xr:uid="{1BC0E055-FEF5-1E46-8538-99A0F77C5E13}"/>
    <hyperlink ref="B35" location="'C2_LMT'!F81" display="Cuadro N° 2.2.7: Número de dias otorgados a MUJERES, según seguro de salud y región año 2019" xr:uid="{100E5F55-DCBF-414F-B2E9-F75438F637C9}"/>
    <hyperlink ref="B45" location="'C3_LMA'!A70" display="Cuadro N° 3.1.6: Número de licencias médicas autorizadas a MUJERES, según seguro de salud y región año 2019" xr:uid="{6C25F139-24E3-284F-A54C-30335EB6D9C8}"/>
    <hyperlink ref="B46" location="'C3_LMA'!A94" display="Cuadro N° 3.1.7: Número de licencias médicas autorizadas a HOMBRES, según seguro de salud y región año 2020" xr:uid="{FA6BC1DC-EF94-7E41-96AC-54C90D68663E}"/>
    <hyperlink ref="B52" location="'C3_LMA'!F70" display="Cuadro N° 3.2.6: Número de dias  pagados a MUJERES, según seguro de salud y región año 2019" xr:uid="{24EA3377-5CB6-B74A-99FF-B824DEE352F2}"/>
    <hyperlink ref="B53" location="'C3_LMA'!F94" display="Cuadro N° 3.2.7: Número de dias pagados a HOMBRES, según seguro de salud y región año 2020" xr:uid="{1D891F8C-19A4-404B-AFEC-FEBC67CAD5FE}"/>
    <hyperlink ref="B63" location="'C4_LMR'!A92" display="Cuadro N° 4.1.7: Número de licencias médicas rechazadas a HOMBRES, según seguro de salud y región año 2020" xr:uid="{EDCF7273-505A-2747-916D-A0AC895D2F73}"/>
    <hyperlink ref="B69" location="'C4_LMR'!F69" display="Cuadro N° 4.2.6: Número de dias  rechazados a MUJERES, según seguro de salud y región año 2020" xr:uid="{E4480106-3452-664F-A33A-E76A8542736E}"/>
    <hyperlink ref="B70" location="'C4_LMR'!F92" display="Cuadro N° 4.2.7: Número de dias rechazados a HOMBRES, según seguro de salud y región año 2020" xr:uid="{AE805655-EA8B-4C42-A103-650535CDC2F9}"/>
    <hyperlink ref="B62" location="'C4_LMR'!A69" display="Cuadro N° 4.1.6: Número de licencias médicas rechazadas a MUJERES, según seguro de salud y región año 2020" xr:uid="{18077F58-B513-2F46-9524-2E5DB7C6C66A}"/>
    <hyperlink ref="B61" location="'C4_LMR'!A46" display="Cuadro N° 4.1.5: Número de licencias médicas rechazadas a MUJERES, según seguro de salud y región año 2020" xr:uid="{2FEA9BB1-888B-6F4C-9D79-864B2DCCFCE9}"/>
    <hyperlink ref="B67" location="'C4_LMR'!F36" display="Cuadro N° 4.2.4: Número de días rechazados, según seguro de salud y región año 2017" xr:uid="{10F6F480-1544-4145-96C5-08DD35A7ED9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AC1A-2160-9643-B8C1-6059C94CBA3D}">
  <dimension ref="B2:C26"/>
  <sheetViews>
    <sheetView showGridLines="0" workbookViewId="0"/>
  </sheetViews>
  <sheetFormatPr baseColWidth="10" defaultRowHeight="15"/>
  <cols>
    <col min="2" max="2" width="18" customWidth="1"/>
    <col min="3" max="3" width="40.7109375" bestFit="1" customWidth="1"/>
  </cols>
  <sheetData>
    <row r="2" spans="2:3" ht="18.75" customHeight="1">
      <c r="B2" s="126" t="s">
        <v>351</v>
      </c>
      <c r="C2" s="127"/>
    </row>
    <row r="3" spans="2:3" ht="15" customHeight="1">
      <c r="B3" s="128"/>
      <c r="C3" s="129"/>
    </row>
    <row r="4" spans="2:3" ht="18.75">
      <c r="B4" s="59" t="s">
        <v>352</v>
      </c>
      <c r="C4" s="59" t="s">
        <v>353</v>
      </c>
    </row>
    <row r="5" spans="2:3">
      <c r="B5" s="60"/>
      <c r="C5" s="60"/>
    </row>
    <row r="6" spans="2:3">
      <c r="B6" s="61" t="s">
        <v>354</v>
      </c>
      <c r="C6" s="62" t="s">
        <v>355</v>
      </c>
    </row>
    <row r="7" spans="2:3">
      <c r="B7" s="61" t="s">
        <v>356</v>
      </c>
      <c r="C7" s="62" t="s">
        <v>357</v>
      </c>
    </row>
    <row r="8" spans="2:3">
      <c r="B8" s="61" t="s">
        <v>358</v>
      </c>
      <c r="C8" s="62" t="s">
        <v>359</v>
      </c>
    </row>
    <row r="9" spans="2:3">
      <c r="B9" s="61" t="s">
        <v>360</v>
      </c>
      <c r="C9" s="62" t="s">
        <v>361</v>
      </c>
    </row>
    <row r="10" spans="2:3">
      <c r="B10" s="61" t="s">
        <v>362</v>
      </c>
      <c r="C10" s="62" t="s">
        <v>363</v>
      </c>
    </row>
    <row r="11" spans="2:3">
      <c r="B11" s="61" t="s">
        <v>364</v>
      </c>
      <c r="C11" s="62" t="s">
        <v>365</v>
      </c>
    </row>
    <row r="12" spans="2:3">
      <c r="B12" s="61" t="s">
        <v>366</v>
      </c>
      <c r="C12" s="62" t="s">
        <v>367</v>
      </c>
    </row>
    <row r="13" spans="2:3">
      <c r="B13" s="61" t="s">
        <v>368</v>
      </c>
      <c r="C13" s="62" t="s">
        <v>369</v>
      </c>
    </row>
    <row r="14" spans="2:3">
      <c r="B14" s="61" t="s">
        <v>370</v>
      </c>
      <c r="C14" s="62" t="s">
        <v>371</v>
      </c>
    </row>
    <row r="15" spans="2:3">
      <c r="B15" s="61" t="s">
        <v>372</v>
      </c>
      <c r="C15" s="62" t="s">
        <v>373</v>
      </c>
    </row>
    <row r="16" spans="2:3">
      <c r="B16" s="61" t="s">
        <v>374</v>
      </c>
      <c r="C16" s="62" t="s">
        <v>375</v>
      </c>
    </row>
    <row r="17" spans="2:3">
      <c r="B17" s="61" t="s">
        <v>376</v>
      </c>
      <c r="C17" s="62" t="s">
        <v>377</v>
      </c>
    </row>
    <row r="18" spans="2:3">
      <c r="B18" s="61" t="s">
        <v>378</v>
      </c>
      <c r="C18" s="62" t="s">
        <v>379</v>
      </c>
    </row>
    <row r="19" spans="2:3">
      <c r="B19" s="61" t="s">
        <v>380</v>
      </c>
      <c r="C19" s="62" t="s">
        <v>381</v>
      </c>
    </row>
    <row r="20" spans="2:3">
      <c r="B20" s="61" t="s">
        <v>382</v>
      </c>
      <c r="C20" s="62" t="s">
        <v>383</v>
      </c>
    </row>
    <row r="21" spans="2:3">
      <c r="B21" s="61" t="s">
        <v>384</v>
      </c>
      <c r="C21" s="62" t="s">
        <v>385</v>
      </c>
    </row>
    <row r="22" spans="2:3">
      <c r="B22" s="61" t="s">
        <v>386</v>
      </c>
      <c r="C22" s="62" t="s">
        <v>387</v>
      </c>
    </row>
    <row r="23" spans="2:3">
      <c r="B23" s="61" t="s">
        <v>388</v>
      </c>
      <c r="C23" s="62" t="s">
        <v>389</v>
      </c>
    </row>
    <row r="24" spans="2:3">
      <c r="B24" s="61" t="s">
        <v>390</v>
      </c>
      <c r="C24" s="62" t="s">
        <v>391</v>
      </c>
    </row>
    <row r="25" spans="2:3">
      <c r="B25" s="61" t="s">
        <v>392</v>
      </c>
      <c r="C25" s="62" t="s">
        <v>393</v>
      </c>
    </row>
    <row r="26" spans="2:3">
      <c r="B26" s="63"/>
      <c r="C26" s="64"/>
    </row>
  </sheetData>
  <mergeCells count="1">
    <mergeCell ref="B2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7"/>
  <sheetViews>
    <sheetView showGridLines="0" zoomScaleNormal="100" workbookViewId="0"/>
  </sheetViews>
  <sheetFormatPr baseColWidth="10" defaultColWidth="33.140625" defaultRowHeight="15"/>
  <cols>
    <col min="1" max="1" width="20.7109375" style="3" customWidth="1"/>
    <col min="2" max="3" width="12.7109375" style="6" customWidth="1"/>
    <col min="4" max="4" width="14.42578125" style="3" customWidth="1"/>
    <col min="5" max="6" width="11.85546875" customWidth="1"/>
    <col min="7" max="7" width="23.85546875" style="3" customWidth="1"/>
    <col min="8" max="8" width="23.140625" style="3" customWidth="1"/>
    <col min="9" max="12" width="11.85546875" style="3" customWidth="1"/>
    <col min="13" max="13" width="15.7109375" style="3" customWidth="1"/>
    <col min="14" max="14" width="27.42578125" style="3" bestFit="1" customWidth="1"/>
    <col min="15" max="18" width="15.7109375" style="3" customWidth="1"/>
    <col min="19" max="19" width="27.42578125" style="3" customWidth="1"/>
    <col min="20" max="39" width="15.7109375" style="3" customWidth="1"/>
    <col min="40" max="16384" width="33.140625" style="3"/>
  </cols>
  <sheetData>
    <row r="1" spans="1:10" ht="18.75">
      <c r="A1" s="1" t="s">
        <v>74</v>
      </c>
    </row>
    <row r="2" spans="1:10">
      <c r="A2" s="2"/>
    </row>
    <row r="3" spans="1:10">
      <c r="A3" s="2" t="s">
        <v>53</v>
      </c>
    </row>
    <row r="4" spans="1:10">
      <c r="A4" s="2" t="s">
        <v>242</v>
      </c>
    </row>
    <row r="5" spans="1:10">
      <c r="A5" s="8" t="s">
        <v>49</v>
      </c>
      <c r="B5" s="8" t="s">
        <v>0</v>
      </c>
      <c r="C5" s="8" t="s">
        <v>1</v>
      </c>
      <c r="D5" s="8" t="s">
        <v>45</v>
      </c>
    </row>
    <row r="6" spans="1:10">
      <c r="A6" s="16">
        <v>2016</v>
      </c>
      <c r="B6" s="4">
        <v>4467115.166666667</v>
      </c>
      <c r="C6" s="4">
        <v>1668243.0833333333</v>
      </c>
      <c r="D6" s="4">
        <v>6135358.25</v>
      </c>
      <c r="E6" s="50"/>
      <c r="F6" s="50"/>
    </row>
    <row r="7" spans="1:10">
      <c r="A7" s="16">
        <v>2017</v>
      </c>
      <c r="B7" s="5">
        <v>4608887.083333334</v>
      </c>
      <c r="C7" s="5">
        <v>1695602.1620541674</v>
      </c>
      <c r="D7" s="5">
        <v>6304489.2453875011</v>
      </c>
      <c r="E7" s="50"/>
      <c r="F7" s="50"/>
    </row>
    <row r="8" spans="1:10">
      <c r="A8" s="16">
        <v>2018</v>
      </c>
      <c r="B8" s="5">
        <v>4503586</v>
      </c>
      <c r="C8" s="5">
        <v>1708586.5683299012</v>
      </c>
      <c r="D8" s="5">
        <v>6212172.5683299014</v>
      </c>
      <c r="E8" s="50"/>
      <c r="F8" s="50"/>
      <c r="H8" s="71"/>
      <c r="I8" s="72"/>
      <c r="J8" s="71"/>
    </row>
    <row r="9" spans="1:10">
      <c r="A9" s="16">
        <v>2019</v>
      </c>
      <c r="B9" s="5">
        <v>4634668</v>
      </c>
      <c r="C9" s="5">
        <v>1752337.3736051747</v>
      </c>
      <c r="D9" s="5">
        <v>6387005.3736051749</v>
      </c>
      <c r="E9" s="50"/>
      <c r="F9" s="50"/>
      <c r="G9" s="6"/>
      <c r="H9" s="42"/>
      <c r="I9" s="42"/>
      <c r="J9" s="42"/>
    </row>
    <row r="10" spans="1:10">
      <c r="A10" s="18">
        <v>2020</v>
      </c>
      <c r="B10" s="11">
        <v>4607574</v>
      </c>
      <c r="C10" s="11">
        <v>1706748</v>
      </c>
      <c r="D10" s="11">
        <v>6314322</v>
      </c>
      <c r="E10" s="50"/>
      <c r="F10" s="50"/>
      <c r="G10" s="6"/>
      <c r="H10" s="42"/>
      <c r="I10" s="42"/>
      <c r="J10" s="42"/>
    </row>
    <row r="11" spans="1:10">
      <c r="B11" s="42"/>
      <c r="C11" s="42"/>
      <c r="D11" s="42"/>
    </row>
    <row r="13" spans="1:10">
      <c r="A13" s="2" t="s">
        <v>54</v>
      </c>
    </row>
    <row r="14" spans="1:10">
      <c r="A14" s="2" t="s">
        <v>243</v>
      </c>
    </row>
    <row r="15" spans="1:10">
      <c r="A15" s="8" t="s">
        <v>50</v>
      </c>
      <c r="B15" s="8" t="s">
        <v>0</v>
      </c>
      <c r="C15" s="8" t="s">
        <v>1</v>
      </c>
      <c r="D15" s="8" t="s">
        <v>45</v>
      </c>
    </row>
    <row r="16" spans="1:10">
      <c r="A16" s="13" t="s">
        <v>5</v>
      </c>
      <c r="B16" s="4">
        <v>2543062</v>
      </c>
      <c r="C16" s="4">
        <v>1088468</v>
      </c>
      <c r="D16" s="14">
        <v>3631530</v>
      </c>
      <c r="E16" s="50"/>
      <c r="F16" s="50"/>
    </row>
    <row r="17" spans="1:6">
      <c r="A17" s="16" t="s">
        <v>6</v>
      </c>
      <c r="B17" s="5">
        <v>2034086</v>
      </c>
      <c r="C17" s="5">
        <v>618280</v>
      </c>
      <c r="D17" s="10">
        <v>2652366</v>
      </c>
      <c r="E17" s="50"/>
      <c r="F17" s="50"/>
    </row>
    <row r="18" spans="1:6">
      <c r="A18" s="16" t="s">
        <v>350</v>
      </c>
      <c r="B18" s="5">
        <v>54</v>
      </c>
      <c r="C18" s="5">
        <v>0</v>
      </c>
      <c r="D18" s="10">
        <v>54</v>
      </c>
      <c r="E18" s="50"/>
      <c r="F18" s="50"/>
    </row>
    <row r="19" spans="1:6">
      <c r="A19" s="16" t="s">
        <v>216</v>
      </c>
      <c r="B19" s="5">
        <v>30372</v>
      </c>
      <c r="C19" s="5">
        <v>0</v>
      </c>
      <c r="D19" s="10">
        <v>30372</v>
      </c>
      <c r="E19" s="50"/>
      <c r="F19" s="50"/>
    </row>
    <row r="20" spans="1:6">
      <c r="A20" s="20" t="s">
        <v>46</v>
      </c>
      <c r="B20" s="36">
        <v>4607574</v>
      </c>
      <c r="C20" s="36">
        <v>1706748</v>
      </c>
      <c r="D20" s="51">
        <v>6314322</v>
      </c>
      <c r="E20" s="50"/>
      <c r="F20" s="50"/>
    </row>
    <row r="21" spans="1:6">
      <c r="A21" s="19"/>
      <c r="B21" s="46"/>
      <c r="C21" s="47"/>
      <c r="D21" s="56"/>
    </row>
    <row r="22" spans="1:6">
      <c r="A22" s="19"/>
      <c r="B22" s="41"/>
      <c r="C22" s="41"/>
      <c r="D22" s="41"/>
    </row>
    <row r="23" spans="1:6">
      <c r="A23" s="2" t="s">
        <v>55</v>
      </c>
      <c r="D23" s="41"/>
    </row>
    <row r="24" spans="1:6">
      <c r="A24" s="9" t="s">
        <v>244</v>
      </c>
    </row>
    <row r="25" spans="1:6">
      <c r="A25" s="8" t="s">
        <v>51</v>
      </c>
      <c r="B25" s="8" t="s">
        <v>0</v>
      </c>
      <c r="C25" s="8" t="s">
        <v>1</v>
      </c>
      <c r="D25" s="8" t="s">
        <v>45</v>
      </c>
    </row>
    <row r="26" spans="1:6">
      <c r="A26" s="13" t="s">
        <v>40</v>
      </c>
      <c r="B26" s="4">
        <v>37010</v>
      </c>
      <c r="C26" s="4">
        <v>1766</v>
      </c>
      <c r="D26" s="4">
        <v>38776</v>
      </c>
      <c r="E26" s="50"/>
      <c r="F26" s="50"/>
    </row>
    <row r="27" spans="1:6">
      <c r="A27" s="16" t="s">
        <v>2</v>
      </c>
      <c r="B27" s="5">
        <v>334116</v>
      </c>
      <c r="C27" s="5">
        <v>41825</v>
      </c>
      <c r="D27" s="5">
        <v>375941</v>
      </c>
      <c r="E27" s="50"/>
      <c r="F27" s="50"/>
    </row>
    <row r="28" spans="1:6">
      <c r="A28" s="16" t="s">
        <v>41</v>
      </c>
      <c r="B28" s="5">
        <v>1286150</v>
      </c>
      <c r="C28" s="5">
        <v>520939</v>
      </c>
      <c r="D28" s="5">
        <v>1807089</v>
      </c>
      <c r="E28" s="50"/>
      <c r="F28" s="50"/>
    </row>
    <row r="29" spans="1:6">
      <c r="A29" s="16" t="s">
        <v>42</v>
      </c>
      <c r="B29" s="5">
        <v>1049520</v>
      </c>
      <c r="C29" s="5">
        <v>513499</v>
      </c>
      <c r="D29" s="5">
        <v>1563019</v>
      </c>
      <c r="E29" s="50"/>
      <c r="F29" s="50"/>
    </row>
    <row r="30" spans="1:6">
      <c r="A30" s="16" t="s">
        <v>43</v>
      </c>
      <c r="B30" s="5">
        <v>963407</v>
      </c>
      <c r="C30" s="5">
        <v>358161</v>
      </c>
      <c r="D30" s="5">
        <v>1321568</v>
      </c>
      <c r="E30" s="50"/>
      <c r="F30" s="50"/>
    </row>
    <row r="31" spans="1:6">
      <c r="A31" s="16" t="s">
        <v>44</v>
      </c>
      <c r="B31" s="5">
        <v>709560</v>
      </c>
      <c r="C31" s="5">
        <v>214397</v>
      </c>
      <c r="D31" s="5">
        <v>923957</v>
      </c>
      <c r="E31" s="50"/>
      <c r="F31" s="50"/>
    </row>
    <row r="32" spans="1:6">
      <c r="A32" s="16" t="s">
        <v>3</v>
      </c>
      <c r="B32" s="5">
        <v>197447</v>
      </c>
      <c r="C32" s="5">
        <v>56155</v>
      </c>
      <c r="D32" s="5">
        <v>253602</v>
      </c>
      <c r="E32" s="50"/>
      <c r="F32" s="50"/>
    </row>
    <row r="33" spans="1:6">
      <c r="A33" s="16" t="s">
        <v>216</v>
      </c>
      <c r="B33" s="5">
        <v>30364</v>
      </c>
      <c r="C33" s="5">
        <v>6</v>
      </c>
      <c r="D33" s="5">
        <v>30370</v>
      </c>
      <c r="E33" s="50"/>
      <c r="F33" s="50"/>
    </row>
    <row r="34" spans="1:6">
      <c r="A34" s="20" t="s">
        <v>46</v>
      </c>
      <c r="B34" s="36">
        <v>4607574</v>
      </c>
      <c r="C34" s="36">
        <v>1706748</v>
      </c>
      <c r="D34" s="36">
        <v>6314322</v>
      </c>
      <c r="E34" s="50"/>
      <c r="F34" s="50"/>
    </row>
    <row r="35" spans="1:6">
      <c r="B35" s="46"/>
      <c r="C35" s="47"/>
      <c r="D35" s="48"/>
    </row>
    <row r="37" spans="1:6">
      <c r="A37" s="2" t="s">
        <v>56</v>
      </c>
    </row>
    <row r="38" spans="1:6">
      <c r="A38" s="9" t="s">
        <v>245</v>
      </c>
    </row>
    <row r="39" spans="1:6">
      <c r="A39" s="8" t="s">
        <v>52</v>
      </c>
      <c r="B39" s="8" t="s">
        <v>0</v>
      </c>
      <c r="C39" s="8" t="s">
        <v>1</v>
      </c>
      <c r="D39" s="8" t="s">
        <v>45</v>
      </c>
    </row>
    <row r="40" spans="1:6">
      <c r="A40" s="13" t="s">
        <v>32</v>
      </c>
      <c r="B40" s="4">
        <v>3850219</v>
      </c>
      <c r="C40" s="4">
        <v>1634521</v>
      </c>
      <c r="D40" s="4">
        <v>5484740</v>
      </c>
      <c r="E40" s="50"/>
      <c r="F40" s="50"/>
    </row>
    <row r="41" spans="1:6">
      <c r="A41" s="16" t="s">
        <v>4</v>
      </c>
      <c r="B41" s="5">
        <v>274359</v>
      </c>
      <c r="C41" s="5">
        <v>72227</v>
      </c>
      <c r="D41" s="5">
        <v>346586</v>
      </c>
      <c r="E41" s="50"/>
      <c r="F41" s="50"/>
    </row>
    <row r="42" spans="1:6">
      <c r="A42" s="16" t="s">
        <v>216</v>
      </c>
      <c r="B42" s="5">
        <v>253062</v>
      </c>
      <c r="C42" s="5">
        <v>0</v>
      </c>
      <c r="D42" s="5">
        <v>253062</v>
      </c>
      <c r="E42" s="50"/>
      <c r="F42" s="50"/>
    </row>
    <row r="43" spans="1:6">
      <c r="A43" s="16" t="s">
        <v>239</v>
      </c>
      <c r="B43" s="5">
        <v>229934</v>
      </c>
      <c r="C43" s="5">
        <v>0</v>
      </c>
      <c r="D43" s="5">
        <v>229934</v>
      </c>
      <c r="E43" s="50"/>
      <c r="F43" s="50"/>
    </row>
    <row r="44" spans="1:6">
      <c r="A44" s="20" t="s">
        <v>46</v>
      </c>
      <c r="B44" s="36">
        <v>4607574</v>
      </c>
      <c r="C44" s="36">
        <v>1706748</v>
      </c>
      <c r="D44" s="36">
        <v>6314322</v>
      </c>
    </row>
    <row r="45" spans="1:6">
      <c r="B45" s="47"/>
      <c r="C45" s="47"/>
      <c r="D45" s="47"/>
    </row>
    <row r="46" spans="1:6">
      <c r="B46" s="47"/>
      <c r="C46" s="47"/>
      <c r="D46" s="47"/>
    </row>
    <row r="47" spans="1:6">
      <c r="A47" s="2" t="s">
        <v>57</v>
      </c>
    </row>
    <row r="48" spans="1:6">
      <c r="A48" s="9" t="s">
        <v>246</v>
      </c>
    </row>
    <row r="49" spans="1:6">
      <c r="A49" s="8" t="s">
        <v>145</v>
      </c>
      <c r="B49" s="8" t="s">
        <v>0</v>
      </c>
      <c r="C49" s="8" t="s">
        <v>1</v>
      </c>
      <c r="D49" s="8" t="s">
        <v>45</v>
      </c>
    </row>
    <row r="50" spans="1:6">
      <c r="A50" s="21" t="s">
        <v>14</v>
      </c>
      <c r="B50" s="4">
        <v>54380</v>
      </c>
      <c r="C50" s="4">
        <v>14091</v>
      </c>
      <c r="D50" s="4">
        <v>68471</v>
      </c>
      <c r="E50" s="50"/>
      <c r="F50" s="50"/>
    </row>
    <row r="51" spans="1:6">
      <c r="A51" s="22" t="s">
        <v>15</v>
      </c>
      <c r="B51" s="5">
        <v>57624</v>
      </c>
      <c r="C51" s="5">
        <v>26779</v>
      </c>
      <c r="D51" s="5">
        <v>84403</v>
      </c>
      <c r="E51" s="50"/>
      <c r="F51" s="50"/>
    </row>
    <row r="52" spans="1:6">
      <c r="A52" s="22" t="s">
        <v>16</v>
      </c>
      <c r="B52" s="5">
        <v>148041.99999999997</v>
      </c>
      <c r="C52" s="5">
        <v>80002</v>
      </c>
      <c r="D52" s="5">
        <v>228043.99999999997</v>
      </c>
      <c r="E52" s="50"/>
      <c r="F52" s="50"/>
    </row>
    <row r="53" spans="1:6">
      <c r="A53" s="22" t="s">
        <v>17</v>
      </c>
      <c r="B53" s="5">
        <v>79766</v>
      </c>
      <c r="C53" s="5">
        <v>23049</v>
      </c>
      <c r="D53" s="5">
        <v>102815</v>
      </c>
      <c r="E53" s="50"/>
      <c r="F53" s="50"/>
    </row>
    <row r="54" spans="1:6">
      <c r="A54" s="22" t="s">
        <v>18</v>
      </c>
      <c r="B54" s="5">
        <v>196002</v>
      </c>
      <c r="C54" s="5">
        <v>37920</v>
      </c>
      <c r="D54" s="5">
        <v>233922</v>
      </c>
      <c r="E54" s="50"/>
      <c r="F54" s="50"/>
    </row>
    <row r="55" spans="1:6">
      <c r="A55" s="22" t="s">
        <v>19</v>
      </c>
      <c r="B55" s="5">
        <v>456590</v>
      </c>
      <c r="C55" s="5">
        <v>119088</v>
      </c>
      <c r="D55" s="5">
        <v>575678</v>
      </c>
      <c r="E55" s="50"/>
      <c r="F55" s="50"/>
    </row>
    <row r="56" spans="1:6">
      <c r="A56" s="22" t="s">
        <v>20</v>
      </c>
      <c r="B56" s="5">
        <v>1749908</v>
      </c>
      <c r="C56" s="5">
        <v>1030155</v>
      </c>
      <c r="D56" s="5">
        <v>2780063</v>
      </c>
      <c r="E56" s="50"/>
      <c r="F56" s="50"/>
    </row>
    <row r="57" spans="1:6">
      <c r="A57" s="22" t="s">
        <v>21</v>
      </c>
      <c r="B57" s="5">
        <v>260304</v>
      </c>
      <c r="C57" s="5">
        <v>57396</v>
      </c>
      <c r="D57" s="5">
        <v>317700</v>
      </c>
      <c r="E57" s="50"/>
      <c r="F57" s="50"/>
    </row>
    <row r="58" spans="1:6">
      <c r="A58" s="22" t="s">
        <v>22</v>
      </c>
      <c r="B58" s="5">
        <v>284352</v>
      </c>
      <c r="C58" s="5">
        <v>50613</v>
      </c>
      <c r="D58" s="5">
        <v>334965</v>
      </c>
      <c r="E58" s="50"/>
      <c r="F58" s="50"/>
    </row>
    <row r="59" spans="1:6">
      <c r="A59" s="22" t="s">
        <v>237</v>
      </c>
      <c r="B59" s="5">
        <v>127165</v>
      </c>
      <c r="C59" s="5">
        <v>19793</v>
      </c>
      <c r="D59" s="5">
        <v>146958</v>
      </c>
      <c r="E59" s="50"/>
      <c r="F59" s="50"/>
    </row>
    <row r="60" spans="1:6">
      <c r="A60" s="22" t="s">
        <v>23</v>
      </c>
      <c r="B60" s="5">
        <v>412131</v>
      </c>
      <c r="C60" s="5">
        <v>100064</v>
      </c>
      <c r="D60" s="5">
        <v>512195</v>
      </c>
      <c r="E60" s="50"/>
      <c r="F60" s="50"/>
    </row>
    <row r="61" spans="1:6">
      <c r="A61" s="22" t="s">
        <v>24</v>
      </c>
      <c r="B61" s="5">
        <v>226791</v>
      </c>
      <c r="C61" s="5">
        <v>45456</v>
      </c>
      <c r="D61" s="5">
        <v>272247</v>
      </c>
      <c r="E61" s="50"/>
      <c r="F61" s="50"/>
    </row>
    <row r="62" spans="1:6">
      <c r="A62" s="22" t="s">
        <v>25</v>
      </c>
      <c r="B62" s="5">
        <v>92083</v>
      </c>
      <c r="C62" s="5">
        <v>19688</v>
      </c>
      <c r="D62" s="5">
        <v>111771</v>
      </c>
      <c r="E62" s="50"/>
      <c r="F62" s="50"/>
    </row>
    <row r="63" spans="1:6">
      <c r="A63" s="22" t="s">
        <v>26</v>
      </c>
      <c r="B63" s="5">
        <v>254246</v>
      </c>
      <c r="C63" s="5">
        <v>60715</v>
      </c>
      <c r="D63" s="5">
        <v>314961</v>
      </c>
      <c r="E63" s="50"/>
      <c r="F63" s="50"/>
    </row>
    <row r="64" spans="1:6">
      <c r="A64" s="22" t="s">
        <v>27</v>
      </c>
      <c r="B64" s="5">
        <v>27324</v>
      </c>
      <c r="C64" s="5">
        <v>5086</v>
      </c>
      <c r="D64" s="5">
        <v>32410</v>
      </c>
      <c r="E64" s="50"/>
      <c r="F64" s="50"/>
    </row>
    <row r="65" spans="1:6">
      <c r="A65" s="22" t="s">
        <v>28</v>
      </c>
      <c r="B65" s="5">
        <v>47708</v>
      </c>
      <c r="C65" s="5">
        <v>16849</v>
      </c>
      <c r="D65" s="5">
        <v>64557</v>
      </c>
      <c r="E65" s="50"/>
      <c r="F65" s="50"/>
    </row>
    <row r="66" spans="1:6">
      <c r="A66" s="22" t="s">
        <v>216</v>
      </c>
      <c r="B66" s="5">
        <v>133158</v>
      </c>
      <c r="C66" s="5">
        <v>4</v>
      </c>
      <c r="D66" s="5">
        <v>133162</v>
      </c>
      <c r="E66" s="50"/>
      <c r="F66" s="50"/>
    </row>
    <row r="67" spans="1:6">
      <c r="A67" s="20" t="s">
        <v>46</v>
      </c>
      <c r="B67" s="36">
        <v>4607574</v>
      </c>
      <c r="C67" s="36">
        <v>1706748</v>
      </c>
      <c r="D67" s="36">
        <v>6314322</v>
      </c>
      <c r="E67" s="50"/>
      <c r="F67" s="50"/>
    </row>
    <row r="68" spans="1:6">
      <c r="B68" s="46"/>
      <c r="C68" s="47"/>
      <c r="D68" s="48"/>
    </row>
    <row r="70" spans="1:6">
      <c r="A70" s="2" t="s">
        <v>58</v>
      </c>
    </row>
    <row r="71" spans="1:6">
      <c r="A71" s="9" t="s">
        <v>247</v>
      </c>
    </row>
    <row r="72" spans="1:6" ht="39">
      <c r="A72" s="23" t="s">
        <v>238</v>
      </c>
      <c r="B72" s="15" t="s">
        <v>0</v>
      </c>
      <c r="C72" s="15" t="s">
        <v>1</v>
      </c>
      <c r="D72" s="15" t="s">
        <v>45</v>
      </c>
    </row>
    <row r="73" spans="1:6">
      <c r="A73" s="22" t="s">
        <v>394</v>
      </c>
      <c r="B73" s="4">
        <v>1038336</v>
      </c>
      <c r="C73" s="4">
        <v>46365</v>
      </c>
      <c r="D73" s="4">
        <v>1084701</v>
      </c>
      <c r="E73" s="50"/>
      <c r="F73" s="50"/>
    </row>
    <row r="74" spans="1:6">
      <c r="A74" s="22" t="s">
        <v>395</v>
      </c>
      <c r="B74" s="5">
        <v>2236942</v>
      </c>
      <c r="C74" s="5">
        <v>167419</v>
      </c>
      <c r="D74" s="5">
        <v>2404361</v>
      </c>
      <c r="E74" s="50"/>
      <c r="F74" s="50"/>
    </row>
    <row r="75" spans="1:6">
      <c r="A75" s="22" t="s">
        <v>396</v>
      </c>
      <c r="B75" s="5">
        <v>813837</v>
      </c>
      <c r="C75" s="5">
        <v>258163</v>
      </c>
      <c r="D75" s="5">
        <v>1072000</v>
      </c>
      <c r="E75" s="50"/>
      <c r="F75" s="50"/>
    </row>
    <row r="76" spans="1:6">
      <c r="A76" s="22" t="s">
        <v>397</v>
      </c>
      <c r="B76" s="5">
        <v>303981</v>
      </c>
      <c r="C76" s="5">
        <v>243434</v>
      </c>
      <c r="D76" s="5">
        <v>547415</v>
      </c>
      <c r="E76" s="50"/>
      <c r="F76" s="50"/>
    </row>
    <row r="77" spans="1:6">
      <c r="A77" s="22" t="s">
        <v>398</v>
      </c>
      <c r="B77" s="5">
        <v>118867</v>
      </c>
      <c r="C77" s="5">
        <v>193885</v>
      </c>
      <c r="D77" s="5">
        <v>312752</v>
      </c>
      <c r="E77" s="50"/>
      <c r="F77" s="50"/>
    </row>
    <row r="78" spans="1:6">
      <c r="A78" s="22" t="s">
        <v>399</v>
      </c>
      <c r="B78" s="5">
        <v>52459</v>
      </c>
      <c r="C78" s="5">
        <v>148342</v>
      </c>
      <c r="D78" s="5">
        <v>200801</v>
      </c>
      <c r="E78" s="50"/>
      <c r="F78" s="50"/>
    </row>
    <row r="79" spans="1:6">
      <c r="A79" s="22" t="s">
        <v>400</v>
      </c>
      <c r="B79" s="5">
        <v>35889</v>
      </c>
      <c r="C79" s="5">
        <v>440957</v>
      </c>
      <c r="D79" s="5">
        <v>476846</v>
      </c>
      <c r="E79" s="50"/>
      <c r="F79" s="50"/>
    </row>
    <row r="80" spans="1:6">
      <c r="A80" s="22" t="s">
        <v>401</v>
      </c>
      <c r="B80" s="5">
        <v>7263</v>
      </c>
      <c r="C80" s="5">
        <v>41403</v>
      </c>
      <c r="D80" s="5">
        <v>48666</v>
      </c>
      <c r="E80" s="50"/>
      <c r="F80" s="50"/>
    </row>
    <row r="81" spans="1:6">
      <c r="A81" s="22" t="s">
        <v>220</v>
      </c>
      <c r="B81" s="5">
        <v>0</v>
      </c>
      <c r="C81" s="5">
        <v>166780</v>
      </c>
      <c r="D81" s="5">
        <v>166780</v>
      </c>
      <c r="E81" s="50"/>
      <c r="F81" s="50"/>
    </row>
    <row r="82" spans="1:6">
      <c r="A82" s="20" t="s">
        <v>46</v>
      </c>
      <c r="B82" s="36">
        <v>4607574</v>
      </c>
      <c r="C82" s="36">
        <v>1706748</v>
      </c>
      <c r="D82" s="36">
        <v>6314322</v>
      </c>
      <c r="E82" s="50"/>
      <c r="F82" s="50"/>
    </row>
    <row r="83" spans="1:6">
      <c r="B83" s="47"/>
      <c r="C83" s="47"/>
      <c r="D83" s="47"/>
    </row>
    <row r="84" spans="1:6">
      <c r="B84" s="47"/>
      <c r="C84" s="47"/>
      <c r="D84" s="47"/>
    </row>
    <row r="85" spans="1:6">
      <c r="A85" s="2" t="s">
        <v>59</v>
      </c>
    </row>
    <row r="86" spans="1:6">
      <c r="A86" s="9" t="s">
        <v>248</v>
      </c>
    </row>
    <row r="87" spans="1:6">
      <c r="A87" s="23" t="s">
        <v>146</v>
      </c>
      <c r="B87" s="15" t="s">
        <v>0</v>
      </c>
      <c r="C87" s="15" t="s">
        <v>1</v>
      </c>
      <c r="D87" s="15" t="s">
        <v>45</v>
      </c>
    </row>
    <row r="88" spans="1:6">
      <c r="A88" s="22" t="s">
        <v>33</v>
      </c>
      <c r="B88" s="4">
        <v>369545</v>
      </c>
      <c r="C88" s="4">
        <v>30892</v>
      </c>
      <c r="D88" s="4">
        <v>400437</v>
      </c>
      <c r="E88" s="50"/>
      <c r="F88" s="89"/>
    </row>
    <row r="89" spans="1:6">
      <c r="A89" s="22" t="s">
        <v>34</v>
      </c>
      <c r="B89" s="5">
        <v>9298</v>
      </c>
      <c r="C89" s="5">
        <v>197326</v>
      </c>
      <c r="D89" s="5">
        <v>206624</v>
      </c>
      <c r="E89" s="50"/>
      <c r="F89" s="89"/>
    </row>
    <row r="90" spans="1:6">
      <c r="A90" s="22" t="s">
        <v>35</v>
      </c>
      <c r="B90" s="5">
        <v>198377</v>
      </c>
      <c r="C90" s="5">
        <v>119477</v>
      </c>
      <c r="D90" s="5">
        <v>317854</v>
      </c>
      <c r="E90" s="50"/>
      <c r="F90" s="89"/>
    </row>
    <row r="91" spans="1:6">
      <c r="A91" s="22" t="s">
        <v>36</v>
      </c>
      <c r="B91" s="5">
        <v>9850</v>
      </c>
      <c r="C91" s="5">
        <v>34819</v>
      </c>
      <c r="D91" s="5">
        <v>44669</v>
      </c>
      <c r="E91" s="50"/>
      <c r="F91" s="89"/>
    </row>
    <row r="92" spans="1:6">
      <c r="A92" s="22" t="s">
        <v>37</v>
      </c>
      <c r="B92" s="5">
        <v>227157</v>
      </c>
      <c r="C92" s="5">
        <v>109165</v>
      </c>
      <c r="D92" s="5">
        <v>336322</v>
      </c>
      <c r="E92" s="50"/>
      <c r="F92" s="89"/>
    </row>
    <row r="93" spans="1:6">
      <c r="A93" s="22" t="s">
        <v>38</v>
      </c>
      <c r="B93" s="5">
        <v>443152</v>
      </c>
      <c r="C93" s="5">
        <v>1066823</v>
      </c>
      <c r="D93" s="5">
        <v>1509975</v>
      </c>
      <c r="E93" s="50"/>
      <c r="F93" s="89"/>
    </row>
    <row r="94" spans="1:6">
      <c r="A94" s="22" t="s">
        <v>39</v>
      </c>
      <c r="B94" s="5">
        <v>158330</v>
      </c>
      <c r="C94" s="5">
        <v>47096</v>
      </c>
      <c r="D94" s="5">
        <v>205426</v>
      </c>
      <c r="E94" s="50"/>
      <c r="F94" s="89"/>
    </row>
    <row r="95" spans="1:6">
      <c r="A95" s="22" t="s">
        <v>47</v>
      </c>
      <c r="B95" s="5">
        <v>669129</v>
      </c>
      <c r="C95" s="5">
        <v>11280</v>
      </c>
      <c r="D95" s="5">
        <v>680409</v>
      </c>
      <c r="E95" s="50"/>
      <c r="F95" s="89"/>
    </row>
    <row r="96" spans="1:6">
      <c r="A96" s="22" t="s">
        <v>216</v>
      </c>
      <c r="B96" s="5">
        <v>2522736</v>
      </c>
      <c r="C96" s="5">
        <v>89870</v>
      </c>
      <c r="D96" s="5">
        <v>2612606</v>
      </c>
      <c r="E96" s="50"/>
      <c r="F96" s="89"/>
    </row>
    <row r="97" spans="1:13">
      <c r="A97" s="20" t="s">
        <v>46</v>
      </c>
      <c r="B97" s="36">
        <v>4607574</v>
      </c>
      <c r="C97" s="36">
        <v>1706748</v>
      </c>
      <c r="D97" s="36">
        <v>6314322</v>
      </c>
      <c r="E97" s="50"/>
      <c r="F97" s="89"/>
    </row>
    <row r="98" spans="1:13">
      <c r="B98" s="46"/>
      <c r="C98" s="47"/>
      <c r="D98" s="48"/>
    </row>
    <row r="100" spans="1:13">
      <c r="A100" s="2" t="s">
        <v>73</v>
      </c>
    </row>
    <row r="101" spans="1:13" ht="15.75">
      <c r="A101" s="2" t="s">
        <v>476</v>
      </c>
      <c r="H101" s="97"/>
    </row>
    <row r="102" spans="1:13" ht="15.75">
      <c r="A102" s="8" t="s">
        <v>49</v>
      </c>
      <c r="B102" s="8" t="s">
        <v>0</v>
      </c>
      <c r="C102" s="8" t="s">
        <v>1</v>
      </c>
      <c r="D102" s="8" t="s">
        <v>45</v>
      </c>
      <c r="F102" s="91"/>
      <c r="G102" s="91"/>
      <c r="H102" s="98"/>
      <c r="J102" s="92"/>
      <c r="K102" s="92"/>
      <c r="L102" s="92"/>
      <c r="M102" s="92"/>
    </row>
    <row r="103" spans="1:13" ht="15.75">
      <c r="A103" s="16">
        <v>2016</v>
      </c>
      <c r="B103" s="4">
        <v>25003746551.73</v>
      </c>
      <c r="C103" s="4">
        <v>23151888710.3078</v>
      </c>
      <c r="D103" s="4">
        <v>48155635262.037796</v>
      </c>
      <c r="E103" s="50"/>
      <c r="F103" s="91"/>
      <c r="G103" s="93"/>
      <c r="H103" s="98"/>
      <c r="J103" s="24"/>
      <c r="K103" s="12"/>
      <c r="L103" s="12"/>
      <c r="M103" s="12"/>
    </row>
    <row r="104" spans="1:13">
      <c r="A104" s="16">
        <v>2017</v>
      </c>
      <c r="B104" s="5">
        <v>27027027514.971001</v>
      </c>
      <c r="C104" s="5">
        <v>24348667633.509499</v>
      </c>
      <c r="D104" s="5">
        <v>51375695148.480499</v>
      </c>
      <c r="E104" s="50"/>
      <c r="F104" s="91"/>
      <c r="G104" s="93"/>
      <c r="H104" s="91"/>
      <c r="J104" s="24"/>
      <c r="K104" s="12"/>
      <c r="L104" s="12"/>
      <c r="M104" s="12"/>
    </row>
    <row r="105" spans="1:13">
      <c r="A105" s="16">
        <v>2018</v>
      </c>
      <c r="B105" s="5">
        <v>29975520825.710999</v>
      </c>
      <c r="C105" s="5">
        <v>25841096188.730499</v>
      </c>
      <c r="D105" s="5">
        <v>55816617014.441498</v>
      </c>
      <c r="E105" s="50"/>
      <c r="F105" s="91"/>
      <c r="G105" s="93"/>
      <c r="H105" s="91"/>
      <c r="J105" s="24"/>
      <c r="K105" s="12"/>
      <c r="L105" s="12"/>
      <c r="M105" s="12"/>
    </row>
    <row r="106" spans="1:13">
      <c r="A106" s="16">
        <v>2019</v>
      </c>
      <c r="B106" s="5">
        <v>32135447397.625</v>
      </c>
      <c r="C106" s="5">
        <v>28039114649.832298</v>
      </c>
      <c r="D106" s="5">
        <v>60174562047.457298</v>
      </c>
      <c r="E106" s="50"/>
      <c r="F106" s="91"/>
      <c r="G106" s="93"/>
      <c r="H106" s="91"/>
      <c r="J106" s="24"/>
      <c r="K106" s="12"/>
      <c r="L106" s="12"/>
      <c r="M106" s="12"/>
    </row>
    <row r="107" spans="1:13">
      <c r="A107" s="18">
        <v>2020</v>
      </c>
      <c r="B107" s="11">
        <v>33935635659.619999</v>
      </c>
      <c r="C107" s="11">
        <v>28211222838</v>
      </c>
      <c r="D107" s="11">
        <v>62146858497.619995</v>
      </c>
      <c r="E107" s="50"/>
      <c r="F107" s="91"/>
      <c r="G107" s="93"/>
      <c r="H107" s="91"/>
      <c r="J107" s="24"/>
      <c r="K107" s="12"/>
      <c r="L107" s="12"/>
      <c r="M107" s="12"/>
    </row>
    <row r="108" spans="1:13">
      <c r="B108" s="46"/>
      <c r="C108" s="47"/>
      <c r="D108" s="48"/>
      <c r="K108" s="94"/>
      <c r="L108" s="94"/>
      <c r="M108" s="94"/>
    </row>
    <row r="109" spans="1:13">
      <c r="C109" s="32"/>
      <c r="E109" s="50"/>
    </row>
    <row r="110" spans="1:13" ht="12.75">
      <c r="A110" s="2" t="s">
        <v>148</v>
      </c>
      <c r="E110" s="3"/>
      <c r="F110" s="3"/>
      <c r="H110" s="2" t="s">
        <v>149</v>
      </c>
      <c r="J110" s="6"/>
      <c r="K110" s="6"/>
    </row>
    <row r="111" spans="1:13" ht="12.75">
      <c r="A111" s="9" t="s">
        <v>249</v>
      </c>
      <c r="E111" s="3"/>
      <c r="F111" s="3"/>
      <c r="H111" s="9" t="s">
        <v>250</v>
      </c>
      <c r="J111" s="6"/>
      <c r="K111" s="6"/>
    </row>
    <row r="112" spans="1:13" ht="38.25">
      <c r="A112" s="26" t="s">
        <v>238</v>
      </c>
      <c r="B112" s="15" t="s">
        <v>150</v>
      </c>
      <c r="C112" s="15" t="s">
        <v>151</v>
      </c>
      <c r="D112" s="15" t="s">
        <v>241</v>
      </c>
      <c r="E112" s="26" t="s">
        <v>217</v>
      </c>
      <c r="F112" s="15" t="s">
        <v>48</v>
      </c>
      <c r="H112" s="26" t="s">
        <v>238</v>
      </c>
      <c r="I112" s="15" t="s">
        <v>150</v>
      </c>
      <c r="J112" s="15" t="s">
        <v>151</v>
      </c>
      <c r="K112" s="26" t="s">
        <v>217</v>
      </c>
      <c r="L112" s="15" t="s">
        <v>48</v>
      </c>
    </row>
    <row r="113" spans="1:14" ht="12.75">
      <c r="A113" s="22" t="s">
        <v>394</v>
      </c>
      <c r="B113" s="4">
        <v>498476</v>
      </c>
      <c r="C113" s="4">
        <v>527387</v>
      </c>
      <c r="D113" s="4">
        <v>13</v>
      </c>
      <c r="E113" s="4">
        <v>12460</v>
      </c>
      <c r="F113" s="4">
        <v>1038336</v>
      </c>
      <c r="G113" s="49"/>
      <c r="H113" s="22" t="s">
        <v>394</v>
      </c>
      <c r="I113" s="4">
        <v>30155</v>
      </c>
      <c r="J113" s="4">
        <v>16211</v>
      </c>
      <c r="K113" s="24">
        <v>0</v>
      </c>
      <c r="L113" s="4">
        <v>46366</v>
      </c>
      <c r="M113" s="49"/>
      <c r="N113" s="73"/>
    </row>
    <row r="114" spans="1:14" ht="12.75">
      <c r="A114" s="22" t="s">
        <v>395</v>
      </c>
      <c r="B114" s="5">
        <v>1238493</v>
      </c>
      <c r="C114" s="5">
        <v>982503</v>
      </c>
      <c r="D114" s="5">
        <v>37</v>
      </c>
      <c r="E114" s="5">
        <v>15909</v>
      </c>
      <c r="F114" s="5">
        <v>2236942</v>
      </c>
      <c r="G114" s="49"/>
      <c r="H114" s="22" t="s">
        <v>395</v>
      </c>
      <c r="I114" s="5">
        <v>115690</v>
      </c>
      <c r="J114" s="5">
        <v>51729</v>
      </c>
      <c r="K114" s="24">
        <v>0</v>
      </c>
      <c r="L114" s="5">
        <v>167419</v>
      </c>
      <c r="M114" s="49"/>
      <c r="N114" s="73"/>
    </row>
    <row r="115" spans="1:14" ht="12.75">
      <c r="A115" s="22" t="s">
        <v>396</v>
      </c>
      <c r="B115" s="5">
        <v>496929</v>
      </c>
      <c r="C115" s="5">
        <v>315844</v>
      </c>
      <c r="D115" s="5">
        <v>4</v>
      </c>
      <c r="E115" s="5">
        <v>1060</v>
      </c>
      <c r="F115" s="5">
        <v>813837</v>
      </c>
      <c r="G115" s="49"/>
      <c r="H115" s="22" t="s">
        <v>396</v>
      </c>
      <c r="I115" s="5">
        <v>161343</v>
      </c>
      <c r="J115" s="5">
        <v>96821</v>
      </c>
      <c r="K115" s="24">
        <v>0</v>
      </c>
      <c r="L115" s="5">
        <v>258164</v>
      </c>
      <c r="M115" s="49"/>
      <c r="N115" s="73"/>
    </row>
    <row r="116" spans="1:14" ht="12.75">
      <c r="A116" s="22" t="s">
        <v>397</v>
      </c>
      <c r="B116" s="5">
        <v>177980</v>
      </c>
      <c r="C116" s="5">
        <v>125674</v>
      </c>
      <c r="D116" s="5">
        <v>0</v>
      </c>
      <c r="E116" s="5">
        <v>327</v>
      </c>
      <c r="F116" s="5">
        <v>303981</v>
      </c>
      <c r="G116" s="49"/>
      <c r="H116" s="22" t="s">
        <v>397</v>
      </c>
      <c r="I116" s="5">
        <v>139427</v>
      </c>
      <c r="J116" s="5">
        <v>104007</v>
      </c>
      <c r="K116" s="24">
        <v>0</v>
      </c>
      <c r="L116" s="5">
        <v>243434</v>
      </c>
      <c r="M116" s="49"/>
      <c r="N116" s="73"/>
    </row>
    <row r="117" spans="1:14" ht="12.75">
      <c r="A117" s="22" t="s">
        <v>398</v>
      </c>
      <c r="B117" s="5">
        <v>70444</v>
      </c>
      <c r="C117" s="5">
        <v>48269</v>
      </c>
      <c r="D117" s="5">
        <v>0</v>
      </c>
      <c r="E117" s="5">
        <v>154</v>
      </c>
      <c r="F117" s="5">
        <v>118867</v>
      </c>
      <c r="G117" s="49"/>
      <c r="H117" s="22" t="s">
        <v>398</v>
      </c>
      <c r="I117" s="5">
        <v>109835</v>
      </c>
      <c r="J117" s="5">
        <v>84050</v>
      </c>
      <c r="K117" s="24">
        <v>0</v>
      </c>
      <c r="L117" s="5">
        <v>193885</v>
      </c>
      <c r="M117" s="49"/>
      <c r="N117" s="73"/>
    </row>
    <row r="118" spans="1:14" ht="12.75">
      <c r="A118" s="22" t="s">
        <v>399</v>
      </c>
      <c r="B118" s="5">
        <v>32028</v>
      </c>
      <c r="C118" s="5">
        <v>20316</v>
      </c>
      <c r="D118" s="5">
        <v>0</v>
      </c>
      <c r="E118" s="5">
        <v>115</v>
      </c>
      <c r="F118" s="5">
        <v>52459</v>
      </c>
      <c r="G118" s="49"/>
      <c r="H118" s="22" t="s">
        <v>399</v>
      </c>
      <c r="I118" s="5">
        <v>86336</v>
      </c>
      <c r="J118" s="5">
        <v>62007</v>
      </c>
      <c r="K118" s="24">
        <v>0</v>
      </c>
      <c r="L118" s="5">
        <v>148343</v>
      </c>
      <c r="M118" s="49"/>
      <c r="N118" s="73"/>
    </row>
    <row r="119" spans="1:14" ht="12.75">
      <c r="A119" s="22" t="s">
        <v>400</v>
      </c>
      <c r="B119" s="5">
        <v>23970</v>
      </c>
      <c r="C119" s="5">
        <v>11581</v>
      </c>
      <c r="D119" s="5">
        <v>0</v>
      </c>
      <c r="E119" s="5">
        <v>338</v>
      </c>
      <c r="F119" s="5">
        <v>35889</v>
      </c>
      <c r="G119" s="49"/>
      <c r="H119" s="22" t="s">
        <v>400</v>
      </c>
      <c r="I119" s="5">
        <v>301278</v>
      </c>
      <c r="J119" s="5">
        <v>139679</v>
      </c>
      <c r="K119" s="24">
        <v>0</v>
      </c>
      <c r="L119" s="5">
        <v>440957</v>
      </c>
      <c r="M119" s="49"/>
      <c r="N119" s="73"/>
    </row>
    <row r="120" spans="1:14" ht="12.75">
      <c r="A120" s="22" t="s">
        <v>401</v>
      </c>
      <c r="B120" s="5">
        <v>4742</v>
      </c>
      <c r="C120" s="5">
        <v>2512</v>
      </c>
      <c r="D120" s="5">
        <v>0</v>
      </c>
      <c r="E120" s="5">
        <v>9</v>
      </c>
      <c r="F120" s="5">
        <v>7263</v>
      </c>
      <c r="G120" s="49"/>
      <c r="H120" s="22" t="s">
        <v>401</v>
      </c>
      <c r="I120" s="5">
        <v>26018</v>
      </c>
      <c r="J120" s="5">
        <v>15386</v>
      </c>
      <c r="K120" s="24">
        <v>0</v>
      </c>
      <c r="L120" s="5">
        <v>41404</v>
      </c>
      <c r="M120" s="49"/>
      <c r="N120" s="73"/>
    </row>
    <row r="121" spans="1:14" ht="12.75">
      <c r="A121" s="22" t="s">
        <v>220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49"/>
      <c r="H121" s="22" t="s">
        <v>220</v>
      </c>
      <c r="I121" s="5">
        <v>118386</v>
      </c>
      <c r="J121" s="5">
        <v>48390</v>
      </c>
      <c r="K121" s="5">
        <v>0</v>
      </c>
      <c r="L121" s="5">
        <v>166776</v>
      </c>
      <c r="M121" s="49"/>
      <c r="N121" s="73"/>
    </row>
    <row r="122" spans="1:14" ht="12.75">
      <c r="A122" s="20" t="s">
        <v>46</v>
      </c>
      <c r="B122" s="36">
        <v>2543062</v>
      </c>
      <c r="C122" s="36">
        <v>2034086</v>
      </c>
      <c r="D122" s="36">
        <v>54</v>
      </c>
      <c r="E122" s="36">
        <v>30372</v>
      </c>
      <c r="F122" s="36">
        <v>4607574</v>
      </c>
      <c r="G122" s="49"/>
      <c r="H122" s="20" t="s">
        <v>46</v>
      </c>
      <c r="I122" s="36">
        <v>1088468</v>
      </c>
      <c r="J122" s="36">
        <v>618280</v>
      </c>
      <c r="K122" s="36">
        <v>0</v>
      </c>
      <c r="L122" s="36">
        <v>1706748</v>
      </c>
      <c r="M122" s="49"/>
      <c r="N122" s="73"/>
    </row>
    <row r="123" spans="1:14" ht="12.75">
      <c r="B123" s="49"/>
      <c r="C123" s="49"/>
      <c r="D123" s="49"/>
      <c r="E123" s="49"/>
      <c r="F123" s="49"/>
      <c r="I123" s="37"/>
      <c r="J123" s="37"/>
      <c r="L123" s="49"/>
    </row>
    <row r="124" spans="1:14" ht="12.75">
      <c r="E124" s="3"/>
      <c r="F124" s="3"/>
    </row>
    <row r="125" spans="1:14" ht="12.75">
      <c r="A125" s="2" t="s">
        <v>152</v>
      </c>
      <c r="E125" s="3"/>
      <c r="F125" s="3"/>
      <c r="H125" s="2" t="s">
        <v>153</v>
      </c>
      <c r="I125" s="6"/>
      <c r="J125" s="6"/>
    </row>
    <row r="126" spans="1:14" ht="12.75">
      <c r="A126" s="9" t="s">
        <v>251</v>
      </c>
      <c r="E126" s="3"/>
      <c r="F126" s="3"/>
      <c r="H126" s="9" t="s">
        <v>252</v>
      </c>
      <c r="I126" s="6"/>
      <c r="J126" s="6"/>
    </row>
    <row r="127" spans="1:14" ht="38.25">
      <c r="A127" s="26" t="s">
        <v>154</v>
      </c>
      <c r="B127" s="15" t="s">
        <v>150</v>
      </c>
      <c r="C127" s="15" t="s">
        <v>151</v>
      </c>
      <c r="D127" s="15" t="s">
        <v>241</v>
      </c>
      <c r="E127" s="26" t="s">
        <v>217</v>
      </c>
      <c r="F127" s="15" t="s">
        <v>48</v>
      </c>
      <c r="H127" s="26" t="s">
        <v>154</v>
      </c>
      <c r="I127" s="15" t="s">
        <v>150</v>
      </c>
      <c r="J127" s="15" t="s">
        <v>151</v>
      </c>
      <c r="K127" s="26" t="s">
        <v>217</v>
      </c>
      <c r="L127" s="15" t="s">
        <v>48</v>
      </c>
    </row>
    <row r="128" spans="1:14" ht="12.75">
      <c r="A128" s="13" t="s">
        <v>155</v>
      </c>
      <c r="B128" s="4">
        <v>782783.12959385861</v>
      </c>
      <c r="C128" s="4">
        <v>704837.6133709877</v>
      </c>
      <c r="D128" s="4">
        <v>674593.48606811138</v>
      </c>
      <c r="E128" s="4">
        <v>969037.03633430542</v>
      </c>
      <c r="F128" s="4">
        <v>749791.50453988661</v>
      </c>
      <c r="G128" s="37"/>
      <c r="H128" s="13" t="s">
        <v>155</v>
      </c>
      <c r="I128" s="4">
        <v>1535036</v>
      </c>
      <c r="J128" s="4">
        <v>1512272</v>
      </c>
      <c r="K128" s="4">
        <v>0</v>
      </c>
      <c r="L128" s="4">
        <v>1526612</v>
      </c>
    </row>
    <row r="129" spans="1:12" ht="12.75">
      <c r="A129" s="16" t="s">
        <v>156</v>
      </c>
      <c r="B129" s="5">
        <v>816055.76960144553</v>
      </c>
      <c r="C129" s="5">
        <v>731090.88237976236</v>
      </c>
      <c r="D129" s="5">
        <v>715952.52006946504</v>
      </c>
      <c r="E129" s="5">
        <v>1027482.2475398856</v>
      </c>
      <c r="F129" s="5">
        <v>780752.19057249068</v>
      </c>
      <c r="G129" s="37"/>
      <c r="H129" s="16" t="s">
        <v>156</v>
      </c>
      <c r="I129" s="5">
        <v>1544202</v>
      </c>
      <c r="J129" s="5">
        <v>1521458</v>
      </c>
      <c r="K129" s="5">
        <v>0</v>
      </c>
      <c r="L129" s="5">
        <v>1535783</v>
      </c>
    </row>
    <row r="130" spans="1:12" ht="12.75">
      <c r="A130" s="16" t="s">
        <v>157</v>
      </c>
      <c r="B130" s="5">
        <v>672591.31429241353</v>
      </c>
      <c r="C130" s="5">
        <v>669496.54388806946</v>
      </c>
      <c r="D130" s="5">
        <v>684022.09342942527</v>
      </c>
      <c r="E130" s="5">
        <v>1020185.1002196036</v>
      </c>
      <c r="F130" s="5">
        <v>672143.93031775788</v>
      </c>
      <c r="G130" s="37"/>
      <c r="H130" s="16" t="s">
        <v>157</v>
      </c>
      <c r="I130" s="5">
        <v>1074580</v>
      </c>
      <c r="J130" s="5">
        <v>1040541</v>
      </c>
      <c r="K130" s="5">
        <v>0</v>
      </c>
      <c r="L130" s="5">
        <v>1062154</v>
      </c>
    </row>
    <row r="131" spans="1:12" ht="12.75">
      <c r="A131" s="18" t="s">
        <v>158</v>
      </c>
      <c r="B131" s="11">
        <v>41</v>
      </c>
      <c r="C131" s="11">
        <v>39</v>
      </c>
      <c r="D131" s="11">
        <v>34.344444444444441</v>
      </c>
      <c r="E131" s="11">
        <v>40</v>
      </c>
      <c r="F131" s="11">
        <v>40.076740015147983</v>
      </c>
      <c r="G131" s="37"/>
      <c r="H131" s="18" t="s">
        <v>158</v>
      </c>
      <c r="I131" s="11">
        <v>41.6</v>
      </c>
      <c r="J131" s="11">
        <v>41.6</v>
      </c>
      <c r="K131" s="11">
        <v>0</v>
      </c>
      <c r="L131" s="11">
        <v>41.57812259761733</v>
      </c>
    </row>
    <row r="133" spans="1:12" ht="12.75">
      <c r="B133" s="24"/>
      <c r="D133" s="6"/>
      <c r="E133" s="6"/>
      <c r="F133" s="6"/>
    </row>
    <row r="134" spans="1:12" ht="12.75">
      <c r="B134" s="45"/>
      <c r="D134" s="6"/>
      <c r="E134" s="6"/>
      <c r="F134" s="6"/>
    </row>
    <row r="135" spans="1:12" ht="12.75">
      <c r="B135" s="45"/>
      <c r="D135" s="6"/>
      <c r="E135" s="6"/>
      <c r="F135" s="6"/>
    </row>
    <row r="136" spans="1:12" ht="12.75">
      <c r="B136" s="45"/>
      <c r="D136" s="6"/>
      <c r="E136" s="6"/>
      <c r="F136" s="6"/>
    </row>
    <row r="137" spans="1:12" ht="12.75">
      <c r="D137" s="6"/>
      <c r="E137" s="6"/>
      <c r="F137" s="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5"/>
  <sheetViews>
    <sheetView showGridLines="0" zoomScaleNormal="100" workbookViewId="0"/>
  </sheetViews>
  <sheetFormatPr baseColWidth="10" defaultColWidth="33.140625" defaultRowHeight="12.75"/>
  <cols>
    <col min="1" max="1" width="18.140625" style="3" customWidth="1"/>
    <col min="2" max="4" width="12.85546875" style="6" customWidth="1"/>
    <col min="5" max="5" width="14.140625" style="6" customWidth="1"/>
    <col min="6" max="6" width="18.140625" style="6" customWidth="1"/>
    <col min="7" max="9" width="12.85546875" style="3" customWidth="1"/>
    <col min="10" max="11" width="10.85546875" style="3" customWidth="1"/>
    <col min="12" max="12" width="14.42578125" style="3" customWidth="1"/>
    <col min="13" max="57" width="15.7109375" style="3" customWidth="1"/>
    <col min="58" max="16384" width="33.140625" style="3"/>
  </cols>
  <sheetData>
    <row r="1" spans="1:11" ht="18.75">
      <c r="A1" s="1" t="s">
        <v>137</v>
      </c>
    </row>
    <row r="3" spans="1:11">
      <c r="A3" s="2" t="s">
        <v>63</v>
      </c>
      <c r="F3" s="2" t="s">
        <v>65</v>
      </c>
      <c r="G3" s="6"/>
      <c r="H3" s="6"/>
      <c r="I3" s="6"/>
    </row>
    <row r="4" spans="1:11">
      <c r="A4" s="2" t="s">
        <v>253</v>
      </c>
      <c r="F4" s="2" t="s">
        <v>254</v>
      </c>
      <c r="G4" s="6"/>
      <c r="H4" s="6"/>
      <c r="I4" s="6"/>
    </row>
    <row r="5" spans="1:11">
      <c r="A5" s="8" t="s">
        <v>49</v>
      </c>
      <c r="B5" s="8" t="s">
        <v>0</v>
      </c>
      <c r="C5" s="8" t="s">
        <v>1</v>
      </c>
      <c r="D5" s="8" t="s">
        <v>45</v>
      </c>
      <c r="F5" s="8" t="s">
        <v>49</v>
      </c>
      <c r="G5" s="8" t="s">
        <v>0</v>
      </c>
      <c r="H5" s="8" t="s">
        <v>1</v>
      </c>
      <c r="I5" s="8" t="s">
        <v>45</v>
      </c>
    </row>
    <row r="6" spans="1:11">
      <c r="A6" s="16">
        <v>2016</v>
      </c>
      <c r="B6" s="4">
        <v>3563432</v>
      </c>
      <c r="C6" s="4">
        <v>1463628</v>
      </c>
      <c r="D6" s="14">
        <v>5027060</v>
      </c>
      <c r="E6" s="49"/>
      <c r="F6" s="16">
        <v>2016</v>
      </c>
      <c r="G6" s="4">
        <v>46810880</v>
      </c>
      <c r="H6" s="4">
        <v>14893358</v>
      </c>
      <c r="I6" s="14">
        <v>61704238</v>
      </c>
      <c r="J6" s="49"/>
      <c r="K6" s="49"/>
    </row>
    <row r="7" spans="1:11">
      <c r="A7" s="16">
        <v>2017</v>
      </c>
      <c r="B7" s="5">
        <v>3866212</v>
      </c>
      <c r="C7" s="5">
        <v>1438822</v>
      </c>
      <c r="D7" s="10">
        <v>5305034</v>
      </c>
      <c r="E7" s="49"/>
      <c r="F7" s="16">
        <v>2017</v>
      </c>
      <c r="G7" s="5">
        <v>50424418</v>
      </c>
      <c r="H7" s="5">
        <v>14568534</v>
      </c>
      <c r="I7" s="10">
        <v>64992952</v>
      </c>
      <c r="J7" s="49"/>
      <c r="K7" s="49"/>
    </row>
    <row r="8" spans="1:11">
      <c r="A8" s="16">
        <v>2018</v>
      </c>
      <c r="B8" s="5">
        <v>4219301</v>
      </c>
      <c r="C8" s="5">
        <v>1473554</v>
      </c>
      <c r="D8" s="10">
        <v>5692855</v>
      </c>
      <c r="E8" s="49"/>
      <c r="F8" s="16">
        <v>2018</v>
      </c>
      <c r="G8" s="5">
        <v>55416081</v>
      </c>
      <c r="H8" s="5">
        <v>15265154</v>
      </c>
      <c r="I8" s="10">
        <v>70681235</v>
      </c>
      <c r="J8" s="49"/>
      <c r="K8" s="49"/>
    </row>
    <row r="9" spans="1:11">
      <c r="A9" s="16">
        <v>2019</v>
      </c>
      <c r="B9" s="5">
        <v>4561580</v>
      </c>
      <c r="C9" s="5">
        <v>1588723</v>
      </c>
      <c r="D9" s="10">
        <v>6150303</v>
      </c>
      <c r="E9" s="49"/>
      <c r="F9" s="16">
        <v>2019</v>
      </c>
      <c r="G9" s="5">
        <v>61031995</v>
      </c>
      <c r="H9" s="5">
        <v>16571158</v>
      </c>
      <c r="I9" s="10">
        <v>77603153</v>
      </c>
      <c r="J9" s="49"/>
      <c r="K9" s="49"/>
    </row>
    <row r="10" spans="1:11">
      <c r="A10" s="18">
        <v>2020</v>
      </c>
      <c r="B10" s="11">
        <v>4695694</v>
      </c>
      <c r="C10" s="11">
        <v>1338666</v>
      </c>
      <c r="D10" s="17">
        <v>6034360</v>
      </c>
      <c r="E10" s="49"/>
      <c r="F10" s="18">
        <v>2020</v>
      </c>
      <c r="G10" s="11">
        <v>73737654</v>
      </c>
      <c r="H10" s="11">
        <v>19587568</v>
      </c>
      <c r="I10" s="17">
        <v>93325222</v>
      </c>
      <c r="J10" s="49"/>
      <c r="K10" s="49"/>
    </row>
    <row r="11" spans="1:11">
      <c r="B11" s="41"/>
      <c r="C11" s="41"/>
      <c r="D11" s="41"/>
      <c r="E11" s="95"/>
      <c r="G11" s="49"/>
      <c r="H11" s="49"/>
      <c r="I11" s="49"/>
    </row>
    <row r="12" spans="1:11">
      <c r="A12" s="6"/>
      <c r="B12" s="42"/>
      <c r="C12" s="42"/>
      <c r="D12" s="42"/>
    </row>
    <row r="13" spans="1:11">
      <c r="A13" s="2" t="s">
        <v>64</v>
      </c>
      <c r="B13" s="42"/>
      <c r="C13" s="42"/>
      <c r="D13" s="42"/>
      <c r="F13" s="2" t="s">
        <v>66</v>
      </c>
    </row>
    <row r="14" spans="1:11">
      <c r="A14" s="2" t="s">
        <v>255</v>
      </c>
      <c r="F14" s="2" t="s">
        <v>256</v>
      </c>
    </row>
    <row r="15" spans="1:11">
      <c r="A15" s="8" t="s">
        <v>50</v>
      </c>
      <c r="B15" s="8" t="s">
        <v>0</v>
      </c>
      <c r="C15" s="8" t="s">
        <v>1</v>
      </c>
      <c r="D15" s="8" t="s">
        <v>45</v>
      </c>
      <c r="F15" s="8" t="s">
        <v>50</v>
      </c>
      <c r="G15" s="8" t="s">
        <v>0</v>
      </c>
      <c r="H15" s="8" t="s">
        <v>1</v>
      </c>
      <c r="I15" s="8" t="s">
        <v>45</v>
      </c>
    </row>
    <row r="16" spans="1:11">
      <c r="A16" s="13" t="s">
        <v>5</v>
      </c>
      <c r="B16" s="4">
        <v>1988163</v>
      </c>
      <c r="C16" s="4">
        <v>710329</v>
      </c>
      <c r="D16" s="14">
        <v>2698492</v>
      </c>
      <c r="E16" s="49"/>
      <c r="F16" s="13" t="s">
        <v>5</v>
      </c>
      <c r="G16" s="4">
        <v>30921217</v>
      </c>
      <c r="H16" s="4">
        <v>9871977</v>
      </c>
      <c r="I16" s="14">
        <v>40793194</v>
      </c>
      <c r="J16" s="49"/>
      <c r="K16" s="49"/>
    </row>
    <row r="17" spans="1:12">
      <c r="A17" s="16" t="s">
        <v>6</v>
      </c>
      <c r="B17" s="5">
        <v>2707531</v>
      </c>
      <c r="C17" s="5">
        <v>628313</v>
      </c>
      <c r="D17" s="10">
        <v>3335844</v>
      </c>
      <c r="E17" s="49"/>
      <c r="F17" s="16" t="s">
        <v>6</v>
      </c>
      <c r="G17" s="5">
        <v>42816437</v>
      </c>
      <c r="H17" s="5">
        <v>9715173</v>
      </c>
      <c r="I17" s="10">
        <v>52531610</v>
      </c>
      <c r="J17" s="49"/>
      <c r="K17" s="49"/>
    </row>
    <row r="18" spans="1:12">
      <c r="A18" s="16" t="s">
        <v>216</v>
      </c>
      <c r="B18" s="5">
        <v>0</v>
      </c>
      <c r="C18" s="5">
        <v>24</v>
      </c>
      <c r="D18" s="10">
        <v>24</v>
      </c>
      <c r="E18" s="49"/>
      <c r="F18" s="16" t="s">
        <v>216</v>
      </c>
      <c r="G18" s="5">
        <v>0</v>
      </c>
      <c r="H18" s="5">
        <v>418</v>
      </c>
      <c r="I18" s="10">
        <v>418</v>
      </c>
      <c r="J18" s="49"/>
      <c r="K18" s="49"/>
    </row>
    <row r="19" spans="1:12">
      <c r="A19" s="20" t="s">
        <v>46</v>
      </c>
      <c r="B19" s="36">
        <v>4695694</v>
      </c>
      <c r="C19" s="36">
        <v>1338666</v>
      </c>
      <c r="D19" s="51">
        <v>6034360</v>
      </c>
      <c r="E19" s="49"/>
      <c r="F19" s="20" t="s">
        <v>46</v>
      </c>
      <c r="G19" s="36">
        <v>73737654</v>
      </c>
      <c r="H19" s="36">
        <v>19587568</v>
      </c>
      <c r="I19" s="51">
        <v>93325222</v>
      </c>
      <c r="J19" s="49"/>
    </row>
    <row r="20" spans="1:12">
      <c r="B20" s="46"/>
      <c r="C20" s="46"/>
      <c r="D20" s="46"/>
      <c r="G20" s="49"/>
      <c r="H20" s="49"/>
      <c r="I20" s="49"/>
    </row>
    <row r="22" spans="1:12">
      <c r="A22" s="2" t="s">
        <v>75</v>
      </c>
      <c r="F22" s="2" t="s">
        <v>78</v>
      </c>
    </row>
    <row r="23" spans="1:12">
      <c r="A23" s="2" t="s">
        <v>257</v>
      </c>
      <c r="F23" s="2" t="s">
        <v>258</v>
      </c>
    </row>
    <row r="24" spans="1:12">
      <c r="A24" s="8" t="s">
        <v>51</v>
      </c>
      <c r="B24" s="8" t="s">
        <v>0</v>
      </c>
      <c r="C24" s="8" t="s">
        <v>1</v>
      </c>
      <c r="D24" s="8" t="s">
        <v>45</v>
      </c>
      <c r="F24" s="8" t="s">
        <v>51</v>
      </c>
      <c r="G24" s="8" t="s">
        <v>0</v>
      </c>
      <c r="H24" s="8" t="s">
        <v>1</v>
      </c>
      <c r="I24" s="8" t="s">
        <v>45</v>
      </c>
    </row>
    <row r="25" spans="1:12">
      <c r="A25" s="13" t="s">
        <v>40</v>
      </c>
      <c r="B25" s="4">
        <v>27795</v>
      </c>
      <c r="C25" s="4">
        <v>922</v>
      </c>
      <c r="D25" s="4">
        <v>28717</v>
      </c>
      <c r="E25" s="49"/>
      <c r="F25" s="13" t="s">
        <v>40</v>
      </c>
      <c r="G25" s="4">
        <v>267469</v>
      </c>
      <c r="H25" s="4">
        <v>9141</v>
      </c>
      <c r="I25" s="4">
        <v>276610</v>
      </c>
      <c r="J25" s="49"/>
      <c r="K25" s="49"/>
      <c r="L25" s="44"/>
    </row>
    <row r="26" spans="1:12">
      <c r="A26" s="16" t="s">
        <v>2</v>
      </c>
      <c r="B26" s="5">
        <v>336454</v>
      </c>
      <c r="C26" s="5">
        <v>36015</v>
      </c>
      <c r="D26" s="5">
        <v>372469</v>
      </c>
      <c r="E26" s="49"/>
      <c r="F26" s="16" t="s">
        <v>2</v>
      </c>
      <c r="G26" s="5">
        <v>4155311</v>
      </c>
      <c r="H26" s="5">
        <v>403830</v>
      </c>
      <c r="I26" s="5">
        <v>4559141</v>
      </c>
      <c r="J26" s="49"/>
      <c r="K26" s="49"/>
      <c r="L26" s="44"/>
    </row>
    <row r="27" spans="1:12">
      <c r="A27" s="16" t="s">
        <v>41</v>
      </c>
      <c r="B27" s="5">
        <v>1364103</v>
      </c>
      <c r="C27" s="5">
        <v>447718</v>
      </c>
      <c r="D27" s="5">
        <v>1811821</v>
      </c>
      <c r="E27" s="49"/>
      <c r="F27" s="16" t="s">
        <v>41</v>
      </c>
      <c r="G27" s="5">
        <v>19628874</v>
      </c>
      <c r="H27" s="5">
        <v>5861090</v>
      </c>
      <c r="I27" s="5">
        <v>25489964</v>
      </c>
      <c r="J27" s="49"/>
      <c r="K27" s="49"/>
      <c r="L27" s="44"/>
    </row>
    <row r="28" spans="1:12">
      <c r="A28" s="16" t="s">
        <v>42</v>
      </c>
      <c r="B28" s="5">
        <v>1076313</v>
      </c>
      <c r="C28" s="5">
        <v>405278</v>
      </c>
      <c r="D28" s="5">
        <v>1481591</v>
      </c>
      <c r="E28" s="49"/>
      <c r="F28" s="16" t="s">
        <v>42</v>
      </c>
      <c r="G28" s="5">
        <v>16339505</v>
      </c>
      <c r="H28" s="5">
        <v>5940084</v>
      </c>
      <c r="I28" s="5">
        <v>22279589</v>
      </c>
      <c r="J28" s="49"/>
      <c r="K28" s="49"/>
      <c r="L28" s="44"/>
    </row>
    <row r="29" spans="1:12">
      <c r="A29" s="16" t="s">
        <v>43</v>
      </c>
      <c r="B29" s="5">
        <v>924040</v>
      </c>
      <c r="C29" s="5">
        <v>248515</v>
      </c>
      <c r="D29" s="5">
        <v>1172555</v>
      </c>
      <c r="E29" s="49"/>
      <c r="F29" s="16" t="s">
        <v>43</v>
      </c>
      <c r="G29" s="5">
        <v>14771643</v>
      </c>
      <c r="H29" s="5">
        <v>3768075</v>
      </c>
      <c r="I29" s="5">
        <v>18539718</v>
      </c>
      <c r="J29" s="49"/>
      <c r="K29" s="49"/>
      <c r="L29" s="44"/>
    </row>
    <row r="30" spans="1:12">
      <c r="A30" s="16" t="s">
        <v>44</v>
      </c>
      <c r="B30" s="5">
        <v>734527</v>
      </c>
      <c r="C30" s="5">
        <v>164921</v>
      </c>
      <c r="D30" s="5">
        <v>899448</v>
      </c>
      <c r="E30" s="49"/>
      <c r="F30" s="16" t="s">
        <v>44</v>
      </c>
      <c r="G30" s="5">
        <v>13524319</v>
      </c>
      <c r="H30" s="5">
        <v>2876095</v>
      </c>
      <c r="I30" s="5">
        <v>16400414</v>
      </c>
      <c r="J30" s="49"/>
      <c r="K30" s="49"/>
      <c r="L30" s="44"/>
    </row>
    <row r="31" spans="1:12">
      <c r="A31" s="16" t="s">
        <v>3</v>
      </c>
      <c r="B31" s="5">
        <v>232462</v>
      </c>
      <c r="C31" s="5">
        <v>35292</v>
      </c>
      <c r="D31" s="5">
        <v>267754</v>
      </c>
      <c r="E31" s="49"/>
      <c r="F31" s="16" t="s">
        <v>3</v>
      </c>
      <c r="G31" s="5">
        <v>5050533</v>
      </c>
      <c r="H31" s="5">
        <v>729192</v>
      </c>
      <c r="I31" s="5">
        <v>5779725</v>
      </c>
      <c r="J31" s="49"/>
      <c r="K31" s="49"/>
      <c r="L31" s="44"/>
    </row>
    <row r="32" spans="1:12">
      <c r="A32" s="16" t="s">
        <v>216</v>
      </c>
      <c r="B32" s="5">
        <v>0</v>
      </c>
      <c r="C32" s="5">
        <v>5</v>
      </c>
      <c r="D32" s="5">
        <v>5</v>
      </c>
      <c r="E32" s="49"/>
      <c r="F32" s="16" t="s">
        <v>216</v>
      </c>
      <c r="G32" s="5">
        <v>0</v>
      </c>
      <c r="H32" s="5">
        <v>61</v>
      </c>
      <c r="I32" s="5">
        <v>61</v>
      </c>
      <c r="J32" s="49"/>
      <c r="K32" s="49"/>
      <c r="L32" s="44"/>
    </row>
    <row r="33" spans="1:11">
      <c r="A33" s="20" t="s">
        <v>46</v>
      </c>
      <c r="B33" s="36">
        <v>4695694</v>
      </c>
      <c r="C33" s="36">
        <v>1338666</v>
      </c>
      <c r="D33" s="36">
        <v>6034360</v>
      </c>
      <c r="E33" s="49"/>
      <c r="F33" s="20" t="s">
        <v>46</v>
      </c>
      <c r="G33" s="36">
        <v>73737654</v>
      </c>
      <c r="H33" s="36">
        <v>19587568</v>
      </c>
      <c r="I33" s="36">
        <v>93325222</v>
      </c>
      <c r="J33" s="49"/>
      <c r="K33" s="49"/>
    </row>
    <row r="34" spans="1:11">
      <c r="B34" s="46"/>
      <c r="C34" s="46"/>
      <c r="D34" s="46"/>
      <c r="G34" s="49"/>
      <c r="H34" s="49"/>
      <c r="I34" s="49"/>
    </row>
    <row r="36" spans="1:11">
      <c r="A36" s="2" t="s">
        <v>76</v>
      </c>
      <c r="F36" s="2" t="s">
        <v>79</v>
      </c>
    </row>
    <row r="37" spans="1:11">
      <c r="A37" s="2" t="s">
        <v>259</v>
      </c>
      <c r="F37" s="2" t="s">
        <v>260</v>
      </c>
    </row>
    <row r="38" spans="1:11">
      <c r="A38" s="8" t="s">
        <v>169</v>
      </c>
      <c r="B38" s="8" t="s">
        <v>0</v>
      </c>
      <c r="C38" s="8" t="s">
        <v>1</v>
      </c>
      <c r="D38" s="8" t="s">
        <v>45</v>
      </c>
      <c r="F38" s="8" t="s">
        <v>169</v>
      </c>
      <c r="G38" s="8" t="s">
        <v>0</v>
      </c>
      <c r="H38" s="8" t="s">
        <v>1</v>
      </c>
      <c r="I38" s="8" t="s">
        <v>45</v>
      </c>
    </row>
    <row r="39" spans="1:11">
      <c r="A39" s="16" t="s">
        <v>30</v>
      </c>
      <c r="B39" s="4">
        <v>1757882</v>
      </c>
      <c r="C39" s="4">
        <v>296105</v>
      </c>
      <c r="D39" s="4">
        <v>2053987</v>
      </c>
      <c r="E39" s="49"/>
      <c r="F39" s="16" t="s">
        <v>30</v>
      </c>
      <c r="G39" s="4">
        <v>29278232</v>
      </c>
      <c r="H39" s="4">
        <v>3608754</v>
      </c>
      <c r="I39" s="4">
        <v>32886986</v>
      </c>
      <c r="J39" s="49"/>
      <c r="K39" s="49"/>
    </row>
    <row r="40" spans="1:11">
      <c r="A40" s="16" t="s">
        <v>29</v>
      </c>
      <c r="B40" s="5">
        <v>2579021</v>
      </c>
      <c r="C40" s="5">
        <v>1025579</v>
      </c>
      <c r="D40" s="5">
        <v>3604600</v>
      </c>
      <c r="E40" s="49"/>
      <c r="F40" s="16" t="s">
        <v>29</v>
      </c>
      <c r="G40" s="5">
        <v>38233485</v>
      </c>
      <c r="H40" s="5">
        <v>15646903</v>
      </c>
      <c r="I40" s="5">
        <v>53880388</v>
      </c>
      <c r="J40" s="49"/>
      <c r="K40" s="49"/>
    </row>
    <row r="41" spans="1:11">
      <c r="A41" s="16" t="s">
        <v>4</v>
      </c>
      <c r="B41" s="5">
        <v>358777</v>
      </c>
      <c r="C41" s="5">
        <v>14555</v>
      </c>
      <c r="D41" s="5">
        <v>373332</v>
      </c>
      <c r="E41" s="49"/>
      <c r="F41" s="16" t="s">
        <v>4</v>
      </c>
      <c r="G41" s="5">
        <v>6225676</v>
      </c>
      <c r="H41" s="5">
        <v>300489</v>
      </c>
      <c r="I41" s="5">
        <v>6526165</v>
      </c>
      <c r="J41" s="49"/>
      <c r="K41" s="49"/>
    </row>
    <row r="42" spans="1:11">
      <c r="A42" s="16" t="s">
        <v>216</v>
      </c>
      <c r="B42" s="5">
        <v>14</v>
      </c>
      <c r="C42" s="5">
        <v>2427</v>
      </c>
      <c r="D42" s="5">
        <v>2441</v>
      </c>
      <c r="E42" s="49"/>
      <c r="F42" s="16" t="s">
        <v>216</v>
      </c>
      <c r="G42" s="5">
        <v>261</v>
      </c>
      <c r="H42" s="5">
        <v>31422</v>
      </c>
      <c r="I42" s="5">
        <v>31683</v>
      </c>
      <c r="J42" s="49"/>
      <c r="K42" s="49"/>
    </row>
    <row r="43" spans="1:11">
      <c r="A43" s="20" t="s">
        <v>46</v>
      </c>
      <c r="B43" s="36">
        <v>4695694</v>
      </c>
      <c r="C43" s="36">
        <v>1338666</v>
      </c>
      <c r="D43" s="36">
        <v>6034360</v>
      </c>
      <c r="E43" s="49"/>
      <c r="F43" s="20" t="s">
        <v>46</v>
      </c>
      <c r="G43" s="36">
        <v>73737654</v>
      </c>
      <c r="H43" s="36">
        <v>19587568</v>
      </c>
      <c r="I43" s="36">
        <v>93325222</v>
      </c>
      <c r="J43" s="49"/>
      <c r="K43" s="49"/>
    </row>
    <row r="44" spans="1:11">
      <c r="B44" s="46"/>
      <c r="C44" s="46"/>
      <c r="D44" s="46"/>
      <c r="G44" s="49"/>
      <c r="H44" s="49"/>
      <c r="I44" s="49"/>
    </row>
    <row r="46" spans="1:11">
      <c r="A46" s="7" t="s">
        <v>77</v>
      </c>
      <c r="F46" s="2" t="s">
        <v>80</v>
      </c>
    </row>
    <row r="47" spans="1:11">
      <c r="A47" s="2" t="s">
        <v>261</v>
      </c>
      <c r="F47" s="2" t="s">
        <v>262</v>
      </c>
    </row>
    <row r="48" spans="1:11">
      <c r="A48" s="8" t="s">
        <v>145</v>
      </c>
      <c r="B48" s="8" t="s">
        <v>0</v>
      </c>
      <c r="C48" s="8" t="s">
        <v>1</v>
      </c>
      <c r="D48" s="8" t="s">
        <v>45</v>
      </c>
      <c r="F48" s="8" t="s">
        <v>145</v>
      </c>
      <c r="G48" s="8" t="s">
        <v>0</v>
      </c>
      <c r="H48" s="8" t="s">
        <v>1</v>
      </c>
      <c r="I48" s="8" t="s">
        <v>45</v>
      </c>
    </row>
    <row r="49" spans="1:13">
      <c r="A49" s="21" t="s">
        <v>14</v>
      </c>
      <c r="B49" s="4">
        <v>24201</v>
      </c>
      <c r="C49" s="4">
        <v>6372</v>
      </c>
      <c r="D49" s="4">
        <v>30573</v>
      </c>
      <c r="E49" s="49"/>
      <c r="F49" s="21" t="s">
        <v>14</v>
      </c>
      <c r="G49" s="4">
        <v>290483</v>
      </c>
      <c r="H49" s="4">
        <v>76310</v>
      </c>
      <c r="I49" s="4">
        <v>366793</v>
      </c>
      <c r="J49" s="49"/>
      <c r="K49" s="49"/>
      <c r="L49" s="37"/>
      <c r="M49" s="37"/>
    </row>
    <row r="50" spans="1:13">
      <c r="A50" s="22" t="s">
        <v>15</v>
      </c>
      <c r="B50" s="5">
        <v>70445</v>
      </c>
      <c r="C50" s="5">
        <v>21739</v>
      </c>
      <c r="D50" s="5">
        <v>92184</v>
      </c>
      <c r="E50" s="49"/>
      <c r="F50" s="22" t="s">
        <v>15</v>
      </c>
      <c r="G50" s="5">
        <v>1055705</v>
      </c>
      <c r="H50" s="5">
        <v>325306</v>
      </c>
      <c r="I50" s="5">
        <v>1381011</v>
      </c>
      <c r="J50" s="49"/>
      <c r="K50" s="49"/>
      <c r="L50" s="37"/>
      <c r="M50" s="37"/>
    </row>
    <row r="51" spans="1:13">
      <c r="A51" s="22" t="s">
        <v>16</v>
      </c>
      <c r="B51" s="5">
        <v>130596</v>
      </c>
      <c r="C51" s="5">
        <v>59075</v>
      </c>
      <c r="D51" s="5">
        <v>189671</v>
      </c>
      <c r="E51" s="49"/>
      <c r="F51" s="22" t="s">
        <v>16</v>
      </c>
      <c r="G51" s="5">
        <v>2144134</v>
      </c>
      <c r="H51" s="5">
        <v>910238</v>
      </c>
      <c r="I51" s="5">
        <v>3054372</v>
      </c>
      <c r="J51" s="49"/>
      <c r="K51" s="49"/>
      <c r="L51" s="37"/>
      <c r="M51" s="37"/>
    </row>
    <row r="52" spans="1:13">
      <c r="A52" s="22" t="s">
        <v>17</v>
      </c>
      <c r="B52" s="5">
        <v>58584</v>
      </c>
      <c r="C52" s="5">
        <v>13569</v>
      </c>
      <c r="D52" s="5">
        <v>72153</v>
      </c>
      <c r="E52" s="49"/>
      <c r="F52" s="22" t="s">
        <v>17</v>
      </c>
      <c r="G52" s="5">
        <v>983684</v>
      </c>
      <c r="H52" s="5">
        <v>206323</v>
      </c>
      <c r="I52" s="5">
        <v>1190007</v>
      </c>
      <c r="J52" s="49"/>
      <c r="K52" s="49"/>
      <c r="L52" s="37"/>
      <c r="M52" s="37"/>
    </row>
    <row r="53" spans="1:13">
      <c r="A53" s="22" t="s">
        <v>18</v>
      </c>
      <c r="B53" s="5">
        <v>110665</v>
      </c>
      <c r="C53" s="5">
        <v>14584</v>
      </c>
      <c r="D53" s="5">
        <v>125249</v>
      </c>
      <c r="E53" s="49"/>
      <c r="F53" s="22" t="s">
        <v>18</v>
      </c>
      <c r="G53" s="5">
        <v>1804393</v>
      </c>
      <c r="H53" s="5">
        <v>226305</v>
      </c>
      <c r="I53" s="5">
        <v>2030698</v>
      </c>
      <c r="J53" s="49"/>
      <c r="K53" s="49"/>
      <c r="L53" s="37"/>
      <c r="M53" s="37"/>
    </row>
    <row r="54" spans="1:13">
      <c r="A54" s="22" t="s">
        <v>19</v>
      </c>
      <c r="B54" s="5">
        <v>355861</v>
      </c>
      <c r="C54" s="5">
        <v>71358</v>
      </c>
      <c r="D54" s="5">
        <v>427219</v>
      </c>
      <c r="E54" s="49"/>
      <c r="F54" s="22" t="s">
        <v>19</v>
      </c>
      <c r="G54" s="5">
        <v>5814837</v>
      </c>
      <c r="H54" s="5">
        <v>1107771</v>
      </c>
      <c r="I54" s="5">
        <v>6922608</v>
      </c>
      <c r="J54" s="49"/>
      <c r="K54" s="49"/>
      <c r="L54" s="37"/>
      <c r="M54" s="37"/>
    </row>
    <row r="55" spans="1:13">
      <c r="A55" s="22" t="s">
        <v>20</v>
      </c>
      <c r="B55" s="5">
        <v>2658808</v>
      </c>
      <c r="C55" s="5">
        <v>881721</v>
      </c>
      <c r="D55" s="5">
        <v>3540529</v>
      </c>
      <c r="E55" s="49"/>
      <c r="F55" s="22" t="s">
        <v>20</v>
      </c>
      <c r="G55" s="5">
        <v>40957396</v>
      </c>
      <c r="H55" s="5">
        <v>12447649</v>
      </c>
      <c r="I55" s="5">
        <v>53405045</v>
      </c>
      <c r="J55" s="49"/>
      <c r="K55" s="49"/>
      <c r="L55" s="37"/>
      <c r="M55" s="37"/>
    </row>
    <row r="56" spans="1:13">
      <c r="A56" s="22" t="s">
        <v>21</v>
      </c>
      <c r="B56" s="5">
        <v>224852</v>
      </c>
      <c r="C56" s="5">
        <v>43910</v>
      </c>
      <c r="D56" s="5">
        <v>268762</v>
      </c>
      <c r="E56" s="49"/>
      <c r="F56" s="22" t="s">
        <v>21</v>
      </c>
      <c r="G56" s="5">
        <v>3927024</v>
      </c>
      <c r="H56" s="5">
        <v>666021</v>
      </c>
      <c r="I56" s="5">
        <v>4593045</v>
      </c>
      <c r="J56" s="49"/>
      <c r="K56" s="49"/>
      <c r="L56" s="37"/>
      <c r="M56" s="37"/>
    </row>
    <row r="57" spans="1:13">
      <c r="A57" s="22" t="s">
        <v>22</v>
      </c>
      <c r="B57" s="5">
        <v>205043</v>
      </c>
      <c r="C57" s="5">
        <v>30789</v>
      </c>
      <c r="D57" s="5">
        <v>235832</v>
      </c>
      <c r="E57" s="49"/>
      <c r="F57" s="22" t="s">
        <v>22</v>
      </c>
      <c r="G57" s="5">
        <v>3372592</v>
      </c>
      <c r="H57" s="5">
        <v>449680</v>
      </c>
      <c r="I57" s="5">
        <v>3822272</v>
      </c>
      <c r="J57" s="49"/>
      <c r="K57" s="49"/>
      <c r="L57" s="37"/>
      <c r="M57" s="37"/>
    </row>
    <row r="58" spans="1:13">
      <c r="A58" s="22" t="s">
        <v>237</v>
      </c>
      <c r="B58" s="5">
        <v>79461</v>
      </c>
      <c r="C58" s="5">
        <v>13452</v>
      </c>
      <c r="D58" s="5">
        <v>92913</v>
      </c>
      <c r="E58" s="49"/>
      <c r="F58" s="22" t="s">
        <v>237</v>
      </c>
      <c r="G58" s="5">
        <v>1346022</v>
      </c>
      <c r="H58" s="5">
        <v>220567</v>
      </c>
      <c r="I58" s="5">
        <v>1566589</v>
      </c>
      <c r="J58" s="49"/>
      <c r="K58" s="49"/>
      <c r="L58" s="37"/>
      <c r="M58" s="37"/>
    </row>
    <row r="59" spans="1:13">
      <c r="A59" s="22" t="s">
        <v>23</v>
      </c>
      <c r="B59" s="5">
        <v>374126</v>
      </c>
      <c r="C59" s="5">
        <v>71725</v>
      </c>
      <c r="D59" s="5">
        <v>445851</v>
      </c>
      <c r="E59" s="49"/>
      <c r="F59" s="22" t="s">
        <v>23</v>
      </c>
      <c r="G59" s="5">
        <v>6455363</v>
      </c>
      <c r="H59" s="5">
        <v>1192366</v>
      </c>
      <c r="I59" s="5">
        <v>7647729</v>
      </c>
      <c r="J59" s="49"/>
      <c r="K59" s="49"/>
      <c r="L59" s="37"/>
      <c r="M59" s="37"/>
    </row>
    <row r="60" spans="1:13">
      <c r="A60" s="22" t="s">
        <v>24</v>
      </c>
      <c r="B60" s="5">
        <v>124984</v>
      </c>
      <c r="C60" s="5">
        <v>28714</v>
      </c>
      <c r="D60" s="5">
        <v>153698</v>
      </c>
      <c r="E60" s="49"/>
      <c r="F60" s="22" t="s">
        <v>24</v>
      </c>
      <c r="G60" s="5">
        <v>1861509</v>
      </c>
      <c r="H60" s="5">
        <v>434881</v>
      </c>
      <c r="I60" s="5">
        <v>2296390</v>
      </c>
      <c r="J60" s="49"/>
      <c r="K60" s="49"/>
      <c r="L60" s="37"/>
      <c r="M60" s="37"/>
    </row>
    <row r="61" spans="1:13">
      <c r="A61" s="22" t="s">
        <v>25</v>
      </c>
      <c r="B61" s="5">
        <v>45771</v>
      </c>
      <c r="C61" s="5">
        <v>10637</v>
      </c>
      <c r="D61" s="5">
        <v>56408</v>
      </c>
      <c r="E61" s="49"/>
      <c r="F61" s="22" t="s">
        <v>25</v>
      </c>
      <c r="G61" s="5">
        <v>540198</v>
      </c>
      <c r="H61" s="5">
        <v>131551</v>
      </c>
      <c r="I61" s="5">
        <v>671749</v>
      </c>
      <c r="J61" s="49"/>
      <c r="K61" s="49"/>
      <c r="L61" s="37"/>
      <c r="M61" s="37"/>
    </row>
    <row r="62" spans="1:13">
      <c r="A62" s="22" t="s">
        <v>26</v>
      </c>
      <c r="B62" s="5">
        <v>168199</v>
      </c>
      <c r="C62" s="5">
        <v>35664</v>
      </c>
      <c r="D62" s="5">
        <v>203863</v>
      </c>
      <c r="E62" s="49"/>
      <c r="F62" s="22" t="s">
        <v>26</v>
      </c>
      <c r="G62" s="5">
        <v>2256615</v>
      </c>
      <c r="H62" s="5">
        <v>500437</v>
      </c>
      <c r="I62" s="5">
        <v>2757052</v>
      </c>
      <c r="J62" s="49"/>
      <c r="K62" s="49"/>
      <c r="L62" s="37"/>
      <c r="M62" s="37"/>
    </row>
    <row r="63" spans="1:13">
      <c r="A63" s="22" t="s">
        <v>27</v>
      </c>
      <c r="B63" s="5">
        <v>18047</v>
      </c>
      <c r="C63" s="5">
        <v>3255</v>
      </c>
      <c r="D63" s="5">
        <v>21302</v>
      </c>
      <c r="E63" s="49"/>
      <c r="F63" s="22" t="s">
        <v>27</v>
      </c>
      <c r="G63" s="5">
        <v>254308</v>
      </c>
      <c r="H63" s="5">
        <v>48078</v>
      </c>
      <c r="I63" s="5">
        <v>302386</v>
      </c>
      <c r="J63" s="49"/>
      <c r="K63" s="49"/>
      <c r="L63" s="37"/>
      <c r="M63" s="37"/>
    </row>
    <row r="64" spans="1:13">
      <c r="A64" s="22" t="s">
        <v>28</v>
      </c>
      <c r="B64" s="5">
        <v>46051</v>
      </c>
      <c r="C64" s="5">
        <v>13366</v>
      </c>
      <c r="D64" s="5">
        <v>59417</v>
      </c>
      <c r="E64" s="49"/>
      <c r="F64" s="22" t="s">
        <v>28</v>
      </c>
      <c r="G64" s="5">
        <v>673391</v>
      </c>
      <c r="H64" s="5">
        <v>211205</v>
      </c>
      <c r="I64" s="5">
        <v>884596</v>
      </c>
      <c r="J64" s="49"/>
      <c r="K64" s="49"/>
      <c r="L64" s="37"/>
      <c r="M64" s="37"/>
    </row>
    <row r="65" spans="1:13">
      <c r="A65" s="22" t="s">
        <v>216</v>
      </c>
      <c r="B65" s="5">
        <v>0</v>
      </c>
      <c r="C65" s="5">
        <v>18736</v>
      </c>
      <c r="D65" s="5">
        <v>18736</v>
      </c>
      <c r="E65" s="49"/>
      <c r="F65" s="22" t="s">
        <v>216</v>
      </c>
      <c r="G65" s="5">
        <v>0</v>
      </c>
      <c r="H65" s="5">
        <v>432880</v>
      </c>
      <c r="I65" s="5">
        <v>432880</v>
      </c>
      <c r="J65" s="49"/>
      <c r="K65" s="49"/>
      <c r="L65" s="37"/>
      <c r="M65" s="37"/>
    </row>
    <row r="66" spans="1:13">
      <c r="A66" s="20" t="s">
        <v>46</v>
      </c>
      <c r="B66" s="36">
        <v>4695694</v>
      </c>
      <c r="C66" s="36">
        <v>1338666</v>
      </c>
      <c r="D66" s="36">
        <v>6034360</v>
      </c>
      <c r="E66" s="49"/>
      <c r="F66" s="20" t="s">
        <v>46</v>
      </c>
      <c r="G66" s="36">
        <v>73737654</v>
      </c>
      <c r="H66" s="36">
        <v>19587568</v>
      </c>
      <c r="I66" s="36">
        <v>93325222</v>
      </c>
      <c r="J66" s="49"/>
      <c r="K66" s="49"/>
      <c r="L66" s="37"/>
      <c r="M66" s="37"/>
    </row>
    <row r="67" spans="1:13">
      <c r="B67" s="46"/>
      <c r="C67" s="46"/>
      <c r="D67" s="46"/>
      <c r="G67" s="49"/>
      <c r="H67" s="49"/>
      <c r="I67" s="49"/>
    </row>
    <row r="69" spans="1:13">
      <c r="A69" s="7" t="s">
        <v>87</v>
      </c>
      <c r="F69" s="2" t="s">
        <v>88</v>
      </c>
    </row>
    <row r="70" spans="1:13">
      <c r="A70" s="7" t="s">
        <v>263</v>
      </c>
      <c r="F70" s="2" t="s">
        <v>264</v>
      </c>
    </row>
    <row r="71" spans="1:13">
      <c r="A71" s="8" t="s">
        <v>147</v>
      </c>
      <c r="B71" s="8" t="s">
        <v>0</v>
      </c>
      <c r="C71" s="8" t="s">
        <v>1</v>
      </c>
      <c r="D71" s="8" t="s">
        <v>45</v>
      </c>
      <c r="F71" s="8" t="s">
        <v>147</v>
      </c>
      <c r="G71" s="8" t="s">
        <v>0</v>
      </c>
      <c r="H71" s="8" t="s">
        <v>1</v>
      </c>
      <c r="I71" s="8" t="s">
        <v>45</v>
      </c>
    </row>
    <row r="72" spans="1:13">
      <c r="A72" s="22" t="s">
        <v>222</v>
      </c>
      <c r="B72" s="4">
        <v>4212493</v>
      </c>
      <c r="C72" s="4">
        <v>924233</v>
      </c>
      <c r="D72" s="4">
        <v>5136726</v>
      </c>
      <c r="E72" s="49"/>
      <c r="F72" s="22" t="s">
        <v>222</v>
      </c>
      <c r="G72" s="4">
        <v>62626550</v>
      </c>
      <c r="H72" s="4">
        <v>11546293</v>
      </c>
      <c r="I72" s="4">
        <v>74172843</v>
      </c>
      <c r="J72" s="49"/>
      <c r="K72" s="49"/>
    </row>
    <row r="73" spans="1:13">
      <c r="A73" s="22" t="s">
        <v>223</v>
      </c>
      <c r="B73" s="5">
        <v>35354</v>
      </c>
      <c r="C73" s="5">
        <v>77</v>
      </c>
      <c r="D73" s="5">
        <v>35431</v>
      </c>
      <c r="E73" s="49"/>
      <c r="F73" s="22" t="s">
        <v>223</v>
      </c>
      <c r="G73" s="5">
        <v>835515</v>
      </c>
      <c r="H73" s="5">
        <v>1147</v>
      </c>
      <c r="I73" s="5">
        <v>836662</v>
      </c>
      <c r="J73" s="49"/>
      <c r="K73" s="49"/>
    </row>
    <row r="74" spans="1:13">
      <c r="A74" s="22" t="s">
        <v>224</v>
      </c>
      <c r="B74" s="5">
        <v>62455</v>
      </c>
      <c r="C74" s="5">
        <v>144832</v>
      </c>
      <c r="D74" s="5">
        <v>207287</v>
      </c>
      <c r="E74" s="49"/>
      <c r="F74" s="22" t="s">
        <v>224</v>
      </c>
      <c r="G74" s="5">
        <v>1347833</v>
      </c>
      <c r="H74" s="5">
        <v>2691744</v>
      </c>
      <c r="I74" s="5">
        <v>4039577</v>
      </c>
      <c r="J74" s="49"/>
      <c r="K74" s="49"/>
    </row>
    <row r="75" spans="1:13">
      <c r="A75" s="22" t="s">
        <v>7</v>
      </c>
      <c r="B75" s="5">
        <v>378720</v>
      </c>
      <c r="C75" s="5">
        <v>269524</v>
      </c>
      <c r="D75" s="5">
        <v>648244</v>
      </c>
      <c r="E75" s="49"/>
      <c r="F75" s="22" t="s">
        <v>7</v>
      </c>
      <c r="G75" s="5">
        <v>8820633</v>
      </c>
      <c r="H75" s="5">
        <v>5348384</v>
      </c>
      <c r="I75" s="5">
        <v>14169017</v>
      </c>
      <c r="J75" s="49"/>
      <c r="K75" s="49"/>
    </row>
    <row r="76" spans="1:13">
      <c r="A76" s="22" t="s">
        <v>8</v>
      </c>
      <c r="B76" s="5">
        <v>6234</v>
      </c>
      <c r="C76" s="5">
        <v>0</v>
      </c>
      <c r="D76" s="5">
        <v>6234</v>
      </c>
      <c r="E76" s="49"/>
      <c r="F76" s="22" t="s">
        <v>8</v>
      </c>
      <c r="G76" s="5">
        <v>100000</v>
      </c>
      <c r="H76" s="5">
        <v>0</v>
      </c>
      <c r="I76" s="5">
        <v>100000</v>
      </c>
      <c r="J76" s="49"/>
      <c r="K76" s="49"/>
    </row>
    <row r="77" spans="1:13">
      <c r="A77" s="22" t="s">
        <v>216</v>
      </c>
      <c r="B77" s="5">
        <v>438</v>
      </c>
      <c r="C77" s="5">
        <v>0</v>
      </c>
      <c r="D77" s="5">
        <v>438</v>
      </c>
      <c r="E77" s="49"/>
      <c r="F77" s="22" t="s">
        <v>216</v>
      </c>
      <c r="G77" s="5">
        <v>7123</v>
      </c>
      <c r="H77" s="5">
        <v>0</v>
      </c>
      <c r="I77" s="5">
        <v>7123</v>
      </c>
      <c r="J77" s="49"/>
      <c r="K77" s="49"/>
    </row>
    <row r="78" spans="1:13">
      <c r="A78" s="20" t="s">
        <v>46</v>
      </c>
      <c r="B78" s="36">
        <v>4695694</v>
      </c>
      <c r="C78" s="36">
        <v>1338666</v>
      </c>
      <c r="D78" s="36">
        <v>6034360</v>
      </c>
      <c r="E78" s="49"/>
      <c r="F78" s="20" t="s">
        <v>46</v>
      </c>
      <c r="G78" s="36">
        <v>73737654</v>
      </c>
      <c r="H78" s="36">
        <v>19587568</v>
      </c>
      <c r="I78" s="36">
        <v>93325222</v>
      </c>
      <c r="J78" s="49"/>
      <c r="K78" s="49"/>
    </row>
    <row r="79" spans="1:13">
      <c r="B79" s="46"/>
      <c r="C79" s="46"/>
      <c r="D79" s="46"/>
      <c r="G79" s="49"/>
      <c r="H79" s="49"/>
      <c r="I79" s="49"/>
    </row>
    <row r="81" spans="1:11">
      <c r="A81" s="7" t="s">
        <v>225</v>
      </c>
      <c r="F81" s="2" t="s">
        <v>227</v>
      </c>
    </row>
    <row r="82" spans="1:11">
      <c r="A82" s="2" t="s">
        <v>265</v>
      </c>
      <c r="F82" s="2" t="s">
        <v>266</v>
      </c>
    </row>
    <row r="83" spans="1:11" ht="14.25">
      <c r="A83" s="8" t="s">
        <v>145</v>
      </c>
      <c r="B83" s="8" t="s">
        <v>0</v>
      </c>
      <c r="C83" s="8" t="s">
        <v>438</v>
      </c>
      <c r="D83" s="8" t="s">
        <v>45</v>
      </c>
      <c r="F83" s="8" t="s">
        <v>145</v>
      </c>
      <c r="G83" s="8" t="s">
        <v>0</v>
      </c>
      <c r="H83" s="8" t="s">
        <v>438</v>
      </c>
      <c r="I83" s="8" t="s">
        <v>45</v>
      </c>
    </row>
    <row r="84" spans="1:11">
      <c r="A84" s="22" t="s">
        <v>14</v>
      </c>
      <c r="B84" s="4">
        <v>12847</v>
      </c>
      <c r="C84" s="4">
        <v>3086</v>
      </c>
      <c r="D84" s="4">
        <v>15933</v>
      </c>
      <c r="E84" s="49"/>
      <c r="F84" s="22" t="s">
        <v>14</v>
      </c>
      <c r="G84" s="4">
        <v>146640</v>
      </c>
      <c r="H84" s="4">
        <v>37903</v>
      </c>
      <c r="I84" s="4">
        <v>184543</v>
      </c>
      <c r="J84" s="48"/>
      <c r="K84" s="48"/>
    </row>
    <row r="85" spans="1:11">
      <c r="A85" s="22" t="s">
        <v>15</v>
      </c>
      <c r="B85" s="5">
        <v>37193</v>
      </c>
      <c r="C85" s="5">
        <v>7596</v>
      </c>
      <c r="D85" s="5">
        <v>44789</v>
      </c>
      <c r="E85" s="49"/>
      <c r="F85" s="22" t="s">
        <v>15</v>
      </c>
      <c r="G85" s="5">
        <v>563574</v>
      </c>
      <c r="H85" s="5">
        <v>119977</v>
      </c>
      <c r="I85" s="5">
        <v>683551</v>
      </c>
      <c r="J85" s="48"/>
      <c r="K85" s="48"/>
    </row>
    <row r="86" spans="1:11">
      <c r="A86" s="22" t="s">
        <v>16</v>
      </c>
      <c r="B86" s="5">
        <v>60668</v>
      </c>
      <c r="C86" s="5">
        <v>19172</v>
      </c>
      <c r="D86" s="5">
        <v>79840</v>
      </c>
      <c r="E86" s="49"/>
      <c r="F86" s="22" t="s">
        <v>16</v>
      </c>
      <c r="G86" s="5">
        <v>999988</v>
      </c>
      <c r="H86" s="5">
        <v>319534</v>
      </c>
      <c r="I86" s="5">
        <v>1319522</v>
      </c>
      <c r="J86" s="48"/>
      <c r="K86" s="48"/>
    </row>
    <row r="87" spans="1:11">
      <c r="A87" s="22" t="s">
        <v>17</v>
      </c>
      <c r="B87" s="5">
        <v>30066</v>
      </c>
      <c r="C87" s="5">
        <v>4821</v>
      </c>
      <c r="D87" s="5">
        <v>34887</v>
      </c>
      <c r="E87" s="49"/>
      <c r="F87" s="22" t="s">
        <v>17</v>
      </c>
      <c r="G87" s="5">
        <v>502894</v>
      </c>
      <c r="H87" s="5">
        <v>75630</v>
      </c>
      <c r="I87" s="5">
        <v>578524</v>
      </c>
      <c r="J87" s="48"/>
      <c r="K87" s="48"/>
    </row>
    <row r="88" spans="1:11">
      <c r="A88" s="22" t="s">
        <v>18</v>
      </c>
      <c r="B88" s="5">
        <v>64930</v>
      </c>
      <c r="C88" s="5">
        <v>7078</v>
      </c>
      <c r="D88" s="5">
        <v>72008</v>
      </c>
      <c r="E88" s="49"/>
      <c r="F88" s="22" t="s">
        <v>18</v>
      </c>
      <c r="G88" s="5">
        <v>1054915</v>
      </c>
      <c r="H88" s="5">
        <v>114365</v>
      </c>
      <c r="I88" s="5">
        <v>1169280</v>
      </c>
      <c r="J88" s="48"/>
      <c r="K88" s="48"/>
    </row>
    <row r="89" spans="1:11">
      <c r="A89" s="22" t="s">
        <v>19</v>
      </c>
      <c r="B89" s="5">
        <v>200757</v>
      </c>
      <c r="C89" s="5">
        <v>34651</v>
      </c>
      <c r="D89" s="5">
        <v>235408</v>
      </c>
      <c r="E89" s="49"/>
      <c r="F89" s="22" t="s">
        <v>19</v>
      </c>
      <c r="G89" s="5">
        <v>3270445</v>
      </c>
      <c r="H89" s="5">
        <v>559961</v>
      </c>
      <c r="I89" s="5">
        <v>3830406</v>
      </c>
      <c r="J89" s="48"/>
      <c r="K89" s="48"/>
    </row>
    <row r="90" spans="1:11">
      <c r="A90" s="22" t="s">
        <v>20</v>
      </c>
      <c r="B90" s="5">
        <v>1589412</v>
      </c>
      <c r="C90" s="5">
        <v>418422</v>
      </c>
      <c r="D90" s="5">
        <v>2007834</v>
      </c>
      <c r="E90" s="49"/>
      <c r="F90" s="22" t="s">
        <v>20</v>
      </c>
      <c r="G90" s="5">
        <v>24949940</v>
      </c>
      <c r="H90" s="5">
        <v>6218184</v>
      </c>
      <c r="I90" s="5">
        <v>31168124</v>
      </c>
      <c r="J90" s="48"/>
      <c r="K90" s="48"/>
    </row>
    <row r="91" spans="1:11">
      <c r="A91" s="22" t="s">
        <v>21</v>
      </c>
      <c r="B91" s="5">
        <v>120841</v>
      </c>
      <c r="C91" s="5">
        <v>17720</v>
      </c>
      <c r="D91" s="5">
        <v>138561</v>
      </c>
      <c r="E91" s="49"/>
      <c r="F91" s="22" t="s">
        <v>21</v>
      </c>
      <c r="G91" s="5">
        <v>2090412</v>
      </c>
      <c r="H91" s="5">
        <v>289909</v>
      </c>
      <c r="I91" s="5">
        <v>2380321</v>
      </c>
      <c r="J91" s="48"/>
      <c r="K91" s="48"/>
    </row>
    <row r="92" spans="1:11">
      <c r="A92" s="22" t="s">
        <v>22</v>
      </c>
      <c r="B92" s="5">
        <v>119171</v>
      </c>
      <c r="C92" s="5">
        <v>14933</v>
      </c>
      <c r="D92" s="5">
        <v>134104</v>
      </c>
      <c r="E92" s="49"/>
      <c r="F92" s="22" t="s">
        <v>22</v>
      </c>
      <c r="G92" s="5">
        <v>1925116</v>
      </c>
      <c r="H92" s="5">
        <v>224044</v>
      </c>
      <c r="I92" s="5">
        <v>2149160</v>
      </c>
      <c r="J92" s="48"/>
      <c r="K92" s="48"/>
    </row>
    <row r="93" spans="1:11">
      <c r="A93" s="22" t="s">
        <v>237</v>
      </c>
      <c r="B93" s="5">
        <v>44923</v>
      </c>
      <c r="C93" s="5">
        <v>6696</v>
      </c>
      <c r="D93" s="5">
        <v>51619</v>
      </c>
      <c r="E93" s="49"/>
      <c r="F93" s="22" t="s">
        <v>237</v>
      </c>
      <c r="G93" s="5">
        <v>784661</v>
      </c>
      <c r="H93" s="5">
        <v>115066</v>
      </c>
      <c r="I93" s="5">
        <v>899727</v>
      </c>
      <c r="J93" s="48"/>
      <c r="K93" s="48"/>
    </row>
    <row r="94" spans="1:11">
      <c r="A94" s="22" t="s">
        <v>23</v>
      </c>
      <c r="B94" s="5">
        <v>195065</v>
      </c>
      <c r="C94" s="5">
        <v>35000</v>
      </c>
      <c r="D94" s="5">
        <v>230065</v>
      </c>
      <c r="E94" s="49"/>
      <c r="F94" s="22" t="s">
        <v>23</v>
      </c>
      <c r="G94" s="5">
        <v>3349376</v>
      </c>
      <c r="H94" s="5">
        <v>593414</v>
      </c>
      <c r="I94" s="5">
        <v>3942790</v>
      </c>
      <c r="J94" s="48"/>
      <c r="K94" s="48"/>
    </row>
    <row r="95" spans="1:11">
      <c r="A95" s="22" t="s">
        <v>24</v>
      </c>
      <c r="B95" s="5">
        <v>71754</v>
      </c>
      <c r="C95" s="5">
        <v>15821</v>
      </c>
      <c r="D95" s="5">
        <v>87575</v>
      </c>
      <c r="E95" s="49"/>
      <c r="F95" s="22" t="s">
        <v>24</v>
      </c>
      <c r="G95" s="5">
        <v>1091965</v>
      </c>
      <c r="H95" s="5">
        <v>249947</v>
      </c>
      <c r="I95" s="5">
        <v>1341912</v>
      </c>
      <c r="J95" s="48"/>
      <c r="K95" s="48"/>
    </row>
    <row r="96" spans="1:11">
      <c r="A96" s="22" t="s">
        <v>25</v>
      </c>
      <c r="B96" s="5">
        <v>25535</v>
      </c>
      <c r="C96" s="5">
        <v>5585</v>
      </c>
      <c r="D96" s="5">
        <v>31120</v>
      </c>
      <c r="E96" s="49"/>
      <c r="F96" s="22" t="s">
        <v>25</v>
      </c>
      <c r="G96" s="5">
        <v>289490</v>
      </c>
      <c r="H96" s="5">
        <v>71928</v>
      </c>
      <c r="I96" s="5">
        <v>361418</v>
      </c>
      <c r="J96" s="48"/>
      <c r="K96" s="48"/>
    </row>
    <row r="97" spans="1:11">
      <c r="A97" s="22" t="s">
        <v>26</v>
      </c>
      <c r="B97" s="5">
        <v>95216</v>
      </c>
      <c r="C97" s="5">
        <v>16472</v>
      </c>
      <c r="D97" s="5">
        <v>111688</v>
      </c>
      <c r="E97" s="49"/>
      <c r="F97" s="22" t="s">
        <v>26</v>
      </c>
      <c r="G97" s="5">
        <v>1235467</v>
      </c>
      <c r="H97" s="5">
        <v>236689</v>
      </c>
      <c r="I97" s="5">
        <v>1472156</v>
      </c>
      <c r="J97" s="48"/>
      <c r="K97" s="48"/>
    </row>
    <row r="98" spans="1:11">
      <c r="A98" s="22" t="s">
        <v>27</v>
      </c>
      <c r="B98" s="5">
        <v>11496</v>
      </c>
      <c r="C98" s="5">
        <v>1676</v>
      </c>
      <c r="D98" s="5">
        <v>13172</v>
      </c>
      <c r="E98" s="49"/>
      <c r="F98" s="22" t="s">
        <v>27</v>
      </c>
      <c r="G98" s="5">
        <v>155007</v>
      </c>
      <c r="H98" s="5">
        <v>24860</v>
      </c>
      <c r="I98" s="5">
        <v>179867</v>
      </c>
      <c r="J98" s="48"/>
      <c r="K98" s="48"/>
    </row>
    <row r="99" spans="1:11">
      <c r="A99" s="22" t="s">
        <v>28</v>
      </c>
      <c r="B99" s="5">
        <v>27657</v>
      </c>
      <c r="C99" s="5">
        <v>5757</v>
      </c>
      <c r="D99" s="5">
        <v>33414</v>
      </c>
      <c r="E99" s="49"/>
      <c r="F99" s="22" t="s">
        <v>28</v>
      </c>
      <c r="G99" s="5">
        <v>406547</v>
      </c>
      <c r="H99" s="5">
        <v>95252</v>
      </c>
      <c r="I99" s="5">
        <v>501799</v>
      </c>
      <c r="J99" s="48"/>
      <c r="K99" s="48"/>
    </row>
    <row r="100" spans="1:11">
      <c r="A100" s="22" t="s">
        <v>216</v>
      </c>
      <c r="B100" s="5">
        <v>0</v>
      </c>
      <c r="C100" s="5">
        <v>13827</v>
      </c>
      <c r="D100" s="5">
        <v>13827</v>
      </c>
      <c r="E100" s="49"/>
      <c r="F100" s="22" t="s">
        <v>216</v>
      </c>
      <c r="G100" s="5">
        <v>0</v>
      </c>
      <c r="H100" s="5">
        <v>368510</v>
      </c>
      <c r="I100" s="5">
        <v>368510</v>
      </c>
      <c r="J100" s="48"/>
      <c r="K100" s="48"/>
    </row>
    <row r="101" spans="1:11">
      <c r="A101" s="20" t="s">
        <v>46</v>
      </c>
      <c r="B101" s="36">
        <v>2707531</v>
      </c>
      <c r="C101" s="36">
        <v>628313</v>
      </c>
      <c r="D101" s="36">
        <v>3335844</v>
      </c>
      <c r="E101" s="49"/>
      <c r="F101" s="20" t="s">
        <v>46</v>
      </c>
      <c r="G101" s="36">
        <v>42816437</v>
      </c>
      <c r="H101" s="36">
        <v>9715173</v>
      </c>
      <c r="I101" s="36">
        <v>52531610</v>
      </c>
      <c r="J101" s="48"/>
      <c r="K101" s="48"/>
    </row>
    <row r="102" spans="1:11">
      <c r="A102" s="3" t="s">
        <v>471</v>
      </c>
      <c r="B102" s="46"/>
      <c r="C102" s="46"/>
      <c r="D102" s="46"/>
      <c r="F102" s="3" t="s">
        <v>475</v>
      </c>
      <c r="G102" s="46"/>
      <c r="H102" s="46"/>
      <c r="I102" s="46"/>
    </row>
    <row r="103" spans="1:11">
      <c r="B103" s="46"/>
      <c r="C103" s="46"/>
      <c r="D103" s="46"/>
      <c r="G103" s="49"/>
      <c r="H103" s="49"/>
      <c r="I103" s="49"/>
    </row>
    <row r="104" spans="1:11">
      <c r="A104" s="7" t="s">
        <v>226</v>
      </c>
      <c r="F104" s="2" t="s">
        <v>228</v>
      </c>
      <c r="G104" s="6"/>
      <c r="H104" s="6"/>
      <c r="I104" s="6"/>
    </row>
    <row r="105" spans="1:11">
      <c r="A105" s="2" t="s">
        <v>267</v>
      </c>
      <c r="F105" s="2" t="s">
        <v>268</v>
      </c>
    </row>
    <row r="106" spans="1:11" ht="14.25">
      <c r="A106" s="8" t="s">
        <v>145</v>
      </c>
      <c r="B106" s="8" t="s">
        <v>0</v>
      </c>
      <c r="C106" s="8" t="s">
        <v>438</v>
      </c>
      <c r="D106" s="8" t="s">
        <v>45</v>
      </c>
      <c r="F106" s="8" t="s">
        <v>145</v>
      </c>
      <c r="G106" s="8" t="s">
        <v>0</v>
      </c>
      <c r="H106" s="8" t="s">
        <v>438</v>
      </c>
      <c r="I106" s="8" t="s">
        <v>45</v>
      </c>
    </row>
    <row r="107" spans="1:11">
      <c r="A107" s="22" t="s">
        <v>14</v>
      </c>
      <c r="B107" s="4">
        <v>11354</v>
      </c>
      <c r="C107" s="4">
        <v>3286</v>
      </c>
      <c r="D107" s="4">
        <v>14640</v>
      </c>
      <c r="E107" s="46"/>
      <c r="F107" s="22" t="s">
        <v>14</v>
      </c>
      <c r="G107" s="4">
        <v>143843</v>
      </c>
      <c r="H107" s="4">
        <v>38407</v>
      </c>
      <c r="I107" s="4">
        <v>182250</v>
      </c>
      <c r="J107" s="48"/>
      <c r="K107" s="48"/>
    </row>
    <row r="108" spans="1:11">
      <c r="A108" s="22" t="s">
        <v>15</v>
      </c>
      <c r="B108" s="5">
        <v>33252</v>
      </c>
      <c r="C108" s="5">
        <v>14143</v>
      </c>
      <c r="D108" s="5">
        <v>47395</v>
      </c>
      <c r="E108" s="47"/>
      <c r="F108" s="22" t="s">
        <v>15</v>
      </c>
      <c r="G108" s="5">
        <v>492131</v>
      </c>
      <c r="H108" s="5">
        <v>205329</v>
      </c>
      <c r="I108" s="5">
        <v>697460</v>
      </c>
      <c r="J108" s="48"/>
      <c r="K108" s="48"/>
    </row>
    <row r="109" spans="1:11">
      <c r="A109" s="22" t="s">
        <v>16</v>
      </c>
      <c r="B109" s="5">
        <v>69928</v>
      </c>
      <c r="C109" s="5">
        <v>39899</v>
      </c>
      <c r="D109" s="5">
        <v>109827</v>
      </c>
      <c r="E109" s="47"/>
      <c r="F109" s="22" t="s">
        <v>16</v>
      </c>
      <c r="G109" s="5">
        <v>1144146</v>
      </c>
      <c r="H109" s="5">
        <v>590676</v>
      </c>
      <c r="I109" s="5">
        <v>1734822</v>
      </c>
      <c r="J109" s="48"/>
      <c r="K109" s="48"/>
    </row>
    <row r="110" spans="1:11">
      <c r="A110" s="22" t="s">
        <v>17</v>
      </c>
      <c r="B110" s="5">
        <v>28518</v>
      </c>
      <c r="C110" s="5">
        <v>8748</v>
      </c>
      <c r="D110" s="5">
        <v>37266</v>
      </c>
      <c r="E110" s="47"/>
      <c r="F110" s="22" t="s">
        <v>17</v>
      </c>
      <c r="G110" s="5">
        <v>480790</v>
      </c>
      <c r="H110" s="5">
        <v>130693</v>
      </c>
      <c r="I110" s="5">
        <v>611483</v>
      </c>
      <c r="J110" s="48"/>
      <c r="K110" s="48"/>
    </row>
    <row r="111" spans="1:11">
      <c r="A111" s="22" t="s">
        <v>18</v>
      </c>
      <c r="B111" s="5">
        <v>45735</v>
      </c>
      <c r="C111" s="5">
        <v>7506</v>
      </c>
      <c r="D111" s="5">
        <v>53241</v>
      </c>
      <c r="E111" s="47"/>
      <c r="F111" s="22" t="s">
        <v>18</v>
      </c>
      <c r="G111" s="5">
        <v>749478</v>
      </c>
      <c r="H111" s="5">
        <v>111940</v>
      </c>
      <c r="I111" s="5">
        <v>861418</v>
      </c>
      <c r="J111" s="48"/>
      <c r="K111" s="48"/>
    </row>
    <row r="112" spans="1:11">
      <c r="A112" s="22" t="s">
        <v>19</v>
      </c>
      <c r="B112" s="5">
        <v>155104</v>
      </c>
      <c r="C112" s="5">
        <v>36707</v>
      </c>
      <c r="D112" s="5">
        <v>191811</v>
      </c>
      <c r="E112" s="47"/>
      <c r="F112" s="22" t="s">
        <v>19</v>
      </c>
      <c r="G112" s="5">
        <v>2544392</v>
      </c>
      <c r="H112" s="5">
        <v>547810</v>
      </c>
      <c r="I112" s="5">
        <v>3092202</v>
      </c>
      <c r="J112" s="48"/>
      <c r="K112" s="48"/>
    </row>
    <row r="113" spans="1:11">
      <c r="A113" s="22" t="s">
        <v>20</v>
      </c>
      <c r="B113" s="5">
        <v>1069396</v>
      </c>
      <c r="C113" s="5">
        <v>463287</v>
      </c>
      <c r="D113" s="5">
        <v>1532683</v>
      </c>
      <c r="E113" s="47"/>
      <c r="F113" s="22" t="s">
        <v>20</v>
      </c>
      <c r="G113" s="5">
        <v>16007456</v>
      </c>
      <c r="H113" s="5">
        <v>6229300</v>
      </c>
      <c r="I113" s="5">
        <v>22236756</v>
      </c>
      <c r="J113" s="48"/>
      <c r="K113" s="48"/>
    </row>
    <row r="114" spans="1:11">
      <c r="A114" s="22" t="s">
        <v>21</v>
      </c>
      <c r="B114" s="5">
        <v>104011</v>
      </c>
      <c r="C114" s="5">
        <v>26190</v>
      </c>
      <c r="D114" s="5">
        <v>130201</v>
      </c>
      <c r="E114" s="47"/>
      <c r="F114" s="22" t="s">
        <v>21</v>
      </c>
      <c r="G114" s="5">
        <v>1836612</v>
      </c>
      <c r="H114" s="5">
        <v>376112</v>
      </c>
      <c r="I114" s="5">
        <v>2212724</v>
      </c>
      <c r="J114" s="48"/>
      <c r="K114" s="48"/>
    </row>
    <row r="115" spans="1:11">
      <c r="A115" s="22" t="s">
        <v>22</v>
      </c>
      <c r="B115" s="5">
        <v>85872</v>
      </c>
      <c r="C115" s="5">
        <v>15856</v>
      </c>
      <c r="D115" s="5">
        <v>101728</v>
      </c>
      <c r="E115" s="47"/>
      <c r="F115" s="22" t="s">
        <v>22</v>
      </c>
      <c r="G115" s="5">
        <v>1447476</v>
      </c>
      <c r="H115" s="5">
        <v>225636</v>
      </c>
      <c r="I115" s="5">
        <v>1673112</v>
      </c>
      <c r="J115" s="48"/>
      <c r="K115" s="48"/>
    </row>
    <row r="116" spans="1:11">
      <c r="A116" s="22" t="s">
        <v>237</v>
      </c>
      <c r="B116" s="5">
        <v>34538</v>
      </c>
      <c r="C116" s="5">
        <v>6754</v>
      </c>
      <c r="D116" s="5">
        <v>41292</v>
      </c>
      <c r="E116" s="47"/>
      <c r="F116" s="22" t="s">
        <v>237</v>
      </c>
      <c r="G116" s="5">
        <v>561361</v>
      </c>
      <c r="H116" s="5">
        <v>105456</v>
      </c>
      <c r="I116" s="5">
        <v>666817</v>
      </c>
      <c r="J116" s="48"/>
      <c r="K116" s="48"/>
    </row>
    <row r="117" spans="1:11">
      <c r="A117" s="22" t="s">
        <v>23</v>
      </c>
      <c r="B117" s="5">
        <v>179061</v>
      </c>
      <c r="C117" s="5">
        <v>36725</v>
      </c>
      <c r="D117" s="5">
        <v>215786</v>
      </c>
      <c r="E117" s="47"/>
      <c r="F117" s="22" t="s">
        <v>23</v>
      </c>
      <c r="G117" s="5">
        <v>3105987</v>
      </c>
      <c r="H117" s="5">
        <v>598952</v>
      </c>
      <c r="I117" s="5">
        <v>3704939</v>
      </c>
      <c r="J117" s="48"/>
      <c r="K117" s="48"/>
    </row>
    <row r="118" spans="1:11">
      <c r="A118" s="22" t="s">
        <v>24</v>
      </c>
      <c r="B118" s="5">
        <v>53230</v>
      </c>
      <c r="C118" s="5">
        <v>12893</v>
      </c>
      <c r="D118" s="5">
        <v>66123</v>
      </c>
      <c r="E118" s="47"/>
      <c r="F118" s="22" t="s">
        <v>24</v>
      </c>
      <c r="G118" s="5">
        <v>769544</v>
      </c>
      <c r="H118" s="5">
        <v>184934</v>
      </c>
      <c r="I118" s="5">
        <v>954478</v>
      </c>
      <c r="J118" s="48"/>
      <c r="K118" s="48"/>
    </row>
    <row r="119" spans="1:11">
      <c r="A119" s="22" t="s">
        <v>25</v>
      </c>
      <c r="B119" s="5">
        <v>20236</v>
      </c>
      <c r="C119" s="5">
        <v>5052</v>
      </c>
      <c r="D119" s="5">
        <v>25288</v>
      </c>
      <c r="E119" s="47"/>
      <c r="F119" s="22" t="s">
        <v>25</v>
      </c>
      <c r="G119" s="5">
        <v>250708</v>
      </c>
      <c r="H119" s="5">
        <v>59623</v>
      </c>
      <c r="I119" s="5">
        <v>310331</v>
      </c>
      <c r="J119" s="48"/>
      <c r="K119" s="48"/>
    </row>
    <row r="120" spans="1:11">
      <c r="A120" s="22" t="s">
        <v>26</v>
      </c>
      <c r="B120" s="5">
        <v>72983</v>
      </c>
      <c r="C120" s="5">
        <v>19192</v>
      </c>
      <c r="D120" s="5">
        <v>92175</v>
      </c>
      <c r="E120" s="47"/>
      <c r="F120" s="22" t="s">
        <v>26</v>
      </c>
      <c r="G120" s="5">
        <v>1021148</v>
      </c>
      <c r="H120" s="5">
        <v>263748</v>
      </c>
      <c r="I120" s="5">
        <v>1284896</v>
      </c>
      <c r="J120" s="48"/>
      <c r="K120" s="48"/>
    </row>
    <row r="121" spans="1:11">
      <c r="A121" s="22" t="s">
        <v>27</v>
      </c>
      <c r="B121" s="5">
        <v>6551</v>
      </c>
      <c r="C121" s="5">
        <v>1579</v>
      </c>
      <c r="D121" s="5">
        <v>8130</v>
      </c>
      <c r="E121" s="47"/>
      <c r="F121" s="22" t="s">
        <v>27</v>
      </c>
      <c r="G121" s="5">
        <v>99301</v>
      </c>
      <c r="H121" s="5">
        <v>23218</v>
      </c>
      <c r="I121" s="5">
        <v>122519</v>
      </c>
      <c r="J121" s="48"/>
      <c r="K121" s="48"/>
    </row>
    <row r="122" spans="1:11">
      <c r="A122" s="22" t="s">
        <v>28</v>
      </c>
      <c r="B122" s="5">
        <v>18394</v>
      </c>
      <c r="C122" s="5">
        <v>7609</v>
      </c>
      <c r="D122" s="5">
        <v>26003</v>
      </c>
      <c r="E122" s="47"/>
      <c r="F122" s="22" t="s">
        <v>28</v>
      </c>
      <c r="G122" s="5">
        <v>266844</v>
      </c>
      <c r="H122" s="5">
        <v>115953</v>
      </c>
      <c r="I122" s="5">
        <v>382797</v>
      </c>
      <c r="J122" s="48"/>
      <c r="K122" s="48"/>
    </row>
    <row r="123" spans="1:11">
      <c r="A123" s="22" t="s">
        <v>216</v>
      </c>
      <c r="B123" s="5">
        <v>0</v>
      </c>
      <c r="C123" s="5">
        <v>4903</v>
      </c>
      <c r="D123" s="5">
        <v>4903</v>
      </c>
      <c r="E123" s="47"/>
      <c r="F123" s="22" t="s">
        <v>216</v>
      </c>
      <c r="G123" s="5">
        <v>0</v>
      </c>
      <c r="H123" s="5">
        <v>64190</v>
      </c>
      <c r="I123" s="5">
        <v>64190</v>
      </c>
      <c r="J123" s="48"/>
      <c r="K123" s="48"/>
    </row>
    <row r="124" spans="1:11">
      <c r="A124" s="20" t="s">
        <v>46</v>
      </c>
      <c r="B124" s="36">
        <v>1988163</v>
      </c>
      <c r="C124" s="36">
        <v>710329</v>
      </c>
      <c r="D124" s="36">
        <v>2698492</v>
      </c>
      <c r="E124" s="47"/>
      <c r="F124" s="20" t="s">
        <v>46</v>
      </c>
      <c r="G124" s="36">
        <v>30921217</v>
      </c>
      <c r="H124" s="36">
        <v>9871977</v>
      </c>
      <c r="I124" s="36">
        <v>40793194</v>
      </c>
      <c r="J124" s="48"/>
      <c r="K124" s="48"/>
    </row>
    <row r="125" spans="1:11">
      <c r="A125" s="3" t="s">
        <v>471</v>
      </c>
      <c r="B125" s="52"/>
      <c r="C125" s="52"/>
      <c r="D125" s="52"/>
      <c r="F125" s="3" t="s">
        <v>475</v>
      </c>
      <c r="G125" s="52"/>
      <c r="H125" s="52"/>
      <c r="I125" s="5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6"/>
  <sheetViews>
    <sheetView showGridLines="0" topLeftCell="A65" zoomScaleNormal="100" workbookViewId="0">
      <selection activeCell="C73" sqref="C73:C89"/>
    </sheetView>
  </sheetViews>
  <sheetFormatPr baseColWidth="10" defaultColWidth="33.140625" defaultRowHeight="12.75"/>
  <cols>
    <col min="1" max="1" width="18.140625" style="3" customWidth="1"/>
    <col min="2" max="4" width="12.85546875" style="6" customWidth="1"/>
    <col min="5" max="5" width="14.140625" style="6" customWidth="1"/>
    <col min="6" max="6" width="18.140625" style="6" customWidth="1"/>
    <col min="7" max="9" width="12.85546875" style="3" customWidth="1"/>
    <col min="10" max="36" width="15.7109375" style="3" customWidth="1"/>
    <col min="37" max="16384" width="33.140625" style="3"/>
  </cols>
  <sheetData>
    <row r="1" spans="1:10" ht="18.75">
      <c r="A1" s="1" t="s">
        <v>138</v>
      </c>
    </row>
    <row r="2" spans="1:10" ht="18.75">
      <c r="A2" s="1"/>
    </row>
    <row r="3" spans="1:10">
      <c r="A3" s="2" t="s">
        <v>84</v>
      </c>
      <c r="F3" s="2" t="s">
        <v>90</v>
      </c>
      <c r="G3" s="6"/>
      <c r="H3" s="6"/>
      <c r="I3" s="6"/>
    </row>
    <row r="4" spans="1:10">
      <c r="A4" s="2" t="s">
        <v>281</v>
      </c>
      <c r="F4" s="2" t="s">
        <v>282</v>
      </c>
      <c r="G4" s="6"/>
      <c r="H4" s="6"/>
      <c r="I4" s="6"/>
    </row>
    <row r="5" spans="1:10" ht="14.25">
      <c r="A5" s="8" t="s">
        <v>49</v>
      </c>
      <c r="B5" s="8" t="s">
        <v>0</v>
      </c>
      <c r="C5" s="8" t="s">
        <v>438</v>
      </c>
      <c r="D5" s="8" t="s">
        <v>45</v>
      </c>
      <c r="F5" s="8" t="s">
        <v>49</v>
      </c>
      <c r="G5" s="8" t="s">
        <v>0</v>
      </c>
      <c r="H5" s="8" t="s">
        <v>438</v>
      </c>
      <c r="I5" s="8" t="s">
        <v>45</v>
      </c>
    </row>
    <row r="6" spans="1:10">
      <c r="A6" s="16">
        <v>2016</v>
      </c>
      <c r="B6" s="4">
        <v>3348560</v>
      </c>
      <c r="C6" s="4">
        <v>1685906</v>
      </c>
      <c r="D6" s="14">
        <v>5034466</v>
      </c>
      <c r="E6" s="46"/>
      <c r="F6" s="16">
        <v>2016</v>
      </c>
      <c r="G6" s="4">
        <v>38924481</v>
      </c>
      <c r="H6" s="4">
        <v>11774964</v>
      </c>
      <c r="I6" s="14">
        <v>50699445</v>
      </c>
      <c r="J6" s="46"/>
    </row>
    <row r="7" spans="1:10">
      <c r="A7" s="16">
        <v>2017</v>
      </c>
      <c r="B7" s="5">
        <v>3664072</v>
      </c>
      <c r="C7" s="5">
        <v>1816124</v>
      </c>
      <c r="D7" s="10">
        <v>5480196</v>
      </c>
      <c r="E7" s="46"/>
      <c r="F7" s="16">
        <v>2017</v>
      </c>
      <c r="G7" s="5">
        <v>42158224</v>
      </c>
      <c r="H7" s="5">
        <v>12922841</v>
      </c>
      <c r="I7" s="10">
        <v>55081065</v>
      </c>
      <c r="J7" s="46"/>
    </row>
    <row r="8" spans="1:10">
      <c r="A8" s="16">
        <v>2018</v>
      </c>
      <c r="B8" s="5">
        <v>4005604</v>
      </c>
      <c r="C8" s="5">
        <v>1885351</v>
      </c>
      <c r="D8" s="10">
        <v>5890955</v>
      </c>
      <c r="E8" s="46"/>
      <c r="F8" s="16">
        <v>2018</v>
      </c>
      <c r="G8" s="5">
        <v>46456319</v>
      </c>
      <c r="H8" s="5">
        <v>14295948</v>
      </c>
      <c r="I8" s="10">
        <v>60752267</v>
      </c>
      <c r="J8" s="46"/>
    </row>
    <row r="9" spans="1:10">
      <c r="A9" s="16">
        <v>2019</v>
      </c>
      <c r="B9" s="5">
        <v>4311164</v>
      </c>
      <c r="C9" s="5">
        <v>2016708</v>
      </c>
      <c r="D9" s="10">
        <v>6327872</v>
      </c>
      <c r="E9" s="46"/>
      <c r="F9" s="16">
        <v>2019</v>
      </c>
      <c r="G9" s="5">
        <v>56365698</v>
      </c>
      <c r="H9" s="5">
        <v>15178225</v>
      </c>
      <c r="I9" s="10">
        <v>71543923</v>
      </c>
      <c r="J9" s="46"/>
    </row>
    <row r="10" spans="1:10">
      <c r="A10" s="18">
        <v>2020</v>
      </c>
      <c r="B10" s="11">
        <v>4310302</v>
      </c>
      <c r="C10" s="11">
        <v>1602646</v>
      </c>
      <c r="D10" s="17">
        <v>5912948</v>
      </c>
      <c r="E10" s="46"/>
      <c r="F10" s="18">
        <v>2020</v>
      </c>
      <c r="G10" s="11">
        <v>59147614</v>
      </c>
      <c r="H10" s="11">
        <v>17391467</v>
      </c>
      <c r="I10" s="17">
        <v>76539081</v>
      </c>
      <c r="J10" s="46"/>
    </row>
    <row r="11" spans="1:10">
      <c r="A11" s="3" t="s">
        <v>403</v>
      </c>
      <c r="B11" s="46"/>
      <c r="C11" s="46"/>
      <c r="D11" s="57"/>
      <c r="E11" s="95"/>
      <c r="F11" s="3" t="s">
        <v>405</v>
      </c>
      <c r="G11" s="49"/>
      <c r="H11" s="49"/>
      <c r="I11" s="58"/>
      <c r="J11" s="90"/>
    </row>
    <row r="12" spans="1:10">
      <c r="E12" s="95"/>
      <c r="F12" s="3"/>
      <c r="J12" s="90"/>
    </row>
    <row r="13" spans="1:10">
      <c r="A13" s="2" t="s">
        <v>67</v>
      </c>
      <c r="F13" s="2" t="s">
        <v>68</v>
      </c>
    </row>
    <row r="14" spans="1:10">
      <c r="A14" s="2" t="s">
        <v>269</v>
      </c>
      <c r="F14" s="2" t="s">
        <v>270</v>
      </c>
    </row>
    <row r="15" spans="1:10" ht="14.25">
      <c r="A15" s="8" t="s">
        <v>50</v>
      </c>
      <c r="B15" s="8" t="s">
        <v>0</v>
      </c>
      <c r="C15" s="8" t="s">
        <v>438</v>
      </c>
      <c r="D15" s="8" t="s">
        <v>45</v>
      </c>
      <c r="F15" s="8" t="s">
        <v>50</v>
      </c>
      <c r="G15" s="8" t="s">
        <v>0</v>
      </c>
      <c r="H15" s="8" t="s">
        <v>438</v>
      </c>
      <c r="I15" s="8" t="s">
        <v>45</v>
      </c>
    </row>
    <row r="16" spans="1:10">
      <c r="A16" s="13" t="s">
        <v>5</v>
      </c>
      <c r="B16" s="4">
        <v>1856127</v>
      </c>
      <c r="C16" s="4">
        <v>860491.60708119196</v>
      </c>
      <c r="D16" s="14">
        <v>2716618.6070811921</v>
      </c>
      <c r="E16" s="46"/>
      <c r="F16" s="13" t="s">
        <v>5</v>
      </c>
      <c r="G16" s="4">
        <v>25103959</v>
      </c>
      <c r="H16" s="4">
        <v>8907181.5657183006</v>
      </c>
      <c r="I16" s="14">
        <v>34011140.565718301</v>
      </c>
      <c r="J16" s="46"/>
    </row>
    <row r="17" spans="1:10">
      <c r="A17" s="16" t="s">
        <v>6</v>
      </c>
      <c r="B17" s="5">
        <v>2454175</v>
      </c>
      <c r="C17" s="5">
        <v>742118.41687072394</v>
      </c>
      <c r="D17" s="10">
        <v>3196293.4168707239</v>
      </c>
      <c r="E17" s="46"/>
      <c r="F17" s="16" t="s">
        <v>6</v>
      </c>
      <c r="G17" s="5">
        <v>34043655</v>
      </c>
      <c r="H17" s="5">
        <v>8483764.8711255696</v>
      </c>
      <c r="I17" s="10">
        <v>42527419.871125571</v>
      </c>
      <c r="J17" s="46"/>
    </row>
    <row r="18" spans="1:10">
      <c r="A18" s="16" t="s">
        <v>216</v>
      </c>
      <c r="B18" s="5">
        <v>0</v>
      </c>
      <c r="C18" s="5">
        <v>35.976048083416401</v>
      </c>
      <c r="D18" s="10">
        <v>35.976048083416401</v>
      </c>
      <c r="E18" s="46"/>
      <c r="F18" s="16" t="s">
        <v>216</v>
      </c>
      <c r="G18" s="5">
        <v>0</v>
      </c>
      <c r="H18" s="5">
        <v>520.56315613002505</v>
      </c>
      <c r="I18" s="10">
        <v>520.56315613002505</v>
      </c>
      <c r="J18" s="46"/>
    </row>
    <row r="19" spans="1:10">
      <c r="A19" s="20" t="s">
        <v>46</v>
      </c>
      <c r="B19" s="36">
        <v>4310302</v>
      </c>
      <c r="C19" s="36">
        <v>1602645.9999999995</v>
      </c>
      <c r="D19" s="36">
        <v>5912947.9999999991</v>
      </c>
      <c r="E19" s="46"/>
      <c r="F19" s="20" t="s">
        <v>46</v>
      </c>
      <c r="G19" s="36">
        <v>59147614</v>
      </c>
      <c r="H19" s="36">
        <v>17391467.000000004</v>
      </c>
      <c r="I19" s="36">
        <v>76539081</v>
      </c>
      <c r="J19" s="46"/>
    </row>
    <row r="20" spans="1:10">
      <c r="A20" s="3" t="s">
        <v>403</v>
      </c>
      <c r="B20" s="46"/>
      <c r="C20" s="46"/>
      <c r="D20" s="46"/>
      <c r="F20" s="3" t="s">
        <v>405</v>
      </c>
      <c r="G20" s="49"/>
      <c r="H20" s="49"/>
      <c r="I20" s="49"/>
    </row>
    <row r="21" spans="1:10">
      <c r="F21" s="3"/>
    </row>
    <row r="22" spans="1:10">
      <c r="A22" s="2" t="s">
        <v>81</v>
      </c>
      <c r="F22" s="2" t="s">
        <v>83</v>
      </c>
    </row>
    <row r="23" spans="1:10">
      <c r="A23" s="2" t="s">
        <v>271</v>
      </c>
      <c r="F23" s="2" t="s">
        <v>272</v>
      </c>
    </row>
    <row r="24" spans="1:10" ht="12.75" customHeight="1">
      <c r="A24" s="8" t="s">
        <v>51</v>
      </c>
      <c r="B24" s="8" t="s">
        <v>0</v>
      </c>
      <c r="C24" s="8" t="s">
        <v>438</v>
      </c>
      <c r="D24" s="8" t="s">
        <v>45</v>
      </c>
      <c r="F24" s="8" t="s">
        <v>51</v>
      </c>
      <c r="G24" s="8" t="s">
        <v>0</v>
      </c>
      <c r="H24" s="8" t="s">
        <v>438</v>
      </c>
      <c r="I24" s="8" t="s">
        <v>45</v>
      </c>
    </row>
    <row r="25" spans="1:10">
      <c r="A25" s="13" t="s">
        <v>40</v>
      </c>
      <c r="B25" s="4">
        <v>27217</v>
      </c>
      <c r="C25" s="4">
        <v>1184.2115827457901</v>
      </c>
      <c r="D25" s="4">
        <v>28401.211582745789</v>
      </c>
      <c r="E25" s="46"/>
      <c r="F25" s="13" t="s">
        <v>40</v>
      </c>
      <c r="G25" s="4">
        <v>197242</v>
      </c>
      <c r="H25" s="4">
        <v>7734.08117678894</v>
      </c>
      <c r="I25" s="4">
        <v>204976.08117678895</v>
      </c>
      <c r="J25" s="46"/>
    </row>
    <row r="26" spans="1:10">
      <c r="A26" s="16" t="s">
        <v>2</v>
      </c>
      <c r="B26" s="5">
        <v>321239</v>
      </c>
      <c r="C26" s="5">
        <v>44743.710801745699</v>
      </c>
      <c r="D26" s="5">
        <v>365982.71080174571</v>
      </c>
      <c r="E26" s="46"/>
      <c r="F26" s="16" t="s">
        <v>2</v>
      </c>
      <c r="G26" s="5">
        <v>3329265</v>
      </c>
      <c r="H26" s="5">
        <v>343290.38494281401</v>
      </c>
      <c r="I26" s="5">
        <v>3672555.3849428138</v>
      </c>
      <c r="J26" s="46"/>
    </row>
    <row r="27" spans="1:10">
      <c r="A27" s="16" t="s">
        <v>41</v>
      </c>
      <c r="B27" s="5">
        <v>1267677</v>
      </c>
      <c r="C27" s="5">
        <v>551245.99476215499</v>
      </c>
      <c r="D27" s="5">
        <v>1818922.994762155</v>
      </c>
      <c r="E27" s="46"/>
      <c r="F27" s="16" t="s">
        <v>41</v>
      </c>
      <c r="G27" s="5">
        <v>15899430</v>
      </c>
      <c r="H27" s="5">
        <v>5182293.5186856696</v>
      </c>
      <c r="I27" s="5">
        <v>21081723.518685669</v>
      </c>
      <c r="J27" s="46"/>
    </row>
    <row r="28" spans="1:10">
      <c r="A28" s="16" t="s">
        <v>42</v>
      </c>
      <c r="B28" s="5">
        <v>986607</v>
      </c>
      <c r="C28" s="5">
        <v>479394.33172955498</v>
      </c>
      <c r="D28" s="5">
        <v>1466001.331729555</v>
      </c>
      <c r="E28" s="46"/>
      <c r="F28" s="16" t="s">
        <v>42</v>
      </c>
      <c r="G28" s="5">
        <v>13088480</v>
      </c>
      <c r="H28" s="5">
        <v>5145915.5306756198</v>
      </c>
      <c r="I28" s="5">
        <v>18234395.53067562</v>
      </c>
      <c r="J28" s="46"/>
    </row>
    <row r="29" spans="1:10">
      <c r="A29" s="16" t="s">
        <v>43</v>
      </c>
      <c r="B29" s="5">
        <v>845457</v>
      </c>
      <c r="C29" s="5">
        <v>293648.49647287303</v>
      </c>
      <c r="D29" s="5">
        <v>1139105.496472873</v>
      </c>
      <c r="E29" s="46"/>
      <c r="F29" s="16" t="s">
        <v>43</v>
      </c>
      <c r="G29" s="5">
        <v>11837848</v>
      </c>
      <c r="H29" s="5">
        <v>3368211.7523607598</v>
      </c>
      <c r="I29" s="5">
        <v>15206059.752360759</v>
      </c>
      <c r="J29" s="46"/>
    </row>
    <row r="30" spans="1:10">
      <c r="A30" s="16" t="s">
        <v>44</v>
      </c>
      <c r="B30" s="5">
        <v>658956</v>
      </c>
      <c r="C30" s="5">
        <v>192431.38419218399</v>
      </c>
      <c r="D30" s="5">
        <v>851387.38419218396</v>
      </c>
      <c r="E30" s="46"/>
      <c r="F30" s="16" t="s">
        <v>44</v>
      </c>
      <c r="G30" s="5">
        <v>10800406</v>
      </c>
      <c r="H30" s="5">
        <v>2654299.80012254</v>
      </c>
      <c r="I30" s="5">
        <v>13454705.80012254</v>
      </c>
      <c r="J30" s="46"/>
    </row>
    <row r="31" spans="1:10">
      <c r="A31" s="16" t="s">
        <v>3</v>
      </c>
      <c r="B31" s="5">
        <v>203149</v>
      </c>
      <c r="C31" s="5">
        <v>39990.375448724299</v>
      </c>
      <c r="D31" s="5">
        <v>243139.37544872431</v>
      </c>
      <c r="E31" s="46"/>
      <c r="F31" s="16" t="s">
        <v>3</v>
      </c>
      <c r="G31" s="5">
        <v>3994943</v>
      </c>
      <c r="H31" s="5">
        <v>689629.78265724704</v>
      </c>
      <c r="I31" s="5">
        <v>4684572.782657247</v>
      </c>
      <c r="J31" s="46"/>
    </row>
    <row r="32" spans="1:10">
      <c r="A32" s="16" t="s">
        <v>216</v>
      </c>
      <c r="B32" s="5">
        <v>0</v>
      </c>
      <c r="C32" s="5">
        <v>7.4950100173784202</v>
      </c>
      <c r="D32" s="5">
        <v>7.4950100173784202</v>
      </c>
      <c r="E32" s="46"/>
      <c r="F32" s="16" t="s">
        <v>216</v>
      </c>
      <c r="G32" s="5">
        <v>0</v>
      </c>
      <c r="H32" s="5">
        <v>92.1493785696006</v>
      </c>
      <c r="I32" s="5">
        <v>92.1493785696006</v>
      </c>
      <c r="J32" s="46"/>
    </row>
    <row r="33" spans="1:10">
      <c r="A33" s="20" t="s">
        <v>46</v>
      </c>
      <c r="B33" s="36">
        <v>4310302</v>
      </c>
      <c r="C33" s="36">
        <v>1602646.0000000002</v>
      </c>
      <c r="D33" s="36">
        <v>5912948</v>
      </c>
      <c r="E33" s="46"/>
      <c r="F33" s="20" t="s">
        <v>46</v>
      </c>
      <c r="G33" s="36">
        <v>59147614</v>
      </c>
      <c r="H33" s="36">
        <v>17391467.000000007</v>
      </c>
      <c r="I33" s="36">
        <v>76539081.000000015</v>
      </c>
      <c r="J33" s="46"/>
    </row>
    <row r="34" spans="1:10">
      <c r="A34" s="3" t="s">
        <v>403</v>
      </c>
      <c r="B34" s="46"/>
      <c r="C34" s="46"/>
      <c r="D34" s="46"/>
      <c r="F34" s="3" t="s">
        <v>405</v>
      </c>
      <c r="G34" s="49"/>
      <c r="H34" s="49"/>
      <c r="I34" s="49"/>
    </row>
    <row r="35" spans="1:10">
      <c r="F35" s="3"/>
    </row>
    <row r="36" spans="1:10">
      <c r="A36" s="2" t="s">
        <v>82</v>
      </c>
      <c r="F36" s="2" t="s">
        <v>92</v>
      </c>
    </row>
    <row r="37" spans="1:10">
      <c r="A37" s="2" t="s">
        <v>273</v>
      </c>
      <c r="F37" s="2" t="s">
        <v>274</v>
      </c>
    </row>
    <row r="38" spans="1:10" ht="14.25">
      <c r="A38" s="8" t="s">
        <v>52</v>
      </c>
      <c r="B38" s="8" t="s">
        <v>0</v>
      </c>
      <c r="C38" s="8" t="s">
        <v>438</v>
      </c>
      <c r="D38" s="8" t="s">
        <v>45</v>
      </c>
      <c r="F38" s="8" t="s">
        <v>52</v>
      </c>
      <c r="G38" s="8" t="s">
        <v>0</v>
      </c>
      <c r="H38" s="8" t="s">
        <v>438</v>
      </c>
      <c r="I38" s="8" t="s">
        <v>45</v>
      </c>
    </row>
    <row r="39" spans="1:10">
      <c r="A39" s="16" t="s">
        <v>30</v>
      </c>
      <c r="B39" s="4">
        <v>1649284</v>
      </c>
      <c r="C39" s="4">
        <v>377508.66455531598</v>
      </c>
      <c r="D39" s="5">
        <v>2026792.6645553159</v>
      </c>
      <c r="E39" s="46"/>
      <c r="F39" s="16" t="s">
        <v>30</v>
      </c>
      <c r="G39" s="4">
        <v>23756127</v>
      </c>
      <c r="H39" s="4">
        <v>2682827.3077407698</v>
      </c>
      <c r="I39" s="4">
        <v>26438954.30774077</v>
      </c>
      <c r="J39" s="46"/>
    </row>
    <row r="40" spans="1:10">
      <c r="A40" s="16" t="s">
        <v>29</v>
      </c>
      <c r="B40" s="5">
        <v>2352628</v>
      </c>
      <c r="C40" s="5">
        <v>1207083.3553148201</v>
      </c>
      <c r="D40" s="5">
        <v>3559711.3553148201</v>
      </c>
      <c r="E40" s="46"/>
      <c r="F40" s="16" t="s">
        <v>29</v>
      </c>
      <c r="G40" s="5">
        <v>30495123</v>
      </c>
      <c r="H40" s="5">
        <v>14439419.624472899</v>
      </c>
      <c r="I40" s="5">
        <v>44934542.624472901</v>
      </c>
      <c r="J40" s="46"/>
    </row>
    <row r="41" spans="1:10">
      <c r="A41" s="16" t="s">
        <v>4</v>
      </c>
      <c r="B41" s="5">
        <v>308376</v>
      </c>
      <c r="C41" s="5">
        <v>17983.5270356978</v>
      </c>
      <c r="D41" s="5">
        <v>326359.52703569783</v>
      </c>
      <c r="E41" s="46"/>
      <c r="F41" s="16" t="s">
        <v>4</v>
      </c>
      <c r="G41" s="5">
        <v>4896100</v>
      </c>
      <c r="H41" s="5">
        <v>269220.067786264</v>
      </c>
      <c r="I41" s="5">
        <v>5165320.0677862642</v>
      </c>
      <c r="J41" s="46"/>
    </row>
    <row r="42" spans="1:10">
      <c r="A42" s="16" t="s">
        <v>216</v>
      </c>
      <c r="B42" s="5">
        <v>14</v>
      </c>
      <c r="C42" s="5">
        <v>70.453094163357207</v>
      </c>
      <c r="D42" s="5">
        <v>84.453094163357207</v>
      </c>
      <c r="E42" s="46"/>
      <c r="F42" s="16" t="s">
        <v>216</v>
      </c>
      <c r="G42" s="5">
        <v>264</v>
      </c>
      <c r="H42" s="5">
        <v>0</v>
      </c>
      <c r="I42" s="5">
        <v>264</v>
      </c>
      <c r="J42" s="46"/>
    </row>
    <row r="43" spans="1:10">
      <c r="A43" s="20" t="s">
        <v>46</v>
      </c>
      <c r="B43" s="36">
        <v>4310302</v>
      </c>
      <c r="C43" s="36">
        <v>1602645.9999999972</v>
      </c>
      <c r="D43" s="36">
        <v>5912947.9999999972</v>
      </c>
      <c r="E43" s="46"/>
      <c r="F43" s="20" t="s">
        <v>46</v>
      </c>
      <c r="G43" s="36">
        <v>59147614</v>
      </c>
      <c r="H43" s="36">
        <v>17391466.999999933</v>
      </c>
      <c r="I43" s="36">
        <v>76539080.999999925</v>
      </c>
      <c r="J43" s="46"/>
    </row>
    <row r="44" spans="1:10">
      <c r="A44" s="3" t="s">
        <v>403</v>
      </c>
      <c r="B44" s="46"/>
      <c r="C44" s="46"/>
      <c r="D44" s="46"/>
      <c r="F44" s="3" t="s">
        <v>405</v>
      </c>
      <c r="G44" s="49"/>
      <c r="H44" s="49"/>
      <c r="I44" s="49"/>
    </row>
    <row r="45" spans="1:10">
      <c r="F45" s="3"/>
    </row>
    <row r="46" spans="1:10" ht="12.75" customHeight="1">
      <c r="A46" s="2" t="s">
        <v>89</v>
      </c>
      <c r="F46" s="2" t="s">
        <v>91</v>
      </c>
    </row>
    <row r="47" spans="1:10" ht="12.75" customHeight="1">
      <c r="A47" s="2" t="s">
        <v>275</v>
      </c>
      <c r="F47" s="2" t="s">
        <v>276</v>
      </c>
    </row>
    <row r="48" spans="1:10" ht="14.25">
      <c r="A48" s="8" t="s">
        <v>145</v>
      </c>
      <c r="B48" s="8" t="s">
        <v>0</v>
      </c>
      <c r="C48" s="8" t="s">
        <v>438</v>
      </c>
      <c r="D48" s="8" t="s">
        <v>45</v>
      </c>
      <c r="F48" s="8" t="s">
        <v>145</v>
      </c>
      <c r="G48" s="8" t="s">
        <v>0</v>
      </c>
      <c r="H48" s="8" t="s">
        <v>438</v>
      </c>
      <c r="I48" s="8" t="s">
        <v>45</v>
      </c>
    </row>
    <row r="49" spans="1:10">
      <c r="A49" s="21" t="s">
        <v>14</v>
      </c>
      <c r="B49" s="4">
        <v>21733</v>
      </c>
      <c r="C49" s="4">
        <v>8500.8403617106105</v>
      </c>
      <c r="D49" s="4">
        <v>30233.840361710609</v>
      </c>
      <c r="E49" s="46"/>
      <c r="F49" s="21" t="s">
        <v>14</v>
      </c>
      <c r="G49" s="4">
        <v>210437</v>
      </c>
      <c r="H49" s="4">
        <v>70932.388317891193</v>
      </c>
      <c r="I49" s="4">
        <v>281369.38831789116</v>
      </c>
      <c r="J49" s="46"/>
    </row>
    <row r="50" spans="1:10">
      <c r="A50" s="22" t="s">
        <v>15</v>
      </c>
      <c r="B50" s="5">
        <v>65239</v>
      </c>
      <c r="C50" s="5">
        <v>25619.4432414029</v>
      </c>
      <c r="D50" s="5">
        <v>90858.4432414029</v>
      </c>
      <c r="E50" s="46"/>
      <c r="F50" s="22" t="s">
        <v>15</v>
      </c>
      <c r="G50" s="5">
        <v>838855</v>
      </c>
      <c r="H50" s="5">
        <v>281438.75205344002</v>
      </c>
      <c r="I50" s="5">
        <v>1120293.7520534401</v>
      </c>
      <c r="J50" s="46"/>
    </row>
    <row r="51" spans="1:10">
      <c r="A51" s="22" t="s">
        <v>16</v>
      </c>
      <c r="B51" s="5">
        <v>126247</v>
      </c>
      <c r="C51" s="5">
        <v>70994.233886611895</v>
      </c>
      <c r="D51" s="5">
        <v>197241.23388661188</v>
      </c>
      <c r="E51" s="46"/>
      <c r="F51" s="22" t="s">
        <v>16</v>
      </c>
      <c r="G51" s="5">
        <v>1907565</v>
      </c>
      <c r="H51" s="5">
        <v>829822.93723266199</v>
      </c>
      <c r="I51" s="5">
        <v>2737387.937232662</v>
      </c>
      <c r="J51" s="46"/>
    </row>
    <row r="52" spans="1:10">
      <c r="A52" s="22" t="s">
        <v>17</v>
      </c>
      <c r="B52" s="5">
        <v>53081</v>
      </c>
      <c r="C52" s="5">
        <v>16355.610859923199</v>
      </c>
      <c r="D52" s="5">
        <v>69436.610859923196</v>
      </c>
      <c r="E52" s="46"/>
      <c r="F52" s="22" t="s">
        <v>17</v>
      </c>
      <c r="G52" s="5">
        <v>772000</v>
      </c>
      <c r="H52" s="5">
        <v>170498.98353446199</v>
      </c>
      <c r="I52" s="5">
        <v>942498.98353446205</v>
      </c>
      <c r="J52" s="46"/>
    </row>
    <row r="53" spans="1:10">
      <c r="A53" s="22" t="s">
        <v>18</v>
      </c>
      <c r="B53" s="5">
        <v>101248</v>
      </c>
      <c r="C53" s="5">
        <v>17560.808470717599</v>
      </c>
      <c r="D53" s="5">
        <v>118808.8084707176</v>
      </c>
      <c r="E53" s="46"/>
      <c r="F53" s="22" t="s">
        <v>18</v>
      </c>
      <c r="G53" s="5">
        <v>1417418</v>
      </c>
      <c r="H53" s="5">
        <v>180282.98422048401</v>
      </c>
      <c r="I53" s="5">
        <v>1597700.984220484</v>
      </c>
      <c r="J53" s="46"/>
    </row>
    <row r="54" spans="1:10">
      <c r="A54" s="22" t="s">
        <v>19</v>
      </c>
      <c r="B54" s="5">
        <v>339907</v>
      </c>
      <c r="C54" s="5">
        <v>84227.423573295193</v>
      </c>
      <c r="D54" s="5">
        <v>424134.42357329518</v>
      </c>
      <c r="E54" s="46"/>
      <c r="F54" s="22" t="s">
        <v>19</v>
      </c>
      <c r="G54" s="5">
        <v>4967023</v>
      </c>
      <c r="H54" s="5">
        <v>943942.66764017299</v>
      </c>
      <c r="I54" s="5">
        <v>5910965.6676401729</v>
      </c>
      <c r="J54" s="46"/>
    </row>
    <row r="55" spans="1:10">
      <c r="A55" s="22" t="s">
        <v>20</v>
      </c>
      <c r="B55" s="5">
        <v>2429438</v>
      </c>
      <c r="C55" s="5">
        <v>1059178.3266338799</v>
      </c>
      <c r="D55" s="5">
        <v>3488616.3266338799</v>
      </c>
      <c r="E55" s="46"/>
      <c r="F55" s="22" t="s">
        <v>20</v>
      </c>
      <c r="G55" s="5">
        <v>32449621</v>
      </c>
      <c r="H55" s="5">
        <v>11158791.8148032</v>
      </c>
      <c r="I55" s="5">
        <v>43608412.814803198</v>
      </c>
      <c r="J55" s="46"/>
    </row>
    <row r="56" spans="1:10">
      <c r="A56" s="22" t="s">
        <v>21</v>
      </c>
      <c r="B56" s="5">
        <v>200810</v>
      </c>
      <c r="C56" s="5">
        <v>49558.505236909601</v>
      </c>
      <c r="D56" s="5">
        <v>250368.50523690961</v>
      </c>
      <c r="E56" s="46"/>
      <c r="F56" s="22" t="s">
        <v>21</v>
      </c>
      <c r="G56" s="5">
        <v>3086410</v>
      </c>
      <c r="H56" s="5">
        <v>530882.26987405599</v>
      </c>
      <c r="I56" s="5">
        <v>3617292.2698740559</v>
      </c>
      <c r="J56" s="46"/>
    </row>
    <row r="57" spans="1:10">
      <c r="A57" s="22" t="s">
        <v>22</v>
      </c>
      <c r="B57" s="5">
        <v>193807</v>
      </c>
      <c r="C57" s="5">
        <v>37782.345497604598</v>
      </c>
      <c r="D57" s="5">
        <v>231589.34549760461</v>
      </c>
      <c r="E57" s="46"/>
      <c r="F57" s="22" t="s">
        <v>22</v>
      </c>
      <c r="G57" s="5">
        <v>2919196</v>
      </c>
      <c r="H57" s="5">
        <v>360748.65054234298</v>
      </c>
      <c r="I57" s="5">
        <v>3279944.650542343</v>
      </c>
      <c r="J57" s="46"/>
    </row>
    <row r="58" spans="1:10">
      <c r="A58" s="22" t="s">
        <v>237</v>
      </c>
      <c r="B58" s="5">
        <v>74752</v>
      </c>
      <c r="C58" s="5">
        <v>15967.369341023001</v>
      </c>
      <c r="D58" s="5">
        <v>90719.369341023004</v>
      </c>
      <c r="E58" s="46"/>
      <c r="F58" s="22" t="s">
        <v>237</v>
      </c>
      <c r="G58" s="5">
        <v>1149040</v>
      </c>
      <c r="H58" s="5">
        <v>181501.94266682601</v>
      </c>
      <c r="I58" s="5">
        <v>1330541.9426668261</v>
      </c>
      <c r="J58" s="46"/>
    </row>
    <row r="59" spans="1:10">
      <c r="A59" s="22" t="s">
        <v>23</v>
      </c>
      <c r="B59" s="5">
        <v>331120</v>
      </c>
      <c r="C59" s="5">
        <v>83948.609200648702</v>
      </c>
      <c r="D59" s="5">
        <v>415068.60920064873</v>
      </c>
      <c r="E59" s="46"/>
      <c r="F59" s="22" t="s">
        <v>23</v>
      </c>
      <c r="G59" s="5">
        <v>5031187</v>
      </c>
      <c r="H59" s="5">
        <v>1042924.03347004</v>
      </c>
      <c r="I59" s="5">
        <v>6074111.0334700402</v>
      </c>
      <c r="J59" s="46"/>
    </row>
    <row r="60" spans="1:10">
      <c r="A60" s="22" t="s">
        <v>24</v>
      </c>
      <c r="B60" s="5">
        <v>113848</v>
      </c>
      <c r="C60" s="5">
        <v>35052.662849275403</v>
      </c>
      <c r="D60" s="5">
        <v>148900.6628492754</v>
      </c>
      <c r="E60" s="46"/>
      <c r="F60" s="22" t="s">
        <v>24</v>
      </c>
      <c r="G60" s="5">
        <v>1452423</v>
      </c>
      <c r="H60" s="5">
        <v>363981.96207110101</v>
      </c>
      <c r="I60" s="5">
        <v>1816404.9620711009</v>
      </c>
      <c r="J60" s="46"/>
    </row>
    <row r="61" spans="1:10">
      <c r="A61" s="22" t="s">
        <v>25</v>
      </c>
      <c r="B61" s="5">
        <v>39996</v>
      </c>
      <c r="C61" s="5">
        <v>13918.233602271701</v>
      </c>
      <c r="D61" s="5">
        <v>53914.233602271699</v>
      </c>
      <c r="E61" s="46"/>
      <c r="F61" s="22" t="s">
        <v>25</v>
      </c>
      <c r="G61" s="5">
        <v>368266</v>
      </c>
      <c r="H61" s="5">
        <v>120471.570905756</v>
      </c>
      <c r="I61" s="5">
        <v>488737.57090575597</v>
      </c>
      <c r="J61" s="46"/>
    </row>
    <row r="62" spans="1:10">
      <c r="A62" s="22" t="s">
        <v>26</v>
      </c>
      <c r="B62" s="5">
        <v>160536</v>
      </c>
      <c r="C62" s="5">
        <v>44974.557110280999</v>
      </c>
      <c r="D62" s="5">
        <v>205510.55711028099</v>
      </c>
      <c r="E62" s="46"/>
      <c r="F62" s="22" t="s">
        <v>26</v>
      </c>
      <c r="G62" s="5">
        <v>1857395</v>
      </c>
      <c r="H62" s="5">
        <v>456605.02077966399</v>
      </c>
      <c r="I62" s="5">
        <v>2314000.0207796642</v>
      </c>
      <c r="J62" s="46"/>
    </row>
    <row r="63" spans="1:10">
      <c r="A63" s="22" t="s">
        <v>27</v>
      </c>
      <c r="B63" s="5">
        <v>16032</v>
      </c>
      <c r="C63" s="5">
        <v>4029.3173853426401</v>
      </c>
      <c r="D63" s="5">
        <v>20061.317385342642</v>
      </c>
      <c r="E63" s="46"/>
      <c r="F63" s="22" t="s">
        <v>27</v>
      </c>
      <c r="G63" s="5">
        <v>191430</v>
      </c>
      <c r="H63" s="5">
        <v>41662.835703810102</v>
      </c>
      <c r="I63" s="5">
        <v>233092.83570381009</v>
      </c>
      <c r="J63" s="46"/>
    </row>
    <row r="64" spans="1:10">
      <c r="A64" s="22" t="s">
        <v>28</v>
      </c>
      <c r="B64" s="5">
        <v>42508</v>
      </c>
      <c r="C64" s="5">
        <v>16364.604871944</v>
      </c>
      <c r="D64" s="5">
        <v>58872.604871944</v>
      </c>
      <c r="E64" s="46"/>
      <c r="F64" s="22" t="s">
        <v>28</v>
      </c>
      <c r="G64" s="5">
        <v>529348</v>
      </c>
      <c r="H64" s="5">
        <v>189161.65767845299</v>
      </c>
      <c r="I64" s="5">
        <v>718509.65767845302</v>
      </c>
      <c r="J64" s="46"/>
    </row>
    <row r="65" spans="1:10">
      <c r="A65" s="22" t="s">
        <v>216</v>
      </c>
      <c r="B65" s="5">
        <v>0</v>
      </c>
      <c r="C65" s="5">
        <v>18613.107877157599</v>
      </c>
      <c r="D65" s="5">
        <v>18613.107877157599</v>
      </c>
      <c r="E65" s="46"/>
      <c r="F65" s="22" t="s">
        <v>216</v>
      </c>
      <c r="G65" s="5">
        <v>0</v>
      </c>
      <c r="H65" s="5">
        <v>467816.52850563201</v>
      </c>
      <c r="I65" s="5">
        <v>467816.52850563201</v>
      </c>
      <c r="J65" s="46"/>
    </row>
    <row r="66" spans="1:10">
      <c r="A66" s="20" t="s">
        <v>46</v>
      </c>
      <c r="B66" s="36">
        <v>4310302</v>
      </c>
      <c r="C66" s="36">
        <v>1602645.9999999995</v>
      </c>
      <c r="D66" s="36">
        <v>5912947.9999999991</v>
      </c>
      <c r="E66" s="46"/>
      <c r="F66" s="20" t="s">
        <v>46</v>
      </c>
      <c r="G66" s="36">
        <v>59147614</v>
      </c>
      <c r="H66" s="36">
        <v>17391466.999999993</v>
      </c>
      <c r="I66" s="36">
        <v>76539081.000000015</v>
      </c>
      <c r="J66" s="46"/>
    </row>
    <row r="67" spans="1:10">
      <c r="A67" s="3" t="s">
        <v>403</v>
      </c>
      <c r="B67" s="46"/>
      <c r="C67" s="46"/>
      <c r="D67" s="46"/>
      <c r="F67" s="3" t="s">
        <v>405</v>
      </c>
      <c r="G67" s="49"/>
      <c r="H67" s="49"/>
      <c r="I67" s="49"/>
    </row>
    <row r="68" spans="1:10">
      <c r="F68" s="3"/>
    </row>
    <row r="70" spans="1:10">
      <c r="A70" s="2" t="s">
        <v>229</v>
      </c>
      <c r="F70" s="2" t="s">
        <v>231</v>
      </c>
    </row>
    <row r="71" spans="1:10">
      <c r="A71" s="2" t="s">
        <v>277</v>
      </c>
      <c r="F71" s="2" t="s">
        <v>278</v>
      </c>
    </row>
    <row r="72" spans="1:10" ht="15">
      <c r="A72" s="8" t="s">
        <v>145</v>
      </c>
      <c r="B72" s="8" t="s">
        <v>0</v>
      </c>
      <c r="C72" s="8" t="s">
        <v>472</v>
      </c>
      <c r="D72" s="8" t="s">
        <v>45</v>
      </c>
      <c r="F72" s="8" t="s">
        <v>145</v>
      </c>
      <c r="G72" s="8" t="s">
        <v>0</v>
      </c>
      <c r="H72" s="8" t="s">
        <v>472</v>
      </c>
      <c r="I72" s="8" t="s">
        <v>45</v>
      </c>
    </row>
    <row r="73" spans="1:10">
      <c r="A73" s="21" t="s">
        <v>14</v>
      </c>
      <c r="B73" s="4">
        <v>11394</v>
      </c>
      <c r="C73" s="4">
        <v>4017.3253693148299</v>
      </c>
      <c r="D73" s="4">
        <v>15411.325369314829</v>
      </c>
      <c r="E73" s="49"/>
      <c r="F73" s="21" t="s">
        <v>14</v>
      </c>
      <c r="G73" s="4">
        <v>104460</v>
      </c>
      <c r="H73" s="4">
        <v>32813.262049599703</v>
      </c>
      <c r="I73" s="4">
        <v>137273.2620495997</v>
      </c>
      <c r="J73" s="56"/>
    </row>
    <row r="74" spans="1:10">
      <c r="A74" s="22" t="s">
        <v>15</v>
      </c>
      <c r="B74" s="5">
        <v>33807</v>
      </c>
      <c r="C74" s="5">
        <v>8683.7186061346401</v>
      </c>
      <c r="D74" s="5">
        <v>42490.718606134644</v>
      </c>
      <c r="E74" s="49"/>
      <c r="F74" s="22" t="s">
        <v>15</v>
      </c>
      <c r="G74" s="5">
        <v>437361</v>
      </c>
      <c r="H74" s="5">
        <v>97350.160163607798</v>
      </c>
      <c r="I74" s="5">
        <v>534711.1601636078</v>
      </c>
      <c r="J74" s="56"/>
    </row>
    <row r="75" spans="1:10">
      <c r="A75" s="22" t="s">
        <v>16</v>
      </c>
      <c r="B75" s="5">
        <v>58530</v>
      </c>
      <c r="C75" s="5">
        <v>21759.513082452999</v>
      </c>
      <c r="D75" s="5">
        <v>80289.513082452992</v>
      </c>
      <c r="E75" s="49"/>
      <c r="F75" s="22" t="s">
        <v>16</v>
      </c>
      <c r="G75" s="5">
        <v>892233</v>
      </c>
      <c r="H75" s="5">
        <v>266264.82104897901</v>
      </c>
      <c r="I75" s="5">
        <v>1158497.8210489789</v>
      </c>
      <c r="J75" s="56"/>
    </row>
    <row r="76" spans="1:10">
      <c r="A76" s="22" t="s">
        <v>17</v>
      </c>
      <c r="B76" s="5">
        <v>26768</v>
      </c>
      <c r="C76" s="5">
        <v>5706.7006272319304</v>
      </c>
      <c r="D76" s="5">
        <v>32474.70062723193</v>
      </c>
      <c r="E76" s="49"/>
      <c r="F76" s="22" t="s">
        <v>17</v>
      </c>
      <c r="G76" s="5">
        <v>384462</v>
      </c>
      <c r="H76" s="5">
        <v>56288.720404146603</v>
      </c>
      <c r="I76" s="5">
        <v>440750.72040414659</v>
      </c>
      <c r="J76" s="56"/>
    </row>
    <row r="77" spans="1:10">
      <c r="A77" s="22" t="s">
        <v>18</v>
      </c>
      <c r="B77" s="5">
        <v>58472</v>
      </c>
      <c r="C77" s="5">
        <v>8373.42519141517</v>
      </c>
      <c r="D77" s="5">
        <v>66845.425191415168</v>
      </c>
      <c r="E77" s="49"/>
      <c r="F77" s="22" t="s">
        <v>18</v>
      </c>
      <c r="G77" s="5">
        <v>815820</v>
      </c>
      <c r="H77" s="5">
        <v>86798.247989506301</v>
      </c>
      <c r="I77" s="5">
        <v>902618.24798950634</v>
      </c>
      <c r="J77" s="56"/>
    </row>
    <row r="78" spans="1:10" ht="12.75" customHeight="1">
      <c r="A78" s="22" t="s">
        <v>19</v>
      </c>
      <c r="B78" s="5">
        <v>190356</v>
      </c>
      <c r="C78" s="5">
        <v>39846.4712563906</v>
      </c>
      <c r="D78" s="5">
        <v>230202.47125639059</v>
      </c>
      <c r="E78" s="49"/>
      <c r="F78" s="22" t="s">
        <v>19</v>
      </c>
      <c r="G78" s="5">
        <v>2784015</v>
      </c>
      <c r="H78" s="5">
        <v>451202.15721511003</v>
      </c>
      <c r="I78" s="5">
        <v>3235217.15721511</v>
      </c>
      <c r="J78" s="56"/>
    </row>
    <row r="79" spans="1:10">
      <c r="A79" s="22" t="s">
        <v>20</v>
      </c>
      <c r="B79" s="5">
        <v>1433002</v>
      </c>
      <c r="C79" s="5">
        <v>494798.07631727098</v>
      </c>
      <c r="D79" s="5">
        <v>1927800.076317271</v>
      </c>
      <c r="E79" s="49"/>
      <c r="F79" s="22" t="s">
        <v>20</v>
      </c>
      <c r="G79" s="5">
        <v>19659300</v>
      </c>
      <c r="H79" s="5">
        <v>5485623.40644457</v>
      </c>
      <c r="I79" s="5">
        <v>25144923.406444572</v>
      </c>
      <c r="J79" s="56"/>
    </row>
    <row r="80" spans="1:10">
      <c r="A80" s="22" t="s">
        <v>21</v>
      </c>
      <c r="B80" s="5">
        <v>105847</v>
      </c>
      <c r="C80" s="5">
        <v>19630.930237517601</v>
      </c>
      <c r="D80" s="5">
        <v>125477.9302375176</v>
      </c>
      <c r="E80" s="49"/>
      <c r="F80" s="22" t="s">
        <v>21</v>
      </c>
      <c r="G80" s="5">
        <v>1608156</v>
      </c>
      <c r="H80" s="5">
        <v>221489.922998739</v>
      </c>
      <c r="I80" s="5">
        <v>1829645.9229987389</v>
      </c>
      <c r="J80" s="56"/>
    </row>
    <row r="81" spans="1:10">
      <c r="A81" s="22" t="s">
        <v>22</v>
      </c>
      <c r="B81" s="5">
        <v>111110</v>
      </c>
      <c r="C81" s="5">
        <v>18244.353384302602</v>
      </c>
      <c r="D81" s="5">
        <v>129354.35338430261</v>
      </c>
      <c r="E81" s="49"/>
      <c r="F81" s="22" t="s">
        <v>22</v>
      </c>
      <c r="G81" s="5">
        <v>1641957</v>
      </c>
      <c r="H81" s="5">
        <v>168452.29733675899</v>
      </c>
      <c r="I81" s="5">
        <v>1810409.297336759</v>
      </c>
      <c r="J81" s="56"/>
    </row>
    <row r="82" spans="1:10">
      <c r="A82" s="22" t="s">
        <v>237</v>
      </c>
      <c r="B82" s="5">
        <v>42182</v>
      </c>
      <c r="C82" s="5">
        <v>7784.3174040492304</v>
      </c>
      <c r="D82" s="5">
        <v>49966.31740404923</v>
      </c>
      <c r="E82" s="49"/>
      <c r="F82" s="22" t="s">
        <v>237</v>
      </c>
      <c r="G82" s="5">
        <v>672120</v>
      </c>
      <c r="H82" s="5">
        <v>90272.441227156698</v>
      </c>
      <c r="I82" s="5">
        <v>762392.44122715667</v>
      </c>
      <c r="J82" s="56"/>
    </row>
    <row r="83" spans="1:10">
      <c r="A83" s="22" t="s">
        <v>23</v>
      </c>
      <c r="B83" s="5">
        <v>170937</v>
      </c>
      <c r="C83" s="5">
        <v>40500.036129906002</v>
      </c>
      <c r="D83" s="5">
        <v>211437.03612990602</v>
      </c>
      <c r="E83" s="49"/>
      <c r="F83" s="22" t="s">
        <v>23</v>
      </c>
      <c r="G83" s="5">
        <v>2582166</v>
      </c>
      <c r="H83" s="5">
        <v>503627.07034239097</v>
      </c>
      <c r="I83" s="5">
        <v>3085793.0703423908</v>
      </c>
      <c r="J83" s="56"/>
    </row>
    <row r="84" spans="1:10">
      <c r="A84" s="22" t="s">
        <v>24</v>
      </c>
      <c r="B84" s="5">
        <v>63995</v>
      </c>
      <c r="C84" s="5">
        <v>19028.3314321203</v>
      </c>
      <c r="D84" s="5">
        <v>83023.331432120292</v>
      </c>
      <c r="E84" s="49"/>
      <c r="F84" s="22" t="s">
        <v>24</v>
      </c>
      <c r="G84" s="5">
        <v>836511</v>
      </c>
      <c r="H84" s="5">
        <v>203837.65870748501</v>
      </c>
      <c r="I84" s="5">
        <v>1040348.6587074851</v>
      </c>
      <c r="J84" s="56"/>
    </row>
    <row r="85" spans="1:10">
      <c r="A85" s="22" t="s">
        <v>25</v>
      </c>
      <c r="B85" s="5">
        <v>22030</v>
      </c>
      <c r="C85" s="5">
        <v>7226.6886587562703</v>
      </c>
      <c r="D85" s="5">
        <v>29256.688658756269</v>
      </c>
      <c r="E85" s="49"/>
      <c r="F85" s="22" t="s">
        <v>25</v>
      </c>
      <c r="G85" s="5">
        <v>188616</v>
      </c>
      <c r="H85" s="5">
        <v>61601.051245895796</v>
      </c>
      <c r="I85" s="5">
        <v>250217.0512458958</v>
      </c>
      <c r="J85" s="56"/>
    </row>
    <row r="86" spans="1:10">
      <c r="A86" s="22" t="s">
        <v>26</v>
      </c>
      <c r="B86" s="5">
        <v>90263</v>
      </c>
      <c r="C86" s="5">
        <v>20537.826449620301</v>
      </c>
      <c r="D86" s="5">
        <v>110800.8264496203</v>
      </c>
      <c r="E86" s="49"/>
      <c r="F86" s="22" t="s">
        <v>26</v>
      </c>
      <c r="G86" s="5">
        <v>1005240</v>
      </c>
      <c r="H86" s="5">
        <v>203367.21188005101</v>
      </c>
      <c r="I86" s="5">
        <v>1208607.2118800511</v>
      </c>
      <c r="J86" s="56"/>
    </row>
    <row r="87" spans="1:10">
      <c r="A87" s="22" t="s">
        <v>27</v>
      </c>
      <c r="B87" s="5">
        <v>10131</v>
      </c>
      <c r="C87" s="5">
        <v>2040.14172673041</v>
      </c>
      <c r="D87" s="5">
        <v>12171.14172673041</v>
      </c>
      <c r="E87" s="49"/>
      <c r="F87" s="22" t="s">
        <v>27</v>
      </c>
      <c r="G87" s="5">
        <v>113081</v>
      </c>
      <c r="H87" s="5">
        <v>20622.060930418</v>
      </c>
      <c r="I87" s="5">
        <v>133703.060930418</v>
      </c>
      <c r="J87" s="56"/>
    </row>
    <row r="88" spans="1:10">
      <c r="A88" s="22" t="s">
        <v>28</v>
      </c>
      <c r="B88" s="5">
        <v>25351</v>
      </c>
      <c r="C88" s="5">
        <v>6761.9980376788099</v>
      </c>
      <c r="D88" s="5">
        <v>32112.998037678808</v>
      </c>
      <c r="E88" s="49"/>
      <c r="F88" s="22" t="s">
        <v>28</v>
      </c>
      <c r="G88" s="5">
        <v>318157</v>
      </c>
      <c r="H88" s="5">
        <v>78018.190533164205</v>
      </c>
      <c r="I88" s="5">
        <v>396175.19053316419</v>
      </c>
      <c r="J88" s="56"/>
    </row>
    <row r="89" spans="1:10">
      <c r="A89" s="22" t="s">
        <v>216</v>
      </c>
      <c r="B89" s="5">
        <v>0</v>
      </c>
      <c r="C89" s="5">
        <v>17178.562959831299</v>
      </c>
      <c r="D89" s="5">
        <v>17178.562959831299</v>
      </c>
      <c r="E89" s="49"/>
      <c r="F89" s="22" t="s">
        <v>216</v>
      </c>
      <c r="G89" s="5">
        <v>0</v>
      </c>
      <c r="H89" s="5">
        <v>456136.19060799398</v>
      </c>
      <c r="I89" s="5">
        <v>456136.19060799398</v>
      </c>
      <c r="J89" s="56"/>
    </row>
    <row r="90" spans="1:10">
      <c r="A90" s="20" t="s">
        <v>46</v>
      </c>
      <c r="B90" s="36">
        <v>2454175</v>
      </c>
      <c r="C90" s="36">
        <v>742118.41687072383</v>
      </c>
      <c r="D90" s="36">
        <v>3196293.4168707239</v>
      </c>
      <c r="E90" s="49"/>
      <c r="F90" s="20" t="s">
        <v>46</v>
      </c>
      <c r="G90" s="36">
        <v>34043655</v>
      </c>
      <c r="H90" s="36">
        <v>8483764.8711255733</v>
      </c>
      <c r="I90" s="36">
        <v>42527419.871125571</v>
      </c>
      <c r="J90" s="56"/>
    </row>
    <row r="91" spans="1:10">
      <c r="A91" s="3" t="s">
        <v>403</v>
      </c>
      <c r="B91" s="46"/>
      <c r="C91" s="46"/>
      <c r="D91" s="46"/>
      <c r="F91" s="3" t="s">
        <v>405</v>
      </c>
      <c r="G91" s="46"/>
      <c r="H91" s="46"/>
      <c r="I91" s="46"/>
    </row>
    <row r="92" spans="1:10">
      <c r="A92" s="3" t="s">
        <v>473</v>
      </c>
      <c r="B92" s="46"/>
      <c r="C92" s="46"/>
      <c r="D92" s="46"/>
      <c r="F92" s="3" t="s">
        <v>474</v>
      </c>
      <c r="G92" s="46"/>
      <c r="H92" s="46"/>
      <c r="I92" s="46"/>
    </row>
    <row r="93" spans="1:10">
      <c r="B93" s="46"/>
      <c r="C93" s="46"/>
      <c r="D93" s="46"/>
      <c r="G93" s="49"/>
      <c r="H93" s="49"/>
      <c r="I93" s="49"/>
    </row>
    <row r="94" spans="1:10">
      <c r="A94" s="2" t="s">
        <v>230</v>
      </c>
      <c r="F94" s="2" t="s">
        <v>232</v>
      </c>
      <c r="G94" s="6"/>
      <c r="H94" s="6"/>
      <c r="I94" s="6"/>
    </row>
    <row r="95" spans="1:10">
      <c r="A95" s="2" t="s">
        <v>279</v>
      </c>
      <c r="F95" s="2" t="s">
        <v>280</v>
      </c>
    </row>
    <row r="96" spans="1:10" ht="15">
      <c r="A96" s="8" t="s">
        <v>145</v>
      </c>
      <c r="B96" s="8" t="s">
        <v>0</v>
      </c>
      <c r="C96" s="8" t="s">
        <v>472</v>
      </c>
      <c r="D96" s="8" t="s">
        <v>45</v>
      </c>
      <c r="F96" s="8" t="s">
        <v>145</v>
      </c>
      <c r="G96" s="8" t="s">
        <v>0</v>
      </c>
      <c r="H96" s="8" t="s">
        <v>472</v>
      </c>
      <c r="I96" s="8" t="s">
        <v>45</v>
      </c>
    </row>
    <row r="97" spans="1:10">
      <c r="A97" s="21" t="s">
        <v>14</v>
      </c>
      <c r="B97" s="4">
        <v>10339</v>
      </c>
      <c r="C97" s="4">
        <v>4483.5149923957697</v>
      </c>
      <c r="D97" s="4">
        <v>14822.514992395769</v>
      </c>
      <c r="E97" s="46"/>
      <c r="F97" s="21" t="s">
        <v>14</v>
      </c>
      <c r="G97" s="4">
        <v>105977</v>
      </c>
      <c r="H97" s="4">
        <v>38119.126268291497</v>
      </c>
      <c r="I97" s="4">
        <v>144096.1262682915</v>
      </c>
      <c r="J97" s="56"/>
    </row>
    <row r="98" spans="1:10" ht="12.75" customHeight="1">
      <c r="A98" s="22" t="s">
        <v>15</v>
      </c>
      <c r="B98" s="5">
        <v>31432</v>
      </c>
      <c r="C98" s="5">
        <v>16935.7246352683</v>
      </c>
      <c r="D98" s="5">
        <v>48367.7246352683</v>
      </c>
      <c r="E98" s="46"/>
      <c r="F98" s="22" t="s">
        <v>15</v>
      </c>
      <c r="G98" s="5">
        <v>401494</v>
      </c>
      <c r="H98" s="5">
        <v>184088.59188983199</v>
      </c>
      <c r="I98" s="5">
        <v>585582.59188983194</v>
      </c>
      <c r="J98" s="56"/>
    </row>
    <row r="99" spans="1:10">
      <c r="A99" s="22" t="s">
        <v>16</v>
      </c>
      <c r="B99" s="5">
        <v>67717</v>
      </c>
      <c r="C99" s="5">
        <v>49228.724796144903</v>
      </c>
      <c r="D99" s="5">
        <v>116945.7247961449</v>
      </c>
      <c r="E99" s="46"/>
      <c r="F99" s="22" t="s">
        <v>16</v>
      </c>
      <c r="G99" s="5">
        <v>1015332</v>
      </c>
      <c r="H99" s="5">
        <v>563529.01637992403</v>
      </c>
      <c r="I99" s="5">
        <v>1578861.016379924</v>
      </c>
      <c r="J99" s="56"/>
    </row>
    <row r="100" spans="1:10">
      <c r="A100" s="22" t="s">
        <v>17</v>
      </c>
      <c r="B100" s="5">
        <v>26313</v>
      </c>
      <c r="C100" s="5">
        <v>10648.9102326913</v>
      </c>
      <c r="D100" s="5">
        <v>36961.910232691298</v>
      </c>
      <c r="E100" s="46"/>
      <c r="F100" s="22" t="s">
        <v>17</v>
      </c>
      <c r="G100" s="5">
        <v>387538</v>
      </c>
      <c r="H100" s="5">
        <v>114210.263130316</v>
      </c>
      <c r="I100" s="5">
        <v>501748.26313031599</v>
      </c>
      <c r="J100" s="56"/>
    </row>
    <row r="101" spans="1:10">
      <c r="A101" s="22" t="s">
        <v>18</v>
      </c>
      <c r="B101" s="5">
        <v>42776</v>
      </c>
      <c r="C101" s="5">
        <v>9187.3832793024703</v>
      </c>
      <c r="D101" s="5">
        <v>51963.38327930247</v>
      </c>
      <c r="E101" s="46"/>
      <c r="F101" s="22" t="s">
        <v>18</v>
      </c>
      <c r="G101" s="5">
        <v>601598</v>
      </c>
      <c r="H101" s="5">
        <v>93484.736230977695</v>
      </c>
      <c r="I101" s="5">
        <v>695082.73623097769</v>
      </c>
      <c r="J101" s="56"/>
    </row>
    <row r="102" spans="1:10">
      <c r="A102" s="22" t="s">
        <v>19</v>
      </c>
      <c r="B102" s="5">
        <v>149551</v>
      </c>
      <c r="C102" s="5">
        <v>44380.952316904601</v>
      </c>
      <c r="D102" s="5">
        <v>193931.95231690462</v>
      </c>
      <c r="E102" s="46"/>
      <c r="F102" s="22" t="s">
        <v>19</v>
      </c>
      <c r="G102" s="5">
        <v>2183008</v>
      </c>
      <c r="H102" s="5">
        <v>492740.51042506302</v>
      </c>
      <c r="I102" s="5">
        <v>2675748.5104250629</v>
      </c>
      <c r="J102" s="56"/>
    </row>
    <row r="103" spans="1:10">
      <c r="A103" s="22" t="s">
        <v>20</v>
      </c>
      <c r="B103" s="5">
        <v>996436</v>
      </c>
      <c r="C103" s="5">
        <v>564362.26229256694</v>
      </c>
      <c r="D103" s="5">
        <v>1560798.2622925669</v>
      </c>
      <c r="E103" s="46"/>
      <c r="F103" s="22" t="s">
        <v>20</v>
      </c>
      <c r="G103" s="5">
        <v>12790321</v>
      </c>
      <c r="H103" s="5">
        <v>5672925.9099939801</v>
      </c>
      <c r="I103" s="5">
        <v>18463246.90999398</v>
      </c>
      <c r="J103" s="56"/>
    </row>
    <row r="104" spans="1:10">
      <c r="A104" s="22" t="s">
        <v>21</v>
      </c>
      <c r="B104" s="5">
        <v>94963</v>
      </c>
      <c r="C104" s="5">
        <v>29927.574999392</v>
      </c>
      <c r="D104" s="5">
        <v>124890.574999392</v>
      </c>
      <c r="E104" s="46"/>
      <c r="F104" s="22" t="s">
        <v>21</v>
      </c>
      <c r="G104" s="5">
        <v>1478254</v>
      </c>
      <c r="H104" s="5">
        <v>309392.346875316</v>
      </c>
      <c r="I104" s="5">
        <v>1787646.346875316</v>
      </c>
      <c r="J104" s="56"/>
    </row>
    <row r="105" spans="1:10">
      <c r="A105" s="22" t="s">
        <v>22</v>
      </c>
      <c r="B105" s="5">
        <v>82697</v>
      </c>
      <c r="C105" s="5">
        <v>19537.992113302102</v>
      </c>
      <c r="D105" s="5">
        <v>102234.9921133021</v>
      </c>
      <c r="E105" s="46"/>
      <c r="F105" s="22" t="s">
        <v>22</v>
      </c>
      <c r="G105" s="5">
        <v>1277239</v>
      </c>
      <c r="H105" s="5">
        <v>192296.35320558399</v>
      </c>
      <c r="I105" s="5">
        <v>1469535.353205584</v>
      </c>
      <c r="J105" s="56"/>
    </row>
    <row r="106" spans="1:10">
      <c r="A106" s="22" t="s">
        <v>237</v>
      </c>
      <c r="B106" s="5">
        <v>32570</v>
      </c>
      <c r="C106" s="5">
        <v>8180.05393296681</v>
      </c>
      <c r="D106" s="5">
        <v>40750.05393296681</v>
      </c>
      <c r="E106" s="46"/>
      <c r="F106" s="22" t="s">
        <v>237</v>
      </c>
      <c r="G106" s="5">
        <v>476920</v>
      </c>
      <c r="H106" s="5">
        <v>91229.501439668995</v>
      </c>
      <c r="I106" s="5">
        <v>568149.50143966894</v>
      </c>
      <c r="J106" s="56"/>
    </row>
    <row r="107" spans="1:10">
      <c r="A107" s="22" t="s">
        <v>23</v>
      </c>
      <c r="B107" s="5">
        <v>160183</v>
      </c>
      <c r="C107" s="5">
        <v>43448.573070742699</v>
      </c>
      <c r="D107" s="5">
        <v>203631.57307074271</v>
      </c>
      <c r="E107" s="46"/>
      <c r="F107" s="22" t="s">
        <v>23</v>
      </c>
      <c r="G107" s="5">
        <v>2449021</v>
      </c>
      <c r="H107" s="5">
        <v>539296.96312764799</v>
      </c>
      <c r="I107" s="5">
        <v>2988317.963127648</v>
      </c>
      <c r="J107" s="56"/>
    </row>
    <row r="108" spans="1:10">
      <c r="A108" s="22" t="s">
        <v>24</v>
      </c>
      <c r="B108" s="5">
        <v>49853</v>
      </c>
      <c r="C108" s="5">
        <v>16024.331417155099</v>
      </c>
      <c r="D108" s="5">
        <v>65877.331417155103</v>
      </c>
      <c r="E108" s="46"/>
      <c r="F108" s="22" t="s">
        <v>24</v>
      </c>
      <c r="G108" s="5">
        <v>615912</v>
      </c>
      <c r="H108" s="5">
        <v>160144.30336361501</v>
      </c>
      <c r="I108" s="5">
        <v>776056.30336361495</v>
      </c>
      <c r="J108" s="56"/>
    </row>
    <row r="109" spans="1:10">
      <c r="A109" s="22" t="s">
        <v>25</v>
      </c>
      <c r="B109" s="5">
        <v>17966</v>
      </c>
      <c r="C109" s="5">
        <v>6691.5449435154596</v>
      </c>
      <c r="D109" s="5">
        <v>24657.544943515459</v>
      </c>
      <c r="E109" s="46"/>
      <c r="F109" s="22" t="s">
        <v>25</v>
      </c>
      <c r="G109" s="5">
        <v>179650</v>
      </c>
      <c r="H109" s="5">
        <v>58870.519659859798</v>
      </c>
      <c r="I109" s="5">
        <v>238520.5196598598</v>
      </c>
      <c r="J109" s="56"/>
    </row>
    <row r="110" spans="1:10">
      <c r="A110" s="22" t="s">
        <v>26</v>
      </c>
      <c r="B110" s="5">
        <v>70273</v>
      </c>
      <c r="C110" s="5">
        <v>24436.7306606606</v>
      </c>
      <c r="D110" s="5">
        <v>94709.7306606606</v>
      </c>
      <c r="E110" s="46"/>
      <c r="F110" s="22" t="s">
        <v>26</v>
      </c>
      <c r="G110" s="5">
        <v>852155</v>
      </c>
      <c r="H110" s="5">
        <v>253237.80889961301</v>
      </c>
      <c r="I110" s="5">
        <v>1105392.8088996131</v>
      </c>
      <c r="J110" s="56"/>
    </row>
    <row r="111" spans="1:10">
      <c r="A111" s="22" t="s">
        <v>27</v>
      </c>
      <c r="B111" s="5">
        <v>5901</v>
      </c>
      <c r="C111" s="5">
        <v>1989.1756586122301</v>
      </c>
      <c r="D111" s="5">
        <v>7890.1756586122301</v>
      </c>
      <c r="E111" s="46"/>
      <c r="F111" s="22" t="s">
        <v>27</v>
      </c>
      <c r="G111" s="5">
        <v>78349</v>
      </c>
      <c r="H111" s="5">
        <v>21040.774773392099</v>
      </c>
      <c r="I111" s="5">
        <v>99389.774773392099</v>
      </c>
      <c r="J111" s="56"/>
    </row>
    <row r="112" spans="1:10">
      <c r="A112" s="22" t="s">
        <v>28</v>
      </c>
      <c r="B112" s="5">
        <v>17157</v>
      </c>
      <c r="C112" s="5">
        <v>9602.6068342652306</v>
      </c>
      <c r="D112" s="5">
        <v>26759.606834265229</v>
      </c>
      <c r="E112" s="46"/>
      <c r="F112" s="22" t="s">
        <v>28</v>
      </c>
      <c r="G112" s="5">
        <v>211191</v>
      </c>
      <c r="H112" s="5">
        <v>111143.467145289</v>
      </c>
      <c r="I112" s="5">
        <v>322334.467145289</v>
      </c>
      <c r="J112" s="56"/>
    </row>
    <row r="113" spans="1:10">
      <c r="A113" s="22" t="s">
        <v>216</v>
      </c>
      <c r="B113" s="5">
        <v>0</v>
      </c>
      <c r="C113" s="5">
        <v>1425.55090530538</v>
      </c>
      <c r="D113" s="5">
        <v>1425.55090530538</v>
      </c>
      <c r="E113" s="46"/>
      <c r="F113" s="22" t="s">
        <v>216</v>
      </c>
      <c r="G113" s="5">
        <v>0</v>
      </c>
      <c r="H113" s="5">
        <v>11431.372909923601</v>
      </c>
      <c r="I113" s="5">
        <v>11431.372909923601</v>
      </c>
      <c r="J113" s="56"/>
    </row>
    <row r="114" spans="1:10">
      <c r="A114" s="20" t="s">
        <v>46</v>
      </c>
      <c r="B114" s="36">
        <v>1856127</v>
      </c>
      <c r="C114" s="36">
        <v>860491.60708119196</v>
      </c>
      <c r="D114" s="36">
        <v>2716618.6070811916</v>
      </c>
      <c r="E114" s="46"/>
      <c r="F114" s="20" t="s">
        <v>46</v>
      </c>
      <c r="G114" s="36">
        <v>25103959</v>
      </c>
      <c r="H114" s="36">
        <v>8907181.5657182951</v>
      </c>
      <c r="I114" s="36">
        <v>34011140.565718286</v>
      </c>
      <c r="J114" s="56"/>
    </row>
    <row r="115" spans="1:10">
      <c r="A115" s="3" t="s">
        <v>403</v>
      </c>
      <c r="B115" s="52"/>
      <c r="C115" s="52"/>
      <c r="D115" s="52"/>
      <c r="F115" s="3" t="s">
        <v>405</v>
      </c>
      <c r="G115" s="52"/>
      <c r="H115" s="52"/>
      <c r="I115" s="52"/>
    </row>
    <row r="116" spans="1:10">
      <c r="A116" s="3" t="s">
        <v>473</v>
      </c>
      <c r="F116" s="3" t="s">
        <v>474</v>
      </c>
    </row>
    <row r="133" ht="12.75" customHeight="1"/>
    <row r="152" ht="12.75" customHeight="1"/>
    <row r="176" ht="12.75" customHeight="1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3"/>
  <sheetViews>
    <sheetView showGridLines="0" zoomScaleNormal="100" workbookViewId="0"/>
  </sheetViews>
  <sheetFormatPr baseColWidth="10" defaultColWidth="33.140625" defaultRowHeight="12.75"/>
  <cols>
    <col min="1" max="1" width="18.140625" style="3" customWidth="1"/>
    <col min="2" max="4" width="12.85546875" style="6" customWidth="1"/>
    <col min="5" max="5" width="14.140625" style="6" customWidth="1"/>
    <col min="6" max="6" width="18.140625" style="6" customWidth="1"/>
    <col min="7" max="9" width="12.85546875" style="3" customWidth="1"/>
    <col min="10" max="10" width="16" style="3" customWidth="1"/>
    <col min="11" max="11" width="25.28515625" style="3" customWidth="1"/>
    <col min="12" max="49" width="15.7109375" style="3" customWidth="1"/>
    <col min="50" max="16384" width="33.140625" style="3"/>
  </cols>
  <sheetData>
    <row r="1" spans="1:10" ht="18.75">
      <c r="A1" s="1" t="s">
        <v>139</v>
      </c>
    </row>
    <row r="3" spans="1:10">
      <c r="A3" s="2" t="s">
        <v>69</v>
      </c>
      <c r="F3" s="2" t="s">
        <v>71</v>
      </c>
      <c r="G3" s="6"/>
      <c r="H3" s="6"/>
      <c r="I3" s="6"/>
    </row>
    <row r="4" spans="1:10">
      <c r="A4" s="2" t="s">
        <v>283</v>
      </c>
      <c r="F4" s="2" t="s">
        <v>284</v>
      </c>
      <c r="G4" s="6"/>
      <c r="H4" s="6"/>
      <c r="I4" s="6"/>
    </row>
    <row r="5" spans="1:10">
      <c r="A5" s="8" t="s">
        <v>49</v>
      </c>
      <c r="B5" s="8" t="s">
        <v>0</v>
      </c>
      <c r="C5" s="8" t="s">
        <v>1</v>
      </c>
      <c r="D5" s="8" t="s">
        <v>45</v>
      </c>
      <c r="F5" s="8" t="s">
        <v>49</v>
      </c>
      <c r="G5" s="8" t="s">
        <v>0</v>
      </c>
      <c r="H5" s="8" t="s">
        <v>1</v>
      </c>
      <c r="I5" s="8" t="s">
        <v>45</v>
      </c>
    </row>
    <row r="6" spans="1:10">
      <c r="A6" s="16">
        <v>2016</v>
      </c>
      <c r="B6" s="4">
        <v>191527</v>
      </c>
      <c r="C6" s="4">
        <v>229740</v>
      </c>
      <c r="D6" s="14">
        <v>421267</v>
      </c>
      <c r="E6" s="46"/>
      <c r="F6" s="16">
        <v>2016</v>
      </c>
      <c r="G6" s="28">
        <v>3695679</v>
      </c>
      <c r="H6" s="28">
        <v>3674319</v>
      </c>
      <c r="I6" s="29">
        <v>7369998</v>
      </c>
      <c r="J6" s="46"/>
    </row>
    <row r="7" spans="1:10">
      <c r="A7" s="16">
        <v>2017</v>
      </c>
      <c r="B7" s="5">
        <v>202094</v>
      </c>
      <c r="C7" s="5">
        <v>218062</v>
      </c>
      <c r="D7" s="10">
        <v>420156</v>
      </c>
      <c r="E7" s="46"/>
      <c r="F7" s="16">
        <v>2017</v>
      </c>
      <c r="G7" s="30">
        <v>4126368</v>
      </c>
      <c r="H7" s="30">
        <v>3574022</v>
      </c>
      <c r="I7" s="31">
        <v>7700390</v>
      </c>
      <c r="J7" s="46"/>
    </row>
    <row r="8" spans="1:10">
      <c r="A8" s="16">
        <v>2018</v>
      </c>
      <c r="B8" s="5">
        <v>213564</v>
      </c>
      <c r="C8" s="5">
        <v>220651</v>
      </c>
      <c r="D8" s="10">
        <v>434215</v>
      </c>
      <c r="E8" s="46"/>
      <c r="F8" s="16">
        <v>2018</v>
      </c>
      <c r="G8" s="30">
        <v>4434589</v>
      </c>
      <c r="H8" s="30">
        <v>3701531</v>
      </c>
      <c r="I8" s="31">
        <v>8136120</v>
      </c>
      <c r="J8" s="46"/>
    </row>
    <row r="9" spans="1:10">
      <c r="A9" s="16">
        <v>2019</v>
      </c>
      <c r="B9" s="5">
        <v>245925</v>
      </c>
      <c r="C9" s="5">
        <v>215393</v>
      </c>
      <c r="D9" s="10">
        <v>461318</v>
      </c>
      <c r="E9" s="46"/>
      <c r="F9" s="16">
        <v>2019</v>
      </c>
      <c r="G9" s="30">
        <v>4600056</v>
      </c>
      <c r="H9" s="30">
        <v>3747278</v>
      </c>
      <c r="I9" s="31">
        <v>8347334</v>
      </c>
      <c r="J9" s="46"/>
    </row>
    <row r="10" spans="1:10">
      <c r="A10" s="18">
        <v>2020</v>
      </c>
      <c r="B10" s="11">
        <v>378720</v>
      </c>
      <c r="C10" s="11">
        <v>269524</v>
      </c>
      <c r="D10" s="17">
        <v>648244</v>
      </c>
      <c r="E10" s="46"/>
      <c r="F10" s="18">
        <v>2020</v>
      </c>
      <c r="G10" s="11">
        <v>8820633</v>
      </c>
      <c r="H10" s="11">
        <v>5348384</v>
      </c>
      <c r="I10" s="17">
        <v>14169017</v>
      </c>
      <c r="J10" s="46"/>
    </row>
    <row r="11" spans="1:10">
      <c r="B11" s="46"/>
      <c r="C11" s="46"/>
      <c r="D11" s="46"/>
      <c r="F11" s="3"/>
      <c r="G11" s="46"/>
      <c r="H11" s="46"/>
      <c r="I11" s="46"/>
    </row>
    <row r="12" spans="1:10">
      <c r="B12" s="42"/>
      <c r="C12" s="42"/>
      <c r="D12" s="42"/>
      <c r="F12" s="3"/>
    </row>
    <row r="13" spans="1:10">
      <c r="A13" s="2" t="s">
        <v>70</v>
      </c>
      <c r="F13" s="2" t="s">
        <v>72</v>
      </c>
    </row>
    <row r="14" spans="1:10">
      <c r="A14" s="2" t="s">
        <v>285</v>
      </c>
      <c r="F14" s="2" t="s">
        <v>286</v>
      </c>
    </row>
    <row r="15" spans="1:10">
      <c r="A15" s="8" t="s">
        <v>50</v>
      </c>
      <c r="B15" s="8" t="s">
        <v>0</v>
      </c>
      <c r="C15" s="8" t="s">
        <v>1</v>
      </c>
      <c r="D15" s="8" t="s">
        <v>45</v>
      </c>
      <c r="F15" s="8" t="s">
        <v>50</v>
      </c>
      <c r="G15" s="8" t="s">
        <v>0</v>
      </c>
      <c r="H15" s="8" t="s">
        <v>1</v>
      </c>
      <c r="I15" s="8" t="s">
        <v>45</v>
      </c>
    </row>
    <row r="16" spans="1:10">
      <c r="A16" s="13" t="s">
        <v>5</v>
      </c>
      <c r="B16" s="4">
        <v>128460</v>
      </c>
      <c r="C16" s="4">
        <v>136286</v>
      </c>
      <c r="D16" s="14">
        <v>264746</v>
      </c>
      <c r="E16" s="46"/>
      <c r="F16" s="13" t="s">
        <v>5</v>
      </c>
      <c r="G16" s="4">
        <v>3104003</v>
      </c>
      <c r="H16" s="4">
        <v>2627345</v>
      </c>
      <c r="I16" s="14">
        <v>5731348</v>
      </c>
      <c r="J16" s="46"/>
    </row>
    <row r="17" spans="1:10">
      <c r="A17" s="16" t="s">
        <v>6</v>
      </c>
      <c r="B17" s="5">
        <v>250260</v>
      </c>
      <c r="C17" s="5">
        <v>133238</v>
      </c>
      <c r="D17" s="10">
        <v>383498</v>
      </c>
      <c r="E17" s="46"/>
      <c r="F17" s="16" t="s">
        <v>6</v>
      </c>
      <c r="G17" s="5">
        <v>5716630</v>
      </c>
      <c r="H17" s="5">
        <v>2721039</v>
      </c>
      <c r="I17" s="10">
        <v>8437669</v>
      </c>
      <c r="J17" s="46"/>
    </row>
    <row r="18" spans="1:10">
      <c r="A18" s="16" t="s">
        <v>216</v>
      </c>
      <c r="B18" s="5">
        <v>0</v>
      </c>
      <c r="C18" s="5">
        <v>0</v>
      </c>
      <c r="D18" s="10">
        <v>0</v>
      </c>
      <c r="E18" s="46"/>
      <c r="F18" s="16" t="s">
        <v>216</v>
      </c>
      <c r="G18" s="5">
        <v>0</v>
      </c>
      <c r="H18" s="5">
        <v>0</v>
      </c>
      <c r="I18" s="10">
        <v>0</v>
      </c>
      <c r="J18" s="46"/>
    </row>
    <row r="19" spans="1:10">
      <c r="A19" s="20" t="s">
        <v>46</v>
      </c>
      <c r="B19" s="36">
        <v>378720</v>
      </c>
      <c r="C19" s="36">
        <v>269524</v>
      </c>
      <c r="D19" s="36">
        <v>648244</v>
      </c>
      <c r="E19" s="46"/>
      <c r="F19" s="20" t="s">
        <v>46</v>
      </c>
      <c r="G19" s="36">
        <v>8820633</v>
      </c>
      <c r="H19" s="36">
        <v>5348384</v>
      </c>
      <c r="I19" s="36">
        <v>14169017</v>
      </c>
      <c r="J19" s="46"/>
    </row>
    <row r="20" spans="1:10">
      <c r="B20" s="46"/>
      <c r="C20" s="46"/>
      <c r="D20" s="46"/>
      <c r="F20" s="3"/>
      <c r="G20" s="49"/>
      <c r="H20" s="49"/>
      <c r="I20" s="49"/>
    </row>
    <row r="21" spans="1:10">
      <c r="F21" s="3"/>
    </row>
    <row r="22" spans="1:10">
      <c r="A22" s="2" t="s">
        <v>85</v>
      </c>
      <c r="F22" s="2" t="s">
        <v>86</v>
      </c>
    </row>
    <row r="23" spans="1:10">
      <c r="A23" s="2" t="s">
        <v>287</v>
      </c>
      <c r="F23" s="2" t="s">
        <v>288</v>
      </c>
    </row>
    <row r="24" spans="1:10">
      <c r="A24" s="8" t="s">
        <v>51</v>
      </c>
      <c r="B24" s="8" t="s">
        <v>0</v>
      </c>
      <c r="C24" s="8" t="s">
        <v>1</v>
      </c>
      <c r="D24" s="8" t="s">
        <v>45</v>
      </c>
      <c r="F24" s="8" t="s">
        <v>51</v>
      </c>
      <c r="G24" s="8" t="s">
        <v>0</v>
      </c>
      <c r="H24" s="8" t="s">
        <v>1</v>
      </c>
      <c r="I24" s="8" t="s">
        <v>45</v>
      </c>
    </row>
    <row r="25" spans="1:10">
      <c r="A25" s="13" t="s">
        <v>40</v>
      </c>
      <c r="B25" s="4">
        <v>498</v>
      </c>
      <c r="C25" s="4">
        <v>132</v>
      </c>
      <c r="D25" s="4">
        <v>630</v>
      </c>
      <c r="E25" s="46"/>
      <c r="F25" s="13" t="s">
        <v>40</v>
      </c>
      <c r="G25" s="4">
        <v>7171</v>
      </c>
      <c r="H25" s="4">
        <v>1772</v>
      </c>
      <c r="I25" s="4">
        <v>8943</v>
      </c>
      <c r="J25" s="46"/>
    </row>
    <row r="26" spans="1:10">
      <c r="A26" s="16" t="s">
        <v>2</v>
      </c>
      <c r="B26" s="5">
        <v>14622</v>
      </c>
      <c r="C26" s="5">
        <v>6166</v>
      </c>
      <c r="D26" s="5">
        <v>20788</v>
      </c>
      <c r="E26" s="46"/>
      <c r="F26" s="16" t="s">
        <v>2</v>
      </c>
      <c r="G26" s="5">
        <v>281835</v>
      </c>
      <c r="H26" s="5">
        <v>98940</v>
      </c>
      <c r="I26" s="5">
        <v>380775</v>
      </c>
      <c r="J26" s="46"/>
    </row>
    <row r="27" spans="1:10">
      <c r="A27" s="16" t="s">
        <v>41</v>
      </c>
      <c r="B27" s="5">
        <v>94500</v>
      </c>
      <c r="C27" s="5">
        <v>79976</v>
      </c>
      <c r="D27" s="5">
        <v>174476</v>
      </c>
      <c r="E27" s="46"/>
      <c r="F27" s="16" t="s">
        <v>41</v>
      </c>
      <c r="G27" s="5">
        <v>1974830</v>
      </c>
      <c r="H27" s="5">
        <v>1454409</v>
      </c>
      <c r="I27" s="5">
        <v>3429239</v>
      </c>
      <c r="J27" s="46"/>
    </row>
    <row r="28" spans="1:10">
      <c r="A28" s="16" t="s">
        <v>42</v>
      </c>
      <c r="B28" s="5">
        <v>88392</v>
      </c>
      <c r="C28" s="5">
        <v>85469</v>
      </c>
      <c r="D28" s="5">
        <v>173861</v>
      </c>
      <c r="E28" s="46"/>
      <c r="F28" s="16" t="s">
        <v>42</v>
      </c>
      <c r="G28" s="5">
        <v>1968651</v>
      </c>
      <c r="H28" s="5">
        <v>1681466</v>
      </c>
      <c r="I28" s="5">
        <v>3650117</v>
      </c>
      <c r="J28" s="46"/>
    </row>
    <row r="29" spans="1:10">
      <c r="A29" s="16" t="s">
        <v>43</v>
      </c>
      <c r="B29" s="5">
        <v>77340</v>
      </c>
      <c r="C29" s="5">
        <v>52619</v>
      </c>
      <c r="D29" s="5">
        <v>129959</v>
      </c>
      <c r="E29" s="46"/>
      <c r="F29" s="16" t="s">
        <v>43</v>
      </c>
      <c r="G29" s="5">
        <v>1860594</v>
      </c>
      <c r="H29" s="5">
        <v>1075857</v>
      </c>
      <c r="I29" s="5">
        <v>2936451</v>
      </c>
      <c r="J29" s="46"/>
    </row>
    <row r="30" spans="1:10">
      <c r="A30" s="16" t="s">
        <v>44</v>
      </c>
      <c r="B30" s="5">
        <v>74468</v>
      </c>
      <c r="C30" s="5">
        <v>36548</v>
      </c>
      <c r="D30" s="5">
        <v>111016</v>
      </c>
      <c r="E30" s="46"/>
      <c r="F30" s="16" t="s">
        <v>44</v>
      </c>
      <c r="G30" s="5">
        <v>1946651</v>
      </c>
      <c r="H30" s="5">
        <v>829154</v>
      </c>
      <c r="I30" s="5">
        <v>2775805</v>
      </c>
      <c r="J30" s="46"/>
    </row>
    <row r="31" spans="1:10">
      <c r="A31" s="16" t="s">
        <v>3</v>
      </c>
      <c r="B31" s="5">
        <v>28900</v>
      </c>
      <c r="C31" s="5">
        <v>8614</v>
      </c>
      <c r="D31" s="5">
        <v>37514</v>
      </c>
      <c r="E31" s="46"/>
      <c r="F31" s="16" t="s">
        <v>3</v>
      </c>
      <c r="G31" s="5">
        <v>780901</v>
      </c>
      <c r="H31" s="5">
        <v>206786</v>
      </c>
      <c r="I31" s="5">
        <v>987687</v>
      </c>
      <c r="J31" s="46"/>
    </row>
    <row r="32" spans="1:10">
      <c r="A32" s="16" t="s">
        <v>216</v>
      </c>
      <c r="B32" s="5">
        <v>0</v>
      </c>
      <c r="C32" s="5">
        <v>0</v>
      </c>
      <c r="D32" s="5">
        <v>0</v>
      </c>
      <c r="E32" s="46"/>
      <c r="F32" s="16" t="s">
        <v>216</v>
      </c>
      <c r="G32" s="5">
        <v>0</v>
      </c>
      <c r="H32" s="5">
        <v>0</v>
      </c>
      <c r="I32" s="5">
        <v>0</v>
      </c>
      <c r="J32" s="46"/>
    </row>
    <row r="33" spans="1:10">
      <c r="A33" s="20" t="s">
        <v>46</v>
      </c>
      <c r="B33" s="36">
        <v>378720</v>
      </c>
      <c r="C33" s="36">
        <v>269524</v>
      </c>
      <c r="D33" s="36">
        <v>648244</v>
      </c>
      <c r="E33" s="46"/>
      <c r="F33" s="20" t="s">
        <v>46</v>
      </c>
      <c r="G33" s="36">
        <v>8820633</v>
      </c>
      <c r="H33" s="36">
        <v>5348384</v>
      </c>
      <c r="I33" s="36">
        <v>14169017</v>
      </c>
      <c r="J33" s="46"/>
    </row>
    <row r="34" spans="1:10">
      <c r="B34" s="46"/>
      <c r="C34" s="46"/>
      <c r="D34" s="46"/>
      <c r="F34" s="3"/>
      <c r="G34" s="49"/>
      <c r="H34" s="49"/>
      <c r="I34" s="49"/>
    </row>
    <row r="36" spans="1:10">
      <c r="A36" s="2" t="s">
        <v>93</v>
      </c>
      <c r="F36" s="2" t="s">
        <v>94</v>
      </c>
    </row>
    <row r="37" spans="1:10">
      <c r="A37" s="2" t="s">
        <v>333</v>
      </c>
      <c r="F37" s="2" t="s">
        <v>452</v>
      </c>
    </row>
    <row r="38" spans="1:10">
      <c r="A38" s="8" t="s">
        <v>52</v>
      </c>
      <c r="B38" s="8" t="s">
        <v>0</v>
      </c>
      <c r="C38" s="8" t="s">
        <v>1</v>
      </c>
      <c r="D38" s="8" t="s">
        <v>45</v>
      </c>
      <c r="F38" s="8" t="s">
        <v>52</v>
      </c>
      <c r="G38" s="8" t="s">
        <v>0</v>
      </c>
      <c r="H38" s="8" t="s">
        <v>1</v>
      </c>
      <c r="I38" s="8" t="s">
        <v>45</v>
      </c>
    </row>
    <row r="39" spans="1:10">
      <c r="A39" s="16" t="s">
        <v>30</v>
      </c>
      <c r="B39" s="4">
        <v>105414</v>
      </c>
      <c r="C39" s="4">
        <v>44265</v>
      </c>
      <c r="D39" s="5">
        <v>149679</v>
      </c>
      <c r="E39" s="46"/>
      <c r="F39" s="16" t="s">
        <v>30</v>
      </c>
      <c r="G39" s="4">
        <v>2865254</v>
      </c>
      <c r="H39" s="4">
        <v>851546</v>
      </c>
      <c r="I39" s="4">
        <v>3716800</v>
      </c>
      <c r="J39" s="46"/>
    </row>
    <row r="40" spans="1:10">
      <c r="A40" s="16" t="s">
        <v>29</v>
      </c>
      <c r="B40" s="5">
        <v>223188</v>
      </c>
      <c r="C40" s="5">
        <v>220321</v>
      </c>
      <c r="D40" s="5">
        <v>443509</v>
      </c>
      <c r="E40" s="46"/>
      <c r="F40" s="16" t="s">
        <v>29</v>
      </c>
      <c r="G40" s="5">
        <v>4866860</v>
      </c>
      <c r="H40" s="5">
        <v>4409176</v>
      </c>
      <c r="I40" s="5">
        <v>9276036</v>
      </c>
      <c r="J40" s="46"/>
    </row>
    <row r="41" spans="1:10">
      <c r="A41" s="16" t="s">
        <v>4</v>
      </c>
      <c r="B41" s="5">
        <v>50118</v>
      </c>
      <c r="C41" s="5">
        <v>2558</v>
      </c>
      <c r="D41" s="5">
        <v>52676</v>
      </c>
      <c r="E41" s="46"/>
      <c r="F41" s="16" t="s">
        <v>4</v>
      </c>
      <c r="G41" s="5">
        <v>1088519</v>
      </c>
      <c r="H41" s="5">
        <v>57604</v>
      </c>
      <c r="I41" s="5">
        <v>1146123</v>
      </c>
      <c r="J41" s="46"/>
    </row>
    <row r="42" spans="1:10">
      <c r="A42" s="16" t="s">
        <v>216</v>
      </c>
      <c r="B42" s="5">
        <v>0</v>
      </c>
      <c r="C42" s="5">
        <v>2380</v>
      </c>
      <c r="D42" s="5">
        <v>2380</v>
      </c>
      <c r="E42" s="46"/>
      <c r="F42" s="16" t="s">
        <v>216</v>
      </c>
      <c r="G42" s="5">
        <v>0</v>
      </c>
      <c r="H42" s="5">
        <v>30058</v>
      </c>
      <c r="I42" s="5">
        <v>30058</v>
      </c>
      <c r="J42" s="46"/>
    </row>
    <row r="43" spans="1:10">
      <c r="A43" s="20" t="s">
        <v>46</v>
      </c>
      <c r="B43" s="36">
        <v>378720</v>
      </c>
      <c r="C43" s="36">
        <v>269524</v>
      </c>
      <c r="D43" s="36">
        <v>648244</v>
      </c>
      <c r="E43" s="46"/>
      <c r="F43" s="20" t="s">
        <v>46</v>
      </c>
      <c r="G43" s="36">
        <v>8820633</v>
      </c>
      <c r="H43" s="36">
        <v>5348384</v>
      </c>
      <c r="I43" s="36">
        <v>14169017</v>
      </c>
      <c r="J43" s="46"/>
    </row>
    <row r="44" spans="1:10">
      <c r="B44" s="46"/>
      <c r="C44" s="46"/>
      <c r="D44" s="46"/>
      <c r="F44" s="3"/>
      <c r="G44" s="49"/>
      <c r="H44" s="49"/>
      <c r="I44" s="49"/>
    </row>
    <row r="45" spans="1:10">
      <c r="B45" s="46"/>
      <c r="C45" s="46"/>
      <c r="D45" s="46"/>
      <c r="F45" s="3"/>
      <c r="G45" s="49"/>
      <c r="H45" s="49"/>
      <c r="I45" s="49"/>
    </row>
    <row r="46" spans="1:10">
      <c r="A46" s="2" t="s">
        <v>233</v>
      </c>
      <c r="F46" s="2" t="s">
        <v>235</v>
      </c>
    </row>
    <row r="47" spans="1:10">
      <c r="A47" s="2" t="s">
        <v>289</v>
      </c>
      <c r="F47" s="2" t="s">
        <v>290</v>
      </c>
    </row>
    <row r="48" spans="1:10">
      <c r="A48" s="8" t="s">
        <v>145</v>
      </c>
      <c r="B48" s="8" t="s">
        <v>0</v>
      </c>
      <c r="C48" s="8" t="s">
        <v>1</v>
      </c>
      <c r="D48" s="8" t="s">
        <v>45</v>
      </c>
      <c r="F48" s="8" t="s">
        <v>145</v>
      </c>
      <c r="G48" s="8" t="s">
        <v>0</v>
      </c>
      <c r="H48" s="8" t="s">
        <v>1</v>
      </c>
      <c r="I48" s="8" t="s">
        <v>45</v>
      </c>
    </row>
    <row r="49" spans="1:10">
      <c r="A49" s="21" t="s">
        <v>14</v>
      </c>
      <c r="B49" s="4">
        <v>2437</v>
      </c>
      <c r="C49" s="4">
        <v>701</v>
      </c>
      <c r="D49" s="4">
        <v>3138</v>
      </c>
      <c r="E49" s="46"/>
      <c r="F49" s="21" t="s">
        <v>14</v>
      </c>
      <c r="G49" s="4">
        <v>39087</v>
      </c>
      <c r="H49" s="4">
        <v>12081</v>
      </c>
      <c r="I49" s="4">
        <v>51168</v>
      </c>
      <c r="J49" s="46"/>
    </row>
    <row r="50" spans="1:10">
      <c r="A50" s="22" t="s">
        <v>15</v>
      </c>
      <c r="B50" s="5">
        <v>5184</v>
      </c>
      <c r="C50" s="5">
        <v>4648</v>
      </c>
      <c r="D50" s="5">
        <v>9832</v>
      </c>
      <c r="E50" s="46"/>
      <c r="F50" s="22" t="s">
        <v>15</v>
      </c>
      <c r="G50" s="5">
        <v>121094</v>
      </c>
      <c r="H50" s="5">
        <v>96647</v>
      </c>
      <c r="I50" s="5">
        <v>217741</v>
      </c>
      <c r="J50" s="46"/>
    </row>
    <row r="51" spans="1:10">
      <c r="A51" s="22" t="s">
        <v>16</v>
      </c>
      <c r="B51" s="5">
        <v>3644</v>
      </c>
      <c r="C51" s="5">
        <v>11714</v>
      </c>
      <c r="D51" s="5">
        <v>15358</v>
      </c>
      <c r="E51" s="46"/>
      <c r="F51" s="22" t="s">
        <v>16</v>
      </c>
      <c r="G51" s="5">
        <v>74363</v>
      </c>
      <c r="H51" s="5">
        <v>244690</v>
      </c>
      <c r="I51" s="5">
        <v>319053</v>
      </c>
      <c r="J51" s="46"/>
    </row>
    <row r="52" spans="1:10">
      <c r="A52" s="22" t="s">
        <v>17</v>
      </c>
      <c r="B52" s="5">
        <v>4975</v>
      </c>
      <c r="C52" s="5">
        <v>2658</v>
      </c>
      <c r="D52" s="5">
        <v>7633</v>
      </c>
      <c r="E52" s="46"/>
      <c r="F52" s="22" t="s">
        <v>17</v>
      </c>
      <c r="G52" s="5">
        <v>126073</v>
      </c>
      <c r="H52" s="5">
        <v>58155</v>
      </c>
      <c r="I52" s="5">
        <v>184228</v>
      </c>
      <c r="J52" s="46"/>
    </row>
    <row r="53" spans="1:10">
      <c r="A53" s="22" t="s">
        <v>18</v>
      </c>
      <c r="B53" s="5">
        <v>9272</v>
      </c>
      <c r="C53" s="5">
        <v>2869</v>
      </c>
      <c r="D53" s="5">
        <v>12141</v>
      </c>
      <c r="E53" s="46"/>
      <c r="F53" s="22" t="s">
        <v>18</v>
      </c>
      <c r="G53" s="5">
        <v>236276</v>
      </c>
      <c r="H53" s="5">
        <v>64090</v>
      </c>
      <c r="I53" s="5">
        <v>300366</v>
      </c>
      <c r="J53" s="46"/>
    </row>
    <row r="54" spans="1:10">
      <c r="A54" s="22" t="s">
        <v>19</v>
      </c>
      <c r="B54" s="5">
        <v>15494</v>
      </c>
      <c r="C54" s="5">
        <v>15169</v>
      </c>
      <c r="D54" s="5">
        <v>30663</v>
      </c>
      <c r="E54" s="46"/>
      <c r="F54" s="22" t="s">
        <v>19</v>
      </c>
      <c r="G54" s="5">
        <v>392422</v>
      </c>
      <c r="H54" s="5">
        <v>331219</v>
      </c>
      <c r="I54" s="5">
        <v>723641</v>
      </c>
      <c r="J54" s="46"/>
    </row>
    <row r="55" spans="1:10">
      <c r="A55" s="22" t="s">
        <v>20</v>
      </c>
      <c r="B55" s="5">
        <v>227752</v>
      </c>
      <c r="C55" s="5">
        <v>175132</v>
      </c>
      <c r="D55" s="5">
        <v>402884</v>
      </c>
      <c r="E55" s="46"/>
      <c r="F55" s="22" t="s">
        <v>20</v>
      </c>
      <c r="G55" s="5">
        <v>5274959</v>
      </c>
      <c r="H55" s="5">
        <v>3402211</v>
      </c>
      <c r="I55" s="5">
        <v>8677170</v>
      </c>
      <c r="J55" s="46"/>
    </row>
    <row r="56" spans="1:10">
      <c r="A56" s="22" t="s">
        <v>21</v>
      </c>
      <c r="B56" s="5">
        <v>23933</v>
      </c>
      <c r="C56" s="5">
        <v>10849</v>
      </c>
      <c r="D56" s="5">
        <v>34782</v>
      </c>
      <c r="E56" s="46"/>
      <c r="F56" s="22" t="s">
        <v>21</v>
      </c>
      <c r="G56" s="5">
        <v>592934</v>
      </c>
      <c r="H56" s="5">
        <v>216967</v>
      </c>
      <c r="I56" s="5">
        <v>809901</v>
      </c>
      <c r="J56" s="46"/>
    </row>
    <row r="57" spans="1:10">
      <c r="A57" s="22" t="s">
        <v>22</v>
      </c>
      <c r="B57" s="5">
        <v>11211</v>
      </c>
      <c r="C57" s="5">
        <v>5584</v>
      </c>
      <c r="D57" s="5">
        <v>16795</v>
      </c>
      <c r="E57" s="46"/>
      <c r="F57" s="22" t="s">
        <v>22</v>
      </c>
      <c r="G57" s="5">
        <v>240792</v>
      </c>
      <c r="H57" s="5">
        <v>113424</v>
      </c>
      <c r="I57" s="5">
        <v>354216</v>
      </c>
      <c r="J57" s="46"/>
    </row>
    <row r="58" spans="1:10">
      <c r="A58" s="22" t="s">
        <v>237</v>
      </c>
      <c r="B58" s="5">
        <v>4586</v>
      </c>
      <c r="C58" s="5">
        <v>2800</v>
      </c>
      <c r="D58" s="5">
        <v>7386</v>
      </c>
      <c r="E58" s="46"/>
      <c r="F58" s="22" t="s">
        <v>237</v>
      </c>
      <c r="G58" s="5">
        <v>103568</v>
      </c>
      <c r="H58" s="5">
        <v>66963</v>
      </c>
      <c r="I58" s="5">
        <v>170531</v>
      </c>
      <c r="J58" s="46"/>
    </row>
    <row r="59" spans="1:10">
      <c r="A59" s="22" t="s">
        <v>23</v>
      </c>
      <c r="B59" s="5">
        <v>41767</v>
      </c>
      <c r="C59" s="5">
        <v>15722</v>
      </c>
      <c r="D59" s="5">
        <v>57489</v>
      </c>
      <c r="E59" s="46"/>
      <c r="F59" s="22" t="s">
        <v>23</v>
      </c>
      <c r="G59" s="5">
        <v>1044492</v>
      </c>
      <c r="H59" s="5">
        <v>342745</v>
      </c>
      <c r="I59" s="5">
        <v>1387237</v>
      </c>
      <c r="J59" s="46"/>
    </row>
    <row r="60" spans="1:10">
      <c r="A60" s="22" t="s">
        <v>24</v>
      </c>
      <c r="B60" s="5">
        <v>10635</v>
      </c>
      <c r="C60" s="5">
        <v>5330</v>
      </c>
      <c r="D60" s="5">
        <v>15965</v>
      </c>
      <c r="E60" s="46"/>
      <c r="F60" s="22" t="s">
        <v>24</v>
      </c>
      <c r="G60" s="5">
        <v>233020</v>
      </c>
      <c r="H60" s="5">
        <v>111768</v>
      </c>
      <c r="I60" s="5">
        <v>344788</v>
      </c>
      <c r="J60" s="46"/>
    </row>
    <row r="61" spans="1:10">
      <c r="A61" s="22" t="s">
        <v>25</v>
      </c>
      <c r="B61" s="5">
        <v>5474</v>
      </c>
      <c r="C61" s="5">
        <v>1352</v>
      </c>
      <c r="D61" s="5">
        <v>6826</v>
      </c>
      <c r="E61" s="46"/>
      <c r="F61" s="22" t="s">
        <v>25</v>
      </c>
      <c r="G61" s="5">
        <v>90336</v>
      </c>
      <c r="H61" s="5">
        <v>24318</v>
      </c>
      <c r="I61" s="5">
        <v>114654</v>
      </c>
      <c r="J61" s="46"/>
    </row>
    <row r="62" spans="1:10">
      <c r="A62" s="22" t="s">
        <v>26</v>
      </c>
      <c r="B62" s="5">
        <v>7430</v>
      </c>
      <c r="C62" s="5">
        <v>5661</v>
      </c>
      <c r="D62" s="5">
        <v>13091</v>
      </c>
      <c r="E62" s="46"/>
      <c r="F62" s="22" t="s">
        <v>26</v>
      </c>
      <c r="G62" s="5">
        <v>143722</v>
      </c>
      <c r="H62" s="5">
        <v>108897</v>
      </c>
      <c r="I62" s="5">
        <v>252619</v>
      </c>
      <c r="J62" s="46"/>
    </row>
    <row r="63" spans="1:10">
      <c r="A63" s="22" t="s">
        <v>27</v>
      </c>
      <c r="B63" s="5">
        <v>1993</v>
      </c>
      <c r="C63" s="5">
        <v>567</v>
      </c>
      <c r="D63" s="5">
        <v>2560</v>
      </c>
      <c r="E63" s="46"/>
      <c r="F63" s="22" t="s">
        <v>27</v>
      </c>
      <c r="G63" s="5">
        <v>36351</v>
      </c>
      <c r="H63" s="5">
        <v>11172</v>
      </c>
      <c r="I63" s="5">
        <v>47523</v>
      </c>
      <c r="J63" s="46"/>
    </row>
    <row r="64" spans="1:10">
      <c r="A64" s="22" t="s">
        <v>28</v>
      </c>
      <c r="B64" s="5">
        <v>2933</v>
      </c>
      <c r="C64" s="5">
        <v>2449</v>
      </c>
      <c r="D64" s="5">
        <v>5382</v>
      </c>
      <c r="E64" s="46"/>
      <c r="F64" s="22" t="s">
        <v>28</v>
      </c>
      <c r="G64" s="5">
        <v>71144</v>
      </c>
      <c r="H64" s="5">
        <v>56962</v>
      </c>
      <c r="I64" s="5">
        <v>128106</v>
      </c>
      <c r="J64" s="46"/>
    </row>
    <row r="65" spans="1:10">
      <c r="A65" s="22" t="s">
        <v>216</v>
      </c>
      <c r="B65" s="5">
        <v>0</v>
      </c>
      <c r="C65" s="5">
        <v>6319</v>
      </c>
      <c r="D65" s="5">
        <v>6319</v>
      </c>
      <c r="E65" s="46"/>
      <c r="F65" s="22" t="s">
        <v>216</v>
      </c>
      <c r="G65" s="5">
        <v>0</v>
      </c>
      <c r="H65" s="5">
        <v>86075</v>
      </c>
      <c r="I65" s="5">
        <v>86075</v>
      </c>
      <c r="J65" s="46"/>
    </row>
    <row r="66" spans="1:10">
      <c r="A66" s="20" t="s">
        <v>46</v>
      </c>
      <c r="B66" s="36">
        <v>378720</v>
      </c>
      <c r="C66" s="36">
        <v>269524</v>
      </c>
      <c r="D66" s="36">
        <v>648244</v>
      </c>
      <c r="E66" s="46"/>
      <c r="F66" s="20" t="s">
        <v>46</v>
      </c>
      <c r="G66" s="36">
        <v>8820633</v>
      </c>
      <c r="H66" s="36">
        <v>5348384</v>
      </c>
      <c r="I66" s="36">
        <v>14169017</v>
      </c>
      <c r="J66" s="46"/>
    </row>
    <row r="67" spans="1:10">
      <c r="B67" s="46"/>
      <c r="C67" s="46"/>
      <c r="D67" s="46"/>
      <c r="F67" s="3"/>
      <c r="G67" s="49"/>
      <c r="H67" s="49"/>
      <c r="I67" s="49"/>
    </row>
    <row r="68" spans="1:10">
      <c r="F68" s="3"/>
    </row>
    <row r="69" spans="1:10">
      <c r="A69" s="2" t="s">
        <v>234</v>
      </c>
      <c r="F69" s="2" t="s">
        <v>236</v>
      </c>
    </row>
    <row r="70" spans="1:10">
      <c r="A70" s="2" t="s">
        <v>291</v>
      </c>
      <c r="F70" s="2" t="s">
        <v>292</v>
      </c>
    </row>
    <row r="71" spans="1:10">
      <c r="A71" s="8" t="s">
        <v>145</v>
      </c>
      <c r="B71" s="8" t="s">
        <v>0</v>
      </c>
      <c r="C71" s="8" t="s">
        <v>1</v>
      </c>
      <c r="D71" s="8" t="s">
        <v>45</v>
      </c>
      <c r="F71" s="8" t="s">
        <v>145</v>
      </c>
      <c r="G71" s="8" t="s">
        <v>0</v>
      </c>
      <c r="H71" s="8" t="s">
        <v>1</v>
      </c>
      <c r="I71" s="8" t="s">
        <v>45</v>
      </c>
    </row>
    <row r="72" spans="1:10">
      <c r="A72" s="21" t="s">
        <v>14</v>
      </c>
      <c r="B72" s="4">
        <v>1435</v>
      </c>
      <c r="C72" s="4">
        <v>406</v>
      </c>
      <c r="D72" s="4">
        <v>1841</v>
      </c>
      <c r="E72" s="49"/>
      <c r="F72" s="21" t="s">
        <v>14</v>
      </c>
      <c r="G72" s="4">
        <v>20833</v>
      </c>
      <c r="H72" s="4">
        <v>7068</v>
      </c>
      <c r="I72" s="4">
        <v>27901</v>
      </c>
      <c r="J72" s="48"/>
    </row>
    <row r="73" spans="1:10">
      <c r="A73" s="22" t="s">
        <v>15</v>
      </c>
      <c r="B73" s="5">
        <v>3376</v>
      </c>
      <c r="C73" s="5">
        <v>1803</v>
      </c>
      <c r="D73" s="5">
        <v>5179</v>
      </c>
      <c r="E73" s="49"/>
      <c r="F73" s="22" t="s">
        <v>15</v>
      </c>
      <c r="G73" s="5">
        <v>79467</v>
      </c>
      <c r="H73" s="5">
        <v>38513</v>
      </c>
      <c r="I73" s="5">
        <v>117980</v>
      </c>
      <c r="J73" s="48"/>
    </row>
    <row r="74" spans="1:10">
      <c r="A74" s="22" t="s">
        <v>16</v>
      </c>
      <c r="B74" s="5">
        <v>1822</v>
      </c>
      <c r="C74" s="5">
        <v>4656</v>
      </c>
      <c r="D74" s="5">
        <v>6478</v>
      </c>
      <c r="E74" s="49"/>
      <c r="F74" s="22" t="s">
        <v>16</v>
      </c>
      <c r="G74" s="5">
        <v>38980</v>
      </c>
      <c r="H74" s="5">
        <v>101319</v>
      </c>
      <c r="I74" s="5">
        <v>140299</v>
      </c>
      <c r="J74" s="48"/>
    </row>
    <row r="75" spans="1:10">
      <c r="A75" s="22" t="s">
        <v>17</v>
      </c>
      <c r="B75" s="5">
        <v>3091</v>
      </c>
      <c r="C75" s="5">
        <v>1014</v>
      </c>
      <c r="D75" s="5">
        <v>4105</v>
      </c>
      <c r="E75" s="49"/>
      <c r="F75" s="22" t="s">
        <v>17</v>
      </c>
      <c r="G75" s="5">
        <v>78431</v>
      </c>
      <c r="H75" s="5">
        <v>22831</v>
      </c>
      <c r="I75" s="5">
        <v>101262</v>
      </c>
      <c r="J75" s="48"/>
    </row>
    <row r="76" spans="1:10">
      <c r="A76" s="22" t="s">
        <v>18</v>
      </c>
      <c r="B76" s="5">
        <v>6388</v>
      </c>
      <c r="C76" s="5">
        <v>1492</v>
      </c>
      <c r="D76" s="5">
        <v>7880</v>
      </c>
      <c r="E76" s="49"/>
      <c r="F76" s="22" t="s">
        <v>18</v>
      </c>
      <c r="G76" s="5">
        <v>158711</v>
      </c>
      <c r="H76" s="5">
        <v>34844</v>
      </c>
      <c r="I76" s="5">
        <v>193555</v>
      </c>
      <c r="J76" s="48"/>
    </row>
    <row r="77" spans="1:10">
      <c r="A77" s="22" t="s">
        <v>19</v>
      </c>
      <c r="B77" s="5">
        <v>10176</v>
      </c>
      <c r="C77" s="5">
        <v>8069</v>
      </c>
      <c r="D77" s="5">
        <v>18245</v>
      </c>
      <c r="E77" s="49"/>
      <c r="F77" s="22" t="s">
        <v>19</v>
      </c>
      <c r="G77" s="5">
        <v>250925</v>
      </c>
      <c r="H77" s="5">
        <v>180142</v>
      </c>
      <c r="I77" s="5">
        <v>431067</v>
      </c>
      <c r="J77" s="48"/>
    </row>
    <row r="78" spans="1:10">
      <c r="A78" s="22" t="s">
        <v>20</v>
      </c>
      <c r="B78" s="5">
        <v>155606</v>
      </c>
      <c r="C78" s="5">
        <v>88337</v>
      </c>
      <c r="D78" s="5">
        <v>243943</v>
      </c>
      <c r="E78" s="49"/>
      <c r="F78" s="22" t="s">
        <v>20</v>
      </c>
      <c r="G78" s="5">
        <v>3533463</v>
      </c>
      <c r="H78" s="5">
        <v>1766459</v>
      </c>
      <c r="I78" s="5">
        <v>5299922</v>
      </c>
      <c r="J78" s="48"/>
    </row>
    <row r="79" spans="1:10">
      <c r="A79" s="22" t="s">
        <v>21</v>
      </c>
      <c r="B79" s="5">
        <v>14939</v>
      </c>
      <c r="C79" s="5">
        <v>4624</v>
      </c>
      <c r="D79" s="5">
        <v>19563</v>
      </c>
      <c r="E79" s="49"/>
      <c r="F79" s="22" t="s">
        <v>21</v>
      </c>
      <c r="G79" s="5">
        <v>360410</v>
      </c>
      <c r="H79" s="5">
        <v>94757</v>
      </c>
      <c r="I79" s="5">
        <v>455167</v>
      </c>
      <c r="J79" s="48"/>
    </row>
    <row r="80" spans="1:10">
      <c r="A80" s="22" t="s">
        <v>22</v>
      </c>
      <c r="B80" s="5">
        <v>8048</v>
      </c>
      <c r="C80" s="5">
        <v>2762</v>
      </c>
      <c r="D80" s="5">
        <v>10810</v>
      </c>
      <c r="E80" s="49"/>
      <c r="F80" s="22" t="s">
        <v>22</v>
      </c>
      <c r="G80" s="5">
        <v>169485</v>
      </c>
      <c r="H80" s="5">
        <v>56858</v>
      </c>
      <c r="I80" s="5">
        <v>226343</v>
      </c>
      <c r="J80" s="48"/>
    </row>
    <row r="81" spans="1:10">
      <c r="A81" s="22" t="s">
        <v>237</v>
      </c>
      <c r="B81" s="5">
        <v>2684</v>
      </c>
      <c r="C81" s="5">
        <v>1503</v>
      </c>
      <c r="D81" s="5">
        <v>4187</v>
      </c>
      <c r="E81" s="49"/>
      <c r="F81" s="22" t="s">
        <v>237</v>
      </c>
      <c r="G81" s="5">
        <v>62967</v>
      </c>
      <c r="H81" s="5">
        <v>36548</v>
      </c>
      <c r="I81" s="5">
        <v>99515</v>
      </c>
      <c r="J81" s="48"/>
    </row>
    <row r="82" spans="1:10">
      <c r="A82" s="22" t="s">
        <v>23</v>
      </c>
      <c r="B82" s="5">
        <v>23549</v>
      </c>
      <c r="C82" s="5">
        <v>7982</v>
      </c>
      <c r="D82" s="5">
        <v>31531</v>
      </c>
      <c r="E82" s="49"/>
      <c r="F82" s="22" t="s">
        <v>23</v>
      </c>
      <c r="G82" s="5">
        <v>580227</v>
      </c>
      <c r="H82" s="5">
        <v>175699</v>
      </c>
      <c r="I82" s="5">
        <v>755926</v>
      </c>
      <c r="J82" s="48"/>
    </row>
    <row r="83" spans="1:10">
      <c r="A83" s="22" t="s">
        <v>24</v>
      </c>
      <c r="B83" s="5">
        <v>7555</v>
      </c>
      <c r="C83" s="5">
        <v>3127</v>
      </c>
      <c r="D83" s="5">
        <v>10682</v>
      </c>
      <c r="E83" s="49"/>
      <c r="F83" s="22" t="s">
        <v>24</v>
      </c>
      <c r="G83" s="5">
        <v>164327</v>
      </c>
      <c r="H83" s="5">
        <v>67444</v>
      </c>
      <c r="I83" s="5">
        <v>231771</v>
      </c>
      <c r="J83" s="48"/>
    </row>
    <row r="84" spans="1:10">
      <c r="A84" s="22" t="s">
        <v>25</v>
      </c>
      <c r="B84" s="5">
        <v>3382</v>
      </c>
      <c r="C84" s="5">
        <v>764</v>
      </c>
      <c r="D84" s="5">
        <v>4146</v>
      </c>
      <c r="E84" s="49"/>
      <c r="F84" s="22" t="s">
        <v>25</v>
      </c>
      <c r="G84" s="5">
        <v>55868</v>
      </c>
      <c r="H84" s="5">
        <v>13968</v>
      </c>
      <c r="I84" s="5">
        <v>69836</v>
      </c>
      <c r="J84" s="48"/>
    </row>
    <row r="85" spans="1:10">
      <c r="A85" s="22" t="s">
        <v>26</v>
      </c>
      <c r="B85" s="5">
        <v>4839</v>
      </c>
      <c r="C85" s="5">
        <v>2771</v>
      </c>
      <c r="D85" s="5">
        <v>7610</v>
      </c>
      <c r="E85" s="49"/>
      <c r="F85" s="22" t="s">
        <v>26</v>
      </c>
      <c r="G85" s="5">
        <v>90280</v>
      </c>
      <c r="H85" s="5">
        <v>55491</v>
      </c>
      <c r="I85" s="5">
        <v>145771</v>
      </c>
      <c r="J85" s="48"/>
    </row>
    <row r="86" spans="1:10">
      <c r="A86" s="22" t="s">
        <v>27</v>
      </c>
      <c r="B86" s="5">
        <v>1352</v>
      </c>
      <c r="C86" s="5">
        <v>315</v>
      </c>
      <c r="D86" s="5">
        <v>1667</v>
      </c>
      <c r="E86" s="49"/>
      <c r="F86" s="22" t="s">
        <v>27</v>
      </c>
      <c r="G86" s="5">
        <v>24906</v>
      </c>
      <c r="H86" s="5">
        <v>6145</v>
      </c>
      <c r="I86" s="5">
        <v>31051</v>
      </c>
      <c r="J86" s="48"/>
    </row>
    <row r="87" spans="1:10">
      <c r="A87" s="22" t="s">
        <v>28</v>
      </c>
      <c r="B87" s="5">
        <v>2018</v>
      </c>
      <c r="C87" s="5">
        <v>1246</v>
      </c>
      <c r="D87" s="5">
        <v>3264</v>
      </c>
      <c r="E87" s="49"/>
      <c r="F87" s="22" t="s">
        <v>28</v>
      </c>
      <c r="G87" s="5">
        <v>47350</v>
      </c>
      <c r="H87" s="5">
        <v>29032</v>
      </c>
      <c r="I87" s="5">
        <v>76382</v>
      </c>
      <c r="J87" s="48"/>
    </row>
    <row r="88" spans="1:10">
      <c r="A88" s="22" t="s">
        <v>216</v>
      </c>
      <c r="B88" s="5">
        <v>0</v>
      </c>
      <c r="C88" s="5">
        <v>2367</v>
      </c>
      <c r="D88" s="5">
        <v>2367</v>
      </c>
      <c r="E88" s="49"/>
      <c r="F88" s="22" t="s">
        <v>216</v>
      </c>
      <c r="G88" s="5">
        <v>0</v>
      </c>
      <c r="H88" s="5">
        <v>33921</v>
      </c>
      <c r="I88" s="5">
        <v>33921</v>
      </c>
      <c r="J88" s="48"/>
    </row>
    <row r="89" spans="1:10">
      <c r="A89" s="20" t="s">
        <v>46</v>
      </c>
      <c r="B89" s="36">
        <v>250260</v>
      </c>
      <c r="C89" s="36">
        <v>133238</v>
      </c>
      <c r="D89" s="36">
        <v>383498</v>
      </c>
      <c r="E89" s="49"/>
      <c r="F89" s="20" t="s">
        <v>46</v>
      </c>
      <c r="G89" s="36">
        <v>5716630</v>
      </c>
      <c r="H89" s="36">
        <v>2721039</v>
      </c>
      <c r="I89" s="36">
        <v>8437669</v>
      </c>
      <c r="J89" s="48"/>
    </row>
    <row r="90" spans="1:10">
      <c r="B90" s="46"/>
      <c r="C90" s="46"/>
      <c r="D90" s="46"/>
      <c r="G90" s="46"/>
      <c r="H90" s="46"/>
      <c r="I90" s="46"/>
    </row>
    <row r="91" spans="1:10">
      <c r="B91" s="46"/>
      <c r="C91" s="46"/>
      <c r="D91" s="46"/>
      <c r="G91" s="49"/>
      <c r="H91" s="49"/>
      <c r="I91" s="49"/>
    </row>
    <row r="92" spans="1:10">
      <c r="A92" s="2" t="s">
        <v>424</v>
      </c>
      <c r="F92" s="2" t="s">
        <v>425</v>
      </c>
      <c r="G92" s="6"/>
      <c r="H92" s="6"/>
      <c r="I92" s="6"/>
    </row>
    <row r="93" spans="1:10">
      <c r="A93" s="2" t="s">
        <v>293</v>
      </c>
      <c r="F93" s="2" t="s">
        <v>294</v>
      </c>
    </row>
    <row r="94" spans="1:10">
      <c r="A94" s="8" t="s">
        <v>145</v>
      </c>
      <c r="B94" s="8" t="s">
        <v>0</v>
      </c>
      <c r="C94" s="8" t="s">
        <v>1</v>
      </c>
      <c r="D94" s="8" t="s">
        <v>45</v>
      </c>
      <c r="F94" s="8" t="s">
        <v>145</v>
      </c>
      <c r="G94" s="8" t="s">
        <v>0</v>
      </c>
      <c r="H94" s="8" t="s">
        <v>1</v>
      </c>
      <c r="I94" s="8" t="s">
        <v>45</v>
      </c>
    </row>
    <row r="95" spans="1:10">
      <c r="A95" s="21" t="s">
        <v>14</v>
      </c>
      <c r="B95" s="4">
        <v>1002</v>
      </c>
      <c r="C95" s="4">
        <v>295</v>
      </c>
      <c r="D95" s="4">
        <v>1297</v>
      </c>
      <c r="E95" s="46"/>
      <c r="F95" s="21" t="s">
        <v>14</v>
      </c>
      <c r="G95" s="4">
        <v>18254</v>
      </c>
      <c r="H95" s="4">
        <v>5013</v>
      </c>
      <c r="I95" s="4">
        <v>23267</v>
      </c>
      <c r="J95" s="48"/>
    </row>
    <row r="96" spans="1:10">
      <c r="A96" s="22" t="s">
        <v>15</v>
      </c>
      <c r="B96" s="5">
        <v>1808</v>
      </c>
      <c r="C96" s="5">
        <v>2845</v>
      </c>
      <c r="D96" s="5">
        <v>4653</v>
      </c>
      <c r="E96" s="47"/>
      <c r="F96" s="22" t="s">
        <v>15</v>
      </c>
      <c r="G96" s="5">
        <v>41627</v>
      </c>
      <c r="H96" s="5">
        <v>58134</v>
      </c>
      <c r="I96" s="5">
        <v>99761</v>
      </c>
      <c r="J96" s="48"/>
    </row>
    <row r="97" spans="1:10">
      <c r="A97" s="22" t="s">
        <v>16</v>
      </c>
      <c r="B97" s="5">
        <v>1822</v>
      </c>
      <c r="C97" s="5">
        <v>7058</v>
      </c>
      <c r="D97" s="5">
        <v>8880</v>
      </c>
      <c r="E97" s="47"/>
      <c r="F97" s="22" t="s">
        <v>16</v>
      </c>
      <c r="G97" s="5">
        <v>35383</v>
      </c>
      <c r="H97" s="5">
        <v>143371</v>
      </c>
      <c r="I97" s="5">
        <v>178754</v>
      </c>
      <c r="J97" s="48"/>
    </row>
    <row r="98" spans="1:10">
      <c r="A98" s="22" t="s">
        <v>17</v>
      </c>
      <c r="B98" s="5">
        <v>1884</v>
      </c>
      <c r="C98" s="5">
        <v>1644</v>
      </c>
      <c r="D98" s="5">
        <v>3528</v>
      </c>
      <c r="E98" s="47"/>
      <c r="F98" s="22" t="s">
        <v>17</v>
      </c>
      <c r="G98" s="5">
        <v>47642</v>
      </c>
      <c r="H98" s="5">
        <v>35324</v>
      </c>
      <c r="I98" s="5">
        <v>82966</v>
      </c>
      <c r="J98" s="48"/>
    </row>
    <row r="99" spans="1:10">
      <c r="A99" s="22" t="s">
        <v>18</v>
      </c>
      <c r="B99" s="5">
        <v>2884</v>
      </c>
      <c r="C99" s="5">
        <v>1377</v>
      </c>
      <c r="D99" s="5">
        <v>4261</v>
      </c>
      <c r="E99" s="47"/>
      <c r="F99" s="22" t="s">
        <v>18</v>
      </c>
      <c r="G99" s="5">
        <v>77565</v>
      </c>
      <c r="H99" s="5">
        <v>29246</v>
      </c>
      <c r="I99" s="5">
        <v>106811</v>
      </c>
      <c r="J99" s="48"/>
    </row>
    <row r="100" spans="1:10">
      <c r="A100" s="22" t="s">
        <v>19</v>
      </c>
      <c r="B100" s="5">
        <v>5318</v>
      </c>
      <c r="C100" s="5">
        <v>7100</v>
      </c>
      <c r="D100" s="5">
        <v>12418</v>
      </c>
      <c r="E100" s="47"/>
      <c r="F100" s="22" t="s">
        <v>19</v>
      </c>
      <c r="G100" s="5">
        <v>141497</v>
      </c>
      <c r="H100" s="5">
        <v>151077</v>
      </c>
      <c r="I100" s="5">
        <v>292574</v>
      </c>
      <c r="J100" s="48"/>
    </row>
    <row r="101" spans="1:10">
      <c r="A101" s="22" t="s">
        <v>20</v>
      </c>
      <c r="B101" s="5">
        <v>72146</v>
      </c>
      <c r="C101" s="5">
        <v>86795</v>
      </c>
      <c r="D101" s="5">
        <v>158941</v>
      </c>
      <c r="E101" s="47"/>
      <c r="F101" s="22" t="s">
        <v>20</v>
      </c>
      <c r="G101" s="5">
        <v>1741496</v>
      </c>
      <c r="H101" s="5">
        <v>1635752</v>
      </c>
      <c r="I101" s="5">
        <v>3377248</v>
      </c>
      <c r="J101" s="48"/>
    </row>
    <row r="102" spans="1:10">
      <c r="A102" s="22" t="s">
        <v>21</v>
      </c>
      <c r="B102" s="5">
        <v>8994</v>
      </c>
      <c r="C102" s="5">
        <v>6225</v>
      </c>
      <c r="D102" s="5">
        <v>15219</v>
      </c>
      <c r="E102" s="47"/>
      <c r="F102" s="22" t="s">
        <v>21</v>
      </c>
      <c r="G102" s="5">
        <v>232524</v>
      </c>
      <c r="H102" s="5">
        <v>122210</v>
      </c>
      <c r="I102" s="5">
        <v>354734</v>
      </c>
      <c r="J102" s="48"/>
    </row>
    <row r="103" spans="1:10">
      <c r="A103" s="22" t="s">
        <v>22</v>
      </c>
      <c r="B103" s="5">
        <v>3163</v>
      </c>
      <c r="C103" s="5">
        <v>2822</v>
      </c>
      <c r="D103" s="5">
        <v>5985</v>
      </c>
      <c r="E103" s="47"/>
      <c r="F103" s="22" t="s">
        <v>22</v>
      </c>
      <c r="G103" s="5">
        <v>71307</v>
      </c>
      <c r="H103" s="5">
        <v>56566</v>
      </c>
      <c r="I103" s="5">
        <v>127873</v>
      </c>
      <c r="J103" s="48"/>
    </row>
    <row r="104" spans="1:10">
      <c r="A104" s="22" t="s">
        <v>237</v>
      </c>
      <c r="B104" s="5">
        <v>1902</v>
      </c>
      <c r="C104" s="5">
        <v>1297</v>
      </c>
      <c r="D104" s="5">
        <v>3199</v>
      </c>
      <c r="E104" s="47"/>
      <c r="F104" s="22" t="s">
        <v>237</v>
      </c>
      <c r="G104" s="5">
        <v>40601</v>
      </c>
      <c r="H104" s="5">
        <v>30415</v>
      </c>
      <c r="I104" s="5">
        <v>71016</v>
      </c>
      <c r="J104" s="48"/>
    </row>
    <row r="105" spans="1:10">
      <c r="A105" s="22" t="s">
        <v>23</v>
      </c>
      <c r="B105" s="5">
        <v>18218</v>
      </c>
      <c r="C105" s="5">
        <v>7740</v>
      </c>
      <c r="D105" s="5">
        <v>25958</v>
      </c>
      <c r="E105" s="47"/>
      <c r="F105" s="22" t="s">
        <v>23</v>
      </c>
      <c r="G105" s="5">
        <v>464265</v>
      </c>
      <c r="H105" s="5">
        <v>167046</v>
      </c>
      <c r="I105" s="5">
        <v>631311</v>
      </c>
      <c r="J105" s="48"/>
    </row>
    <row r="106" spans="1:10">
      <c r="A106" s="22" t="s">
        <v>24</v>
      </c>
      <c r="B106" s="5">
        <v>3080</v>
      </c>
      <c r="C106" s="5">
        <v>2203</v>
      </c>
      <c r="D106" s="5">
        <v>5283</v>
      </c>
      <c r="E106" s="47"/>
      <c r="F106" s="22" t="s">
        <v>24</v>
      </c>
      <c r="G106" s="5">
        <v>68693</v>
      </c>
      <c r="H106" s="5">
        <v>44324</v>
      </c>
      <c r="I106" s="5">
        <v>113017</v>
      </c>
      <c r="J106" s="48"/>
    </row>
    <row r="107" spans="1:10">
      <c r="A107" s="22" t="s">
        <v>25</v>
      </c>
      <c r="B107" s="5">
        <v>2092</v>
      </c>
      <c r="C107" s="5">
        <v>588</v>
      </c>
      <c r="D107" s="5">
        <v>2680</v>
      </c>
      <c r="E107" s="47"/>
      <c r="F107" s="22" t="s">
        <v>25</v>
      </c>
      <c r="G107" s="5">
        <v>34468</v>
      </c>
      <c r="H107" s="5">
        <v>10350</v>
      </c>
      <c r="I107" s="5">
        <v>44818</v>
      </c>
      <c r="J107" s="48"/>
    </row>
    <row r="108" spans="1:10">
      <c r="A108" s="22" t="s">
        <v>26</v>
      </c>
      <c r="B108" s="5">
        <v>2591</v>
      </c>
      <c r="C108" s="5">
        <v>2890</v>
      </c>
      <c r="D108" s="5">
        <v>5481</v>
      </c>
      <c r="E108" s="47"/>
      <c r="F108" s="22" t="s">
        <v>26</v>
      </c>
      <c r="G108" s="5">
        <v>53442</v>
      </c>
      <c r="H108" s="5">
        <v>53406</v>
      </c>
      <c r="I108" s="5">
        <v>106848</v>
      </c>
      <c r="J108" s="48"/>
    </row>
    <row r="109" spans="1:10">
      <c r="A109" s="22" t="s">
        <v>27</v>
      </c>
      <c r="B109" s="5">
        <v>641</v>
      </c>
      <c r="C109" s="5">
        <v>252</v>
      </c>
      <c r="D109" s="5">
        <v>893</v>
      </c>
      <c r="E109" s="47"/>
      <c r="F109" s="22" t="s">
        <v>27</v>
      </c>
      <c r="G109" s="5">
        <v>11445</v>
      </c>
      <c r="H109" s="5">
        <v>5027</v>
      </c>
      <c r="I109" s="5">
        <v>16472</v>
      </c>
      <c r="J109" s="48"/>
    </row>
    <row r="110" spans="1:10">
      <c r="A110" s="22" t="s">
        <v>28</v>
      </c>
      <c r="B110" s="5">
        <v>915</v>
      </c>
      <c r="C110" s="5">
        <v>1203</v>
      </c>
      <c r="D110" s="5">
        <v>2118</v>
      </c>
      <c r="E110" s="47"/>
      <c r="F110" s="22" t="s">
        <v>28</v>
      </c>
      <c r="G110" s="5">
        <v>23794</v>
      </c>
      <c r="H110" s="5">
        <v>27930</v>
      </c>
      <c r="I110" s="5">
        <v>51724</v>
      </c>
      <c r="J110" s="48"/>
    </row>
    <row r="111" spans="1:10">
      <c r="A111" s="22" t="s">
        <v>216</v>
      </c>
      <c r="B111" s="5">
        <v>0</v>
      </c>
      <c r="C111" s="5">
        <v>3952</v>
      </c>
      <c r="D111" s="5">
        <v>3952</v>
      </c>
      <c r="E111" s="47"/>
      <c r="F111" s="22" t="s">
        <v>216</v>
      </c>
      <c r="G111" s="5">
        <v>0</v>
      </c>
      <c r="H111" s="5">
        <v>52154</v>
      </c>
      <c r="I111" s="5">
        <v>52154</v>
      </c>
      <c r="J111" s="48"/>
    </row>
    <row r="112" spans="1:10">
      <c r="A112" s="20" t="s">
        <v>46</v>
      </c>
      <c r="B112" s="36">
        <v>128460</v>
      </c>
      <c r="C112" s="36">
        <v>136286</v>
      </c>
      <c r="D112" s="36">
        <v>264746</v>
      </c>
      <c r="E112" s="47"/>
      <c r="F112" s="20" t="s">
        <v>46</v>
      </c>
      <c r="G112" s="36">
        <v>3104003</v>
      </c>
      <c r="H112" s="36">
        <v>2627345</v>
      </c>
      <c r="I112" s="36">
        <v>5731348</v>
      </c>
      <c r="J112" s="48"/>
    </row>
    <row r="113" spans="2:9">
      <c r="B113" s="52"/>
      <c r="C113" s="52"/>
      <c r="D113" s="52"/>
      <c r="G113" s="52"/>
      <c r="H113" s="52"/>
      <c r="I113" s="5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866"/>
  <sheetViews>
    <sheetView showGridLines="0" zoomScaleNormal="100" workbookViewId="0"/>
  </sheetViews>
  <sheetFormatPr baseColWidth="10" defaultColWidth="33.140625" defaultRowHeight="12.75"/>
  <cols>
    <col min="1" max="1" width="31.140625" style="3" customWidth="1"/>
    <col min="2" max="5" width="12.85546875" style="6" customWidth="1"/>
    <col min="6" max="16" width="12.85546875" style="3" customWidth="1"/>
    <col min="17" max="17" width="11.7109375" style="3" customWidth="1"/>
    <col min="18" max="18" width="31.140625" style="3" customWidth="1"/>
    <col min="19" max="33" width="12.85546875" style="3" customWidth="1"/>
    <col min="34" max="35" width="5.42578125" style="3" customWidth="1"/>
    <col min="36" max="54" width="15.7109375" style="3" customWidth="1"/>
    <col min="55" max="16384" width="33.140625" style="3"/>
  </cols>
  <sheetData>
    <row r="1" spans="1:31" ht="18.75">
      <c r="A1" s="1" t="s">
        <v>140</v>
      </c>
    </row>
    <row r="2" spans="1:31">
      <c r="A2" s="7"/>
    </row>
    <row r="3" spans="1:31">
      <c r="A3" s="7" t="s">
        <v>95</v>
      </c>
    </row>
    <row r="4" spans="1:31">
      <c r="A4" s="7" t="s">
        <v>636</v>
      </c>
      <c r="AE4" s="2"/>
    </row>
    <row r="5" spans="1:31" ht="20.25" customHeight="1">
      <c r="A5" s="8" t="s">
        <v>144</v>
      </c>
      <c r="B5" s="8" t="s">
        <v>0</v>
      </c>
      <c r="C5" s="8" t="s">
        <v>1</v>
      </c>
      <c r="D5" s="8" t="s">
        <v>45</v>
      </c>
      <c r="E5" s="3"/>
    </row>
    <row r="6" spans="1:31" ht="14.25" customHeight="1">
      <c r="A6" s="33" t="s">
        <v>9</v>
      </c>
      <c r="B6" s="4">
        <v>1344444</v>
      </c>
      <c r="C6" s="4">
        <v>385819</v>
      </c>
      <c r="D6" s="4">
        <v>1730263</v>
      </c>
      <c r="E6" s="73"/>
      <c r="F6" s="73"/>
      <c r="G6" s="73"/>
    </row>
    <row r="7" spans="1:31" ht="14.25" customHeight="1">
      <c r="A7" s="33" t="s">
        <v>10</v>
      </c>
      <c r="B7" s="5">
        <v>865045</v>
      </c>
      <c r="C7" s="5">
        <v>184129</v>
      </c>
      <c r="D7" s="5">
        <v>1049174</v>
      </c>
      <c r="E7" s="73"/>
      <c r="F7" s="73"/>
      <c r="G7" s="73"/>
    </row>
    <row r="8" spans="1:31" ht="14.25" customHeight="1">
      <c r="A8" s="33" t="s">
        <v>453</v>
      </c>
      <c r="B8" s="5">
        <v>679109</v>
      </c>
      <c r="C8" s="5">
        <v>195488</v>
      </c>
      <c r="D8" s="5">
        <v>874597</v>
      </c>
      <c r="E8" s="73"/>
      <c r="F8" s="73"/>
      <c r="G8" s="73"/>
    </row>
    <row r="9" spans="1:31" ht="14.25" customHeight="1">
      <c r="A9" s="33" t="s">
        <v>11</v>
      </c>
      <c r="B9" s="5">
        <v>303067</v>
      </c>
      <c r="C9" s="5">
        <v>92814</v>
      </c>
      <c r="D9" s="5">
        <v>395881</v>
      </c>
      <c r="E9" s="73"/>
      <c r="F9" s="73"/>
      <c r="G9" s="73"/>
    </row>
    <row r="10" spans="1:31" ht="14.25" customHeight="1">
      <c r="A10" s="33" t="s">
        <v>218</v>
      </c>
      <c r="B10" s="5">
        <v>288996</v>
      </c>
      <c r="C10" s="5">
        <v>85893</v>
      </c>
      <c r="D10" s="5">
        <v>374889</v>
      </c>
      <c r="E10" s="73"/>
      <c r="F10" s="73"/>
      <c r="G10" s="73"/>
    </row>
    <row r="11" spans="1:31" ht="14.25" customHeight="1">
      <c r="A11" s="33" t="s">
        <v>13</v>
      </c>
      <c r="B11" s="5">
        <v>162649</v>
      </c>
      <c r="C11" s="5">
        <v>57170</v>
      </c>
      <c r="D11" s="5">
        <v>219819</v>
      </c>
      <c r="E11" s="73"/>
      <c r="F11" s="73"/>
      <c r="G11" s="73"/>
    </row>
    <row r="12" spans="1:31" ht="14.25" customHeight="1">
      <c r="A12" s="33" t="s">
        <v>159</v>
      </c>
      <c r="B12" s="5">
        <v>152224</v>
      </c>
      <c r="C12" s="5">
        <v>62623</v>
      </c>
      <c r="D12" s="5">
        <v>214847</v>
      </c>
      <c r="E12" s="73"/>
      <c r="F12" s="73"/>
      <c r="G12" s="73"/>
    </row>
    <row r="13" spans="1:31" ht="14.25" customHeight="1">
      <c r="A13" s="33" t="s">
        <v>349</v>
      </c>
      <c r="B13" s="5">
        <v>95323</v>
      </c>
      <c r="C13" s="5">
        <v>38184</v>
      </c>
      <c r="D13" s="5">
        <v>133507</v>
      </c>
      <c r="E13" s="73"/>
      <c r="F13" s="73"/>
      <c r="G13" s="73"/>
    </row>
    <row r="14" spans="1:31" ht="14.25" customHeight="1">
      <c r="A14" s="33" t="s">
        <v>197</v>
      </c>
      <c r="B14" s="5">
        <v>109955</v>
      </c>
      <c r="C14" s="5">
        <v>23376</v>
      </c>
      <c r="D14" s="5">
        <v>133331</v>
      </c>
      <c r="E14" s="73"/>
      <c r="F14" s="73"/>
      <c r="G14" s="73"/>
    </row>
    <row r="15" spans="1:31" ht="14.25" customHeight="1">
      <c r="A15" s="33" t="s">
        <v>162</v>
      </c>
      <c r="B15" s="5">
        <v>93871</v>
      </c>
      <c r="C15" s="5">
        <v>36253</v>
      </c>
      <c r="D15" s="5">
        <v>130124</v>
      </c>
      <c r="E15" s="73"/>
      <c r="F15" s="73"/>
      <c r="G15" s="73"/>
    </row>
    <row r="16" spans="1:31" ht="14.25" customHeight="1">
      <c r="A16" s="33" t="s">
        <v>219</v>
      </c>
      <c r="B16" s="5">
        <v>95702</v>
      </c>
      <c r="C16" s="5">
        <v>30678</v>
      </c>
      <c r="D16" s="5">
        <v>126380</v>
      </c>
      <c r="E16" s="73"/>
      <c r="F16" s="73"/>
      <c r="G16" s="73"/>
    </row>
    <row r="17" spans="1:34" ht="14.25" customHeight="1">
      <c r="A17" s="33" t="s">
        <v>160</v>
      </c>
      <c r="B17" s="5">
        <v>90651</v>
      </c>
      <c r="C17" s="5">
        <v>26602</v>
      </c>
      <c r="D17" s="5">
        <v>117253</v>
      </c>
      <c r="E17" s="73"/>
      <c r="F17" s="73"/>
      <c r="G17" s="73"/>
    </row>
    <row r="18" spans="1:34" ht="14.25" customHeight="1">
      <c r="A18" s="33" t="s">
        <v>31</v>
      </c>
      <c r="B18" s="5">
        <v>414555</v>
      </c>
      <c r="C18" s="5">
        <v>119465</v>
      </c>
      <c r="D18" s="5">
        <v>534020</v>
      </c>
      <c r="E18" s="73"/>
      <c r="F18" s="73"/>
      <c r="G18" s="73"/>
    </row>
    <row r="19" spans="1:34" ht="14.25" customHeight="1">
      <c r="A19" s="33" t="s">
        <v>216</v>
      </c>
      <c r="B19" s="5">
        <v>103</v>
      </c>
      <c r="C19" s="5">
        <v>172</v>
      </c>
      <c r="D19" s="5">
        <v>275</v>
      </c>
      <c r="E19" s="73"/>
      <c r="F19" s="73"/>
      <c r="G19" s="73"/>
    </row>
    <row r="20" spans="1:34">
      <c r="A20" s="20" t="s">
        <v>46</v>
      </c>
      <c r="B20" s="36">
        <v>4695694</v>
      </c>
      <c r="C20" s="36">
        <v>1338666</v>
      </c>
      <c r="D20" s="36">
        <v>6034360</v>
      </c>
      <c r="E20" s="73"/>
      <c r="F20" s="73"/>
      <c r="G20" s="73"/>
    </row>
    <row r="21" spans="1:34" s="66" customFormat="1">
      <c r="A21" s="68" t="s">
        <v>402</v>
      </c>
      <c r="B21" s="46"/>
      <c r="C21" s="46"/>
      <c r="D21" s="46"/>
      <c r="E21" s="65"/>
    </row>
    <row r="23" spans="1:34">
      <c r="A23" s="7" t="s">
        <v>96</v>
      </c>
      <c r="R23" s="7" t="s">
        <v>97</v>
      </c>
      <c r="S23" s="6"/>
      <c r="T23" s="6"/>
      <c r="U23" s="6"/>
      <c r="V23" s="6"/>
    </row>
    <row r="24" spans="1:34">
      <c r="A24" s="7" t="s">
        <v>295</v>
      </c>
      <c r="R24" s="7" t="s">
        <v>296</v>
      </c>
      <c r="S24" s="6"/>
      <c r="T24" s="6"/>
      <c r="U24" s="6"/>
      <c r="V24" s="6"/>
    </row>
    <row r="25" spans="1:34" ht="51">
      <c r="A25" s="26" t="s">
        <v>50</v>
      </c>
      <c r="B25" s="26" t="s">
        <v>9</v>
      </c>
      <c r="C25" s="26" t="s">
        <v>10</v>
      </c>
      <c r="D25" s="26" t="s">
        <v>454</v>
      </c>
      <c r="E25" s="26" t="s">
        <v>11</v>
      </c>
      <c r="F25" s="26" t="s">
        <v>12</v>
      </c>
      <c r="G25" s="26" t="s">
        <v>13</v>
      </c>
      <c r="H25" s="26" t="s">
        <v>159</v>
      </c>
      <c r="I25" s="26" t="s">
        <v>349</v>
      </c>
      <c r="J25" s="26" t="s">
        <v>197</v>
      </c>
      <c r="K25" s="26" t="s">
        <v>162</v>
      </c>
      <c r="L25" s="26" t="s">
        <v>161</v>
      </c>
      <c r="M25" s="26" t="s">
        <v>160</v>
      </c>
      <c r="N25" s="26" t="s">
        <v>31</v>
      </c>
      <c r="O25" s="26" t="s">
        <v>216</v>
      </c>
      <c r="P25" s="26" t="s">
        <v>48</v>
      </c>
      <c r="R25" s="26" t="s">
        <v>50</v>
      </c>
      <c r="S25" s="26" t="s">
        <v>9</v>
      </c>
      <c r="T25" s="26" t="s">
        <v>10</v>
      </c>
      <c r="U25" s="26" t="s">
        <v>454</v>
      </c>
      <c r="V25" s="26" t="s">
        <v>11</v>
      </c>
      <c r="W25" s="26" t="s">
        <v>12</v>
      </c>
      <c r="X25" s="26" t="s">
        <v>13</v>
      </c>
      <c r="Y25" s="26" t="s">
        <v>159</v>
      </c>
      <c r="Z25" s="26" t="s">
        <v>349</v>
      </c>
      <c r="AA25" s="26" t="s">
        <v>197</v>
      </c>
      <c r="AB25" s="26" t="s">
        <v>162</v>
      </c>
      <c r="AC25" s="26" t="s">
        <v>161</v>
      </c>
      <c r="AD25" s="26" t="s">
        <v>160</v>
      </c>
      <c r="AE25" s="26" t="s">
        <v>31</v>
      </c>
      <c r="AF25" s="26" t="s">
        <v>216</v>
      </c>
      <c r="AG25" s="26" t="s">
        <v>48</v>
      </c>
    </row>
    <row r="26" spans="1:34">
      <c r="A26" s="13" t="s">
        <v>5</v>
      </c>
      <c r="B26" s="4">
        <v>423064</v>
      </c>
      <c r="C26" s="4">
        <v>395860</v>
      </c>
      <c r="D26" s="14">
        <v>386864</v>
      </c>
      <c r="E26" s="14">
        <v>124534</v>
      </c>
      <c r="F26" s="14">
        <v>172930</v>
      </c>
      <c r="G26" s="14">
        <v>68879</v>
      </c>
      <c r="H26" s="14">
        <v>71641</v>
      </c>
      <c r="I26" s="14">
        <v>24</v>
      </c>
      <c r="J26" s="14">
        <v>74712</v>
      </c>
      <c r="K26" s="14">
        <v>46886</v>
      </c>
      <c r="L26" s="14">
        <v>36706</v>
      </c>
      <c r="M26" s="14">
        <v>125</v>
      </c>
      <c r="N26" s="14">
        <v>185889</v>
      </c>
      <c r="O26" s="14">
        <v>49</v>
      </c>
      <c r="P26" s="14">
        <v>1988163</v>
      </c>
      <c r="Q26" s="49"/>
      <c r="R26" s="13" t="s">
        <v>5</v>
      </c>
      <c r="S26" s="4">
        <v>176471</v>
      </c>
      <c r="T26" s="4">
        <v>111413</v>
      </c>
      <c r="U26" s="14">
        <v>133226</v>
      </c>
      <c r="V26" s="14">
        <v>52803</v>
      </c>
      <c r="W26" s="14">
        <v>58183</v>
      </c>
      <c r="X26" s="14">
        <v>32306</v>
      </c>
      <c r="Y26" s="14">
        <v>35680</v>
      </c>
      <c r="Z26" s="14">
        <v>91</v>
      </c>
      <c r="AA26" s="14">
        <v>16511</v>
      </c>
      <c r="AB26" s="14">
        <v>17866</v>
      </c>
      <c r="AC26" s="14">
        <v>12511</v>
      </c>
      <c r="AD26" s="14">
        <v>1044</v>
      </c>
      <c r="AE26" s="14">
        <v>62157</v>
      </c>
      <c r="AF26" s="14">
        <v>67</v>
      </c>
      <c r="AG26" s="14">
        <v>710329</v>
      </c>
      <c r="AH26" s="49"/>
    </row>
    <row r="27" spans="1:34">
      <c r="A27" s="16" t="s">
        <v>6</v>
      </c>
      <c r="B27" s="5">
        <v>921380</v>
      </c>
      <c r="C27" s="5">
        <v>469185</v>
      </c>
      <c r="D27" s="10">
        <v>292245</v>
      </c>
      <c r="E27" s="10">
        <v>178533</v>
      </c>
      <c r="F27" s="10">
        <v>116066</v>
      </c>
      <c r="G27" s="10">
        <v>93770</v>
      </c>
      <c r="H27" s="10">
        <v>80583</v>
      </c>
      <c r="I27" s="10">
        <v>95299</v>
      </c>
      <c r="J27" s="10">
        <v>35243</v>
      </c>
      <c r="K27" s="10">
        <v>46985</v>
      </c>
      <c r="L27" s="10">
        <v>58996</v>
      </c>
      <c r="M27" s="10">
        <v>90526</v>
      </c>
      <c r="N27" s="10">
        <v>228666</v>
      </c>
      <c r="O27" s="10">
        <v>54</v>
      </c>
      <c r="P27" s="10">
        <v>2707531</v>
      </c>
      <c r="Q27" s="49"/>
      <c r="R27" s="16" t="s">
        <v>6</v>
      </c>
      <c r="S27" s="5">
        <v>209345</v>
      </c>
      <c r="T27" s="5">
        <v>72715</v>
      </c>
      <c r="U27" s="10">
        <v>62258</v>
      </c>
      <c r="V27" s="10">
        <v>40010</v>
      </c>
      <c r="W27" s="10">
        <v>27710</v>
      </c>
      <c r="X27" s="10">
        <v>24864</v>
      </c>
      <c r="Y27" s="10">
        <v>26943</v>
      </c>
      <c r="Z27" s="10">
        <v>38087</v>
      </c>
      <c r="AA27" s="10">
        <v>6865</v>
      </c>
      <c r="AB27" s="10">
        <v>18387</v>
      </c>
      <c r="AC27" s="10">
        <v>18166</v>
      </c>
      <c r="AD27" s="10">
        <v>25552</v>
      </c>
      <c r="AE27" s="10">
        <v>57306</v>
      </c>
      <c r="AF27" s="10">
        <v>105</v>
      </c>
      <c r="AG27" s="10">
        <v>628313</v>
      </c>
      <c r="AH27" s="48"/>
    </row>
    <row r="28" spans="1:34">
      <c r="A28" s="16" t="s">
        <v>216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10">
        <v>0</v>
      </c>
      <c r="Q28" s="49"/>
      <c r="R28" s="16" t="s">
        <v>216</v>
      </c>
      <c r="S28" s="5">
        <v>3</v>
      </c>
      <c r="T28" s="5">
        <v>1</v>
      </c>
      <c r="U28" s="10">
        <v>4</v>
      </c>
      <c r="V28" s="10">
        <v>1</v>
      </c>
      <c r="W28" s="10">
        <v>0</v>
      </c>
      <c r="X28" s="10">
        <v>0</v>
      </c>
      <c r="Y28" s="10">
        <v>0</v>
      </c>
      <c r="Z28" s="10">
        <v>6</v>
      </c>
      <c r="AA28" s="10">
        <v>0</v>
      </c>
      <c r="AB28" s="10">
        <v>0</v>
      </c>
      <c r="AC28" s="10">
        <v>1</v>
      </c>
      <c r="AD28" s="10">
        <v>6</v>
      </c>
      <c r="AE28" s="10">
        <v>2</v>
      </c>
      <c r="AF28" s="10">
        <v>0</v>
      </c>
      <c r="AG28" s="10">
        <v>24</v>
      </c>
      <c r="AH28" s="48"/>
    </row>
    <row r="29" spans="1:34">
      <c r="A29" s="20" t="s">
        <v>46</v>
      </c>
      <c r="B29" s="36">
        <v>1344444</v>
      </c>
      <c r="C29" s="36">
        <v>865045</v>
      </c>
      <c r="D29" s="36">
        <v>679109</v>
      </c>
      <c r="E29" s="36">
        <v>303067</v>
      </c>
      <c r="F29" s="36">
        <v>288996</v>
      </c>
      <c r="G29" s="36">
        <v>162649</v>
      </c>
      <c r="H29" s="36">
        <v>152224</v>
      </c>
      <c r="I29" s="36">
        <v>95323</v>
      </c>
      <c r="J29" s="36">
        <v>109955</v>
      </c>
      <c r="K29" s="36">
        <v>93871</v>
      </c>
      <c r="L29" s="36">
        <v>95702</v>
      </c>
      <c r="M29" s="36">
        <v>90651</v>
      </c>
      <c r="N29" s="36">
        <v>414555</v>
      </c>
      <c r="O29" s="36">
        <v>103</v>
      </c>
      <c r="P29" s="36">
        <v>4695694</v>
      </c>
      <c r="Q29" s="49"/>
      <c r="R29" s="20" t="s">
        <v>46</v>
      </c>
      <c r="S29" s="36">
        <v>385819</v>
      </c>
      <c r="T29" s="36">
        <v>184129</v>
      </c>
      <c r="U29" s="36">
        <v>195488</v>
      </c>
      <c r="V29" s="36">
        <v>92814</v>
      </c>
      <c r="W29" s="36">
        <v>85893</v>
      </c>
      <c r="X29" s="36">
        <v>57170</v>
      </c>
      <c r="Y29" s="36">
        <v>62623</v>
      </c>
      <c r="Z29" s="36">
        <v>38184</v>
      </c>
      <c r="AA29" s="36">
        <v>23376</v>
      </c>
      <c r="AB29" s="36">
        <v>36253</v>
      </c>
      <c r="AC29" s="36">
        <v>30678</v>
      </c>
      <c r="AD29" s="36">
        <v>26602</v>
      </c>
      <c r="AE29" s="36">
        <v>119465</v>
      </c>
      <c r="AF29" s="36">
        <v>172</v>
      </c>
      <c r="AG29" s="36">
        <v>1338666</v>
      </c>
      <c r="AH29" s="48"/>
    </row>
    <row r="30" spans="1:34" ht="14.1" customHeight="1">
      <c r="A30" s="3" t="s">
        <v>402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R30" s="3" t="s">
        <v>402</v>
      </c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</row>
    <row r="31" spans="1:34">
      <c r="D31" s="3"/>
      <c r="F31" s="6"/>
      <c r="S31" s="6"/>
      <c r="T31" s="6"/>
      <c r="V31" s="6"/>
      <c r="W31" s="6"/>
    </row>
    <row r="32" spans="1:34">
      <c r="A32" s="7" t="s">
        <v>98</v>
      </c>
      <c r="D32" s="3"/>
      <c r="F32" s="6"/>
      <c r="R32" s="7" t="s">
        <v>100</v>
      </c>
      <c r="S32" s="6"/>
      <c r="T32" s="6"/>
      <c r="V32" s="6"/>
      <c r="W32" s="6"/>
    </row>
    <row r="33" spans="1:34">
      <c r="A33" s="7" t="s">
        <v>297</v>
      </c>
      <c r="D33" s="3"/>
      <c r="F33" s="6"/>
      <c r="R33" s="7" t="s">
        <v>298</v>
      </c>
      <c r="S33" s="6"/>
      <c r="T33" s="6"/>
      <c r="V33" s="6"/>
      <c r="W33" s="6"/>
    </row>
    <row r="34" spans="1:34" ht="51">
      <c r="A34" s="15" t="s">
        <v>51</v>
      </c>
      <c r="B34" s="26" t="s">
        <v>9</v>
      </c>
      <c r="C34" s="26" t="s">
        <v>10</v>
      </c>
      <c r="D34" s="26" t="s">
        <v>454</v>
      </c>
      <c r="E34" s="26" t="s">
        <v>11</v>
      </c>
      <c r="F34" s="26" t="s">
        <v>12</v>
      </c>
      <c r="G34" s="26" t="s">
        <v>13</v>
      </c>
      <c r="H34" s="26" t="s">
        <v>159</v>
      </c>
      <c r="I34" s="26" t="s">
        <v>349</v>
      </c>
      <c r="J34" s="26" t="s">
        <v>197</v>
      </c>
      <c r="K34" s="26" t="s">
        <v>162</v>
      </c>
      <c r="L34" s="26" t="s">
        <v>161</v>
      </c>
      <c r="M34" s="26" t="s">
        <v>160</v>
      </c>
      <c r="N34" s="26" t="s">
        <v>31</v>
      </c>
      <c r="O34" s="26" t="s">
        <v>216</v>
      </c>
      <c r="P34" s="26" t="s">
        <v>48</v>
      </c>
      <c r="R34" s="15" t="s">
        <v>51</v>
      </c>
      <c r="S34" s="26" t="s">
        <v>9</v>
      </c>
      <c r="T34" s="26" t="s">
        <v>10</v>
      </c>
      <c r="U34" s="26" t="s">
        <v>454</v>
      </c>
      <c r="V34" s="26" t="s">
        <v>11</v>
      </c>
      <c r="W34" s="26" t="s">
        <v>12</v>
      </c>
      <c r="X34" s="26" t="s">
        <v>13</v>
      </c>
      <c r="Y34" s="26" t="s">
        <v>159</v>
      </c>
      <c r="Z34" s="26" t="s">
        <v>349</v>
      </c>
      <c r="AA34" s="26" t="s">
        <v>197</v>
      </c>
      <c r="AB34" s="26" t="s">
        <v>162</v>
      </c>
      <c r="AC34" s="26" t="s">
        <v>161</v>
      </c>
      <c r="AD34" s="26" t="s">
        <v>160</v>
      </c>
      <c r="AE34" s="26" t="s">
        <v>31</v>
      </c>
      <c r="AF34" s="26" t="s">
        <v>216</v>
      </c>
      <c r="AG34" s="26" t="s">
        <v>48</v>
      </c>
    </row>
    <row r="35" spans="1:34">
      <c r="A35" s="13" t="s">
        <v>40</v>
      </c>
      <c r="B35" s="4">
        <v>4084</v>
      </c>
      <c r="C35" s="4">
        <v>3477</v>
      </c>
      <c r="D35" s="4">
        <v>8503</v>
      </c>
      <c r="E35" s="4">
        <v>2492</v>
      </c>
      <c r="F35" s="4">
        <v>2657</v>
      </c>
      <c r="G35" s="4">
        <v>1709</v>
      </c>
      <c r="H35" s="4">
        <v>1207</v>
      </c>
      <c r="I35" s="4">
        <v>180</v>
      </c>
      <c r="J35" s="4">
        <v>99</v>
      </c>
      <c r="K35" s="4">
        <v>114</v>
      </c>
      <c r="L35" s="4">
        <v>495</v>
      </c>
      <c r="M35" s="4">
        <v>632</v>
      </c>
      <c r="N35" s="4">
        <v>2145</v>
      </c>
      <c r="O35" s="4">
        <v>1</v>
      </c>
      <c r="P35" s="4">
        <v>27795</v>
      </c>
      <c r="Q35" s="49"/>
      <c r="R35" s="13" t="s">
        <v>40</v>
      </c>
      <c r="S35" s="4">
        <v>182</v>
      </c>
      <c r="T35" s="4">
        <v>122</v>
      </c>
      <c r="U35" s="4">
        <v>226</v>
      </c>
      <c r="V35" s="4">
        <v>113</v>
      </c>
      <c r="W35" s="4">
        <v>100</v>
      </c>
      <c r="X35" s="4">
        <v>57</v>
      </c>
      <c r="Y35" s="4">
        <v>37</v>
      </c>
      <c r="Z35" s="4">
        <v>4</v>
      </c>
      <c r="AA35" s="4">
        <v>3</v>
      </c>
      <c r="AB35" s="4">
        <v>1</v>
      </c>
      <c r="AC35" s="4">
        <v>7</v>
      </c>
      <c r="AD35" s="4">
        <v>9</v>
      </c>
      <c r="AE35" s="4">
        <v>61</v>
      </c>
      <c r="AF35" s="4">
        <v>0</v>
      </c>
      <c r="AG35" s="4">
        <v>922</v>
      </c>
      <c r="AH35" s="49"/>
    </row>
    <row r="36" spans="1:34">
      <c r="A36" s="16" t="s">
        <v>2</v>
      </c>
      <c r="B36" s="5">
        <v>87140</v>
      </c>
      <c r="C36" s="5">
        <v>42643</v>
      </c>
      <c r="D36" s="5">
        <v>71483</v>
      </c>
      <c r="E36" s="5">
        <v>24863</v>
      </c>
      <c r="F36" s="5">
        <v>24458</v>
      </c>
      <c r="G36" s="5">
        <v>17662</v>
      </c>
      <c r="H36" s="5">
        <v>12086</v>
      </c>
      <c r="I36" s="5">
        <v>10601</v>
      </c>
      <c r="J36" s="5">
        <v>1285</v>
      </c>
      <c r="K36" s="5">
        <v>1082</v>
      </c>
      <c r="L36" s="5">
        <v>5568</v>
      </c>
      <c r="M36" s="5">
        <v>13263</v>
      </c>
      <c r="N36" s="5">
        <v>24312</v>
      </c>
      <c r="O36" s="5">
        <v>8</v>
      </c>
      <c r="P36" s="5">
        <v>336454</v>
      </c>
      <c r="Q36" s="49"/>
      <c r="R36" s="16" t="s">
        <v>2</v>
      </c>
      <c r="S36" s="5">
        <v>8503</v>
      </c>
      <c r="T36" s="5">
        <v>4460</v>
      </c>
      <c r="U36" s="5">
        <v>7535</v>
      </c>
      <c r="V36" s="5">
        <v>3509</v>
      </c>
      <c r="W36" s="5">
        <v>3003</v>
      </c>
      <c r="X36" s="5">
        <v>2529</v>
      </c>
      <c r="Y36" s="5">
        <v>1710</v>
      </c>
      <c r="Z36" s="5">
        <v>476</v>
      </c>
      <c r="AA36" s="5">
        <v>161</v>
      </c>
      <c r="AB36" s="5">
        <v>150</v>
      </c>
      <c r="AC36" s="5">
        <v>558</v>
      </c>
      <c r="AD36" s="5">
        <v>579</v>
      </c>
      <c r="AE36" s="5">
        <v>2839</v>
      </c>
      <c r="AF36" s="5">
        <v>3</v>
      </c>
      <c r="AG36" s="5">
        <v>36015</v>
      </c>
      <c r="AH36" s="48"/>
    </row>
    <row r="37" spans="1:34">
      <c r="A37" s="16" t="s">
        <v>41</v>
      </c>
      <c r="B37" s="5">
        <v>452069</v>
      </c>
      <c r="C37" s="5">
        <v>177951</v>
      </c>
      <c r="D37" s="5">
        <v>214174</v>
      </c>
      <c r="E37" s="5">
        <v>89878</v>
      </c>
      <c r="F37" s="5">
        <v>71849</v>
      </c>
      <c r="G37" s="5">
        <v>60913</v>
      </c>
      <c r="H37" s="5">
        <v>43188</v>
      </c>
      <c r="I37" s="5">
        <v>60774</v>
      </c>
      <c r="J37" s="5">
        <v>8255</v>
      </c>
      <c r="K37" s="5">
        <v>8225</v>
      </c>
      <c r="L37" s="5">
        <v>23985</v>
      </c>
      <c r="M37" s="5">
        <v>55345</v>
      </c>
      <c r="N37" s="5">
        <v>97467</v>
      </c>
      <c r="O37" s="5">
        <v>30</v>
      </c>
      <c r="P37" s="5">
        <v>1364103</v>
      </c>
      <c r="Q37" s="49"/>
      <c r="R37" s="16" t="s">
        <v>41</v>
      </c>
      <c r="S37" s="5">
        <v>126570</v>
      </c>
      <c r="T37" s="5">
        <v>48286</v>
      </c>
      <c r="U37" s="5">
        <v>73481</v>
      </c>
      <c r="V37" s="5">
        <v>35017</v>
      </c>
      <c r="W37" s="5">
        <v>27332</v>
      </c>
      <c r="X37" s="5">
        <v>26032</v>
      </c>
      <c r="Y37" s="5">
        <v>21851</v>
      </c>
      <c r="Z37" s="5">
        <v>21001</v>
      </c>
      <c r="AA37" s="5">
        <v>2959</v>
      </c>
      <c r="AB37" s="5">
        <v>4078</v>
      </c>
      <c r="AC37" s="5">
        <v>9054</v>
      </c>
      <c r="AD37" s="5">
        <v>15684</v>
      </c>
      <c r="AE37" s="5">
        <v>36306</v>
      </c>
      <c r="AF37" s="5">
        <v>67</v>
      </c>
      <c r="AG37" s="5">
        <v>447718</v>
      </c>
      <c r="AH37" s="48"/>
    </row>
    <row r="38" spans="1:34">
      <c r="A38" s="16" t="s">
        <v>42</v>
      </c>
      <c r="B38" s="5">
        <v>350765</v>
      </c>
      <c r="C38" s="5">
        <v>187634</v>
      </c>
      <c r="D38" s="5">
        <v>153479</v>
      </c>
      <c r="E38" s="5">
        <v>68240</v>
      </c>
      <c r="F38" s="5">
        <v>58669</v>
      </c>
      <c r="G38" s="5">
        <v>37022</v>
      </c>
      <c r="H38" s="5">
        <v>34392</v>
      </c>
      <c r="I38" s="5">
        <v>23403</v>
      </c>
      <c r="J38" s="5">
        <v>13871</v>
      </c>
      <c r="K38" s="5">
        <v>15436</v>
      </c>
      <c r="L38" s="5">
        <v>22572</v>
      </c>
      <c r="M38" s="5">
        <v>20897</v>
      </c>
      <c r="N38" s="5">
        <v>89912</v>
      </c>
      <c r="O38" s="5">
        <v>21</v>
      </c>
      <c r="P38" s="5">
        <v>1076313</v>
      </c>
      <c r="Q38" s="49"/>
      <c r="R38" s="16" t="s">
        <v>42</v>
      </c>
      <c r="S38" s="5">
        <v>128478</v>
      </c>
      <c r="T38" s="5">
        <v>52423</v>
      </c>
      <c r="U38" s="5">
        <v>55433</v>
      </c>
      <c r="V38" s="5">
        <v>26113</v>
      </c>
      <c r="W38" s="5">
        <v>23438</v>
      </c>
      <c r="X38" s="5">
        <v>16306</v>
      </c>
      <c r="Y38" s="5">
        <v>18777</v>
      </c>
      <c r="Z38" s="5">
        <v>16378</v>
      </c>
      <c r="AA38" s="5">
        <v>5258</v>
      </c>
      <c r="AB38" s="5">
        <v>7959</v>
      </c>
      <c r="AC38" s="5">
        <v>10018</v>
      </c>
      <c r="AD38" s="5">
        <v>10089</v>
      </c>
      <c r="AE38" s="5">
        <v>34552</v>
      </c>
      <c r="AF38" s="5">
        <v>56</v>
      </c>
      <c r="AG38" s="5">
        <v>405278</v>
      </c>
      <c r="AH38" s="48"/>
    </row>
    <row r="39" spans="1:34">
      <c r="A39" s="16" t="s">
        <v>43</v>
      </c>
      <c r="B39" s="5">
        <v>234206</v>
      </c>
      <c r="C39" s="5">
        <v>216653</v>
      </c>
      <c r="D39" s="5">
        <v>132171</v>
      </c>
      <c r="E39" s="5">
        <v>58143</v>
      </c>
      <c r="F39" s="5">
        <v>63106</v>
      </c>
      <c r="G39" s="5">
        <v>25586</v>
      </c>
      <c r="H39" s="5">
        <v>30093</v>
      </c>
      <c r="I39" s="5">
        <v>365</v>
      </c>
      <c r="J39" s="5">
        <v>25948</v>
      </c>
      <c r="K39" s="5">
        <v>23670</v>
      </c>
      <c r="L39" s="5">
        <v>20429</v>
      </c>
      <c r="M39" s="5">
        <v>431</v>
      </c>
      <c r="N39" s="5">
        <v>93217</v>
      </c>
      <c r="O39" s="5">
        <v>22</v>
      </c>
      <c r="P39" s="5">
        <v>924040</v>
      </c>
      <c r="Q39" s="49"/>
      <c r="R39" s="16" t="s">
        <v>43</v>
      </c>
      <c r="S39" s="5">
        <v>70201</v>
      </c>
      <c r="T39" s="5">
        <v>42859</v>
      </c>
      <c r="U39" s="5">
        <v>35923</v>
      </c>
      <c r="V39" s="5">
        <v>15665</v>
      </c>
      <c r="W39" s="5">
        <v>17872</v>
      </c>
      <c r="X39" s="5">
        <v>7593</v>
      </c>
      <c r="Y39" s="5">
        <v>11874</v>
      </c>
      <c r="Z39" s="5">
        <v>325</v>
      </c>
      <c r="AA39" s="5">
        <v>6026</v>
      </c>
      <c r="AB39" s="5">
        <v>9522</v>
      </c>
      <c r="AC39" s="5">
        <v>6313</v>
      </c>
      <c r="AD39" s="5">
        <v>227</v>
      </c>
      <c r="AE39" s="5">
        <v>24088</v>
      </c>
      <c r="AF39" s="5">
        <v>27</v>
      </c>
      <c r="AG39" s="5">
        <v>248515</v>
      </c>
      <c r="AH39" s="48"/>
    </row>
    <row r="40" spans="1:34">
      <c r="A40" s="16" t="s">
        <v>44</v>
      </c>
      <c r="B40" s="5">
        <v>164807</v>
      </c>
      <c r="C40" s="5">
        <v>184217</v>
      </c>
      <c r="D40" s="5">
        <v>82571</v>
      </c>
      <c r="E40" s="5">
        <v>45572</v>
      </c>
      <c r="F40" s="5">
        <v>53983</v>
      </c>
      <c r="G40" s="5">
        <v>16444</v>
      </c>
      <c r="H40" s="5">
        <v>24050</v>
      </c>
      <c r="I40" s="5">
        <v>0</v>
      </c>
      <c r="J40" s="5">
        <v>37819</v>
      </c>
      <c r="K40" s="5">
        <v>28861</v>
      </c>
      <c r="L40" s="5">
        <v>15691</v>
      </c>
      <c r="M40" s="5">
        <v>63</v>
      </c>
      <c r="N40" s="5">
        <v>80432</v>
      </c>
      <c r="O40" s="5">
        <v>17</v>
      </c>
      <c r="P40" s="5">
        <v>734527</v>
      </c>
      <c r="Q40" s="49"/>
      <c r="R40" s="16" t="s">
        <v>44</v>
      </c>
      <c r="S40" s="5">
        <v>42819</v>
      </c>
      <c r="T40" s="5">
        <v>30629</v>
      </c>
      <c r="U40" s="5">
        <v>20084</v>
      </c>
      <c r="V40" s="5">
        <v>10154</v>
      </c>
      <c r="W40" s="5">
        <v>11772</v>
      </c>
      <c r="X40" s="5">
        <v>4039</v>
      </c>
      <c r="Y40" s="5">
        <v>7052</v>
      </c>
      <c r="Z40" s="5">
        <v>0</v>
      </c>
      <c r="AA40" s="5">
        <v>6658</v>
      </c>
      <c r="AB40" s="5">
        <v>10339</v>
      </c>
      <c r="AC40" s="5">
        <v>3687</v>
      </c>
      <c r="AD40" s="5">
        <v>11</v>
      </c>
      <c r="AE40" s="5">
        <v>17659</v>
      </c>
      <c r="AF40" s="5">
        <v>18</v>
      </c>
      <c r="AG40" s="5">
        <v>164921</v>
      </c>
      <c r="AH40" s="48"/>
    </row>
    <row r="41" spans="1:34">
      <c r="A41" s="16" t="s">
        <v>3</v>
      </c>
      <c r="B41" s="5">
        <v>51373</v>
      </c>
      <c r="C41" s="5">
        <v>52470</v>
      </c>
      <c r="D41" s="5">
        <v>16728</v>
      </c>
      <c r="E41" s="5">
        <v>13879</v>
      </c>
      <c r="F41" s="5">
        <v>14274</v>
      </c>
      <c r="G41" s="5">
        <v>3313</v>
      </c>
      <c r="H41" s="5">
        <v>7208</v>
      </c>
      <c r="I41" s="5">
        <v>0</v>
      </c>
      <c r="J41" s="5">
        <v>22678</v>
      </c>
      <c r="K41" s="5">
        <v>16483</v>
      </c>
      <c r="L41" s="5">
        <v>6962</v>
      </c>
      <c r="M41" s="5">
        <v>20</v>
      </c>
      <c r="N41" s="5">
        <v>27070</v>
      </c>
      <c r="O41" s="5">
        <v>4</v>
      </c>
      <c r="P41" s="5">
        <v>232462</v>
      </c>
      <c r="Q41" s="49"/>
      <c r="R41" s="16" t="s">
        <v>3</v>
      </c>
      <c r="S41" s="5">
        <v>9066</v>
      </c>
      <c r="T41" s="5">
        <v>5349</v>
      </c>
      <c r="U41" s="5">
        <v>2806</v>
      </c>
      <c r="V41" s="5">
        <v>2243</v>
      </c>
      <c r="W41" s="5">
        <v>2376</v>
      </c>
      <c r="X41" s="5">
        <v>613</v>
      </c>
      <c r="Y41" s="5">
        <v>1320</v>
      </c>
      <c r="Z41" s="5">
        <v>0</v>
      </c>
      <c r="AA41" s="5">
        <v>2311</v>
      </c>
      <c r="AB41" s="5">
        <v>4204</v>
      </c>
      <c r="AC41" s="5">
        <v>1041</v>
      </c>
      <c r="AD41" s="5">
        <v>2</v>
      </c>
      <c r="AE41" s="5">
        <v>3960</v>
      </c>
      <c r="AF41" s="5">
        <v>1</v>
      </c>
      <c r="AG41" s="5">
        <v>35292</v>
      </c>
      <c r="AH41" s="48"/>
    </row>
    <row r="42" spans="1:34">
      <c r="A42" s="16" t="s">
        <v>216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49"/>
      <c r="R42" s="16" t="s">
        <v>216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1</v>
      </c>
      <c r="Y42" s="5">
        <v>2</v>
      </c>
      <c r="Z42" s="5">
        <v>0</v>
      </c>
      <c r="AA42" s="5">
        <v>0</v>
      </c>
      <c r="AB42" s="5">
        <v>0</v>
      </c>
      <c r="AC42" s="5">
        <v>0</v>
      </c>
      <c r="AD42" s="5">
        <v>1</v>
      </c>
      <c r="AE42" s="5">
        <v>0</v>
      </c>
      <c r="AF42" s="5">
        <v>0</v>
      </c>
      <c r="AG42" s="5">
        <v>5</v>
      </c>
      <c r="AH42" s="48"/>
    </row>
    <row r="43" spans="1:34">
      <c r="A43" s="20" t="s">
        <v>46</v>
      </c>
      <c r="B43" s="36">
        <v>1344444</v>
      </c>
      <c r="C43" s="36">
        <v>865045</v>
      </c>
      <c r="D43" s="36">
        <v>679109</v>
      </c>
      <c r="E43" s="36">
        <v>303067</v>
      </c>
      <c r="F43" s="36">
        <v>288996</v>
      </c>
      <c r="G43" s="36">
        <v>162649</v>
      </c>
      <c r="H43" s="36">
        <v>152224</v>
      </c>
      <c r="I43" s="36">
        <v>95323</v>
      </c>
      <c r="J43" s="36">
        <v>109955</v>
      </c>
      <c r="K43" s="36">
        <v>93871</v>
      </c>
      <c r="L43" s="36">
        <v>95702</v>
      </c>
      <c r="M43" s="36">
        <v>90651</v>
      </c>
      <c r="N43" s="36">
        <v>414555</v>
      </c>
      <c r="O43" s="36">
        <v>103</v>
      </c>
      <c r="P43" s="36">
        <v>4695694</v>
      </c>
      <c r="Q43" s="49"/>
      <c r="R43" s="20" t="s">
        <v>46</v>
      </c>
      <c r="S43" s="36">
        <v>385819</v>
      </c>
      <c r="T43" s="36">
        <v>184129</v>
      </c>
      <c r="U43" s="36">
        <v>195488</v>
      </c>
      <c r="V43" s="36">
        <v>92814</v>
      </c>
      <c r="W43" s="36">
        <v>85893</v>
      </c>
      <c r="X43" s="36">
        <v>57170</v>
      </c>
      <c r="Y43" s="36">
        <v>62623</v>
      </c>
      <c r="Z43" s="36">
        <v>38184</v>
      </c>
      <c r="AA43" s="36">
        <v>23376</v>
      </c>
      <c r="AB43" s="36">
        <v>36253</v>
      </c>
      <c r="AC43" s="36">
        <v>30678</v>
      </c>
      <c r="AD43" s="36">
        <v>26602</v>
      </c>
      <c r="AE43" s="36">
        <v>119465</v>
      </c>
      <c r="AF43" s="36">
        <v>172</v>
      </c>
      <c r="AG43" s="36">
        <v>1338666</v>
      </c>
      <c r="AH43" s="48"/>
    </row>
    <row r="44" spans="1:34">
      <c r="A44" s="3" t="s">
        <v>402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R44" s="3" t="s">
        <v>402</v>
      </c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</row>
    <row r="45" spans="1:34">
      <c r="D45" s="3"/>
      <c r="F45" s="6"/>
      <c r="S45" s="6"/>
      <c r="T45" s="32"/>
      <c r="V45" s="6"/>
      <c r="W45" s="6"/>
    </row>
    <row r="46" spans="1:34">
      <c r="A46" s="7" t="s">
        <v>99</v>
      </c>
      <c r="D46" s="3"/>
      <c r="F46" s="6"/>
      <c r="R46" s="7" t="s">
        <v>101</v>
      </c>
      <c r="S46" s="6"/>
      <c r="T46" s="6"/>
      <c r="V46" s="6"/>
      <c r="W46" s="6"/>
    </row>
    <row r="47" spans="1:34">
      <c r="A47" s="7" t="s">
        <v>299</v>
      </c>
      <c r="D47" s="3"/>
      <c r="F47" s="6"/>
      <c r="R47" s="7" t="s">
        <v>300</v>
      </c>
      <c r="S47" s="6"/>
      <c r="T47" s="6"/>
      <c r="V47" s="6"/>
      <c r="W47" s="6"/>
    </row>
    <row r="48" spans="1:34" ht="51">
      <c r="A48" s="15" t="s">
        <v>145</v>
      </c>
      <c r="B48" s="26" t="s">
        <v>9</v>
      </c>
      <c r="C48" s="26" t="s">
        <v>10</v>
      </c>
      <c r="D48" s="26" t="s">
        <v>454</v>
      </c>
      <c r="E48" s="26" t="s">
        <v>11</v>
      </c>
      <c r="F48" s="26" t="s">
        <v>12</v>
      </c>
      <c r="G48" s="26" t="s">
        <v>13</v>
      </c>
      <c r="H48" s="26" t="s">
        <v>159</v>
      </c>
      <c r="I48" s="26" t="s">
        <v>349</v>
      </c>
      <c r="J48" s="26" t="s">
        <v>197</v>
      </c>
      <c r="K48" s="26" t="s">
        <v>162</v>
      </c>
      <c r="L48" s="26" t="s">
        <v>161</v>
      </c>
      <c r="M48" s="26" t="s">
        <v>160</v>
      </c>
      <c r="N48" s="26" t="s">
        <v>31</v>
      </c>
      <c r="O48" s="26" t="s">
        <v>216</v>
      </c>
      <c r="P48" s="26" t="s">
        <v>48</v>
      </c>
      <c r="R48" s="15" t="s">
        <v>145</v>
      </c>
      <c r="S48" s="26" t="s">
        <v>9</v>
      </c>
      <c r="T48" s="26" t="s">
        <v>10</v>
      </c>
      <c r="U48" s="26" t="s">
        <v>454</v>
      </c>
      <c r="V48" s="26" t="s">
        <v>11</v>
      </c>
      <c r="W48" s="26" t="s">
        <v>12</v>
      </c>
      <c r="X48" s="26" t="s">
        <v>13</v>
      </c>
      <c r="Y48" s="26" t="s">
        <v>159</v>
      </c>
      <c r="Z48" s="26" t="s">
        <v>349</v>
      </c>
      <c r="AA48" s="26" t="s">
        <v>197</v>
      </c>
      <c r="AB48" s="26" t="s">
        <v>162</v>
      </c>
      <c r="AC48" s="26" t="s">
        <v>161</v>
      </c>
      <c r="AD48" s="26" t="s">
        <v>160</v>
      </c>
      <c r="AE48" s="26" t="s">
        <v>31</v>
      </c>
      <c r="AF48" s="26" t="s">
        <v>216</v>
      </c>
      <c r="AG48" s="26" t="s">
        <v>48</v>
      </c>
    </row>
    <row r="49" spans="1:34">
      <c r="A49" s="21" t="s">
        <v>14</v>
      </c>
      <c r="B49" s="4">
        <v>2155</v>
      </c>
      <c r="C49" s="4">
        <v>3142</v>
      </c>
      <c r="D49" s="4">
        <v>7286</v>
      </c>
      <c r="E49" s="4">
        <v>1582</v>
      </c>
      <c r="F49" s="4">
        <v>1713</v>
      </c>
      <c r="G49" s="4">
        <v>1267</v>
      </c>
      <c r="H49" s="4">
        <v>1499</v>
      </c>
      <c r="I49" s="4">
        <v>205</v>
      </c>
      <c r="J49" s="4">
        <v>615</v>
      </c>
      <c r="K49" s="4">
        <v>944</v>
      </c>
      <c r="L49" s="4">
        <v>738</v>
      </c>
      <c r="M49" s="4">
        <v>951</v>
      </c>
      <c r="N49" s="4">
        <v>2104</v>
      </c>
      <c r="O49" s="4">
        <v>0</v>
      </c>
      <c r="P49" s="4">
        <v>24201</v>
      </c>
      <c r="Q49" s="49"/>
      <c r="R49" s="21" t="s">
        <v>14</v>
      </c>
      <c r="S49" s="4">
        <v>859</v>
      </c>
      <c r="T49" s="4">
        <v>761</v>
      </c>
      <c r="U49" s="4">
        <v>1184</v>
      </c>
      <c r="V49" s="4">
        <v>500</v>
      </c>
      <c r="W49" s="4">
        <v>499</v>
      </c>
      <c r="X49" s="4">
        <v>468</v>
      </c>
      <c r="Y49" s="4">
        <v>570</v>
      </c>
      <c r="Z49" s="4">
        <v>75</v>
      </c>
      <c r="AA49" s="4">
        <v>130</v>
      </c>
      <c r="AB49" s="4">
        <v>253</v>
      </c>
      <c r="AC49" s="4">
        <v>216</v>
      </c>
      <c r="AD49" s="4">
        <v>188</v>
      </c>
      <c r="AE49" s="4">
        <v>669</v>
      </c>
      <c r="AF49" s="4">
        <v>0</v>
      </c>
      <c r="AG49" s="4">
        <v>6372</v>
      </c>
      <c r="AH49" s="49"/>
    </row>
    <row r="50" spans="1:34">
      <c r="A50" s="22" t="s">
        <v>15</v>
      </c>
      <c r="B50" s="5">
        <v>20252</v>
      </c>
      <c r="C50" s="5">
        <v>11252</v>
      </c>
      <c r="D50" s="5">
        <v>13487</v>
      </c>
      <c r="E50" s="5">
        <v>3814</v>
      </c>
      <c r="F50" s="5">
        <v>4233</v>
      </c>
      <c r="G50" s="5">
        <v>3298</v>
      </c>
      <c r="H50" s="5">
        <v>2417</v>
      </c>
      <c r="I50" s="5">
        <v>329</v>
      </c>
      <c r="J50" s="5">
        <v>1354</v>
      </c>
      <c r="K50" s="5">
        <v>1399</v>
      </c>
      <c r="L50" s="5">
        <v>1773</v>
      </c>
      <c r="M50" s="5">
        <v>1181</v>
      </c>
      <c r="N50" s="5">
        <v>5656</v>
      </c>
      <c r="O50" s="5">
        <v>0</v>
      </c>
      <c r="P50" s="5">
        <v>70445</v>
      </c>
      <c r="Q50" s="48"/>
      <c r="R50" s="22" t="s">
        <v>15</v>
      </c>
      <c r="S50" s="5">
        <v>6245</v>
      </c>
      <c r="T50" s="5">
        <v>3579</v>
      </c>
      <c r="U50" s="5">
        <v>3296</v>
      </c>
      <c r="V50" s="5">
        <v>1400</v>
      </c>
      <c r="W50" s="5">
        <v>1414</v>
      </c>
      <c r="X50" s="5">
        <v>838</v>
      </c>
      <c r="Y50" s="5">
        <v>1119</v>
      </c>
      <c r="Z50" s="5">
        <v>281</v>
      </c>
      <c r="AA50" s="5">
        <v>450</v>
      </c>
      <c r="AB50" s="5">
        <v>487</v>
      </c>
      <c r="AC50" s="5">
        <v>501</v>
      </c>
      <c r="AD50" s="5">
        <v>232</v>
      </c>
      <c r="AE50" s="5">
        <v>1896</v>
      </c>
      <c r="AF50" s="5">
        <v>1</v>
      </c>
      <c r="AG50" s="5">
        <v>21739</v>
      </c>
      <c r="AH50" s="48"/>
    </row>
    <row r="51" spans="1:34">
      <c r="A51" s="22" t="s">
        <v>16</v>
      </c>
      <c r="B51" s="5">
        <v>33821</v>
      </c>
      <c r="C51" s="5">
        <v>25193</v>
      </c>
      <c r="D51" s="5">
        <v>19000</v>
      </c>
      <c r="E51" s="5">
        <v>8822</v>
      </c>
      <c r="F51" s="5">
        <v>9240</v>
      </c>
      <c r="G51" s="5">
        <v>4090</v>
      </c>
      <c r="H51" s="5">
        <v>4347</v>
      </c>
      <c r="I51" s="5">
        <v>421</v>
      </c>
      <c r="J51" s="5">
        <v>3426</v>
      </c>
      <c r="K51" s="5">
        <v>3688</v>
      </c>
      <c r="L51" s="5">
        <v>3222</v>
      </c>
      <c r="M51" s="5">
        <v>2985</v>
      </c>
      <c r="N51" s="5">
        <v>12337</v>
      </c>
      <c r="O51" s="5">
        <v>4</v>
      </c>
      <c r="P51" s="5">
        <v>130596</v>
      </c>
      <c r="Q51" s="48"/>
      <c r="R51" s="22" t="s">
        <v>16</v>
      </c>
      <c r="S51" s="5">
        <v>15520</v>
      </c>
      <c r="T51" s="5">
        <v>10250</v>
      </c>
      <c r="U51" s="5">
        <v>8105</v>
      </c>
      <c r="V51" s="5">
        <v>4754</v>
      </c>
      <c r="W51" s="5">
        <v>4387</v>
      </c>
      <c r="X51" s="5">
        <v>1966</v>
      </c>
      <c r="Y51" s="5">
        <v>2642</v>
      </c>
      <c r="Z51" s="5">
        <v>530</v>
      </c>
      <c r="AA51" s="5">
        <v>1195</v>
      </c>
      <c r="AB51" s="5">
        <v>1608</v>
      </c>
      <c r="AC51" s="5">
        <v>1553</v>
      </c>
      <c r="AD51" s="5">
        <v>991</v>
      </c>
      <c r="AE51" s="5">
        <v>5571</v>
      </c>
      <c r="AF51" s="5">
        <v>3</v>
      </c>
      <c r="AG51" s="5">
        <v>59075</v>
      </c>
      <c r="AH51" s="48"/>
    </row>
    <row r="52" spans="1:34">
      <c r="A52" s="22" t="s">
        <v>17</v>
      </c>
      <c r="B52" s="5">
        <v>12694</v>
      </c>
      <c r="C52" s="5">
        <v>11368</v>
      </c>
      <c r="D52" s="5">
        <v>9225</v>
      </c>
      <c r="E52" s="5">
        <v>3918</v>
      </c>
      <c r="F52" s="5">
        <v>4629</v>
      </c>
      <c r="G52" s="5">
        <v>1490</v>
      </c>
      <c r="H52" s="5">
        <v>2433</v>
      </c>
      <c r="I52" s="5">
        <v>227</v>
      </c>
      <c r="J52" s="5">
        <v>1879</v>
      </c>
      <c r="K52" s="5">
        <v>1602</v>
      </c>
      <c r="L52" s="5">
        <v>1599</v>
      </c>
      <c r="M52" s="5">
        <v>1161</v>
      </c>
      <c r="N52" s="5">
        <v>6356</v>
      </c>
      <c r="O52" s="5">
        <v>3</v>
      </c>
      <c r="P52" s="5">
        <v>58584</v>
      </c>
      <c r="Q52" s="48"/>
      <c r="R52" s="22" t="s">
        <v>17</v>
      </c>
      <c r="S52" s="5">
        <v>2842</v>
      </c>
      <c r="T52" s="5">
        <v>2480</v>
      </c>
      <c r="U52" s="5">
        <v>1890</v>
      </c>
      <c r="V52" s="5">
        <v>983</v>
      </c>
      <c r="W52" s="5">
        <v>1102</v>
      </c>
      <c r="X52" s="5">
        <v>414</v>
      </c>
      <c r="Y52" s="5">
        <v>750</v>
      </c>
      <c r="Z52" s="5">
        <v>192</v>
      </c>
      <c r="AA52" s="5">
        <v>326</v>
      </c>
      <c r="AB52" s="5">
        <v>421</v>
      </c>
      <c r="AC52" s="5">
        <v>385</v>
      </c>
      <c r="AD52" s="5">
        <v>251</v>
      </c>
      <c r="AE52" s="5">
        <v>1531</v>
      </c>
      <c r="AF52" s="5">
        <v>2</v>
      </c>
      <c r="AG52" s="5">
        <v>13569</v>
      </c>
      <c r="AH52" s="48"/>
    </row>
    <row r="53" spans="1:34">
      <c r="A53" s="22" t="s">
        <v>18</v>
      </c>
      <c r="B53" s="5">
        <v>30363</v>
      </c>
      <c r="C53" s="5">
        <v>19778</v>
      </c>
      <c r="D53" s="5">
        <v>17829</v>
      </c>
      <c r="E53" s="5">
        <v>6395</v>
      </c>
      <c r="F53" s="5">
        <v>7553</v>
      </c>
      <c r="G53" s="5">
        <v>3456</v>
      </c>
      <c r="H53" s="5">
        <v>4315</v>
      </c>
      <c r="I53" s="5">
        <v>641</v>
      </c>
      <c r="J53" s="5">
        <v>2818</v>
      </c>
      <c r="K53" s="5">
        <v>2309</v>
      </c>
      <c r="L53" s="5">
        <v>2799</v>
      </c>
      <c r="M53" s="5">
        <v>2498</v>
      </c>
      <c r="N53" s="5">
        <v>9911</v>
      </c>
      <c r="O53" s="5">
        <v>0</v>
      </c>
      <c r="P53" s="5">
        <v>110665</v>
      </c>
      <c r="Q53" s="48"/>
      <c r="R53" s="22" t="s">
        <v>18</v>
      </c>
      <c r="S53" s="5">
        <v>4411</v>
      </c>
      <c r="T53" s="5">
        <v>2064</v>
      </c>
      <c r="U53" s="5">
        <v>1694</v>
      </c>
      <c r="V53" s="5">
        <v>1067</v>
      </c>
      <c r="W53" s="5">
        <v>962</v>
      </c>
      <c r="X53" s="5">
        <v>592</v>
      </c>
      <c r="Y53" s="5">
        <v>894</v>
      </c>
      <c r="Z53" s="5">
        <v>249</v>
      </c>
      <c r="AA53" s="5">
        <v>263</v>
      </c>
      <c r="AB53" s="5">
        <v>473</v>
      </c>
      <c r="AC53" s="5">
        <v>390</v>
      </c>
      <c r="AD53" s="5">
        <v>358</v>
      </c>
      <c r="AE53" s="5">
        <v>1165</v>
      </c>
      <c r="AF53" s="5">
        <v>2</v>
      </c>
      <c r="AG53" s="5">
        <v>14584</v>
      </c>
      <c r="AH53" s="48"/>
    </row>
    <row r="54" spans="1:34">
      <c r="A54" s="22" t="s">
        <v>19</v>
      </c>
      <c r="B54" s="5">
        <v>98246</v>
      </c>
      <c r="C54" s="5">
        <v>67282</v>
      </c>
      <c r="D54" s="5">
        <v>48697</v>
      </c>
      <c r="E54" s="5">
        <v>23607</v>
      </c>
      <c r="F54" s="5">
        <v>24375</v>
      </c>
      <c r="G54" s="5">
        <v>11152</v>
      </c>
      <c r="H54" s="5">
        <v>12219</v>
      </c>
      <c r="I54" s="5">
        <v>1450</v>
      </c>
      <c r="J54" s="5">
        <v>9972</v>
      </c>
      <c r="K54" s="5">
        <v>8352</v>
      </c>
      <c r="L54" s="5">
        <v>8746</v>
      </c>
      <c r="M54" s="5">
        <v>7368</v>
      </c>
      <c r="N54" s="5">
        <v>34393</v>
      </c>
      <c r="O54" s="5">
        <v>2</v>
      </c>
      <c r="P54" s="5">
        <v>355861</v>
      </c>
      <c r="Q54" s="48"/>
      <c r="R54" s="22" t="s">
        <v>19</v>
      </c>
      <c r="S54" s="5">
        <v>19864</v>
      </c>
      <c r="T54" s="5">
        <v>10888</v>
      </c>
      <c r="U54" s="5">
        <v>9462</v>
      </c>
      <c r="V54" s="5">
        <v>4934</v>
      </c>
      <c r="W54" s="5">
        <v>5043</v>
      </c>
      <c r="X54" s="5">
        <v>2750</v>
      </c>
      <c r="Y54" s="5">
        <v>3352</v>
      </c>
      <c r="Z54" s="5">
        <v>1624</v>
      </c>
      <c r="AA54" s="5">
        <v>1565</v>
      </c>
      <c r="AB54" s="5">
        <v>1975</v>
      </c>
      <c r="AC54" s="5">
        <v>1889</v>
      </c>
      <c r="AD54" s="5">
        <v>1527</v>
      </c>
      <c r="AE54" s="5">
        <v>6477</v>
      </c>
      <c r="AF54" s="5">
        <v>8</v>
      </c>
      <c r="AG54" s="5">
        <v>71358</v>
      </c>
      <c r="AH54" s="48"/>
    </row>
    <row r="55" spans="1:34">
      <c r="A55" s="22" t="s">
        <v>20</v>
      </c>
      <c r="B55" s="5">
        <v>788960</v>
      </c>
      <c r="C55" s="5">
        <v>456154</v>
      </c>
      <c r="D55" s="5">
        <v>388212</v>
      </c>
      <c r="E55" s="5">
        <v>189512</v>
      </c>
      <c r="F55" s="5">
        <v>141473</v>
      </c>
      <c r="G55" s="5">
        <v>105204</v>
      </c>
      <c r="H55" s="5">
        <v>77939</v>
      </c>
      <c r="I55" s="5">
        <v>86445</v>
      </c>
      <c r="J55" s="5">
        <v>57860</v>
      </c>
      <c r="K55" s="5">
        <v>45553</v>
      </c>
      <c r="L55" s="5">
        <v>51260</v>
      </c>
      <c r="M55" s="5">
        <v>41628</v>
      </c>
      <c r="N55" s="5">
        <v>228540</v>
      </c>
      <c r="O55" s="5">
        <v>68</v>
      </c>
      <c r="P55" s="5">
        <v>2658808</v>
      </c>
      <c r="Q55" s="48"/>
      <c r="R55" s="22" t="s">
        <v>20</v>
      </c>
      <c r="S55" s="5">
        <v>256815</v>
      </c>
      <c r="T55" s="5">
        <v>115658</v>
      </c>
      <c r="U55" s="5">
        <v>135482</v>
      </c>
      <c r="V55" s="5">
        <v>63611</v>
      </c>
      <c r="W55" s="5">
        <v>55193</v>
      </c>
      <c r="X55" s="5">
        <v>39956</v>
      </c>
      <c r="Y55" s="5">
        <v>41238</v>
      </c>
      <c r="Z55" s="5">
        <v>19541</v>
      </c>
      <c r="AA55" s="5">
        <v>14660</v>
      </c>
      <c r="AB55" s="5">
        <v>23212</v>
      </c>
      <c r="AC55" s="5">
        <v>19884</v>
      </c>
      <c r="AD55" s="5">
        <v>17592</v>
      </c>
      <c r="AE55" s="5">
        <v>78789</v>
      </c>
      <c r="AF55" s="5">
        <v>90</v>
      </c>
      <c r="AG55" s="5">
        <v>881721</v>
      </c>
      <c r="AH55" s="48"/>
    </row>
    <row r="56" spans="1:34">
      <c r="A56" s="22" t="s">
        <v>21</v>
      </c>
      <c r="B56" s="5">
        <v>59750</v>
      </c>
      <c r="C56" s="5">
        <v>49362</v>
      </c>
      <c r="D56" s="5">
        <v>32565</v>
      </c>
      <c r="E56" s="5">
        <v>9683</v>
      </c>
      <c r="F56" s="5">
        <v>16211</v>
      </c>
      <c r="G56" s="5">
        <v>5915</v>
      </c>
      <c r="H56" s="5">
        <v>6385</v>
      </c>
      <c r="I56" s="5">
        <v>903</v>
      </c>
      <c r="J56" s="5">
        <v>6274</v>
      </c>
      <c r="K56" s="5">
        <v>4708</v>
      </c>
      <c r="L56" s="5">
        <v>4845</v>
      </c>
      <c r="M56" s="5">
        <v>9343</v>
      </c>
      <c r="N56" s="5">
        <v>18908</v>
      </c>
      <c r="O56" s="5">
        <v>0</v>
      </c>
      <c r="P56" s="5">
        <v>224852</v>
      </c>
      <c r="Q56" s="48"/>
      <c r="R56" s="22" t="s">
        <v>21</v>
      </c>
      <c r="S56" s="5">
        <v>12476</v>
      </c>
      <c r="T56" s="5">
        <v>6304</v>
      </c>
      <c r="U56" s="5">
        <v>8193</v>
      </c>
      <c r="V56" s="5">
        <v>2210</v>
      </c>
      <c r="W56" s="5">
        <v>2883</v>
      </c>
      <c r="X56" s="5">
        <v>1570</v>
      </c>
      <c r="Y56" s="5">
        <v>1689</v>
      </c>
      <c r="Z56" s="5">
        <v>746</v>
      </c>
      <c r="AA56" s="5">
        <v>823</v>
      </c>
      <c r="AB56" s="5">
        <v>1252</v>
      </c>
      <c r="AC56" s="5">
        <v>924</v>
      </c>
      <c r="AD56" s="5">
        <v>1168</v>
      </c>
      <c r="AE56" s="5">
        <v>3663</v>
      </c>
      <c r="AF56" s="5">
        <v>9</v>
      </c>
      <c r="AG56" s="5">
        <v>43910</v>
      </c>
      <c r="AH56" s="48"/>
    </row>
    <row r="57" spans="1:34">
      <c r="A57" s="22" t="s">
        <v>22</v>
      </c>
      <c r="B57" s="5">
        <v>61449</v>
      </c>
      <c r="C57" s="5">
        <v>42138</v>
      </c>
      <c r="D57" s="5">
        <v>25255</v>
      </c>
      <c r="E57" s="5">
        <v>9217</v>
      </c>
      <c r="F57" s="5">
        <v>15388</v>
      </c>
      <c r="G57" s="5">
        <v>4070</v>
      </c>
      <c r="H57" s="5">
        <v>7332</v>
      </c>
      <c r="I57" s="5">
        <v>972</v>
      </c>
      <c r="J57" s="5">
        <v>5060</v>
      </c>
      <c r="K57" s="5">
        <v>5818</v>
      </c>
      <c r="L57" s="5">
        <v>4431</v>
      </c>
      <c r="M57" s="5">
        <v>5779</v>
      </c>
      <c r="N57" s="5">
        <v>18133</v>
      </c>
      <c r="O57" s="5">
        <v>1</v>
      </c>
      <c r="P57" s="5">
        <v>205043</v>
      </c>
      <c r="Q57" s="48"/>
      <c r="R57" s="22" t="s">
        <v>22</v>
      </c>
      <c r="S57" s="5">
        <v>9069</v>
      </c>
      <c r="T57" s="5">
        <v>4444</v>
      </c>
      <c r="U57" s="5">
        <v>3793</v>
      </c>
      <c r="V57" s="5">
        <v>1811</v>
      </c>
      <c r="W57" s="5">
        <v>2273</v>
      </c>
      <c r="X57" s="5">
        <v>1385</v>
      </c>
      <c r="Y57" s="5">
        <v>1653</v>
      </c>
      <c r="Z57" s="5">
        <v>493</v>
      </c>
      <c r="AA57" s="5">
        <v>564</v>
      </c>
      <c r="AB57" s="5">
        <v>981</v>
      </c>
      <c r="AC57" s="5">
        <v>688</v>
      </c>
      <c r="AD57" s="5">
        <v>742</v>
      </c>
      <c r="AE57" s="5">
        <v>2889</v>
      </c>
      <c r="AF57" s="5">
        <v>4</v>
      </c>
      <c r="AG57" s="5">
        <v>30789</v>
      </c>
      <c r="AH57" s="48"/>
    </row>
    <row r="58" spans="1:34">
      <c r="A58" s="22" t="s">
        <v>237</v>
      </c>
      <c r="B58" s="5">
        <v>20849</v>
      </c>
      <c r="C58" s="5">
        <v>14643</v>
      </c>
      <c r="D58" s="5">
        <v>13872</v>
      </c>
      <c r="E58" s="5">
        <v>3427</v>
      </c>
      <c r="F58" s="5">
        <v>5890</v>
      </c>
      <c r="G58" s="5">
        <v>1286</v>
      </c>
      <c r="H58" s="5">
        <v>3453</v>
      </c>
      <c r="I58" s="5">
        <v>422</v>
      </c>
      <c r="J58" s="5">
        <v>2354</v>
      </c>
      <c r="K58" s="5">
        <v>1661</v>
      </c>
      <c r="L58" s="5">
        <v>1583</v>
      </c>
      <c r="M58" s="5">
        <v>2233</v>
      </c>
      <c r="N58" s="5">
        <v>7786</v>
      </c>
      <c r="O58" s="5">
        <v>2</v>
      </c>
      <c r="P58" s="5">
        <v>79461</v>
      </c>
      <c r="Q58" s="48"/>
      <c r="R58" s="22" t="s">
        <v>237</v>
      </c>
      <c r="S58" s="5">
        <v>4478</v>
      </c>
      <c r="T58" s="5">
        <v>1714</v>
      </c>
      <c r="U58" s="5">
        <v>1875</v>
      </c>
      <c r="V58" s="5">
        <v>727</v>
      </c>
      <c r="W58" s="5">
        <v>771</v>
      </c>
      <c r="X58" s="5">
        <v>506</v>
      </c>
      <c r="Y58" s="5">
        <v>706</v>
      </c>
      <c r="Z58" s="5">
        <v>247</v>
      </c>
      <c r="AA58" s="5">
        <v>278</v>
      </c>
      <c r="AB58" s="5">
        <v>352</v>
      </c>
      <c r="AC58" s="5">
        <v>289</v>
      </c>
      <c r="AD58" s="5">
        <v>252</v>
      </c>
      <c r="AE58" s="5">
        <v>1254</v>
      </c>
      <c r="AF58" s="5">
        <v>3</v>
      </c>
      <c r="AG58" s="5">
        <v>13452</v>
      </c>
      <c r="AH58" s="48"/>
    </row>
    <row r="59" spans="1:34">
      <c r="A59" s="22" t="s">
        <v>23</v>
      </c>
      <c r="B59" s="5">
        <v>112976</v>
      </c>
      <c r="C59" s="5">
        <v>86620</v>
      </c>
      <c r="D59" s="5">
        <v>39097</v>
      </c>
      <c r="E59" s="5">
        <v>18671</v>
      </c>
      <c r="F59" s="5">
        <v>27270</v>
      </c>
      <c r="G59" s="5">
        <v>8875</v>
      </c>
      <c r="H59" s="5">
        <v>12097</v>
      </c>
      <c r="I59" s="5">
        <v>1245</v>
      </c>
      <c r="J59" s="5">
        <v>8759</v>
      </c>
      <c r="K59" s="5">
        <v>8334</v>
      </c>
      <c r="L59" s="5">
        <v>6729</v>
      </c>
      <c r="M59" s="5">
        <v>9177</v>
      </c>
      <c r="N59" s="5">
        <v>34255</v>
      </c>
      <c r="O59" s="5">
        <v>21</v>
      </c>
      <c r="P59" s="5">
        <v>374126</v>
      </c>
      <c r="Q59" s="48"/>
      <c r="R59" s="22" t="s">
        <v>23</v>
      </c>
      <c r="S59" s="5">
        <v>24185</v>
      </c>
      <c r="T59" s="5">
        <v>11851</v>
      </c>
      <c r="U59" s="5">
        <v>6796</v>
      </c>
      <c r="V59" s="5">
        <v>4072</v>
      </c>
      <c r="W59" s="5">
        <v>4536</v>
      </c>
      <c r="X59" s="5">
        <v>2660</v>
      </c>
      <c r="Y59" s="5">
        <v>2836</v>
      </c>
      <c r="Z59" s="5">
        <v>1400</v>
      </c>
      <c r="AA59" s="5">
        <v>1267</v>
      </c>
      <c r="AB59" s="5">
        <v>2067</v>
      </c>
      <c r="AC59" s="5">
        <v>1662</v>
      </c>
      <c r="AD59" s="5">
        <v>1661</v>
      </c>
      <c r="AE59" s="5">
        <v>6718</v>
      </c>
      <c r="AF59" s="5">
        <v>14</v>
      </c>
      <c r="AG59" s="5">
        <v>71725</v>
      </c>
      <c r="AH59" s="48"/>
    </row>
    <row r="60" spans="1:34">
      <c r="A60" s="22" t="s">
        <v>24</v>
      </c>
      <c r="B60" s="5">
        <v>35783</v>
      </c>
      <c r="C60" s="5">
        <v>24053</v>
      </c>
      <c r="D60" s="5">
        <v>16906</v>
      </c>
      <c r="E60" s="5">
        <v>6596</v>
      </c>
      <c r="F60" s="5">
        <v>9326</v>
      </c>
      <c r="G60" s="5">
        <v>3558</v>
      </c>
      <c r="H60" s="5">
        <v>4945</v>
      </c>
      <c r="I60" s="5">
        <v>731</v>
      </c>
      <c r="J60" s="5">
        <v>2938</v>
      </c>
      <c r="K60" s="5">
        <v>3176</v>
      </c>
      <c r="L60" s="5">
        <v>2337</v>
      </c>
      <c r="M60" s="5">
        <v>2769</v>
      </c>
      <c r="N60" s="5">
        <v>11866</v>
      </c>
      <c r="O60" s="5">
        <v>0</v>
      </c>
      <c r="P60" s="5">
        <v>124984</v>
      </c>
      <c r="Q60" s="48"/>
      <c r="R60" s="22" t="s">
        <v>24</v>
      </c>
      <c r="S60" s="5">
        <v>9408</v>
      </c>
      <c r="T60" s="5">
        <v>4153</v>
      </c>
      <c r="U60" s="5">
        <v>2614</v>
      </c>
      <c r="V60" s="5">
        <v>1825</v>
      </c>
      <c r="W60" s="5">
        <v>1749</v>
      </c>
      <c r="X60" s="5">
        <v>1228</v>
      </c>
      <c r="Y60" s="5">
        <v>1620</v>
      </c>
      <c r="Z60" s="5">
        <v>638</v>
      </c>
      <c r="AA60" s="5">
        <v>513</v>
      </c>
      <c r="AB60" s="5">
        <v>952</v>
      </c>
      <c r="AC60" s="5">
        <v>781</v>
      </c>
      <c r="AD60" s="5">
        <v>641</v>
      </c>
      <c r="AE60" s="5">
        <v>2579</v>
      </c>
      <c r="AF60" s="5">
        <v>13</v>
      </c>
      <c r="AG60" s="5">
        <v>28714</v>
      </c>
      <c r="AH60" s="48"/>
    </row>
    <row r="61" spans="1:34">
      <c r="A61" s="22" t="s">
        <v>25</v>
      </c>
      <c r="B61" s="5">
        <v>8494</v>
      </c>
      <c r="C61" s="5">
        <v>8911</v>
      </c>
      <c r="D61" s="5">
        <v>7731</v>
      </c>
      <c r="E61" s="5">
        <v>3387</v>
      </c>
      <c r="F61" s="5">
        <v>4074</v>
      </c>
      <c r="G61" s="5">
        <v>1614</v>
      </c>
      <c r="H61" s="5">
        <v>2489</v>
      </c>
      <c r="I61" s="5">
        <v>327</v>
      </c>
      <c r="J61" s="5">
        <v>1082</v>
      </c>
      <c r="K61" s="5">
        <v>1491</v>
      </c>
      <c r="L61" s="5">
        <v>1069</v>
      </c>
      <c r="M61" s="5">
        <v>616</v>
      </c>
      <c r="N61" s="5">
        <v>4486</v>
      </c>
      <c r="O61" s="5">
        <v>0</v>
      </c>
      <c r="P61" s="5">
        <v>45771</v>
      </c>
      <c r="Q61" s="48"/>
      <c r="R61" s="22" t="s">
        <v>25</v>
      </c>
      <c r="S61" s="5">
        <v>2558</v>
      </c>
      <c r="T61" s="5">
        <v>1521</v>
      </c>
      <c r="U61" s="5">
        <v>1350</v>
      </c>
      <c r="V61" s="5">
        <v>863</v>
      </c>
      <c r="W61" s="5">
        <v>745</v>
      </c>
      <c r="X61" s="5">
        <v>510</v>
      </c>
      <c r="Y61" s="5">
        <v>738</v>
      </c>
      <c r="Z61" s="5">
        <v>188</v>
      </c>
      <c r="AA61" s="5">
        <v>169</v>
      </c>
      <c r="AB61" s="5">
        <v>505</v>
      </c>
      <c r="AC61" s="5">
        <v>240</v>
      </c>
      <c r="AD61" s="5">
        <v>155</v>
      </c>
      <c r="AE61" s="5">
        <v>1094</v>
      </c>
      <c r="AF61" s="5">
        <v>1</v>
      </c>
      <c r="AG61" s="5">
        <v>10637</v>
      </c>
      <c r="AH61" s="48"/>
    </row>
    <row r="62" spans="1:34">
      <c r="A62" s="22" t="s">
        <v>26</v>
      </c>
      <c r="B62" s="5">
        <v>42173</v>
      </c>
      <c r="C62" s="5">
        <v>34751</v>
      </c>
      <c r="D62" s="5">
        <v>25915</v>
      </c>
      <c r="E62" s="5">
        <v>10604</v>
      </c>
      <c r="F62" s="5">
        <v>13256</v>
      </c>
      <c r="G62" s="5">
        <v>5732</v>
      </c>
      <c r="H62" s="5">
        <v>7691</v>
      </c>
      <c r="I62" s="5">
        <v>746</v>
      </c>
      <c r="J62" s="5">
        <v>4238</v>
      </c>
      <c r="K62" s="5">
        <v>3267</v>
      </c>
      <c r="L62" s="5">
        <v>3233</v>
      </c>
      <c r="M62" s="5">
        <v>1956</v>
      </c>
      <c r="N62" s="5">
        <v>14635</v>
      </c>
      <c r="O62" s="5">
        <v>2</v>
      </c>
      <c r="P62" s="5">
        <v>168199</v>
      </c>
      <c r="Q62" s="48"/>
      <c r="R62" s="22" t="s">
        <v>26</v>
      </c>
      <c r="S62" s="5">
        <v>10610</v>
      </c>
      <c r="T62" s="5">
        <v>5187</v>
      </c>
      <c r="U62" s="5">
        <v>4397</v>
      </c>
      <c r="V62" s="5">
        <v>2490</v>
      </c>
      <c r="W62" s="5">
        <v>2714</v>
      </c>
      <c r="X62" s="5">
        <v>1492</v>
      </c>
      <c r="Y62" s="5">
        <v>1815</v>
      </c>
      <c r="Z62" s="5">
        <v>628</v>
      </c>
      <c r="AA62" s="5">
        <v>721</v>
      </c>
      <c r="AB62" s="5">
        <v>1078</v>
      </c>
      <c r="AC62" s="5">
        <v>770</v>
      </c>
      <c r="AD62" s="5">
        <v>488</v>
      </c>
      <c r="AE62" s="5">
        <v>3256</v>
      </c>
      <c r="AF62" s="5">
        <v>18</v>
      </c>
      <c r="AG62" s="5">
        <v>35664</v>
      </c>
      <c r="AH62" s="48"/>
    </row>
    <row r="63" spans="1:34">
      <c r="A63" s="22" t="s">
        <v>27</v>
      </c>
      <c r="B63" s="5">
        <v>5561</v>
      </c>
      <c r="C63" s="5">
        <v>2838</v>
      </c>
      <c r="D63" s="5">
        <v>1633</v>
      </c>
      <c r="E63" s="5">
        <v>1279</v>
      </c>
      <c r="F63" s="5">
        <v>1618</v>
      </c>
      <c r="G63" s="5">
        <v>593</v>
      </c>
      <c r="H63" s="5">
        <v>837</v>
      </c>
      <c r="I63" s="5">
        <v>111</v>
      </c>
      <c r="J63" s="5">
        <v>370</v>
      </c>
      <c r="K63" s="5">
        <v>469</v>
      </c>
      <c r="L63" s="5">
        <v>547</v>
      </c>
      <c r="M63" s="5">
        <v>334</v>
      </c>
      <c r="N63" s="5">
        <v>1857</v>
      </c>
      <c r="O63" s="5">
        <v>0</v>
      </c>
      <c r="P63" s="5">
        <v>18047</v>
      </c>
      <c r="Q63" s="48"/>
      <c r="R63" s="22" t="s">
        <v>27</v>
      </c>
      <c r="S63" s="5">
        <v>1159</v>
      </c>
      <c r="T63" s="5">
        <v>409</v>
      </c>
      <c r="U63" s="5">
        <v>267</v>
      </c>
      <c r="V63" s="5">
        <v>226</v>
      </c>
      <c r="W63" s="5">
        <v>251</v>
      </c>
      <c r="X63" s="5">
        <v>116</v>
      </c>
      <c r="Y63" s="5">
        <v>164</v>
      </c>
      <c r="Z63" s="5">
        <v>86</v>
      </c>
      <c r="AA63" s="5">
        <v>78</v>
      </c>
      <c r="AB63" s="5">
        <v>102</v>
      </c>
      <c r="AC63" s="5">
        <v>102</v>
      </c>
      <c r="AD63" s="5">
        <v>54</v>
      </c>
      <c r="AE63" s="5">
        <v>239</v>
      </c>
      <c r="AF63" s="5">
        <v>2</v>
      </c>
      <c r="AG63" s="5">
        <v>3255</v>
      </c>
      <c r="AH63" s="48"/>
    </row>
    <row r="64" spans="1:34">
      <c r="A64" s="22" t="s">
        <v>28</v>
      </c>
      <c r="B64" s="5">
        <v>10918</v>
      </c>
      <c r="C64" s="5">
        <v>7560</v>
      </c>
      <c r="D64" s="5">
        <v>12399</v>
      </c>
      <c r="E64" s="5">
        <v>2553</v>
      </c>
      <c r="F64" s="5">
        <v>2747</v>
      </c>
      <c r="G64" s="5">
        <v>1049</v>
      </c>
      <c r="H64" s="5">
        <v>1826</v>
      </c>
      <c r="I64" s="5">
        <v>148</v>
      </c>
      <c r="J64" s="5">
        <v>956</v>
      </c>
      <c r="K64" s="5">
        <v>1100</v>
      </c>
      <c r="L64" s="5">
        <v>791</v>
      </c>
      <c r="M64" s="5">
        <v>672</v>
      </c>
      <c r="N64" s="5">
        <v>3332</v>
      </c>
      <c r="O64" s="5">
        <v>0</v>
      </c>
      <c r="P64" s="5">
        <v>46051</v>
      </c>
      <c r="Q64" s="48"/>
      <c r="R64" s="22" t="s">
        <v>28</v>
      </c>
      <c r="S64" s="5">
        <v>3418</v>
      </c>
      <c r="T64" s="5">
        <v>1905</v>
      </c>
      <c r="U64" s="5">
        <v>3261</v>
      </c>
      <c r="V64" s="5">
        <v>758</v>
      </c>
      <c r="W64" s="5">
        <v>852</v>
      </c>
      <c r="X64" s="5">
        <v>322</v>
      </c>
      <c r="Y64" s="5">
        <v>504</v>
      </c>
      <c r="Z64" s="5">
        <v>173</v>
      </c>
      <c r="AA64" s="5">
        <v>252</v>
      </c>
      <c r="AB64" s="5">
        <v>382</v>
      </c>
      <c r="AC64" s="5">
        <v>256</v>
      </c>
      <c r="AD64" s="5">
        <v>218</v>
      </c>
      <c r="AE64" s="5">
        <v>1063</v>
      </c>
      <c r="AF64" s="5">
        <v>2</v>
      </c>
      <c r="AG64" s="5">
        <v>13366</v>
      </c>
      <c r="AH64" s="48"/>
    </row>
    <row r="65" spans="1:34">
      <c r="A65" s="22" t="s">
        <v>216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48"/>
      <c r="R65" s="22" t="s">
        <v>216</v>
      </c>
      <c r="S65" s="5">
        <v>1902</v>
      </c>
      <c r="T65" s="5">
        <v>961</v>
      </c>
      <c r="U65" s="5">
        <v>1829</v>
      </c>
      <c r="V65" s="5">
        <v>583</v>
      </c>
      <c r="W65" s="5">
        <v>519</v>
      </c>
      <c r="X65" s="5">
        <v>397</v>
      </c>
      <c r="Y65" s="5">
        <v>333</v>
      </c>
      <c r="Z65" s="5">
        <v>11093</v>
      </c>
      <c r="AA65" s="5">
        <v>122</v>
      </c>
      <c r="AB65" s="5">
        <v>153</v>
      </c>
      <c r="AC65" s="5">
        <v>148</v>
      </c>
      <c r="AD65" s="5">
        <v>84</v>
      </c>
      <c r="AE65" s="5">
        <v>612</v>
      </c>
      <c r="AF65" s="5">
        <v>0</v>
      </c>
      <c r="AG65" s="5">
        <v>18736</v>
      </c>
      <c r="AH65" s="48"/>
    </row>
    <row r="66" spans="1:34">
      <c r="A66" s="20" t="s">
        <v>46</v>
      </c>
      <c r="B66" s="36">
        <v>1344444</v>
      </c>
      <c r="C66" s="36">
        <v>865045</v>
      </c>
      <c r="D66" s="36">
        <v>679109</v>
      </c>
      <c r="E66" s="36">
        <v>303067</v>
      </c>
      <c r="F66" s="36">
        <v>288996</v>
      </c>
      <c r="G66" s="36">
        <v>162649</v>
      </c>
      <c r="H66" s="36">
        <v>152224</v>
      </c>
      <c r="I66" s="36">
        <v>95323</v>
      </c>
      <c r="J66" s="36">
        <v>109955</v>
      </c>
      <c r="K66" s="36">
        <v>93871</v>
      </c>
      <c r="L66" s="36">
        <v>95702</v>
      </c>
      <c r="M66" s="36">
        <v>90651</v>
      </c>
      <c r="N66" s="36">
        <v>414555</v>
      </c>
      <c r="O66" s="36">
        <v>103</v>
      </c>
      <c r="P66" s="36">
        <v>4695694</v>
      </c>
      <c r="Q66" s="48"/>
      <c r="R66" s="20" t="s">
        <v>46</v>
      </c>
      <c r="S66" s="36">
        <v>385819</v>
      </c>
      <c r="T66" s="36">
        <v>184129</v>
      </c>
      <c r="U66" s="36">
        <v>195488</v>
      </c>
      <c r="V66" s="36">
        <v>92814</v>
      </c>
      <c r="W66" s="36">
        <v>85893</v>
      </c>
      <c r="X66" s="36">
        <v>57170</v>
      </c>
      <c r="Y66" s="36">
        <v>62623</v>
      </c>
      <c r="Z66" s="36">
        <v>38184</v>
      </c>
      <c r="AA66" s="36">
        <v>23376</v>
      </c>
      <c r="AB66" s="36">
        <v>36253</v>
      </c>
      <c r="AC66" s="36">
        <v>30678</v>
      </c>
      <c r="AD66" s="36">
        <v>26602</v>
      </c>
      <c r="AE66" s="36">
        <v>119465</v>
      </c>
      <c r="AF66" s="36">
        <v>172</v>
      </c>
      <c r="AG66" s="36">
        <v>1338666</v>
      </c>
      <c r="AH66" s="48"/>
    </row>
    <row r="67" spans="1:34">
      <c r="A67" s="3" t="s">
        <v>402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R67" s="3" t="s">
        <v>402</v>
      </c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</row>
    <row r="68" spans="1:34">
      <c r="S68" s="6"/>
      <c r="T68" s="6"/>
      <c r="V68" s="6"/>
      <c r="W68" s="6"/>
    </row>
    <row r="69" spans="1:34">
      <c r="A69" s="7" t="s">
        <v>102</v>
      </c>
      <c r="S69" s="6"/>
      <c r="T69" s="6"/>
      <c r="V69" s="6"/>
      <c r="W69" s="6"/>
    </row>
    <row r="70" spans="1:34">
      <c r="A70" s="7" t="s">
        <v>301</v>
      </c>
      <c r="R70" s="7"/>
      <c r="S70" s="6"/>
      <c r="T70" s="6"/>
      <c r="V70" s="6"/>
      <c r="W70" s="6"/>
    </row>
    <row r="71" spans="1:34">
      <c r="A71" s="8" t="s">
        <v>144</v>
      </c>
      <c r="B71" s="8" t="s">
        <v>0</v>
      </c>
      <c r="C71" s="8" t="s">
        <v>1</v>
      </c>
      <c r="D71" s="8" t="s">
        <v>45</v>
      </c>
      <c r="R71" s="25"/>
      <c r="S71" s="25"/>
      <c r="T71" s="25"/>
      <c r="V71" s="25"/>
      <c r="W71" s="6"/>
    </row>
    <row r="72" spans="1:34">
      <c r="A72" s="33" t="s">
        <v>9</v>
      </c>
      <c r="B72" s="4">
        <v>26495464</v>
      </c>
      <c r="C72" s="4">
        <v>7306126</v>
      </c>
      <c r="D72" s="4">
        <v>33801590</v>
      </c>
      <c r="E72" s="32"/>
      <c r="F72" s="37"/>
      <c r="R72" s="24"/>
      <c r="S72" s="12"/>
      <c r="T72" s="12"/>
      <c r="V72" s="12"/>
      <c r="W72" s="6"/>
    </row>
    <row r="73" spans="1:34">
      <c r="A73" s="33" t="s">
        <v>10</v>
      </c>
      <c r="B73" s="5">
        <v>13813895</v>
      </c>
      <c r="C73" s="5">
        <v>2772232</v>
      </c>
      <c r="D73" s="5">
        <v>16586127</v>
      </c>
      <c r="E73" s="32"/>
      <c r="F73" s="37"/>
      <c r="R73" s="24"/>
      <c r="S73" s="12"/>
      <c r="T73" s="12"/>
      <c r="V73" s="12"/>
      <c r="W73" s="6"/>
    </row>
    <row r="74" spans="1:34" ht="14.25">
      <c r="A74" s="33" t="s">
        <v>453</v>
      </c>
      <c r="B74" s="5">
        <v>5627710</v>
      </c>
      <c r="C74" s="5">
        <v>1723000</v>
      </c>
      <c r="D74" s="5">
        <v>7350710</v>
      </c>
      <c r="E74" s="32"/>
      <c r="F74" s="37"/>
      <c r="S74" s="6"/>
      <c r="T74" s="6"/>
      <c r="V74" s="6"/>
      <c r="W74" s="6"/>
    </row>
    <row r="75" spans="1:34">
      <c r="A75" s="33" t="s">
        <v>11</v>
      </c>
      <c r="B75" s="5">
        <v>2154853</v>
      </c>
      <c r="C75" s="5">
        <v>601173</v>
      </c>
      <c r="D75" s="5">
        <v>2756026</v>
      </c>
      <c r="E75" s="32"/>
      <c r="F75" s="37"/>
      <c r="R75" s="24"/>
      <c r="S75" s="12"/>
      <c r="T75" s="12"/>
      <c r="V75" s="12"/>
      <c r="W75" s="6"/>
    </row>
    <row r="76" spans="1:34">
      <c r="A76" s="33" t="s">
        <v>12</v>
      </c>
      <c r="B76" s="5">
        <v>5478520</v>
      </c>
      <c r="C76" s="5">
        <v>1546166</v>
      </c>
      <c r="D76" s="5">
        <v>7024686</v>
      </c>
      <c r="E76" s="32"/>
      <c r="F76" s="37"/>
      <c r="R76" s="24"/>
      <c r="S76" s="12"/>
      <c r="T76" s="12"/>
      <c r="V76" s="12"/>
      <c r="W76" s="6"/>
    </row>
    <row r="77" spans="1:34">
      <c r="A77" s="33" t="s">
        <v>13</v>
      </c>
      <c r="B77" s="5">
        <v>875675</v>
      </c>
      <c r="C77" s="5">
        <v>251782</v>
      </c>
      <c r="D77" s="5">
        <v>1127457</v>
      </c>
      <c r="E77" s="32"/>
      <c r="F77" s="37"/>
      <c r="R77" s="24"/>
      <c r="S77" s="12"/>
      <c r="T77" s="12"/>
      <c r="V77" s="12"/>
      <c r="W77" s="6"/>
    </row>
    <row r="78" spans="1:34">
      <c r="A78" s="33" t="s">
        <v>159</v>
      </c>
      <c r="B78" s="5">
        <v>1636406</v>
      </c>
      <c r="C78" s="5">
        <v>512225</v>
      </c>
      <c r="D78" s="5">
        <v>2148631</v>
      </c>
      <c r="E78" s="32"/>
      <c r="F78" s="37"/>
      <c r="R78" s="24"/>
      <c r="S78" s="12"/>
      <c r="T78" s="12"/>
      <c r="V78" s="12"/>
      <c r="W78" s="6"/>
    </row>
    <row r="79" spans="1:34">
      <c r="A79" s="33" t="s">
        <v>349</v>
      </c>
      <c r="B79" s="5">
        <v>2859682</v>
      </c>
      <c r="C79" s="5">
        <v>1145520</v>
      </c>
      <c r="D79" s="5">
        <v>4005202</v>
      </c>
      <c r="E79" s="32"/>
      <c r="F79" s="37"/>
      <c r="R79" s="24"/>
      <c r="S79" s="12"/>
      <c r="T79" s="12"/>
      <c r="V79" s="12"/>
      <c r="W79" s="6"/>
    </row>
    <row r="80" spans="1:34">
      <c r="A80" s="33" t="s">
        <v>197</v>
      </c>
      <c r="B80" s="5">
        <v>2575892</v>
      </c>
      <c r="C80" s="5">
        <v>472795</v>
      </c>
      <c r="D80" s="5">
        <v>3048687</v>
      </c>
      <c r="E80" s="32"/>
      <c r="F80" s="37"/>
      <c r="R80" s="27"/>
      <c r="S80" s="12"/>
      <c r="T80" s="12"/>
      <c r="V80" s="12"/>
      <c r="W80" s="6"/>
    </row>
    <row r="81" spans="1:34">
      <c r="A81" s="33" t="s">
        <v>162</v>
      </c>
      <c r="B81" s="5">
        <v>3098138</v>
      </c>
      <c r="C81" s="5">
        <v>1030254</v>
      </c>
      <c r="D81" s="5">
        <v>4128392</v>
      </c>
      <c r="E81" s="32"/>
      <c r="F81" s="37"/>
      <c r="S81" s="6"/>
      <c r="T81" s="6"/>
      <c r="V81" s="6"/>
      <c r="W81" s="6"/>
    </row>
    <row r="82" spans="1:34">
      <c r="A82" s="33" t="s">
        <v>161</v>
      </c>
      <c r="B82" s="5">
        <v>1340005</v>
      </c>
      <c r="C82" s="5">
        <v>322430</v>
      </c>
      <c r="D82" s="5">
        <v>1662435</v>
      </c>
    </row>
    <row r="83" spans="1:34">
      <c r="A83" s="33" t="s">
        <v>160</v>
      </c>
      <c r="B83" s="5">
        <v>1587365</v>
      </c>
      <c r="C83" s="5">
        <v>426476</v>
      </c>
      <c r="D83" s="5">
        <v>2013841</v>
      </c>
      <c r="E83" s="32"/>
      <c r="F83" s="37"/>
      <c r="S83" s="6"/>
      <c r="T83" s="6"/>
      <c r="V83" s="6"/>
      <c r="W83" s="6"/>
    </row>
    <row r="84" spans="1:34">
      <c r="A84" s="33" t="s">
        <v>31</v>
      </c>
      <c r="B84" s="5">
        <v>6192587</v>
      </c>
      <c r="C84" s="5">
        <v>1476809</v>
      </c>
      <c r="D84" s="5">
        <v>7669396</v>
      </c>
      <c r="E84" s="32"/>
      <c r="F84" s="37"/>
      <c r="S84" s="6"/>
      <c r="T84" s="6"/>
      <c r="V84" s="6"/>
      <c r="W84" s="6"/>
    </row>
    <row r="85" spans="1:34">
      <c r="A85" s="33" t="s">
        <v>216</v>
      </c>
      <c r="B85" s="5">
        <v>1462</v>
      </c>
      <c r="C85" s="5">
        <v>580</v>
      </c>
      <c r="D85" s="5">
        <v>2042</v>
      </c>
      <c r="E85" s="32"/>
      <c r="F85" s="37"/>
      <c r="S85" s="6"/>
      <c r="T85" s="6"/>
      <c r="V85" s="6"/>
      <c r="W85" s="6"/>
    </row>
    <row r="86" spans="1:34">
      <c r="A86" s="20" t="s">
        <v>46</v>
      </c>
      <c r="B86" s="36">
        <v>73737654</v>
      </c>
      <c r="C86" s="36">
        <v>19587568</v>
      </c>
      <c r="D86" s="36">
        <v>93325222</v>
      </c>
      <c r="E86" s="32"/>
      <c r="S86" s="6"/>
      <c r="T86" s="6"/>
      <c r="V86" s="6"/>
      <c r="W86" s="6"/>
    </row>
    <row r="87" spans="1:34">
      <c r="A87" s="3" t="s">
        <v>402</v>
      </c>
      <c r="B87" s="46"/>
      <c r="C87" s="46"/>
      <c r="D87" s="46"/>
      <c r="S87" s="6"/>
      <c r="T87" s="6"/>
      <c r="V87" s="6"/>
      <c r="W87" s="6"/>
    </row>
    <row r="88" spans="1:34">
      <c r="S88" s="6"/>
      <c r="T88" s="6"/>
      <c r="V88" s="6"/>
      <c r="W88" s="6"/>
    </row>
    <row r="89" spans="1:34">
      <c r="A89" s="7" t="s">
        <v>103</v>
      </c>
      <c r="R89" s="7" t="s">
        <v>106</v>
      </c>
      <c r="S89" s="6"/>
      <c r="T89" s="6"/>
      <c r="V89" s="6"/>
      <c r="W89" s="6"/>
    </row>
    <row r="90" spans="1:34">
      <c r="A90" s="7" t="s">
        <v>302</v>
      </c>
      <c r="R90" s="7" t="s">
        <v>303</v>
      </c>
      <c r="S90" s="6"/>
      <c r="T90" s="6"/>
      <c r="V90" s="6"/>
      <c r="W90" s="6"/>
    </row>
    <row r="91" spans="1:34" ht="51">
      <c r="A91" s="26" t="s">
        <v>50</v>
      </c>
      <c r="B91" s="26" t="s">
        <v>9</v>
      </c>
      <c r="C91" s="26" t="s">
        <v>10</v>
      </c>
      <c r="D91" s="26" t="s">
        <v>454</v>
      </c>
      <c r="E91" s="26" t="s">
        <v>11</v>
      </c>
      <c r="F91" s="26" t="s">
        <v>12</v>
      </c>
      <c r="G91" s="26" t="s">
        <v>13</v>
      </c>
      <c r="H91" s="26" t="s">
        <v>159</v>
      </c>
      <c r="I91" s="26" t="s">
        <v>349</v>
      </c>
      <c r="J91" s="26" t="s">
        <v>197</v>
      </c>
      <c r="K91" s="26" t="s">
        <v>162</v>
      </c>
      <c r="L91" s="26" t="s">
        <v>161</v>
      </c>
      <c r="M91" s="26" t="s">
        <v>160</v>
      </c>
      <c r="N91" s="26" t="s">
        <v>31</v>
      </c>
      <c r="O91" s="26" t="s">
        <v>216</v>
      </c>
      <c r="P91" s="26" t="s">
        <v>48</v>
      </c>
      <c r="R91" s="26" t="s">
        <v>50</v>
      </c>
      <c r="S91" s="26" t="s">
        <v>9</v>
      </c>
      <c r="T91" s="26" t="s">
        <v>10</v>
      </c>
      <c r="U91" s="26" t="s">
        <v>454</v>
      </c>
      <c r="V91" s="26" t="s">
        <v>11</v>
      </c>
      <c r="W91" s="26" t="s">
        <v>12</v>
      </c>
      <c r="X91" s="26" t="s">
        <v>13</v>
      </c>
      <c r="Y91" s="26" t="s">
        <v>159</v>
      </c>
      <c r="Z91" s="26" t="s">
        <v>349</v>
      </c>
      <c r="AA91" s="26" t="s">
        <v>197</v>
      </c>
      <c r="AB91" s="26" t="s">
        <v>162</v>
      </c>
      <c r="AC91" s="26" t="s">
        <v>161</v>
      </c>
      <c r="AD91" s="26" t="s">
        <v>160</v>
      </c>
      <c r="AE91" s="26" t="s">
        <v>31</v>
      </c>
      <c r="AF91" s="26" t="s">
        <v>216</v>
      </c>
      <c r="AG91" s="26" t="s">
        <v>48</v>
      </c>
    </row>
    <row r="92" spans="1:34">
      <c r="A92" s="13" t="s">
        <v>5</v>
      </c>
      <c r="B92" s="4">
        <v>8351419</v>
      </c>
      <c r="C92" s="4">
        <v>6405151</v>
      </c>
      <c r="D92" s="14">
        <v>3277643</v>
      </c>
      <c r="E92" s="14">
        <v>1006970</v>
      </c>
      <c r="F92" s="14">
        <v>3387949</v>
      </c>
      <c r="G92" s="14">
        <v>441733</v>
      </c>
      <c r="H92" s="14">
        <v>898345</v>
      </c>
      <c r="I92" s="14">
        <v>720</v>
      </c>
      <c r="J92" s="14">
        <v>1856621</v>
      </c>
      <c r="K92" s="14">
        <v>1594065</v>
      </c>
      <c r="L92" s="14">
        <v>680599</v>
      </c>
      <c r="M92" s="14">
        <v>1653</v>
      </c>
      <c r="N92" s="14">
        <v>3017648</v>
      </c>
      <c r="O92" s="14">
        <v>701</v>
      </c>
      <c r="P92" s="14">
        <v>30921217</v>
      </c>
      <c r="Q92" s="48"/>
      <c r="R92" s="13" t="s">
        <v>5</v>
      </c>
      <c r="S92" s="4">
        <v>3310169</v>
      </c>
      <c r="T92" s="4">
        <v>1633123</v>
      </c>
      <c r="U92" s="14">
        <v>1184897</v>
      </c>
      <c r="V92" s="14">
        <v>358626</v>
      </c>
      <c r="W92" s="14">
        <v>1072737</v>
      </c>
      <c r="X92" s="14">
        <v>153704</v>
      </c>
      <c r="Y92" s="14">
        <v>311073</v>
      </c>
      <c r="Z92" s="14">
        <v>2730</v>
      </c>
      <c r="AA92" s="14">
        <v>344359</v>
      </c>
      <c r="AB92" s="14">
        <v>519661</v>
      </c>
      <c r="AC92" s="14">
        <v>150782</v>
      </c>
      <c r="AD92" s="14">
        <v>16296</v>
      </c>
      <c r="AE92" s="14">
        <v>813556</v>
      </c>
      <c r="AF92" s="14">
        <v>264</v>
      </c>
      <c r="AG92" s="14">
        <v>9871977</v>
      </c>
      <c r="AH92" s="49"/>
    </row>
    <row r="93" spans="1:34">
      <c r="A93" s="16" t="s">
        <v>6</v>
      </c>
      <c r="B93" s="5">
        <v>18144045</v>
      </c>
      <c r="C93" s="5">
        <v>7408744</v>
      </c>
      <c r="D93" s="10">
        <v>2350067</v>
      </c>
      <c r="E93" s="10">
        <v>1147883</v>
      </c>
      <c r="F93" s="10">
        <v>2090571</v>
      </c>
      <c r="G93" s="10">
        <v>433942</v>
      </c>
      <c r="H93" s="10">
        <v>738061</v>
      </c>
      <c r="I93" s="10">
        <v>2858962</v>
      </c>
      <c r="J93" s="10">
        <v>719271</v>
      </c>
      <c r="K93" s="10">
        <v>1504073</v>
      </c>
      <c r="L93" s="10">
        <v>659406</v>
      </c>
      <c r="M93" s="10">
        <v>1585712</v>
      </c>
      <c r="N93" s="10">
        <v>3174939</v>
      </c>
      <c r="O93" s="10">
        <v>761</v>
      </c>
      <c r="P93" s="10">
        <v>42816437</v>
      </c>
      <c r="Q93" s="48"/>
      <c r="R93" s="16" t="s">
        <v>6</v>
      </c>
      <c r="S93" s="5">
        <v>3995891</v>
      </c>
      <c r="T93" s="5">
        <v>1139105</v>
      </c>
      <c r="U93" s="10">
        <v>538069</v>
      </c>
      <c r="V93" s="10">
        <v>242542</v>
      </c>
      <c r="W93" s="10">
        <v>473429</v>
      </c>
      <c r="X93" s="10">
        <v>98078</v>
      </c>
      <c r="Y93" s="10">
        <v>201152</v>
      </c>
      <c r="Z93" s="10">
        <v>1142610</v>
      </c>
      <c r="AA93" s="10">
        <v>128436</v>
      </c>
      <c r="AB93" s="10">
        <v>510593</v>
      </c>
      <c r="AC93" s="10">
        <v>171634</v>
      </c>
      <c r="AD93" s="10">
        <v>410083</v>
      </c>
      <c r="AE93" s="10">
        <v>663235</v>
      </c>
      <c r="AF93" s="10">
        <v>316</v>
      </c>
      <c r="AG93" s="10">
        <v>9715173</v>
      </c>
      <c r="AH93" s="48"/>
    </row>
    <row r="94" spans="1:34">
      <c r="A94" s="16" t="s">
        <v>216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10">
        <v>0</v>
      </c>
      <c r="Q94" s="48"/>
      <c r="R94" s="16" t="s">
        <v>216</v>
      </c>
      <c r="S94" s="5">
        <v>66</v>
      </c>
      <c r="T94" s="5">
        <v>4</v>
      </c>
      <c r="U94" s="10">
        <v>34</v>
      </c>
      <c r="V94" s="10">
        <v>5</v>
      </c>
      <c r="W94" s="10">
        <v>0</v>
      </c>
      <c r="X94" s="10">
        <v>0</v>
      </c>
      <c r="Y94" s="10">
        <v>0</v>
      </c>
      <c r="Z94" s="10">
        <v>180</v>
      </c>
      <c r="AA94" s="10">
        <v>0</v>
      </c>
      <c r="AB94" s="10">
        <v>0</v>
      </c>
      <c r="AC94" s="10">
        <v>14</v>
      </c>
      <c r="AD94" s="10">
        <v>97</v>
      </c>
      <c r="AE94" s="10">
        <v>18</v>
      </c>
      <c r="AF94" s="10">
        <v>0</v>
      </c>
      <c r="AG94" s="10">
        <v>418</v>
      </c>
      <c r="AH94" s="48"/>
    </row>
    <row r="95" spans="1:34">
      <c r="A95" s="20" t="s">
        <v>46</v>
      </c>
      <c r="B95" s="36">
        <v>26495464</v>
      </c>
      <c r="C95" s="36">
        <v>13813895</v>
      </c>
      <c r="D95" s="36">
        <v>5627710</v>
      </c>
      <c r="E95" s="36">
        <v>2154853</v>
      </c>
      <c r="F95" s="36">
        <v>5478520</v>
      </c>
      <c r="G95" s="36">
        <v>875675</v>
      </c>
      <c r="H95" s="36">
        <v>1636406</v>
      </c>
      <c r="I95" s="36">
        <v>2859682</v>
      </c>
      <c r="J95" s="36">
        <v>2575892</v>
      </c>
      <c r="K95" s="36">
        <v>3098138</v>
      </c>
      <c r="L95" s="36">
        <v>1340005</v>
      </c>
      <c r="M95" s="36">
        <v>1587365</v>
      </c>
      <c r="N95" s="36">
        <v>6192587</v>
      </c>
      <c r="O95" s="36">
        <v>1462</v>
      </c>
      <c r="P95" s="36">
        <v>73737654</v>
      </c>
      <c r="Q95" s="48"/>
      <c r="R95" s="20" t="s">
        <v>46</v>
      </c>
      <c r="S95" s="36">
        <v>7306126</v>
      </c>
      <c r="T95" s="36">
        <v>2772232</v>
      </c>
      <c r="U95" s="36">
        <v>1723000</v>
      </c>
      <c r="V95" s="36">
        <v>601173</v>
      </c>
      <c r="W95" s="36">
        <v>1546166</v>
      </c>
      <c r="X95" s="36">
        <v>251782</v>
      </c>
      <c r="Y95" s="36">
        <v>512225</v>
      </c>
      <c r="Z95" s="36">
        <v>1145520</v>
      </c>
      <c r="AA95" s="36">
        <v>472795</v>
      </c>
      <c r="AB95" s="36">
        <v>1030254</v>
      </c>
      <c r="AC95" s="36">
        <v>322430</v>
      </c>
      <c r="AD95" s="36">
        <v>426476</v>
      </c>
      <c r="AE95" s="36">
        <v>1476809</v>
      </c>
      <c r="AF95" s="36">
        <v>580</v>
      </c>
      <c r="AG95" s="36">
        <v>19587568</v>
      </c>
      <c r="AH95" s="48"/>
    </row>
    <row r="96" spans="1:34">
      <c r="A96" s="3" t="s">
        <v>402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R96" s="3" t="s">
        <v>402</v>
      </c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</row>
    <row r="97" spans="1:34">
      <c r="D97" s="3"/>
      <c r="F97" s="6"/>
      <c r="S97" s="6"/>
      <c r="T97" s="6"/>
      <c r="V97" s="6"/>
      <c r="W97" s="6"/>
    </row>
    <row r="98" spans="1:34">
      <c r="A98" s="7" t="s">
        <v>104</v>
      </c>
      <c r="D98" s="3"/>
      <c r="F98" s="6"/>
      <c r="R98" s="7" t="s">
        <v>107</v>
      </c>
      <c r="S98" s="6"/>
      <c r="T98" s="6"/>
      <c r="V98" s="6"/>
      <c r="W98" s="6"/>
    </row>
    <row r="99" spans="1:34">
      <c r="A99" s="7" t="s">
        <v>304</v>
      </c>
      <c r="D99" s="3"/>
      <c r="F99" s="6"/>
      <c r="R99" s="7" t="s">
        <v>305</v>
      </c>
      <c r="S99" s="6"/>
      <c r="T99" s="6"/>
      <c r="V99" s="6"/>
      <c r="W99" s="6"/>
    </row>
    <row r="100" spans="1:34" ht="51">
      <c r="A100" s="15" t="s">
        <v>51</v>
      </c>
      <c r="B100" s="26" t="s">
        <v>9</v>
      </c>
      <c r="C100" s="26" t="s">
        <v>10</v>
      </c>
      <c r="D100" s="26" t="s">
        <v>454</v>
      </c>
      <c r="E100" s="26" t="s">
        <v>11</v>
      </c>
      <c r="F100" s="26" t="s">
        <v>12</v>
      </c>
      <c r="G100" s="26" t="s">
        <v>13</v>
      </c>
      <c r="H100" s="26" t="s">
        <v>159</v>
      </c>
      <c r="I100" s="26" t="s">
        <v>349</v>
      </c>
      <c r="J100" s="26" t="s">
        <v>197</v>
      </c>
      <c r="K100" s="26" t="s">
        <v>162</v>
      </c>
      <c r="L100" s="26" t="s">
        <v>161</v>
      </c>
      <c r="M100" s="26" t="s">
        <v>160</v>
      </c>
      <c r="N100" s="26" t="s">
        <v>31</v>
      </c>
      <c r="O100" s="26" t="s">
        <v>216</v>
      </c>
      <c r="P100" s="26" t="s">
        <v>48</v>
      </c>
      <c r="R100" s="15" t="s">
        <v>51</v>
      </c>
      <c r="S100" s="26" t="s">
        <v>9</v>
      </c>
      <c r="T100" s="26" t="s">
        <v>10</v>
      </c>
      <c r="U100" s="26" t="s">
        <v>454</v>
      </c>
      <c r="V100" s="26" t="s">
        <v>11</v>
      </c>
      <c r="W100" s="26" t="s">
        <v>12</v>
      </c>
      <c r="X100" s="26" t="s">
        <v>13</v>
      </c>
      <c r="Y100" s="26" t="s">
        <v>159</v>
      </c>
      <c r="Z100" s="26" t="s">
        <v>349</v>
      </c>
      <c r="AA100" s="26" t="s">
        <v>197</v>
      </c>
      <c r="AB100" s="26" t="s">
        <v>162</v>
      </c>
      <c r="AC100" s="26" t="s">
        <v>161</v>
      </c>
      <c r="AD100" s="26" t="s">
        <v>160</v>
      </c>
      <c r="AE100" s="26" t="s">
        <v>31</v>
      </c>
      <c r="AF100" s="26" t="s">
        <v>216</v>
      </c>
      <c r="AG100" s="26" t="s">
        <v>48</v>
      </c>
    </row>
    <row r="101" spans="1:34">
      <c r="A101" s="13" t="s">
        <v>40</v>
      </c>
      <c r="B101" s="4">
        <v>64110</v>
      </c>
      <c r="C101" s="4">
        <v>31527</v>
      </c>
      <c r="D101" s="4">
        <v>63666</v>
      </c>
      <c r="E101" s="4">
        <v>14829</v>
      </c>
      <c r="F101" s="4">
        <v>34367</v>
      </c>
      <c r="G101" s="4">
        <v>8890</v>
      </c>
      <c r="H101" s="4">
        <v>8453</v>
      </c>
      <c r="I101" s="4">
        <v>5400</v>
      </c>
      <c r="J101" s="4">
        <v>1212</v>
      </c>
      <c r="K101" s="4">
        <v>2536</v>
      </c>
      <c r="L101" s="4">
        <v>3701</v>
      </c>
      <c r="M101" s="4">
        <v>10260</v>
      </c>
      <c r="N101" s="4">
        <v>18503</v>
      </c>
      <c r="O101" s="4">
        <v>15</v>
      </c>
      <c r="P101" s="4">
        <v>267469</v>
      </c>
      <c r="Q101" s="49"/>
      <c r="R101" s="13" t="s">
        <v>40</v>
      </c>
      <c r="S101" s="4">
        <v>2868</v>
      </c>
      <c r="T101" s="4">
        <v>1154</v>
      </c>
      <c r="U101" s="4">
        <v>1842</v>
      </c>
      <c r="V101" s="4">
        <v>624</v>
      </c>
      <c r="W101" s="4">
        <v>1443</v>
      </c>
      <c r="X101" s="4">
        <v>225</v>
      </c>
      <c r="Y101" s="4">
        <v>187</v>
      </c>
      <c r="Z101" s="4">
        <v>120</v>
      </c>
      <c r="AA101" s="4">
        <v>50</v>
      </c>
      <c r="AB101" s="4">
        <v>30</v>
      </c>
      <c r="AC101" s="4">
        <v>69</v>
      </c>
      <c r="AD101" s="4">
        <v>112</v>
      </c>
      <c r="AE101" s="4">
        <v>417</v>
      </c>
      <c r="AF101" s="4">
        <v>0</v>
      </c>
      <c r="AG101" s="4">
        <v>9141</v>
      </c>
      <c r="AH101" s="49"/>
    </row>
    <row r="102" spans="1:34">
      <c r="A102" s="16" t="s">
        <v>2</v>
      </c>
      <c r="B102" s="5">
        <v>1579276</v>
      </c>
      <c r="C102" s="5">
        <v>452023</v>
      </c>
      <c r="D102" s="5">
        <v>550394</v>
      </c>
      <c r="E102" s="5">
        <v>147093</v>
      </c>
      <c r="F102" s="5">
        <v>378100</v>
      </c>
      <c r="G102" s="5">
        <v>79593</v>
      </c>
      <c r="H102" s="5">
        <v>84953</v>
      </c>
      <c r="I102" s="5">
        <v>317988</v>
      </c>
      <c r="J102" s="5">
        <v>17990</v>
      </c>
      <c r="K102" s="5">
        <v>28759</v>
      </c>
      <c r="L102" s="5">
        <v>47998</v>
      </c>
      <c r="M102" s="5">
        <v>226203</v>
      </c>
      <c r="N102" s="5">
        <v>244855</v>
      </c>
      <c r="O102" s="5">
        <v>86</v>
      </c>
      <c r="P102" s="5">
        <v>4155311</v>
      </c>
      <c r="Q102" s="48"/>
      <c r="R102" s="16" t="s">
        <v>2</v>
      </c>
      <c r="S102" s="5">
        <v>146313</v>
      </c>
      <c r="T102" s="5">
        <v>49282</v>
      </c>
      <c r="U102" s="5">
        <v>61987</v>
      </c>
      <c r="V102" s="5">
        <v>19460</v>
      </c>
      <c r="W102" s="5">
        <v>47064</v>
      </c>
      <c r="X102" s="5">
        <v>10260</v>
      </c>
      <c r="Y102" s="5">
        <v>10191</v>
      </c>
      <c r="Z102" s="5">
        <v>14280</v>
      </c>
      <c r="AA102" s="5">
        <v>1936</v>
      </c>
      <c r="AB102" s="5">
        <v>3199</v>
      </c>
      <c r="AC102" s="5">
        <v>4949</v>
      </c>
      <c r="AD102" s="5">
        <v>9358</v>
      </c>
      <c r="AE102" s="5">
        <v>25537</v>
      </c>
      <c r="AF102" s="5">
        <v>14</v>
      </c>
      <c r="AG102" s="5">
        <v>403830</v>
      </c>
      <c r="AH102" s="48"/>
    </row>
    <row r="103" spans="1:34">
      <c r="A103" s="16" t="s">
        <v>41</v>
      </c>
      <c r="B103" s="5">
        <v>8827212</v>
      </c>
      <c r="C103" s="5">
        <v>2152016</v>
      </c>
      <c r="D103" s="5">
        <v>1697556</v>
      </c>
      <c r="E103" s="5">
        <v>543012</v>
      </c>
      <c r="F103" s="5">
        <v>1196514</v>
      </c>
      <c r="G103" s="5">
        <v>279928</v>
      </c>
      <c r="H103" s="5">
        <v>346850</v>
      </c>
      <c r="I103" s="5">
        <v>1823182</v>
      </c>
      <c r="J103" s="5">
        <v>141040</v>
      </c>
      <c r="K103" s="5">
        <v>238358</v>
      </c>
      <c r="L103" s="5">
        <v>251275</v>
      </c>
      <c r="M103" s="5">
        <v>976940</v>
      </c>
      <c r="N103" s="5">
        <v>1154719</v>
      </c>
      <c r="O103" s="5">
        <v>272</v>
      </c>
      <c r="P103" s="5">
        <v>19628874</v>
      </c>
      <c r="Q103" s="48"/>
      <c r="R103" s="16" t="s">
        <v>41</v>
      </c>
      <c r="S103" s="5">
        <v>2317833</v>
      </c>
      <c r="T103" s="5">
        <v>580012</v>
      </c>
      <c r="U103" s="5">
        <v>615855</v>
      </c>
      <c r="V103" s="5">
        <v>197549</v>
      </c>
      <c r="W103" s="5">
        <v>439191</v>
      </c>
      <c r="X103" s="5">
        <v>100874</v>
      </c>
      <c r="Y103" s="5">
        <v>138909</v>
      </c>
      <c r="Z103" s="5">
        <v>630030</v>
      </c>
      <c r="AA103" s="5">
        <v>46478</v>
      </c>
      <c r="AB103" s="5">
        <v>100927</v>
      </c>
      <c r="AC103" s="5">
        <v>78407</v>
      </c>
      <c r="AD103" s="5">
        <v>252406</v>
      </c>
      <c r="AE103" s="5">
        <v>362424</v>
      </c>
      <c r="AF103" s="5">
        <v>195</v>
      </c>
      <c r="AG103" s="5">
        <v>5861090</v>
      </c>
      <c r="AH103" s="48"/>
    </row>
    <row r="104" spans="1:34">
      <c r="A104" s="16" t="s">
        <v>42</v>
      </c>
      <c r="B104" s="5">
        <v>6976148</v>
      </c>
      <c r="C104" s="5">
        <v>2698645</v>
      </c>
      <c r="D104" s="5">
        <v>1250357</v>
      </c>
      <c r="E104" s="5">
        <v>433979</v>
      </c>
      <c r="F104" s="5">
        <v>1088559</v>
      </c>
      <c r="G104" s="5">
        <v>193656</v>
      </c>
      <c r="H104" s="5">
        <v>351402</v>
      </c>
      <c r="I104" s="5">
        <v>702162</v>
      </c>
      <c r="J104" s="5">
        <v>272870</v>
      </c>
      <c r="K104" s="5">
        <v>475249</v>
      </c>
      <c r="L104" s="5">
        <v>277055</v>
      </c>
      <c r="M104" s="5">
        <v>366252</v>
      </c>
      <c r="N104" s="5">
        <v>1252919</v>
      </c>
      <c r="O104" s="5">
        <v>252</v>
      </c>
      <c r="P104" s="5">
        <v>16339505</v>
      </c>
      <c r="Q104" s="48"/>
      <c r="R104" s="16" t="s">
        <v>42</v>
      </c>
      <c r="S104" s="5">
        <v>2452371</v>
      </c>
      <c r="T104" s="5">
        <v>741864</v>
      </c>
      <c r="U104" s="5">
        <v>481086</v>
      </c>
      <c r="V104" s="5">
        <v>159178</v>
      </c>
      <c r="W104" s="5">
        <v>413297</v>
      </c>
      <c r="X104" s="5">
        <v>69363</v>
      </c>
      <c r="Y104" s="5">
        <v>155542</v>
      </c>
      <c r="Z104" s="5">
        <v>491340</v>
      </c>
      <c r="AA104" s="5">
        <v>93967</v>
      </c>
      <c r="AB104" s="5">
        <v>212880</v>
      </c>
      <c r="AC104" s="5">
        <v>99017</v>
      </c>
      <c r="AD104" s="5">
        <v>160963</v>
      </c>
      <c r="AE104" s="5">
        <v>409053</v>
      </c>
      <c r="AF104" s="5">
        <v>163</v>
      </c>
      <c r="AG104" s="5">
        <v>5940084</v>
      </c>
      <c r="AH104" s="48"/>
    </row>
    <row r="105" spans="1:34">
      <c r="A105" s="16" t="s">
        <v>43</v>
      </c>
      <c r="B105" s="5">
        <v>4592492</v>
      </c>
      <c r="C105" s="5">
        <v>3677769</v>
      </c>
      <c r="D105" s="5">
        <v>1133952</v>
      </c>
      <c r="E105" s="5">
        <v>418288</v>
      </c>
      <c r="F105" s="5">
        <v>1265694</v>
      </c>
      <c r="G105" s="5">
        <v>156737</v>
      </c>
      <c r="H105" s="5">
        <v>364121</v>
      </c>
      <c r="I105" s="5">
        <v>10950</v>
      </c>
      <c r="J105" s="5">
        <v>580474</v>
      </c>
      <c r="K105" s="5">
        <v>778262</v>
      </c>
      <c r="L105" s="5">
        <v>299773</v>
      </c>
      <c r="M105" s="5">
        <v>6657</v>
      </c>
      <c r="N105" s="5">
        <v>1486052</v>
      </c>
      <c r="O105" s="5">
        <v>422</v>
      </c>
      <c r="P105" s="5">
        <v>14771643</v>
      </c>
      <c r="Q105" s="48"/>
      <c r="R105" s="16" t="s">
        <v>43</v>
      </c>
      <c r="S105" s="5">
        <v>1334039</v>
      </c>
      <c r="T105" s="5">
        <v>706194</v>
      </c>
      <c r="U105" s="5">
        <v>328089</v>
      </c>
      <c r="V105" s="5">
        <v>105464</v>
      </c>
      <c r="W105" s="5">
        <v>347474</v>
      </c>
      <c r="X105" s="5">
        <v>39557</v>
      </c>
      <c r="Y105" s="5">
        <v>112838</v>
      </c>
      <c r="Z105" s="5">
        <v>9750</v>
      </c>
      <c r="AA105" s="5">
        <v>121015</v>
      </c>
      <c r="AB105" s="5">
        <v>266309</v>
      </c>
      <c r="AC105" s="5">
        <v>70981</v>
      </c>
      <c r="AD105" s="5">
        <v>3456</v>
      </c>
      <c r="AE105" s="5">
        <v>322798</v>
      </c>
      <c r="AF105" s="5">
        <v>111</v>
      </c>
      <c r="AG105" s="5">
        <v>3768075</v>
      </c>
      <c r="AH105" s="48"/>
    </row>
    <row r="106" spans="1:34">
      <c r="A106" s="16" t="s">
        <v>44</v>
      </c>
      <c r="B106" s="5">
        <v>3364283</v>
      </c>
      <c r="C106" s="5">
        <v>3625288</v>
      </c>
      <c r="D106" s="5">
        <v>755395</v>
      </c>
      <c r="E106" s="5">
        <v>410707</v>
      </c>
      <c r="F106" s="5">
        <v>1178703</v>
      </c>
      <c r="G106" s="5">
        <v>122050</v>
      </c>
      <c r="H106" s="5">
        <v>349278</v>
      </c>
      <c r="I106" s="5">
        <v>0</v>
      </c>
      <c r="J106" s="5">
        <v>950856</v>
      </c>
      <c r="K106" s="5">
        <v>1000728</v>
      </c>
      <c r="L106" s="5">
        <v>291179</v>
      </c>
      <c r="M106" s="5">
        <v>742</v>
      </c>
      <c r="N106" s="5">
        <v>1474780</v>
      </c>
      <c r="O106" s="5">
        <v>330</v>
      </c>
      <c r="P106" s="5">
        <v>13524319</v>
      </c>
      <c r="Q106" s="48"/>
      <c r="R106" s="16" t="s">
        <v>44</v>
      </c>
      <c r="S106" s="5">
        <v>861885</v>
      </c>
      <c r="T106" s="5">
        <v>580790</v>
      </c>
      <c r="U106" s="5">
        <v>199370</v>
      </c>
      <c r="V106" s="5">
        <v>89466</v>
      </c>
      <c r="W106" s="5">
        <v>243345</v>
      </c>
      <c r="X106" s="5">
        <v>26002</v>
      </c>
      <c r="Y106" s="5">
        <v>76246</v>
      </c>
      <c r="Z106" s="5">
        <v>0</v>
      </c>
      <c r="AA106" s="5">
        <v>151623</v>
      </c>
      <c r="AB106" s="5">
        <v>314163</v>
      </c>
      <c r="AC106" s="5">
        <v>50417</v>
      </c>
      <c r="AD106" s="5">
        <v>145</v>
      </c>
      <c r="AE106" s="5">
        <v>282548</v>
      </c>
      <c r="AF106" s="5">
        <v>95</v>
      </c>
      <c r="AG106" s="5">
        <v>2876095</v>
      </c>
      <c r="AH106" s="48"/>
    </row>
    <row r="107" spans="1:34">
      <c r="A107" s="16" t="s">
        <v>3</v>
      </c>
      <c r="B107" s="5">
        <v>1091943</v>
      </c>
      <c r="C107" s="5">
        <v>1176627</v>
      </c>
      <c r="D107" s="5">
        <v>176390</v>
      </c>
      <c r="E107" s="5">
        <v>186945</v>
      </c>
      <c r="F107" s="5">
        <v>336583</v>
      </c>
      <c r="G107" s="5">
        <v>34821</v>
      </c>
      <c r="H107" s="5">
        <v>131349</v>
      </c>
      <c r="I107" s="5">
        <v>0</v>
      </c>
      <c r="J107" s="5">
        <v>611450</v>
      </c>
      <c r="K107" s="5">
        <v>574246</v>
      </c>
      <c r="L107" s="5">
        <v>169024</v>
      </c>
      <c r="M107" s="5">
        <v>311</v>
      </c>
      <c r="N107" s="5">
        <v>560759</v>
      </c>
      <c r="O107" s="5">
        <v>85</v>
      </c>
      <c r="P107" s="5">
        <v>5050533</v>
      </c>
      <c r="Q107" s="48"/>
      <c r="R107" s="16" t="s">
        <v>3</v>
      </c>
      <c r="S107" s="5">
        <v>190817</v>
      </c>
      <c r="T107" s="5">
        <v>112915</v>
      </c>
      <c r="U107" s="5">
        <v>34771</v>
      </c>
      <c r="V107" s="5">
        <v>29432</v>
      </c>
      <c r="W107" s="5">
        <v>54352</v>
      </c>
      <c r="X107" s="5">
        <v>5500</v>
      </c>
      <c r="Y107" s="5">
        <v>18287</v>
      </c>
      <c r="Z107" s="5">
        <v>0</v>
      </c>
      <c r="AA107" s="5">
        <v>57726</v>
      </c>
      <c r="AB107" s="5">
        <v>132746</v>
      </c>
      <c r="AC107" s="5">
        <v>18590</v>
      </c>
      <c r="AD107" s="5">
        <v>22</v>
      </c>
      <c r="AE107" s="5">
        <v>74032</v>
      </c>
      <c r="AF107" s="5">
        <v>2</v>
      </c>
      <c r="AG107" s="5">
        <v>729192</v>
      </c>
      <c r="AH107" s="48"/>
    </row>
    <row r="108" spans="1:34">
      <c r="A108" s="16" t="s">
        <v>216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48"/>
      <c r="R108" s="16" t="s">
        <v>216</v>
      </c>
      <c r="S108" s="5">
        <v>0</v>
      </c>
      <c r="T108" s="5">
        <v>21</v>
      </c>
      <c r="U108" s="5">
        <v>0</v>
      </c>
      <c r="V108" s="5">
        <v>0</v>
      </c>
      <c r="W108" s="5">
        <v>0</v>
      </c>
      <c r="X108" s="5">
        <v>1</v>
      </c>
      <c r="Y108" s="5">
        <v>25</v>
      </c>
      <c r="Z108" s="5">
        <v>0</v>
      </c>
      <c r="AA108" s="5">
        <v>0</v>
      </c>
      <c r="AB108" s="5">
        <v>0</v>
      </c>
      <c r="AC108" s="5">
        <v>0</v>
      </c>
      <c r="AD108" s="5">
        <v>14</v>
      </c>
      <c r="AE108" s="5">
        <v>0</v>
      </c>
      <c r="AF108" s="5">
        <v>0</v>
      </c>
      <c r="AG108" s="5">
        <v>61</v>
      </c>
      <c r="AH108" s="48"/>
    </row>
    <row r="109" spans="1:34">
      <c r="A109" s="20" t="s">
        <v>46</v>
      </c>
      <c r="B109" s="36">
        <v>26495464</v>
      </c>
      <c r="C109" s="36">
        <v>13813895</v>
      </c>
      <c r="D109" s="36">
        <v>5627710</v>
      </c>
      <c r="E109" s="36">
        <v>2154853</v>
      </c>
      <c r="F109" s="36">
        <v>5478520</v>
      </c>
      <c r="G109" s="36">
        <v>875675</v>
      </c>
      <c r="H109" s="36">
        <v>1636406</v>
      </c>
      <c r="I109" s="36">
        <v>2859682</v>
      </c>
      <c r="J109" s="36">
        <v>2575892</v>
      </c>
      <c r="K109" s="36">
        <v>3098138</v>
      </c>
      <c r="L109" s="36">
        <v>1340005</v>
      </c>
      <c r="M109" s="36">
        <v>1587365</v>
      </c>
      <c r="N109" s="36">
        <v>6192587</v>
      </c>
      <c r="O109" s="36">
        <v>1462</v>
      </c>
      <c r="P109" s="36">
        <v>73737654</v>
      </c>
      <c r="Q109" s="48"/>
      <c r="R109" s="20" t="s">
        <v>46</v>
      </c>
      <c r="S109" s="36">
        <v>7306126</v>
      </c>
      <c r="T109" s="36">
        <v>2772232</v>
      </c>
      <c r="U109" s="36">
        <v>1723000</v>
      </c>
      <c r="V109" s="36">
        <v>601173</v>
      </c>
      <c r="W109" s="36">
        <v>1546166</v>
      </c>
      <c r="X109" s="36">
        <v>251782</v>
      </c>
      <c r="Y109" s="36">
        <v>512225</v>
      </c>
      <c r="Z109" s="36">
        <v>1145520</v>
      </c>
      <c r="AA109" s="36">
        <v>472795</v>
      </c>
      <c r="AB109" s="36">
        <v>1030254</v>
      </c>
      <c r="AC109" s="36">
        <v>322430</v>
      </c>
      <c r="AD109" s="36">
        <v>426476</v>
      </c>
      <c r="AE109" s="36">
        <v>1476809</v>
      </c>
      <c r="AF109" s="36">
        <v>580</v>
      </c>
      <c r="AG109" s="36">
        <v>19587568</v>
      </c>
      <c r="AH109" s="48"/>
    </row>
    <row r="110" spans="1:34">
      <c r="A110" s="3" t="s">
        <v>402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R110" s="3" t="s">
        <v>402</v>
      </c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</row>
    <row r="111" spans="1:34">
      <c r="D111" s="3"/>
      <c r="F111" s="6"/>
      <c r="S111" s="6"/>
      <c r="T111" s="6"/>
      <c r="V111" s="6"/>
      <c r="W111" s="6"/>
    </row>
    <row r="112" spans="1:34">
      <c r="A112" s="7" t="s">
        <v>105</v>
      </c>
      <c r="D112" s="3"/>
      <c r="F112" s="6"/>
      <c r="R112" s="7" t="s">
        <v>108</v>
      </c>
      <c r="S112" s="6"/>
      <c r="T112" s="6"/>
      <c r="V112" s="6"/>
      <c r="W112" s="6"/>
    </row>
    <row r="113" spans="1:34">
      <c r="A113" s="7" t="s">
        <v>306</v>
      </c>
      <c r="D113" s="3"/>
      <c r="F113" s="6"/>
      <c r="R113" s="7" t="s">
        <v>307</v>
      </c>
      <c r="S113" s="6"/>
      <c r="T113" s="6"/>
      <c r="V113" s="6"/>
      <c r="W113" s="6"/>
    </row>
    <row r="114" spans="1:34" ht="51">
      <c r="A114" s="15" t="s">
        <v>145</v>
      </c>
      <c r="B114" s="26" t="s">
        <v>9</v>
      </c>
      <c r="C114" s="26" t="s">
        <v>10</v>
      </c>
      <c r="D114" s="26" t="s">
        <v>454</v>
      </c>
      <c r="E114" s="26" t="s">
        <v>11</v>
      </c>
      <c r="F114" s="26" t="s">
        <v>12</v>
      </c>
      <c r="G114" s="26" t="s">
        <v>13</v>
      </c>
      <c r="H114" s="26" t="s">
        <v>159</v>
      </c>
      <c r="I114" s="26" t="s">
        <v>349</v>
      </c>
      <c r="J114" s="26" t="s">
        <v>197</v>
      </c>
      <c r="K114" s="26" t="s">
        <v>162</v>
      </c>
      <c r="L114" s="26" t="s">
        <v>161</v>
      </c>
      <c r="M114" s="26" t="s">
        <v>160</v>
      </c>
      <c r="N114" s="26" t="s">
        <v>31</v>
      </c>
      <c r="O114" s="26" t="s">
        <v>216</v>
      </c>
      <c r="P114" s="26" t="s">
        <v>48</v>
      </c>
      <c r="R114" s="15" t="s">
        <v>145</v>
      </c>
      <c r="S114" s="26" t="s">
        <v>9</v>
      </c>
      <c r="T114" s="26" t="s">
        <v>10</v>
      </c>
      <c r="U114" s="26" t="s">
        <v>454</v>
      </c>
      <c r="V114" s="26" t="s">
        <v>11</v>
      </c>
      <c r="W114" s="26" t="s">
        <v>12</v>
      </c>
      <c r="X114" s="26" t="s">
        <v>13</v>
      </c>
      <c r="Y114" s="26" t="s">
        <v>159</v>
      </c>
      <c r="Z114" s="26" t="s">
        <v>349</v>
      </c>
      <c r="AA114" s="26" t="s">
        <v>197</v>
      </c>
      <c r="AB114" s="26" t="s">
        <v>162</v>
      </c>
      <c r="AC114" s="26" t="s">
        <v>161</v>
      </c>
      <c r="AD114" s="26" t="s">
        <v>160</v>
      </c>
      <c r="AE114" s="26" t="s">
        <v>31</v>
      </c>
      <c r="AF114" s="26" t="s">
        <v>216</v>
      </c>
      <c r="AG114" s="26" t="s">
        <v>48</v>
      </c>
    </row>
    <row r="115" spans="1:34">
      <c r="A115" s="21" t="s">
        <v>14</v>
      </c>
      <c r="B115" s="4">
        <v>30546</v>
      </c>
      <c r="C115" s="4">
        <v>38279</v>
      </c>
      <c r="D115" s="4">
        <v>64924</v>
      </c>
      <c r="E115" s="4">
        <v>8501</v>
      </c>
      <c r="F115" s="4">
        <v>31136</v>
      </c>
      <c r="G115" s="4">
        <v>5383</v>
      </c>
      <c r="H115" s="4">
        <v>13052</v>
      </c>
      <c r="I115" s="4">
        <v>6150</v>
      </c>
      <c r="J115" s="4">
        <v>13597</v>
      </c>
      <c r="K115" s="4">
        <v>26397</v>
      </c>
      <c r="L115" s="4">
        <v>8929</v>
      </c>
      <c r="M115" s="4">
        <v>18072</v>
      </c>
      <c r="N115" s="4">
        <v>25517</v>
      </c>
      <c r="O115" s="4">
        <v>0</v>
      </c>
      <c r="P115" s="4">
        <v>290483</v>
      </c>
      <c r="Q115" s="49"/>
      <c r="R115" s="21" t="s">
        <v>14</v>
      </c>
      <c r="S115" s="4">
        <v>13592</v>
      </c>
      <c r="T115" s="4">
        <v>10050</v>
      </c>
      <c r="U115" s="4">
        <v>9982</v>
      </c>
      <c r="V115" s="4">
        <v>2863</v>
      </c>
      <c r="W115" s="4">
        <v>9992</v>
      </c>
      <c r="X115" s="4">
        <v>2164</v>
      </c>
      <c r="Y115" s="4">
        <v>3181</v>
      </c>
      <c r="Z115" s="4">
        <v>2250</v>
      </c>
      <c r="AA115" s="4">
        <v>2230</v>
      </c>
      <c r="AB115" s="4">
        <v>6737</v>
      </c>
      <c r="AC115" s="4">
        <v>2380</v>
      </c>
      <c r="AD115" s="4">
        <v>3531</v>
      </c>
      <c r="AE115" s="4">
        <v>7358</v>
      </c>
      <c r="AF115" s="4">
        <v>0</v>
      </c>
      <c r="AG115" s="4">
        <v>76310</v>
      </c>
      <c r="AH115" s="49"/>
    </row>
    <row r="116" spans="1:34">
      <c r="A116" s="22" t="s">
        <v>15</v>
      </c>
      <c r="B116" s="5">
        <v>403043</v>
      </c>
      <c r="C116" s="5">
        <v>175082</v>
      </c>
      <c r="D116" s="5">
        <v>113117</v>
      </c>
      <c r="E116" s="5">
        <v>24078</v>
      </c>
      <c r="F116" s="5">
        <v>80473</v>
      </c>
      <c r="G116" s="5">
        <v>15514</v>
      </c>
      <c r="H116" s="5">
        <v>24735</v>
      </c>
      <c r="I116" s="5">
        <v>9870</v>
      </c>
      <c r="J116" s="5">
        <v>31944</v>
      </c>
      <c r="K116" s="5">
        <v>46313</v>
      </c>
      <c r="L116" s="5">
        <v>22678</v>
      </c>
      <c r="M116" s="5">
        <v>21307</v>
      </c>
      <c r="N116" s="5">
        <v>87551</v>
      </c>
      <c r="O116" s="5">
        <v>0</v>
      </c>
      <c r="P116" s="5">
        <v>1055705</v>
      </c>
      <c r="Q116" s="48"/>
      <c r="R116" s="22" t="s">
        <v>15</v>
      </c>
      <c r="S116" s="5">
        <v>124874</v>
      </c>
      <c r="T116" s="5">
        <v>55566</v>
      </c>
      <c r="U116" s="5">
        <v>30283</v>
      </c>
      <c r="V116" s="5">
        <v>9704</v>
      </c>
      <c r="W116" s="5">
        <v>26185</v>
      </c>
      <c r="X116" s="5">
        <v>3371</v>
      </c>
      <c r="Y116" s="5">
        <v>8893</v>
      </c>
      <c r="Z116" s="5">
        <v>8430</v>
      </c>
      <c r="AA116" s="5">
        <v>9896</v>
      </c>
      <c r="AB116" s="5">
        <v>13998</v>
      </c>
      <c r="AC116" s="5">
        <v>5810</v>
      </c>
      <c r="AD116" s="5">
        <v>3982</v>
      </c>
      <c r="AE116" s="5">
        <v>24313</v>
      </c>
      <c r="AF116" s="5">
        <v>1</v>
      </c>
      <c r="AG116" s="5">
        <v>325306</v>
      </c>
      <c r="AH116" s="48"/>
    </row>
    <row r="117" spans="1:34" ht="15" customHeight="1">
      <c r="A117" s="22" t="s">
        <v>16</v>
      </c>
      <c r="B117" s="5">
        <v>690609</v>
      </c>
      <c r="C117" s="5">
        <v>420685</v>
      </c>
      <c r="D117" s="5">
        <v>191179</v>
      </c>
      <c r="E117" s="5">
        <v>80750</v>
      </c>
      <c r="F117" s="5">
        <v>181785</v>
      </c>
      <c r="G117" s="5">
        <v>29266</v>
      </c>
      <c r="H117" s="5">
        <v>52811</v>
      </c>
      <c r="I117" s="5">
        <v>12630</v>
      </c>
      <c r="J117" s="5">
        <v>83077</v>
      </c>
      <c r="K117" s="5">
        <v>107485</v>
      </c>
      <c r="L117" s="5">
        <v>46267</v>
      </c>
      <c r="M117" s="5">
        <v>50068</v>
      </c>
      <c r="N117" s="5">
        <v>197420</v>
      </c>
      <c r="O117" s="5">
        <v>102</v>
      </c>
      <c r="P117" s="5">
        <v>2144134</v>
      </c>
      <c r="Q117" s="48"/>
      <c r="R117" s="22" t="s">
        <v>16</v>
      </c>
      <c r="S117" s="5">
        <v>310792</v>
      </c>
      <c r="T117" s="5">
        <v>164454</v>
      </c>
      <c r="U117" s="5">
        <v>80723</v>
      </c>
      <c r="V117" s="5">
        <v>38971</v>
      </c>
      <c r="W117" s="5">
        <v>81696</v>
      </c>
      <c r="X117" s="5">
        <v>10858</v>
      </c>
      <c r="Y117" s="5">
        <v>26511</v>
      </c>
      <c r="Z117" s="5">
        <v>15900</v>
      </c>
      <c r="AA117" s="5">
        <v>24097</v>
      </c>
      <c r="AB117" s="5">
        <v>43097</v>
      </c>
      <c r="AC117" s="5">
        <v>16904</v>
      </c>
      <c r="AD117" s="5">
        <v>16683</v>
      </c>
      <c r="AE117" s="5">
        <v>79530</v>
      </c>
      <c r="AF117" s="5">
        <v>22</v>
      </c>
      <c r="AG117" s="5">
        <v>910238</v>
      </c>
      <c r="AH117" s="48"/>
    </row>
    <row r="118" spans="1:34" ht="15" customHeight="1">
      <c r="A118" s="22" t="s">
        <v>17</v>
      </c>
      <c r="B118" s="5">
        <v>276037</v>
      </c>
      <c r="C118" s="5">
        <v>204782</v>
      </c>
      <c r="D118" s="5">
        <v>75697</v>
      </c>
      <c r="E118" s="5">
        <v>31802</v>
      </c>
      <c r="F118" s="5">
        <v>96423</v>
      </c>
      <c r="G118" s="5">
        <v>7982</v>
      </c>
      <c r="H118" s="5">
        <v>28758</v>
      </c>
      <c r="I118" s="5">
        <v>6810</v>
      </c>
      <c r="J118" s="5">
        <v>48210</v>
      </c>
      <c r="K118" s="5">
        <v>55870</v>
      </c>
      <c r="L118" s="5">
        <v>23176</v>
      </c>
      <c r="M118" s="5">
        <v>20733</v>
      </c>
      <c r="N118" s="5">
        <v>107378</v>
      </c>
      <c r="O118" s="5">
        <v>26</v>
      </c>
      <c r="P118" s="5">
        <v>983684</v>
      </c>
      <c r="Q118" s="48"/>
      <c r="R118" s="22" t="s">
        <v>17</v>
      </c>
      <c r="S118" s="5">
        <v>59616</v>
      </c>
      <c r="T118" s="5">
        <v>39451</v>
      </c>
      <c r="U118" s="5">
        <v>15998</v>
      </c>
      <c r="V118" s="5">
        <v>6633</v>
      </c>
      <c r="W118" s="5">
        <v>21534</v>
      </c>
      <c r="X118" s="5">
        <v>1874</v>
      </c>
      <c r="Y118" s="5">
        <v>6115</v>
      </c>
      <c r="Z118" s="5">
        <v>5760</v>
      </c>
      <c r="AA118" s="5">
        <v>7591</v>
      </c>
      <c r="AB118" s="5">
        <v>12266</v>
      </c>
      <c r="AC118" s="5">
        <v>4157</v>
      </c>
      <c r="AD118" s="5">
        <v>4298</v>
      </c>
      <c r="AE118" s="5">
        <v>21026</v>
      </c>
      <c r="AF118" s="5">
        <v>4</v>
      </c>
      <c r="AG118" s="5">
        <v>206323</v>
      </c>
      <c r="AH118" s="48"/>
    </row>
    <row r="119" spans="1:34" ht="15" customHeight="1">
      <c r="A119" s="22" t="s">
        <v>18</v>
      </c>
      <c r="B119" s="5">
        <v>634436</v>
      </c>
      <c r="C119" s="5">
        <v>333438</v>
      </c>
      <c r="D119" s="5">
        <v>127136</v>
      </c>
      <c r="E119" s="5">
        <v>50051</v>
      </c>
      <c r="F119" s="5">
        <v>152357</v>
      </c>
      <c r="G119" s="5">
        <v>19815</v>
      </c>
      <c r="H119" s="5">
        <v>49702</v>
      </c>
      <c r="I119" s="5">
        <v>19248</v>
      </c>
      <c r="J119" s="5">
        <v>72321</v>
      </c>
      <c r="K119" s="5">
        <v>78798</v>
      </c>
      <c r="L119" s="5">
        <v>42307</v>
      </c>
      <c r="M119" s="5">
        <v>42230</v>
      </c>
      <c r="N119" s="5">
        <v>182554</v>
      </c>
      <c r="O119" s="5">
        <v>0</v>
      </c>
      <c r="P119" s="5">
        <v>1804393</v>
      </c>
      <c r="Q119" s="48"/>
      <c r="R119" s="22" t="s">
        <v>18</v>
      </c>
      <c r="S119" s="5">
        <v>93222</v>
      </c>
      <c r="T119" s="5">
        <v>31733</v>
      </c>
      <c r="U119" s="5">
        <v>13489</v>
      </c>
      <c r="V119" s="5">
        <v>6988</v>
      </c>
      <c r="W119" s="5">
        <v>18906</v>
      </c>
      <c r="X119" s="5">
        <v>2373</v>
      </c>
      <c r="Y119" s="5">
        <v>8152</v>
      </c>
      <c r="Z119" s="5">
        <v>7470</v>
      </c>
      <c r="AA119" s="5">
        <v>5694</v>
      </c>
      <c r="AB119" s="5">
        <v>13686</v>
      </c>
      <c r="AC119" s="5">
        <v>4582</v>
      </c>
      <c r="AD119" s="5">
        <v>6028</v>
      </c>
      <c r="AE119" s="5">
        <v>13977</v>
      </c>
      <c r="AF119" s="5">
        <v>5</v>
      </c>
      <c r="AG119" s="5">
        <v>226305</v>
      </c>
      <c r="AH119" s="48"/>
    </row>
    <row r="120" spans="1:34" ht="15" customHeight="1">
      <c r="A120" s="22" t="s">
        <v>19</v>
      </c>
      <c r="B120" s="5">
        <v>2046457</v>
      </c>
      <c r="C120" s="5">
        <v>1142120</v>
      </c>
      <c r="D120" s="5">
        <v>381911</v>
      </c>
      <c r="E120" s="5">
        <v>176444</v>
      </c>
      <c r="F120" s="5">
        <v>465658</v>
      </c>
      <c r="G120" s="5">
        <v>64686</v>
      </c>
      <c r="H120" s="5">
        <v>151822</v>
      </c>
      <c r="I120" s="5">
        <v>43457</v>
      </c>
      <c r="J120" s="5">
        <v>246437</v>
      </c>
      <c r="K120" s="5">
        <v>288015</v>
      </c>
      <c r="L120" s="5">
        <v>125652</v>
      </c>
      <c r="M120" s="5">
        <v>130484</v>
      </c>
      <c r="N120" s="5">
        <v>551653</v>
      </c>
      <c r="O120" s="5">
        <v>41</v>
      </c>
      <c r="P120" s="5">
        <v>5814837</v>
      </c>
      <c r="Q120" s="48"/>
      <c r="R120" s="22" t="s">
        <v>19</v>
      </c>
      <c r="S120" s="5">
        <v>411397</v>
      </c>
      <c r="T120" s="5">
        <v>179232</v>
      </c>
      <c r="U120" s="5">
        <v>77530</v>
      </c>
      <c r="V120" s="5">
        <v>32474</v>
      </c>
      <c r="W120" s="5">
        <v>93859</v>
      </c>
      <c r="X120" s="5">
        <v>12621</v>
      </c>
      <c r="Y120" s="5">
        <v>28738</v>
      </c>
      <c r="Z120" s="5">
        <v>48720</v>
      </c>
      <c r="AA120" s="5">
        <v>34168</v>
      </c>
      <c r="AB120" s="5">
        <v>58890</v>
      </c>
      <c r="AC120" s="5">
        <v>20967</v>
      </c>
      <c r="AD120" s="5">
        <v>24751</v>
      </c>
      <c r="AE120" s="5">
        <v>84410</v>
      </c>
      <c r="AF120" s="5">
        <v>14</v>
      </c>
      <c r="AG120" s="5">
        <v>1107771</v>
      </c>
      <c r="AH120" s="48"/>
    </row>
    <row r="121" spans="1:34" ht="15" customHeight="1">
      <c r="A121" s="22" t="s">
        <v>20</v>
      </c>
      <c r="B121" s="5">
        <v>15246835</v>
      </c>
      <c r="C121" s="5">
        <v>7084157</v>
      </c>
      <c r="D121" s="5">
        <v>3218231</v>
      </c>
      <c r="E121" s="5">
        <v>1280580</v>
      </c>
      <c r="F121" s="5">
        <v>2613554</v>
      </c>
      <c r="G121" s="5">
        <v>542395</v>
      </c>
      <c r="H121" s="5">
        <v>790788</v>
      </c>
      <c r="I121" s="5">
        <v>2593308</v>
      </c>
      <c r="J121" s="5">
        <v>1322479</v>
      </c>
      <c r="K121" s="5">
        <v>1544225</v>
      </c>
      <c r="L121" s="5">
        <v>734072</v>
      </c>
      <c r="M121" s="5">
        <v>684112</v>
      </c>
      <c r="N121" s="5">
        <v>3301793</v>
      </c>
      <c r="O121" s="5">
        <v>867</v>
      </c>
      <c r="P121" s="5">
        <v>40957396</v>
      </c>
      <c r="Q121" s="48"/>
      <c r="R121" s="22" t="s">
        <v>20</v>
      </c>
      <c r="S121" s="5">
        <v>4707154</v>
      </c>
      <c r="T121" s="5">
        <v>1709839</v>
      </c>
      <c r="U121" s="5">
        <v>1196249</v>
      </c>
      <c r="V121" s="5">
        <v>397251</v>
      </c>
      <c r="W121" s="5">
        <v>975475</v>
      </c>
      <c r="X121" s="5">
        <v>174298</v>
      </c>
      <c r="Y121" s="5">
        <v>327497</v>
      </c>
      <c r="Z121" s="5">
        <v>586230</v>
      </c>
      <c r="AA121" s="5">
        <v>290446</v>
      </c>
      <c r="AB121" s="5">
        <v>662276</v>
      </c>
      <c r="AC121" s="5">
        <v>205178</v>
      </c>
      <c r="AD121" s="5">
        <v>264557</v>
      </c>
      <c r="AE121" s="5">
        <v>950929</v>
      </c>
      <c r="AF121" s="5">
        <v>270</v>
      </c>
      <c r="AG121" s="5">
        <v>12447649</v>
      </c>
      <c r="AH121" s="48"/>
    </row>
    <row r="122" spans="1:34" ht="15" customHeight="1">
      <c r="A122" s="22" t="s">
        <v>21</v>
      </c>
      <c r="B122" s="5">
        <v>1198790</v>
      </c>
      <c r="C122" s="5">
        <v>979933</v>
      </c>
      <c r="D122" s="5">
        <v>263853</v>
      </c>
      <c r="E122" s="5">
        <v>89538</v>
      </c>
      <c r="F122" s="5">
        <v>346363</v>
      </c>
      <c r="G122" s="5">
        <v>36133</v>
      </c>
      <c r="H122" s="5">
        <v>94045</v>
      </c>
      <c r="I122" s="5">
        <v>27144</v>
      </c>
      <c r="J122" s="5">
        <v>152587</v>
      </c>
      <c r="K122" s="5">
        <v>162974</v>
      </c>
      <c r="L122" s="5">
        <v>70432</v>
      </c>
      <c r="M122" s="5">
        <v>177332</v>
      </c>
      <c r="N122" s="5">
        <v>327900</v>
      </c>
      <c r="O122" s="5">
        <v>0</v>
      </c>
      <c r="P122" s="5">
        <v>3927024</v>
      </c>
      <c r="Q122" s="48"/>
      <c r="R122" s="22" t="s">
        <v>21</v>
      </c>
      <c r="S122" s="5">
        <v>244713</v>
      </c>
      <c r="T122" s="5">
        <v>102796</v>
      </c>
      <c r="U122" s="5">
        <v>67070</v>
      </c>
      <c r="V122" s="5">
        <v>18120</v>
      </c>
      <c r="W122" s="5">
        <v>53847</v>
      </c>
      <c r="X122" s="5">
        <v>7515</v>
      </c>
      <c r="Y122" s="5">
        <v>16053</v>
      </c>
      <c r="Z122" s="5">
        <v>22380</v>
      </c>
      <c r="AA122" s="5">
        <v>16940</v>
      </c>
      <c r="AB122" s="5">
        <v>35229</v>
      </c>
      <c r="AC122" s="5">
        <v>10229</v>
      </c>
      <c r="AD122" s="5">
        <v>21686</v>
      </c>
      <c r="AE122" s="5">
        <v>49346</v>
      </c>
      <c r="AF122" s="5">
        <v>97</v>
      </c>
      <c r="AG122" s="5">
        <v>666021</v>
      </c>
      <c r="AH122" s="48"/>
    </row>
    <row r="123" spans="1:34" ht="15" customHeight="1">
      <c r="A123" s="22" t="s">
        <v>22</v>
      </c>
      <c r="B123" s="5">
        <v>1143050</v>
      </c>
      <c r="C123" s="5">
        <v>746946</v>
      </c>
      <c r="D123" s="5">
        <v>190617</v>
      </c>
      <c r="E123" s="5">
        <v>78086</v>
      </c>
      <c r="F123" s="5">
        <v>322885</v>
      </c>
      <c r="G123" s="5">
        <v>26160</v>
      </c>
      <c r="H123" s="5">
        <v>89845</v>
      </c>
      <c r="I123" s="5">
        <v>29160</v>
      </c>
      <c r="J123" s="5">
        <v>118860</v>
      </c>
      <c r="K123" s="5">
        <v>176894</v>
      </c>
      <c r="L123" s="5">
        <v>61422</v>
      </c>
      <c r="M123" s="5">
        <v>104993</v>
      </c>
      <c r="N123" s="5">
        <v>283654</v>
      </c>
      <c r="O123" s="5">
        <v>20</v>
      </c>
      <c r="P123" s="5">
        <v>3372592</v>
      </c>
      <c r="Q123" s="48"/>
      <c r="R123" s="22" t="s">
        <v>22</v>
      </c>
      <c r="S123" s="5">
        <v>171079</v>
      </c>
      <c r="T123" s="5">
        <v>64805</v>
      </c>
      <c r="U123" s="5">
        <v>30932</v>
      </c>
      <c r="V123" s="5">
        <v>11996</v>
      </c>
      <c r="W123" s="5">
        <v>43742</v>
      </c>
      <c r="X123" s="5">
        <v>5841</v>
      </c>
      <c r="Y123" s="5">
        <v>13296</v>
      </c>
      <c r="Z123" s="5">
        <v>14790</v>
      </c>
      <c r="AA123" s="5">
        <v>10646</v>
      </c>
      <c r="AB123" s="5">
        <v>26620</v>
      </c>
      <c r="AC123" s="5">
        <v>6794</v>
      </c>
      <c r="AD123" s="5">
        <v>13468</v>
      </c>
      <c r="AE123" s="5">
        <v>35661</v>
      </c>
      <c r="AF123" s="5">
        <v>10</v>
      </c>
      <c r="AG123" s="5">
        <v>449680</v>
      </c>
      <c r="AH123" s="48"/>
    </row>
    <row r="124" spans="1:34" ht="15" customHeight="1">
      <c r="A124" s="22" t="s">
        <v>237</v>
      </c>
      <c r="B124" s="5">
        <v>482212</v>
      </c>
      <c r="C124" s="5">
        <v>250830</v>
      </c>
      <c r="D124" s="5">
        <v>129920</v>
      </c>
      <c r="E124" s="5">
        <v>28458</v>
      </c>
      <c r="F124" s="5">
        <v>118235</v>
      </c>
      <c r="G124" s="5">
        <v>9127</v>
      </c>
      <c r="H124" s="5">
        <v>35566</v>
      </c>
      <c r="I124" s="5">
        <v>12660</v>
      </c>
      <c r="J124" s="5">
        <v>57539</v>
      </c>
      <c r="K124" s="5">
        <v>50169</v>
      </c>
      <c r="L124" s="5">
        <v>21439</v>
      </c>
      <c r="M124" s="5">
        <v>44365</v>
      </c>
      <c r="N124" s="5">
        <v>105468</v>
      </c>
      <c r="O124" s="5">
        <v>34</v>
      </c>
      <c r="P124" s="5">
        <v>1346022</v>
      </c>
      <c r="Q124" s="48"/>
      <c r="R124" s="22" t="s">
        <v>237</v>
      </c>
      <c r="S124" s="5">
        <v>103229</v>
      </c>
      <c r="T124" s="5">
        <v>26783</v>
      </c>
      <c r="U124" s="5">
        <v>18623</v>
      </c>
      <c r="V124" s="5">
        <v>4976</v>
      </c>
      <c r="W124" s="5">
        <v>14264</v>
      </c>
      <c r="X124" s="5">
        <v>1798</v>
      </c>
      <c r="Y124" s="5">
        <v>5605</v>
      </c>
      <c r="Z124" s="5">
        <v>7410</v>
      </c>
      <c r="AA124" s="5">
        <v>5750</v>
      </c>
      <c r="AB124" s="5">
        <v>9779</v>
      </c>
      <c r="AC124" s="5">
        <v>2688</v>
      </c>
      <c r="AD124" s="5">
        <v>5060</v>
      </c>
      <c r="AE124" s="5">
        <v>14595</v>
      </c>
      <c r="AF124" s="5">
        <v>7</v>
      </c>
      <c r="AG124" s="5">
        <v>220567</v>
      </c>
      <c r="AH124" s="48"/>
    </row>
    <row r="125" spans="1:34" ht="15" customHeight="1">
      <c r="A125" s="22" t="s">
        <v>23</v>
      </c>
      <c r="B125" s="5">
        <v>2444738</v>
      </c>
      <c r="C125" s="5">
        <v>1430481</v>
      </c>
      <c r="D125" s="5">
        <v>342474</v>
      </c>
      <c r="E125" s="5">
        <v>153166</v>
      </c>
      <c r="F125" s="5">
        <v>541148</v>
      </c>
      <c r="G125" s="5">
        <v>55519</v>
      </c>
      <c r="H125" s="5">
        <v>137174</v>
      </c>
      <c r="I125" s="5">
        <v>37404</v>
      </c>
      <c r="J125" s="5">
        <v>203983</v>
      </c>
      <c r="K125" s="5">
        <v>261666</v>
      </c>
      <c r="L125" s="5">
        <v>91281</v>
      </c>
      <c r="M125" s="5">
        <v>193120</v>
      </c>
      <c r="N125" s="5">
        <v>562860</v>
      </c>
      <c r="O125" s="5">
        <v>349</v>
      </c>
      <c r="P125" s="5">
        <v>6455363</v>
      </c>
      <c r="Q125" s="48"/>
      <c r="R125" s="22" t="s">
        <v>23</v>
      </c>
      <c r="S125" s="5">
        <v>508141</v>
      </c>
      <c r="T125" s="5">
        <v>193512</v>
      </c>
      <c r="U125" s="5">
        <v>63813</v>
      </c>
      <c r="V125" s="5">
        <v>31018</v>
      </c>
      <c r="W125" s="5">
        <v>87137</v>
      </c>
      <c r="X125" s="5">
        <v>11796</v>
      </c>
      <c r="Y125" s="5">
        <v>24454</v>
      </c>
      <c r="Z125" s="5">
        <v>42000</v>
      </c>
      <c r="AA125" s="5">
        <v>26385</v>
      </c>
      <c r="AB125" s="5">
        <v>57462</v>
      </c>
      <c r="AC125" s="5">
        <v>19445</v>
      </c>
      <c r="AD125" s="5">
        <v>33769</v>
      </c>
      <c r="AE125" s="5">
        <v>93400</v>
      </c>
      <c r="AF125" s="5">
        <v>34</v>
      </c>
      <c r="AG125" s="5">
        <v>1192366</v>
      </c>
      <c r="AH125" s="48"/>
    </row>
    <row r="126" spans="1:34" ht="15" customHeight="1">
      <c r="A126" s="22" t="s">
        <v>24</v>
      </c>
      <c r="B126" s="5">
        <v>672330</v>
      </c>
      <c r="C126" s="5">
        <v>331011</v>
      </c>
      <c r="D126" s="5">
        <v>146963</v>
      </c>
      <c r="E126" s="5">
        <v>46545</v>
      </c>
      <c r="F126" s="5">
        <v>164757</v>
      </c>
      <c r="G126" s="5">
        <v>20399</v>
      </c>
      <c r="H126" s="5">
        <v>51450</v>
      </c>
      <c r="I126" s="5">
        <v>21930</v>
      </c>
      <c r="J126" s="5">
        <v>64988</v>
      </c>
      <c r="K126" s="5">
        <v>94469</v>
      </c>
      <c r="L126" s="5">
        <v>28165</v>
      </c>
      <c r="M126" s="5">
        <v>48647</v>
      </c>
      <c r="N126" s="5">
        <v>169855</v>
      </c>
      <c r="O126" s="5">
        <v>0</v>
      </c>
      <c r="P126" s="5">
        <v>1861509</v>
      </c>
      <c r="Q126" s="48"/>
      <c r="R126" s="22" t="s">
        <v>24</v>
      </c>
      <c r="S126" s="5">
        <v>184971</v>
      </c>
      <c r="T126" s="5">
        <v>59355</v>
      </c>
      <c r="U126" s="5">
        <v>24171</v>
      </c>
      <c r="V126" s="5">
        <v>11901</v>
      </c>
      <c r="W126" s="5">
        <v>29934</v>
      </c>
      <c r="X126" s="5">
        <v>4855</v>
      </c>
      <c r="Y126" s="5">
        <v>12679</v>
      </c>
      <c r="Z126" s="5">
        <v>19140</v>
      </c>
      <c r="AA126" s="5">
        <v>10494</v>
      </c>
      <c r="AB126" s="5">
        <v>26353</v>
      </c>
      <c r="AC126" s="5">
        <v>8475</v>
      </c>
      <c r="AD126" s="5">
        <v>11344</v>
      </c>
      <c r="AE126" s="5">
        <v>31163</v>
      </c>
      <c r="AF126" s="5">
        <v>46</v>
      </c>
      <c r="AG126" s="5">
        <v>434881</v>
      </c>
      <c r="AH126" s="48"/>
    </row>
    <row r="127" spans="1:34" ht="15" customHeight="1">
      <c r="A127" s="22" t="s">
        <v>25</v>
      </c>
      <c r="B127" s="5">
        <v>141465</v>
      </c>
      <c r="C127" s="5">
        <v>96742</v>
      </c>
      <c r="D127" s="5">
        <v>55578</v>
      </c>
      <c r="E127" s="5">
        <v>16645</v>
      </c>
      <c r="F127" s="5">
        <v>62230</v>
      </c>
      <c r="G127" s="5">
        <v>6801</v>
      </c>
      <c r="H127" s="5">
        <v>18564</v>
      </c>
      <c r="I127" s="5">
        <v>9810</v>
      </c>
      <c r="J127" s="5">
        <v>26397</v>
      </c>
      <c r="K127" s="5">
        <v>41474</v>
      </c>
      <c r="L127" s="5">
        <v>11124</v>
      </c>
      <c r="M127" s="5">
        <v>7688</v>
      </c>
      <c r="N127" s="5">
        <v>45680</v>
      </c>
      <c r="O127" s="5">
        <v>0</v>
      </c>
      <c r="P127" s="5">
        <v>540198</v>
      </c>
      <c r="Q127" s="48"/>
      <c r="R127" s="22" t="s">
        <v>25</v>
      </c>
      <c r="S127" s="5">
        <v>42151</v>
      </c>
      <c r="T127" s="5">
        <v>17513</v>
      </c>
      <c r="U127" s="5">
        <v>10373</v>
      </c>
      <c r="V127" s="5">
        <v>4144</v>
      </c>
      <c r="W127" s="5">
        <v>11921</v>
      </c>
      <c r="X127" s="5">
        <v>2239</v>
      </c>
      <c r="Y127" s="5">
        <v>5681</v>
      </c>
      <c r="Z127" s="5">
        <v>5640</v>
      </c>
      <c r="AA127" s="5">
        <v>3044</v>
      </c>
      <c r="AB127" s="5">
        <v>13848</v>
      </c>
      <c r="AC127" s="5">
        <v>1810</v>
      </c>
      <c r="AD127" s="5">
        <v>2384</v>
      </c>
      <c r="AE127" s="5">
        <v>10800</v>
      </c>
      <c r="AF127" s="5">
        <v>3</v>
      </c>
      <c r="AG127" s="5">
        <v>131551</v>
      </c>
      <c r="AH127" s="48"/>
    </row>
    <row r="128" spans="1:34" ht="15" customHeight="1">
      <c r="A128" s="22" t="s">
        <v>26</v>
      </c>
      <c r="B128" s="5">
        <v>755570</v>
      </c>
      <c r="C128" s="5">
        <v>423033</v>
      </c>
      <c r="D128" s="5">
        <v>211316</v>
      </c>
      <c r="E128" s="5">
        <v>64932</v>
      </c>
      <c r="F128" s="5">
        <v>223932</v>
      </c>
      <c r="G128" s="5">
        <v>27841</v>
      </c>
      <c r="H128" s="5">
        <v>72377</v>
      </c>
      <c r="I128" s="5">
        <v>22353</v>
      </c>
      <c r="J128" s="5">
        <v>102250</v>
      </c>
      <c r="K128" s="5">
        <v>115616</v>
      </c>
      <c r="L128" s="5">
        <v>36188</v>
      </c>
      <c r="M128" s="5">
        <v>29038</v>
      </c>
      <c r="N128" s="5">
        <v>172146</v>
      </c>
      <c r="O128" s="5">
        <v>23</v>
      </c>
      <c r="P128" s="5">
        <v>2256615</v>
      </c>
      <c r="Q128" s="48"/>
      <c r="R128" s="22" t="s">
        <v>26</v>
      </c>
      <c r="S128" s="5">
        <v>195261</v>
      </c>
      <c r="T128" s="5">
        <v>64499</v>
      </c>
      <c r="U128" s="5">
        <v>37374</v>
      </c>
      <c r="V128" s="5">
        <v>14950</v>
      </c>
      <c r="W128" s="5">
        <v>47463</v>
      </c>
      <c r="X128" s="5">
        <v>6706</v>
      </c>
      <c r="Y128" s="5">
        <v>15401</v>
      </c>
      <c r="Z128" s="5">
        <v>18840</v>
      </c>
      <c r="AA128" s="5">
        <v>15444</v>
      </c>
      <c r="AB128" s="5">
        <v>32039</v>
      </c>
      <c r="AC128" s="5">
        <v>7790</v>
      </c>
      <c r="AD128" s="5">
        <v>8367</v>
      </c>
      <c r="AE128" s="5">
        <v>36250</v>
      </c>
      <c r="AF128" s="5">
        <v>53</v>
      </c>
      <c r="AG128" s="5">
        <v>500437</v>
      </c>
      <c r="AH128" s="48"/>
    </row>
    <row r="129" spans="1:34" ht="15" customHeight="1">
      <c r="A129" s="22" t="s">
        <v>27</v>
      </c>
      <c r="B129" s="5">
        <v>93688</v>
      </c>
      <c r="C129" s="5">
        <v>37317</v>
      </c>
      <c r="D129" s="5">
        <v>13832</v>
      </c>
      <c r="E129" s="5">
        <v>8060</v>
      </c>
      <c r="F129" s="5">
        <v>27949</v>
      </c>
      <c r="G129" s="5">
        <v>3261</v>
      </c>
      <c r="H129" s="5">
        <v>8539</v>
      </c>
      <c r="I129" s="5">
        <v>3330</v>
      </c>
      <c r="J129" s="5">
        <v>7775</v>
      </c>
      <c r="K129" s="5">
        <v>12978</v>
      </c>
      <c r="L129" s="5">
        <v>7290</v>
      </c>
      <c r="M129" s="5">
        <v>4633</v>
      </c>
      <c r="N129" s="5">
        <v>25656</v>
      </c>
      <c r="O129" s="5">
        <v>0</v>
      </c>
      <c r="P129" s="5">
        <v>254308</v>
      </c>
      <c r="Q129" s="48"/>
      <c r="R129" s="22" t="s">
        <v>27</v>
      </c>
      <c r="S129" s="5">
        <v>20784</v>
      </c>
      <c r="T129" s="5">
        <v>5828</v>
      </c>
      <c r="U129" s="5">
        <v>2380</v>
      </c>
      <c r="V129" s="5">
        <v>1374</v>
      </c>
      <c r="W129" s="5">
        <v>4650</v>
      </c>
      <c r="X129" s="5">
        <v>551</v>
      </c>
      <c r="Y129" s="5">
        <v>1662</v>
      </c>
      <c r="Z129" s="5">
        <v>2580</v>
      </c>
      <c r="AA129" s="5">
        <v>1450</v>
      </c>
      <c r="AB129" s="5">
        <v>2352</v>
      </c>
      <c r="AC129" s="5">
        <v>1178</v>
      </c>
      <c r="AD129" s="5">
        <v>724</v>
      </c>
      <c r="AE129" s="5">
        <v>2558</v>
      </c>
      <c r="AF129" s="5">
        <v>7</v>
      </c>
      <c r="AG129" s="5">
        <v>48078</v>
      </c>
      <c r="AH129" s="48"/>
    </row>
    <row r="130" spans="1:34" ht="15" customHeight="1">
      <c r="A130" s="22" t="s">
        <v>28</v>
      </c>
      <c r="B130" s="5">
        <v>235658</v>
      </c>
      <c r="C130" s="5">
        <v>119059</v>
      </c>
      <c r="D130" s="5">
        <v>100962</v>
      </c>
      <c r="E130" s="5">
        <v>17217</v>
      </c>
      <c r="F130" s="5">
        <v>49635</v>
      </c>
      <c r="G130" s="5">
        <v>5393</v>
      </c>
      <c r="H130" s="5">
        <v>17178</v>
      </c>
      <c r="I130" s="5">
        <v>4418</v>
      </c>
      <c r="J130" s="5">
        <v>23448</v>
      </c>
      <c r="K130" s="5">
        <v>34795</v>
      </c>
      <c r="L130" s="5">
        <v>9583</v>
      </c>
      <c r="M130" s="5">
        <v>10543</v>
      </c>
      <c r="N130" s="5">
        <v>45502</v>
      </c>
      <c r="O130" s="5">
        <v>0</v>
      </c>
      <c r="P130" s="5">
        <v>673391</v>
      </c>
      <c r="Q130" s="48"/>
      <c r="R130" s="22" t="s">
        <v>28</v>
      </c>
      <c r="S130" s="5">
        <v>78180</v>
      </c>
      <c r="T130" s="5">
        <v>32973</v>
      </c>
      <c r="U130" s="5">
        <v>27864</v>
      </c>
      <c r="V130" s="5">
        <v>4863</v>
      </c>
      <c r="W130" s="5">
        <v>16387</v>
      </c>
      <c r="X130" s="5">
        <v>1354</v>
      </c>
      <c r="Y130" s="5">
        <v>5133</v>
      </c>
      <c r="Z130" s="5">
        <v>5190</v>
      </c>
      <c r="AA130" s="5">
        <v>5772</v>
      </c>
      <c r="AB130" s="5">
        <v>11436</v>
      </c>
      <c r="AC130" s="5">
        <v>2844</v>
      </c>
      <c r="AD130" s="5">
        <v>4468</v>
      </c>
      <c r="AE130" s="5">
        <v>14734</v>
      </c>
      <c r="AF130" s="5">
        <v>7</v>
      </c>
      <c r="AG130" s="5">
        <v>211205</v>
      </c>
      <c r="AH130" s="48"/>
    </row>
    <row r="131" spans="1:34" ht="15" customHeight="1">
      <c r="A131" s="22" t="s">
        <v>216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48"/>
      <c r="R131" s="22" t="s">
        <v>216</v>
      </c>
      <c r="S131" s="5">
        <v>36970</v>
      </c>
      <c r="T131" s="5">
        <v>13843</v>
      </c>
      <c r="U131" s="5">
        <v>16146</v>
      </c>
      <c r="V131" s="5">
        <v>2947</v>
      </c>
      <c r="W131" s="5">
        <v>9174</v>
      </c>
      <c r="X131" s="5">
        <v>1568</v>
      </c>
      <c r="Y131" s="5">
        <v>3174</v>
      </c>
      <c r="Z131" s="5">
        <v>332790</v>
      </c>
      <c r="AA131" s="5">
        <v>2748</v>
      </c>
      <c r="AB131" s="5">
        <v>4186</v>
      </c>
      <c r="AC131" s="5">
        <v>1199</v>
      </c>
      <c r="AD131" s="5">
        <v>1376</v>
      </c>
      <c r="AE131" s="5">
        <v>6759</v>
      </c>
      <c r="AF131" s="5">
        <v>0</v>
      </c>
      <c r="AG131" s="5">
        <v>432880</v>
      </c>
      <c r="AH131" s="48"/>
    </row>
    <row r="132" spans="1:34" ht="15" customHeight="1">
      <c r="A132" s="20" t="s">
        <v>46</v>
      </c>
      <c r="B132" s="36">
        <v>26495464</v>
      </c>
      <c r="C132" s="36">
        <v>13813895</v>
      </c>
      <c r="D132" s="36">
        <v>5627710</v>
      </c>
      <c r="E132" s="36">
        <v>2154853</v>
      </c>
      <c r="F132" s="36">
        <v>5478520</v>
      </c>
      <c r="G132" s="36">
        <v>875675</v>
      </c>
      <c r="H132" s="36">
        <v>1636406</v>
      </c>
      <c r="I132" s="36">
        <v>2859682</v>
      </c>
      <c r="J132" s="36">
        <v>2575892</v>
      </c>
      <c r="K132" s="36">
        <v>3098138</v>
      </c>
      <c r="L132" s="36">
        <v>1340005</v>
      </c>
      <c r="M132" s="36">
        <v>1587365</v>
      </c>
      <c r="N132" s="36">
        <v>6192587</v>
      </c>
      <c r="O132" s="36">
        <v>1462</v>
      </c>
      <c r="P132" s="36">
        <v>73737654</v>
      </c>
      <c r="Q132" s="48"/>
      <c r="R132" s="20" t="s">
        <v>46</v>
      </c>
      <c r="S132" s="36">
        <v>7306126</v>
      </c>
      <c r="T132" s="36">
        <v>2772232</v>
      </c>
      <c r="U132" s="36">
        <v>1723000</v>
      </c>
      <c r="V132" s="36">
        <v>601173</v>
      </c>
      <c r="W132" s="36">
        <v>1546166</v>
      </c>
      <c r="X132" s="36">
        <v>251782</v>
      </c>
      <c r="Y132" s="36">
        <v>512225</v>
      </c>
      <c r="Z132" s="36">
        <v>1145520</v>
      </c>
      <c r="AA132" s="36">
        <v>472795</v>
      </c>
      <c r="AB132" s="36">
        <v>1030254</v>
      </c>
      <c r="AC132" s="36">
        <v>322430</v>
      </c>
      <c r="AD132" s="36">
        <v>426476</v>
      </c>
      <c r="AE132" s="36">
        <v>1476809</v>
      </c>
      <c r="AF132" s="36">
        <v>580</v>
      </c>
      <c r="AG132" s="36">
        <v>19587568</v>
      </c>
      <c r="AH132" s="48"/>
    </row>
    <row r="133" spans="1:34" ht="15" customHeight="1">
      <c r="A133" s="3" t="s">
        <v>402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R133" s="3" t="s">
        <v>402</v>
      </c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</row>
    <row r="134" spans="1:34" ht="15" customHeight="1"/>
    <row r="135" spans="1:34" ht="15" customHeight="1"/>
    <row r="136" spans="1:34" ht="15" customHeight="1"/>
    <row r="137" spans="1:34" ht="15" customHeight="1"/>
    <row r="138" spans="1:34" ht="15" customHeight="1"/>
    <row r="139" spans="1:34" ht="15" customHeight="1"/>
    <row r="140" spans="1:34" ht="15" customHeight="1"/>
    <row r="141" spans="1:34" ht="15" customHeight="1"/>
    <row r="142" spans="1:34" ht="15" customHeight="1"/>
    <row r="143" spans="1:34" ht="15" customHeight="1"/>
    <row r="144" spans="1:3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872"/>
  <sheetViews>
    <sheetView showGridLines="0" tabSelected="1" topLeftCell="A30" zoomScaleNormal="100" workbookViewId="0">
      <selection activeCell="Q36" sqref="Q36:Q45"/>
    </sheetView>
  </sheetViews>
  <sheetFormatPr baseColWidth="10" defaultColWidth="33.140625" defaultRowHeight="12.75"/>
  <cols>
    <col min="1" max="1" width="43.5703125" style="3" customWidth="1"/>
    <col min="2" max="5" width="12.85546875" style="6" customWidth="1"/>
    <col min="6" max="16" width="12.85546875" style="3" customWidth="1"/>
    <col min="17" max="17" width="10.7109375" style="3" customWidth="1"/>
    <col min="18" max="18" width="31.140625" style="3" customWidth="1"/>
    <col min="19" max="33" width="12.85546875" style="3" customWidth="1"/>
    <col min="34" max="51" width="15.7109375" style="3" customWidth="1"/>
    <col min="52" max="16384" width="33.140625" style="3"/>
  </cols>
  <sheetData>
    <row r="1" spans="1:5" ht="18.75">
      <c r="A1" s="1" t="s">
        <v>141</v>
      </c>
      <c r="E1" s="3"/>
    </row>
    <row r="2" spans="1:5">
      <c r="A2" s="7"/>
      <c r="E2" s="3"/>
    </row>
    <row r="3" spans="1:5">
      <c r="A3" s="7" t="s">
        <v>109</v>
      </c>
      <c r="E3" s="3"/>
    </row>
    <row r="4" spans="1:5">
      <c r="A4" s="7" t="s">
        <v>341</v>
      </c>
      <c r="E4" s="3"/>
    </row>
    <row r="5" spans="1:5" ht="14.25">
      <c r="A5" s="8" t="s">
        <v>144</v>
      </c>
      <c r="B5" s="8" t="s">
        <v>0</v>
      </c>
      <c r="C5" s="8" t="s">
        <v>409</v>
      </c>
      <c r="D5" s="8" t="s">
        <v>45</v>
      </c>
      <c r="E5" s="3"/>
    </row>
    <row r="6" spans="1:5">
      <c r="A6" s="33" t="s">
        <v>9</v>
      </c>
      <c r="B6" s="4">
        <v>1121980</v>
      </c>
      <c r="C6" s="4">
        <v>313391.85186065099</v>
      </c>
      <c r="D6" s="4">
        <v>1435371.851860651</v>
      </c>
    </row>
    <row r="7" spans="1:5">
      <c r="A7" s="33" t="s">
        <v>10</v>
      </c>
      <c r="B7" s="5">
        <v>782342</v>
      </c>
      <c r="C7" s="5">
        <v>225905.5979318</v>
      </c>
      <c r="D7" s="5">
        <v>1008247.5979317999</v>
      </c>
    </row>
    <row r="8" spans="1:5" ht="14.25">
      <c r="A8" s="33" t="s">
        <v>640</v>
      </c>
      <c r="B8" s="5">
        <v>673016</v>
      </c>
      <c r="C8" s="5">
        <v>269892.31272178999</v>
      </c>
      <c r="D8" s="5">
        <v>942908.31272179005</v>
      </c>
    </row>
    <row r="9" spans="1:5">
      <c r="A9" s="33" t="s">
        <v>11</v>
      </c>
      <c r="B9" s="5">
        <v>297507</v>
      </c>
      <c r="C9" s="5">
        <v>131153.681292102</v>
      </c>
      <c r="D9" s="5">
        <v>428660.68129210197</v>
      </c>
    </row>
    <row r="10" spans="1:5">
      <c r="A10" s="33" t="s">
        <v>218</v>
      </c>
      <c r="B10" s="5">
        <v>274979</v>
      </c>
      <c r="C10" s="5">
        <v>115102.36783888401</v>
      </c>
      <c r="D10" s="5">
        <v>390081.36783888401</v>
      </c>
    </row>
    <row r="11" spans="1:5">
      <c r="A11" s="33" t="s">
        <v>13</v>
      </c>
      <c r="B11" s="5">
        <v>160952</v>
      </c>
      <c r="C11" s="5">
        <v>81623.657093258007</v>
      </c>
      <c r="D11" s="5">
        <v>242575.65709325799</v>
      </c>
    </row>
    <row r="12" spans="1:5">
      <c r="A12" s="33" t="s">
        <v>159</v>
      </c>
      <c r="B12" s="5">
        <v>148360</v>
      </c>
      <c r="C12" s="5">
        <v>89728.760926051007</v>
      </c>
      <c r="D12" s="5">
        <v>238088.76092605101</v>
      </c>
    </row>
    <row r="13" spans="1:5">
      <c r="A13" s="33" t="s">
        <v>349</v>
      </c>
      <c r="B13" s="5">
        <v>95044</v>
      </c>
      <c r="C13" s="5">
        <v>56873.635013870902</v>
      </c>
      <c r="D13" s="5">
        <v>151917.63501387089</v>
      </c>
    </row>
    <row r="14" spans="1:5">
      <c r="A14" s="33" t="s">
        <v>197</v>
      </c>
      <c r="B14" s="5">
        <v>100247</v>
      </c>
      <c r="C14" s="5">
        <v>30570.646858883101</v>
      </c>
      <c r="D14" s="5">
        <v>130817.6468588831</v>
      </c>
    </row>
    <row r="15" spans="1:5">
      <c r="A15" s="33" t="s">
        <v>162</v>
      </c>
      <c r="B15" s="5">
        <v>89074</v>
      </c>
      <c r="C15" s="5">
        <v>49888.285677674197</v>
      </c>
      <c r="D15" s="5">
        <v>138962.2856776742</v>
      </c>
    </row>
    <row r="16" spans="1:5">
      <c r="A16" s="33" t="s">
        <v>219</v>
      </c>
      <c r="B16" s="5">
        <v>91721</v>
      </c>
      <c r="C16" s="5">
        <v>43285.181852363901</v>
      </c>
      <c r="D16" s="5">
        <v>135006.18185236389</v>
      </c>
    </row>
    <row r="17" spans="1:34">
      <c r="A17" s="33" t="s">
        <v>160</v>
      </c>
      <c r="B17" s="5">
        <v>89352</v>
      </c>
      <c r="C17" s="5">
        <v>37253.197790377701</v>
      </c>
      <c r="D17" s="5">
        <v>126605.1977903777</v>
      </c>
    </row>
    <row r="18" spans="1:34">
      <c r="A18" s="33" t="s">
        <v>31</v>
      </c>
      <c r="B18" s="5">
        <v>385727</v>
      </c>
      <c r="C18" s="5">
        <v>157723.49180370799</v>
      </c>
      <c r="D18" s="5">
        <v>543450.49180370802</v>
      </c>
    </row>
    <row r="19" spans="1:34">
      <c r="A19" s="33" t="s">
        <v>216</v>
      </c>
      <c r="B19" s="5">
        <v>1</v>
      </c>
      <c r="C19" s="5">
        <v>253.331338587391</v>
      </c>
      <c r="D19" s="5">
        <v>254.331338587391</v>
      </c>
    </row>
    <row r="20" spans="1:34">
      <c r="A20" s="20" t="s">
        <v>46</v>
      </c>
      <c r="B20" s="36">
        <v>4310302</v>
      </c>
      <c r="C20" s="36">
        <v>1602646.0000000016</v>
      </c>
      <c r="D20" s="36">
        <v>5912948.0000000009</v>
      </c>
    </row>
    <row r="21" spans="1:34">
      <c r="A21" s="3" t="s">
        <v>403</v>
      </c>
      <c r="B21" s="46"/>
      <c r="C21" s="46"/>
      <c r="D21" s="46"/>
    </row>
    <row r="22" spans="1:34" ht="42" customHeight="1">
      <c r="A22" s="130" t="s">
        <v>404</v>
      </c>
      <c r="B22" s="130"/>
      <c r="C22" s="130"/>
      <c r="D22" s="130"/>
      <c r="E22" s="130"/>
    </row>
    <row r="24" spans="1:34">
      <c r="A24" s="7" t="s">
        <v>110</v>
      </c>
      <c r="R24" s="7" t="s">
        <v>113</v>
      </c>
      <c r="S24" s="6"/>
      <c r="T24" s="6"/>
      <c r="U24" s="6"/>
      <c r="V24" s="6"/>
    </row>
    <row r="25" spans="1:34" ht="14.25">
      <c r="A25" s="7" t="s">
        <v>342</v>
      </c>
      <c r="R25" s="7" t="s">
        <v>415</v>
      </c>
      <c r="S25" s="6"/>
      <c r="T25" s="6"/>
      <c r="U25" s="6"/>
      <c r="V25" s="6"/>
    </row>
    <row r="26" spans="1:34" ht="51">
      <c r="A26" s="26" t="s">
        <v>50</v>
      </c>
      <c r="B26" s="26" t="str" cm="1">
        <f t="array" ref="B26:O26">TRANSPOSE(A6:A19)</f>
        <v>Trastornos mentales</v>
      </c>
      <c r="C26" s="26" t="str">
        <v>Enf. osteomusculares</v>
      </c>
      <c r="D26" s="26" t="str">
        <v>COVID-19</v>
      </c>
      <c r="E26" s="26" t="str">
        <v>Enf. respiratorias</v>
      </c>
      <c r="F26" s="26" t="str">
        <v>Traumatismos, envenenamientos y otros</v>
      </c>
      <c r="G26" s="26" t="str">
        <v>Enf. infecciosas</v>
      </c>
      <c r="H26" s="26" t="str">
        <v>Enf. del Sistema Digestivo</v>
      </c>
      <c r="I26" s="26" t="str">
        <v>Licencia médica preventiva parental</v>
      </c>
      <c r="J26" s="26" t="str">
        <v>Enf. cardiovasculares</v>
      </c>
      <c r="K26" s="26" t="str">
        <v>Tumores y Cánceres</v>
      </c>
      <c r="L26" s="26" t="str">
        <v>Enfermedades del Sist. Genito urinario</v>
      </c>
      <c r="M26" s="26" t="str">
        <v>Afecciones del embarazo, Parto y Puerperio</v>
      </c>
      <c r="N26" s="26" t="str">
        <v>Otros diagnósticos</v>
      </c>
      <c r="O26" s="26" t="str">
        <v>Sin información</v>
      </c>
      <c r="P26" s="26" t="s">
        <v>48</v>
      </c>
      <c r="R26" s="26" t="s">
        <v>50</v>
      </c>
      <c r="S26" s="26" t="s">
        <v>9</v>
      </c>
      <c r="T26" s="26" t="s">
        <v>10</v>
      </c>
      <c r="U26" s="26" t="s">
        <v>640</v>
      </c>
      <c r="V26" s="26" t="s">
        <v>11</v>
      </c>
      <c r="W26" s="26" t="s">
        <v>218</v>
      </c>
      <c r="X26" s="26" t="s">
        <v>13</v>
      </c>
      <c r="Y26" s="26" t="s">
        <v>159</v>
      </c>
      <c r="Z26" s="26" t="s">
        <v>349</v>
      </c>
      <c r="AA26" s="26" t="s">
        <v>197</v>
      </c>
      <c r="AB26" s="26" t="s">
        <v>162</v>
      </c>
      <c r="AC26" s="26" t="s">
        <v>219</v>
      </c>
      <c r="AD26" s="26" t="s">
        <v>160</v>
      </c>
      <c r="AE26" s="26" t="s">
        <v>31</v>
      </c>
      <c r="AF26" s="26" t="s">
        <v>216</v>
      </c>
      <c r="AG26" s="26" t="s">
        <v>48</v>
      </c>
    </row>
    <row r="27" spans="1:34">
      <c r="A27" s="13" t="s">
        <v>5</v>
      </c>
      <c r="B27" s="4">
        <v>364991</v>
      </c>
      <c r="C27" s="4">
        <v>362936</v>
      </c>
      <c r="D27" s="14">
        <v>383227</v>
      </c>
      <c r="E27" s="14">
        <v>122041</v>
      </c>
      <c r="F27" s="14">
        <v>165083</v>
      </c>
      <c r="G27" s="14">
        <v>68013</v>
      </c>
      <c r="H27" s="14">
        <v>69472</v>
      </c>
      <c r="I27" s="14">
        <v>19</v>
      </c>
      <c r="J27" s="14">
        <v>67978</v>
      </c>
      <c r="K27" s="14">
        <v>44396</v>
      </c>
      <c r="L27" s="14">
        <v>34809</v>
      </c>
      <c r="M27" s="14">
        <v>114</v>
      </c>
      <c r="N27" s="14">
        <v>173048</v>
      </c>
      <c r="O27" s="14">
        <v>0</v>
      </c>
      <c r="P27" s="14">
        <v>1856127</v>
      </c>
      <c r="Q27" s="48"/>
      <c r="R27" s="13" t="s">
        <v>5</v>
      </c>
      <c r="S27" s="4">
        <v>144640.20000000001</v>
      </c>
      <c r="T27" s="4">
        <v>136611.54999999999</v>
      </c>
      <c r="U27" s="14">
        <v>184961.86</v>
      </c>
      <c r="V27" s="14">
        <v>74331.009999999995</v>
      </c>
      <c r="W27" s="14">
        <v>77492.41</v>
      </c>
      <c r="X27" s="14">
        <v>45746.54</v>
      </c>
      <c r="Y27" s="14">
        <v>50786.19</v>
      </c>
      <c r="Z27" s="14">
        <v>113.92</v>
      </c>
      <c r="AA27" s="14">
        <v>21486.69</v>
      </c>
      <c r="AB27" s="14">
        <v>24234.37</v>
      </c>
      <c r="AC27" s="14">
        <v>17379.43</v>
      </c>
      <c r="AD27" s="14">
        <v>1543.97</v>
      </c>
      <c r="AE27" s="14">
        <v>81064.53</v>
      </c>
      <c r="AF27" s="14">
        <v>98.93</v>
      </c>
      <c r="AG27" s="14">
        <v>860491.60000000009</v>
      </c>
      <c r="AH27" s="49"/>
    </row>
    <row r="28" spans="1:34">
      <c r="A28" s="16" t="s">
        <v>6</v>
      </c>
      <c r="B28" s="5">
        <v>756989</v>
      </c>
      <c r="C28" s="5">
        <v>419406</v>
      </c>
      <c r="D28" s="10">
        <v>289789</v>
      </c>
      <c r="E28" s="10">
        <v>175466</v>
      </c>
      <c r="F28" s="10">
        <v>109896</v>
      </c>
      <c r="G28" s="10">
        <v>92939</v>
      </c>
      <c r="H28" s="10">
        <v>78888</v>
      </c>
      <c r="I28" s="10">
        <v>95025</v>
      </c>
      <c r="J28" s="10">
        <v>32269</v>
      </c>
      <c r="K28" s="10">
        <v>44678</v>
      </c>
      <c r="L28" s="10">
        <v>56912</v>
      </c>
      <c r="M28" s="10">
        <v>89238</v>
      </c>
      <c r="N28" s="10">
        <v>212679</v>
      </c>
      <c r="O28" s="10">
        <v>1</v>
      </c>
      <c r="P28" s="10">
        <v>2454175</v>
      </c>
      <c r="Q28" s="48"/>
      <c r="R28" s="16" t="s">
        <v>6</v>
      </c>
      <c r="S28" s="5">
        <v>168747.15</v>
      </c>
      <c r="T28" s="5">
        <v>89292.55</v>
      </c>
      <c r="U28" s="10">
        <v>84924.46</v>
      </c>
      <c r="V28" s="10">
        <v>56821.17</v>
      </c>
      <c r="W28" s="10">
        <v>37609.96</v>
      </c>
      <c r="X28" s="10">
        <v>35877.11</v>
      </c>
      <c r="Y28" s="10">
        <v>38942.57</v>
      </c>
      <c r="Z28" s="10">
        <v>56750.720000000001</v>
      </c>
      <c r="AA28" s="10">
        <v>9083.9500000000007</v>
      </c>
      <c r="AB28" s="10">
        <v>25653.919999999998</v>
      </c>
      <c r="AC28" s="10">
        <v>25904.25</v>
      </c>
      <c r="AD28" s="10">
        <v>35700.230000000003</v>
      </c>
      <c r="AE28" s="10">
        <v>76655.960000000006</v>
      </c>
      <c r="AF28" s="10">
        <v>154.4</v>
      </c>
      <c r="AG28" s="10">
        <v>742118.40000000002</v>
      </c>
      <c r="AH28" s="49"/>
    </row>
    <row r="29" spans="1:34">
      <c r="A29" s="16" t="s">
        <v>216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10">
        <v>0</v>
      </c>
      <c r="Q29" s="48"/>
      <c r="R29" s="16" t="s">
        <v>216</v>
      </c>
      <c r="S29" s="5">
        <v>4.5</v>
      </c>
      <c r="T29" s="5">
        <v>1.5</v>
      </c>
      <c r="U29" s="10">
        <v>6</v>
      </c>
      <c r="V29" s="10">
        <v>1.5</v>
      </c>
      <c r="W29" s="10">
        <v>0</v>
      </c>
      <c r="X29" s="10">
        <v>0</v>
      </c>
      <c r="Y29" s="10">
        <v>0</v>
      </c>
      <c r="Z29" s="10">
        <v>8.99</v>
      </c>
      <c r="AA29" s="10">
        <v>0</v>
      </c>
      <c r="AB29" s="10">
        <v>0</v>
      </c>
      <c r="AC29" s="10">
        <v>1.5</v>
      </c>
      <c r="AD29" s="10">
        <v>8.99</v>
      </c>
      <c r="AE29" s="10">
        <v>3</v>
      </c>
      <c r="AF29" s="10">
        <v>0</v>
      </c>
      <c r="AG29" s="10">
        <v>35.980000000000004</v>
      </c>
      <c r="AH29" s="49"/>
    </row>
    <row r="30" spans="1:34">
      <c r="A30" s="20" t="s">
        <v>46</v>
      </c>
      <c r="B30" s="36">
        <v>1121980</v>
      </c>
      <c r="C30" s="36">
        <v>782342</v>
      </c>
      <c r="D30" s="36">
        <v>673016</v>
      </c>
      <c r="E30" s="36">
        <v>297507</v>
      </c>
      <c r="F30" s="36">
        <v>274979</v>
      </c>
      <c r="G30" s="36">
        <v>160952</v>
      </c>
      <c r="H30" s="36">
        <v>148360</v>
      </c>
      <c r="I30" s="36">
        <v>95044</v>
      </c>
      <c r="J30" s="36">
        <v>100247</v>
      </c>
      <c r="K30" s="36">
        <v>89074</v>
      </c>
      <c r="L30" s="36">
        <v>91721</v>
      </c>
      <c r="M30" s="36">
        <v>89352</v>
      </c>
      <c r="N30" s="36">
        <v>385727</v>
      </c>
      <c r="O30" s="36">
        <v>1</v>
      </c>
      <c r="P30" s="36">
        <v>4310302</v>
      </c>
      <c r="Q30" s="48"/>
      <c r="R30" s="20" t="s">
        <v>46</v>
      </c>
      <c r="S30" s="36">
        <v>313391.84999999998</v>
      </c>
      <c r="T30" s="36">
        <v>225905.59999999998</v>
      </c>
      <c r="U30" s="36">
        <v>269892.32</v>
      </c>
      <c r="V30" s="36">
        <v>131153.68</v>
      </c>
      <c r="W30" s="36">
        <v>115102.37</v>
      </c>
      <c r="X30" s="36">
        <v>81623.649999999994</v>
      </c>
      <c r="Y30" s="36">
        <v>89728.760000000009</v>
      </c>
      <c r="Z30" s="36">
        <v>56873.63</v>
      </c>
      <c r="AA30" s="36">
        <v>30570.639999999999</v>
      </c>
      <c r="AB30" s="36">
        <v>49888.289999999994</v>
      </c>
      <c r="AC30" s="36">
        <v>43285.18</v>
      </c>
      <c r="AD30" s="36">
        <v>37253.19</v>
      </c>
      <c r="AE30" s="36">
        <v>157723.49</v>
      </c>
      <c r="AF30" s="36">
        <v>253.33</v>
      </c>
      <c r="AG30" s="51">
        <v>1602645.98</v>
      </c>
      <c r="AH30" s="49"/>
    </row>
    <row r="31" spans="1:34">
      <c r="A31" s="3" t="s">
        <v>402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8"/>
      <c r="R31" s="3" t="s">
        <v>403</v>
      </c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37"/>
    </row>
    <row r="32" spans="1:34"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8"/>
      <c r="R32" s="3" t="s">
        <v>404</v>
      </c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37"/>
    </row>
    <row r="33" spans="1:34">
      <c r="D33" s="3"/>
      <c r="F33" s="6"/>
      <c r="Q33" s="48"/>
      <c r="S33" s="6"/>
      <c r="T33" s="6"/>
      <c r="V33" s="6"/>
      <c r="W33" s="6"/>
      <c r="AH33" s="37"/>
    </row>
    <row r="34" spans="1:34">
      <c r="A34" s="7" t="s">
        <v>111</v>
      </c>
      <c r="D34" s="3"/>
      <c r="F34" s="6"/>
      <c r="Q34" s="48"/>
      <c r="R34" s="7" t="s">
        <v>114</v>
      </c>
      <c r="S34" s="6"/>
      <c r="T34" s="6"/>
      <c r="V34" s="6"/>
      <c r="W34" s="6"/>
      <c r="AH34" s="37"/>
    </row>
    <row r="35" spans="1:34" ht="14.25">
      <c r="A35" s="7" t="s">
        <v>343</v>
      </c>
      <c r="D35" s="3"/>
      <c r="F35" s="6"/>
      <c r="Q35" s="48"/>
      <c r="R35" s="7" t="s">
        <v>414</v>
      </c>
      <c r="S35" s="6"/>
      <c r="T35" s="6"/>
      <c r="V35" s="6"/>
      <c r="W35" s="6"/>
      <c r="AH35" s="37"/>
    </row>
    <row r="36" spans="1:34" ht="51">
      <c r="A36" s="15" t="s">
        <v>51</v>
      </c>
      <c r="B36" s="26" t="s">
        <v>9</v>
      </c>
      <c r="C36" s="26" t="s">
        <v>10</v>
      </c>
      <c r="D36" s="26" t="s">
        <v>640</v>
      </c>
      <c r="E36" s="26" t="s">
        <v>11</v>
      </c>
      <c r="F36" s="26" t="s">
        <v>218</v>
      </c>
      <c r="G36" s="26" t="s">
        <v>13</v>
      </c>
      <c r="H36" s="26" t="s">
        <v>159</v>
      </c>
      <c r="I36" s="26" t="s">
        <v>349</v>
      </c>
      <c r="J36" s="26" t="s">
        <v>197</v>
      </c>
      <c r="K36" s="26" t="s">
        <v>162</v>
      </c>
      <c r="L36" s="26" t="s">
        <v>219</v>
      </c>
      <c r="M36" s="26" t="s">
        <v>160</v>
      </c>
      <c r="N36" s="26" t="s">
        <v>31</v>
      </c>
      <c r="O36" s="26" t="s">
        <v>216</v>
      </c>
      <c r="P36" s="26" t="s">
        <v>48</v>
      </c>
      <c r="Q36" s="48">
        <v>1</v>
      </c>
      <c r="R36" s="15" t="s">
        <v>51</v>
      </c>
      <c r="S36" s="26" t="s">
        <v>9</v>
      </c>
      <c r="T36" s="26" t="s">
        <v>10</v>
      </c>
      <c r="U36" s="26" t="s">
        <v>640</v>
      </c>
      <c r="V36" s="26" t="s">
        <v>11</v>
      </c>
      <c r="W36" s="26" t="s">
        <v>218</v>
      </c>
      <c r="X36" s="26" t="s">
        <v>13</v>
      </c>
      <c r="Y36" s="26" t="s">
        <v>159</v>
      </c>
      <c r="Z36" s="26" t="s">
        <v>349</v>
      </c>
      <c r="AA36" s="26" t="s">
        <v>197</v>
      </c>
      <c r="AB36" s="26" t="s">
        <v>162</v>
      </c>
      <c r="AC36" s="26" t="s">
        <v>219</v>
      </c>
      <c r="AD36" s="26" t="s">
        <v>160</v>
      </c>
      <c r="AE36" s="26" t="s">
        <v>31</v>
      </c>
      <c r="AF36" s="26" t="s">
        <v>216</v>
      </c>
      <c r="AG36" s="26" t="s">
        <v>48</v>
      </c>
      <c r="AH36" s="37"/>
    </row>
    <row r="37" spans="1:34">
      <c r="A37" s="13" t="s">
        <v>40</v>
      </c>
      <c r="B37" s="4">
        <v>3897</v>
      </c>
      <c r="C37" s="4">
        <v>3417</v>
      </c>
      <c r="D37" s="4">
        <v>8410</v>
      </c>
      <c r="E37" s="4">
        <v>2460</v>
      </c>
      <c r="F37" s="4">
        <v>2600</v>
      </c>
      <c r="G37" s="4">
        <v>1684</v>
      </c>
      <c r="H37" s="4">
        <v>1195</v>
      </c>
      <c r="I37" s="4">
        <v>180</v>
      </c>
      <c r="J37" s="4">
        <v>94</v>
      </c>
      <c r="K37" s="4">
        <v>110</v>
      </c>
      <c r="L37" s="4">
        <v>490</v>
      </c>
      <c r="M37" s="4">
        <v>624</v>
      </c>
      <c r="N37" s="4">
        <v>2056</v>
      </c>
      <c r="O37" s="5">
        <v>0</v>
      </c>
      <c r="P37" s="4">
        <v>27217</v>
      </c>
      <c r="Q37" s="48">
        <v>2</v>
      </c>
      <c r="R37" s="13" t="s">
        <v>40</v>
      </c>
      <c r="S37" s="4">
        <v>169.39</v>
      </c>
      <c r="T37" s="4">
        <v>155.9</v>
      </c>
      <c r="U37" s="4">
        <v>310.29000000000002</v>
      </c>
      <c r="V37" s="4">
        <v>161.88999999999999</v>
      </c>
      <c r="W37" s="4">
        <v>134.91</v>
      </c>
      <c r="X37" s="4">
        <v>79.45</v>
      </c>
      <c r="Y37" s="4">
        <v>52.47</v>
      </c>
      <c r="Z37" s="4">
        <v>6</v>
      </c>
      <c r="AA37" s="4">
        <v>4.5</v>
      </c>
      <c r="AB37" s="4">
        <v>1.5</v>
      </c>
      <c r="AC37" s="4">
        <v>10.49</v>
      </c>
      <c r="AD37" s="4">
        <v>10.49</v>
      </c>
      <c r="AE37" s="4">
        <v>86.94</v>
      </c>
      <c r="AF37" s="4">
        <v>0</v>
      </c>
      <c r="AG37" s="4">
        <v>1184.22</v>
      </c>
      <c r="AH37" s="49"/>
    </row>
    <row r="38" spans="1:34">
      <c r="A38" s="16" t="s">
        <v>2</v>
      </c>
      <c r="B38" s="5">
        <v>76754</v>
      </c>
      <c r="C38" s="5">
        <v>41062</v>
      </c>
      <c r="D38" s="5">
        <v>70770</v>
      </c>
      <c r="E38" s="5">
        <v>24546</v>
      </c>
      <c r="F38" s="5">
        <v>23831</v>
      </c>
      <c r="G38" s="5">
        <v>17501</v>
      </c>
      <c r="H38" s="5">
        <v>11918</v>
      </c>
      <c r="I38" s="5">
        <v>10583</v>
      </c>
      <c r="J38" s="5">
        <v>1256</v>
      </c>
      <c r="K38" s="5">
        <v>1049</v>
      </c>
      <c r="L38" s="5">
        <v>5467</v>
      </c>
      <c r="M38" s="5">
        <v>13089</v>
      </c>
      <c r="N38" s="5">
        <v>23413</v>
      </c>
      <c r="O38" s="5">
        <v>0</v>
      </c>
      <c r="P38" s="5">
        <v>321239</v>
      </c>
      <c r="Q38" s="48">
        <v>3</v>
      </c>
      <c r="R38" s="16" t="s">
        <v>2</v>
      </c>
      <c r="S38" s="5">
        <v>7523.49</v>
      </c>
      <c r="T38" s="5">
        <v>5520.82</v>
      </c>
      <c r="U38" s="5">
        <v>10298.14</v>
      </c>
      <c r="V38" s="5">
        <v>4991.68</v>
      </c>
      <c r="W38" s="5">
        <v>3903.4</v>
      </c>
      <c r="X38" s="5">
        <v>3549.64</v>
      </c>
      <c r="Y38" s="5">
        <v>2407.4</v>
      </c>
      <c r="Z38" s="5">
        <v>712.03</v>
      </c>
      <c r="AA38" s="5">
        <v>218.85</v>
      </c>
      <c r="AB38" s="5">
        <v>212.86</v>
      </c>
      <c r="AC38" s="5">
        <v>776.48</v>
      </c>
      <c r="AD38" s="5">
        <v>818.46</v>
      </c>
      <c r="AE38" s="5">
        <v>3805.97</v>
      </c>
      <c r="AF38" s="5">
        <v>4.5</v>
      </c>
      <c r="AG38" s="5">
        <v>44743.72</v>
      </c>
      <c r="AH38" s="49"/>
    </row>
    <row r="39" spans="1:34">
      <c r="A39" s="16" t="s">
        <v>41</v>
      </c>
      <c r="B39" s="5">
        <v>379600</v>
      </c>
      <c r="C39" s="5">
        <v>168408</v>
      </c>
      <c r="D39" s="5">
        <v>212127</v>
      </c>
      <c r="E39" s="5">
        <v>88508</v>
      </c>
      <c r="F39" s="5">
        <v>69423</v>
      </c>
      <c r="G39" s="5">
        <v>60359</v>
      </c>
      <c r="H39" s="5">
        <v>42538</v>
      </c>
      <c r="I39" s="5">
        <v>60581</v>
      </c>
      <c r="J39" s="5">
        <v>7867</v>
      </c>
      <c r="K39" s="5">
        <v>7922</v>
      </c>
      <c r="L39" s="5">
        <v>23205</v>
      </c>
      <c r="M39" s="5">
        <v>54554</v>
      </c>
      <c r="N39" s="5">
        <v>92585</v>
      </c>
      <c r="O39" s="5">
        <v>0</v>
      </c>
      <c r="P39" s="5">
        <v>1267677</v>
      </c>
      <c r="Q39" s="48">
        <v>4</v>
      </c>
      <c r="R39" s="16" t="s">
        <v>41</v>
      </c>
      <c r="S39" s="5">
        <v>107521.91</v>
      </c>
      <c r="T39" s="5">
        <v>61814.35</v>
      </c>
      <c r="U39" s="5">
        <v>100684.97</v>
      </c>
      <c r="V39" s="5">
        <v>49792.35</v>
      </c>
      <c r="W39" s="5">
        <v>37121.29</v>
      </c>
      <c r="X39" s="5">
        <v>37236.71</v>
      </c>
      <c r="Y39" s="5">
        <v>31477.54</v>
      </c>
      <c r="Z39" s="5">
        <v>31294.66</v>
      </c>
      <c r="AA39" s="5">
        <v>4108.76</v>
      </c>
      <c r="AB39" s="5">
        <v>5775.65</v>
      </c>
      <c r="AC39" s="5">
        <v>12871.93</v>
      </c>
      <c r="AD39" s="5">
        <v>22134.26</v>
      </c>
      <c r="AE39" s="5">
        <v>49312.67</v>
      </c>
      <c r="AF39" s="5">
        <v>98.93</v>
      </c>
      <c r="AG39" s="5">
        <v>551245.98</v>
      </c>
      <c r="AH39" s="49"/>
    </row>
    <row r="40" spans="1:34">
      <c r="A40" s="16" t="s">
        <v>42</v>
      </c>
      <c r="B40" s="5">
        <v>289455</v>
      </c>
      <c r="C40" s="5">
        <v>173307</v>
      </c>
      <c r="D40" s="5">
        <v>152124</v>
      </c>
      <c r="E40" s="5">
        <v>67285</v>
      </c>
      <c r="F40" s="5">
        <v>56332</v>
      </c>
      <c r="G40" s="5">
        <v>36669</v>
      </c>
      <c r="H40" s="5">
        <v>33682</v>
      </c>
      <c r="I40" s="5">
        <v>23338</v>
      </c>
      <c r="J40" s="5">
        <v>13027</v>
      </c>
      <c r="K40" s="5">
        <v>14828</v>
      </c>
      <c r="L40" s="5">
        <v>21785</v>
      </c>
      <c r="M40" s="5">
        <v>20588</v>
      </c>
      <c r="N40" s="5">
        <v>84186</v>
      </c>
      <c r="O40" s="5">
        <v>1</v>
      </c>
      <c r="P40" s="5">
        <v>986607</v>
      </c>
      <c r="Q40" s="48">
        <v>5</v>
      </c>
      <c r="R40" s="16" t="s">
        <v>42</v>
      </c>
      <c r="S40" s="5">
        <v>102076.04</v>
      </c>
      <c r="T40" s="5">
        <v>64993.73</v>
      </c>
      <c r="U40" s="5">
        <v>76691.94</v>
      </c>
      <c r="V40" s="5">
        <v>37050.83</v>
      </c>
      <c r="W40" s="5">
        <v>31694.9</v>
      </c>
      <c r="X40" s="5">
        <v>23313.98</v>
      </c>
      <c r="Y40" s="5">
        <v>26922.080000000002</v>
      </c>
      <c r="Z40" s="5">
        <v>24385.759999999998</v>
      </c>
      <c r="AA40" s="5">
        <v>7054.3</v>
      </c>
      <c r="AB40" s="5">
        <v>11329.46</v>
      </c>
      <c r="AC40" s="5">
        <v>14204.54</v>
      </c>
      <c r="AD40" s="5">
        <v>13976.69</v>
      </c>
      <c r="AE40" s="5">
        <v>45617.63</v>
      </c>
      <c r="AF40" s="5">
        <v>82.45</v>
      </c>
      <c r="AG40" s="5">
        <v>479394.33</v>
      </c>
      <c r="AH40" s="49"/>
    </row>
    <row r="41" spans="1:34">
      <c r="A41" s="16" t="s">
        <v>43</v>
      </c>
      <c r="B41" s="5">
        <v>195999</v>
      </c>
      <c r="C41" s="5">
        <v>193776</v>
      </c>
      <c r="D41" s="5">
        <v>131034</v>
      </c>
      <c r="E41" s="5">
        <v>57338</v>
      </c>
      <c r="F41" s="5">
        <v>59715</v>
      </c>
      <c r="G41" s="5">
        <v>25314</v>
      </c>
      <c r="H41" s="5">
        <v>29233</v>
      </c>
      <c r="I41" s="5">
        <v>362</v>
      </c>
      <c r="J41" s="5">
        <v>23996</v>
      </c>
      <c r="K41" s="5">
        <v>22659</v>
      </c>
      <c r="L41" s="5">
        <v>19515</v>
      </c>
      <c r="M41" s="5">
        <v>418</v>
      </c>
      <c r="N41" s="5">
        <v>86098</v>
      </c>
      <c r="O41" s="5">
        <v>0</v>
      </c>
      <c r="P41" s="5">
        <v>845457</v>
      </c>
      <c r="Q41" s="48">
        <v>6</v>
      </c>
      <c r="R41" s="16" t="s">
        <v>43</v>
      </c>
      <c r="S41" s="5">
        <v>55969.74</v>
      </c>
      <c r="T41" s="5">
        <v>51564.17</v>
      </c>
      <c r="U41" s="5">
        <v>50072.66</v>
      </c>
      <c r="V41" s="5">
        <v>22129.77</v>
      </c>
      <c r="W41" s="5">
        <v>23648.26</v>
      </c>
      <c r="X41" s="5">
        <v>10875.26</v>
      </c>
      <c r="Y41" s="5">
        <v>16976.2</v>
      </c>
      <c r="Z41" s="5">
        <v>475.18</v>
      </c>
      <c r="AA41" s="5">
        <v>7958.2</v>
      </c>
      <c r="AB41" s="5">
        <v>13123.76</v>
      </c>
      <c r="AC41" s="5">
        <v>8913.07</v>
      </c>
      <c r="AD41" s="5">
        <v>293.8</v>
      </c>
      <c r="AE41" s="5">
        <v>31609.46</v>
      </c>
      <c r="AF41" s="5">
        <v>38.97</v>
      </c>
      <c r="AG41" s="5">
        <v>293648.5</v>
      </c>
      <c r="AH41" s="49"/>
    </row>
    <row r="42" spans="1:34">
      <c r="A42" s="16" t="s">
        <v>44</v>
      </c>
      <c r="B42" s="5">
        <v>134700</v>
      </c>
      <c r="C42" s="5">
        <v>158544</v>
      </c>
      <c r="D42" s="5">
        <v>81928</v>
      </c>
      <c r="E42" s="5">
        <v>44368</v>
      </c>
      <c r="F42" s="5">
        <v>50136</v>
      </c>
      <c r="G42" s="5">
        <v>16219</v>
      </c>
      <c r="H42" s="5">
        <v>23149</v>
      </c>
      <c r="I42" s="5">
        <v>0</v>
      </c>
      <c r="J42" s="5">
        <v>34300</v>
      </c>
      <c r="K42" s="5">
        <v>27317</v>
      </c>
      <c r="L42" s="5">
        <v>14945</v>
      </c>
      <c r="M42" s="5">
        <v>60</v>
      </c>
      <c r="N42" s="5">
        <v>73290</v>
      </c>
      <c r="O42" s="5">
        <v>0</v>
      </c>
      <c r="P42" s="5">
        <v>658956</v>
      </c>
      <c r="Q42" s="48">
        <v>7</v>
      </c>
      <c r="R42" s="16" t="s">
        <v>44</v>
      </c>
      <c r="S42" s="5">
        <v>33499.699999999997</v>
      </c>
      <c r="T42" s="5">
        <v>35565.32</v>
      </c>
      <c r="U42" s="5">
        <v>28029.84</v>
      </c>
      <c r="V42" s="5">
        <v>14087.62</v>
      </c>
      <c r="W42" s="5">
        <v>15429.23</v>
      </c>
      <c r="X42" s="5">
        <v>5706.7</v>
      </c>
      <c r="Y42" s="5">
        <v>10058.299999999999</v>
      </c>
      <c r="Z42" s="5">
        <v>0</v>
      </c>
      <c r="AA42" s="5">
        <v>8364.43</v>
      </c>
      <c r="AB42" s="5">
        <v>14018.67</v>
      </c>
      <c r="AC42" s="5">
        <v>5162.5600000000004</v>
      </c>
      <c r="AD42" s="5">
        <v>16.489999999999998</v>
      </c>
      <c r="AE42" s="5">
        <v>22465.54</v>
      </c>
      <c r="AF42" s="5">
        <v>26.98</v>
      </c>
      <c r="AG42" s="5">
        <v>192431.37999999998</v>
      </c>
      <c r="AH42" s="49"/>
    </row>
    <row r="43" spans="1:34">
      <c r="A43" s="16" t="s">
        <v>3</v>
      </c>
      <c r="B43" s="5">
        <v>41575</v>
      </c>
      <c r="C43" s="5">
        <v>43828</v>
      </c>
      <c r="D43" s="5">
        <v>16623</v>
      </c>
      <c r="E43" s="5">
        <v>13002</v>
      </c>
      <c r="F43" s="5">
        <v>12942</v>
      </c>
      <c r="G43" s="5">
        <v>3206</v>
      </c>
      <c r="H43" s="5">
        <v>6645</v>
      </c>
      <c r="I43" s="5">
        <v>0</v>
      </c>
      <c r="J43" s="5">
        <v>19707</v>
      </c>
      <c r="K43" s="5">
        <v>15189</v>
      </c>
      <c r="L43" s="5">
        <v>6314</v>
      </c>
      <c r="M43" s="5">
        <v>19</v>
      </c>
      <c r="N43" s="5">
        <v>24099</v>
      </c>
      <c r="O43" s="5">
        <v>0</v>
      </c>
      <c r="P43" s="5">
        <v>203149</v>
      </c>
      <c r="Q43" s="48">
        <v>8</v>
      </c>
      <c r="R43" s="16" t="s">
        <v>3</v>
      </c>
      <c r="S43" s="5">
        <v>6631.58</v>
      </c>
      <c r="T43" s="5">
        <v>6289.81</v>
      </c>
      <c r="U43" s="5">
        <v>3804.47</v>
      </c>
      <c r="V43" s="5">
        <v>2939.54</v>
      </c>
      <c r="W43" s="5">
        <v>3170.39</v>
      </c>
      <c r="X43" s="5">
        <v>860.43</v>
      </c>
      <c r="Y43" s="5">
        <v>1831.78</v>
      </c>
      <c r="Z43" s="5">
        <v>0</v>
      </c>
      <c r="AA43" s="5">
        <v>2861.59</v>
      </c>
      <c r="AB43" s="5">
        <v>5426.39</v>
      </c>
      <c r="AC43" s="5">
        <v>1346.1</v>
      </c>
      <c r="AD43" s="5">
        <v>1.5</v>
      </c>
      <c r="AE43" s="5">
        <v>4825.29</v>
      </c>
      <c r="AF43" s="5">
        <v>1.5</v>
      </c>
      <c r="AG43" s="5">
        <v>39990.370000000003</v>
      </c>
      <c r="AH43" s="49"/>
    </row>
    <row r="44" spans="1:34">
      <c r="A44" s="16" t="s">
        <v>216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/>
      <c r="O44" s="5">
        <v>0</v>
      </c>
      <c r="P44" s="5">
        <v>0</v>
      </c>
      <c r="Q44" s="48">
        <v>9</v>
      </c>
      <c r="R44" s="16" t="s">
        <v>216</v>
      </c>
      <c r="S44" s="5">
        <v>0</v>
      </c>
      <c r="T44" s="5">
        <v>1.5</v>
      </c>
      <c r="U44" s="5">
        <v>0</v>
      </c>
      <c r="V44" s="5">
        <v>0</v>
      </c>
      <c r="W44" s="5">
        <v>0</v>
      </c>
      <c r="X44" s="5">
        <v>1.5</v>
      </c>
      <c r="Y44" s="5">
        <v>3</v>
      </c>
      <c r="Z44" s="5">
        <v>0</v>
      </c>
      <c r="AA44" s="5">
        <v>0</v>
      </c>
      <c r="AB44" s="5">
        <v>0</v>
      </c>
      <c r="AC44" s="5">
        <v>0</v>
      </c>
      <c r="AD44" s="5">
        <v>1.5</v>
      </c>
      <c r="AE44" s="5">
        <v>0</v>
      </c>
      <c r="AF44" s="5">
        <v>0</v>
      </c>
      <c r="AG44" s="5">
        <v>7.5</v>
      </c>
      <c r="AH44" s="49"/>
    </row>
    <row r="45" spans="1:34">
      <c r="A45" s="20" t="s">
        <v>46</v>
      </c>
      <c r="B45" s="36">
        <v>1121980</v>
      </c>
      <c r="C45" s="36">
        <v>782342</v>
      </c>
      <c r="D45" s="36">
        <v>673016</v>
      </c>
      <c r="E45" s="36">
        <v>297507</v>
      </c>
      <c r="F45" s="36">
        <v>274979</v>
      </c>
      <c r="G45" s="36">
        <v>160952</v>
      </c>
      <c r="H45" s="36">
        <v>148360</v>
      </c>
      <c r="I45" s="36">
        <v>95044</v>
      </c>
      <c r="J45" s="36">
        <v>100247</v>
      </c>
      <c r="K45" s="36">
        <v>89074</v>
      </c>
      <c r="L45" s="36">
        <v>91721</v>
      </c>
      <c r="M45" s="36">
        <v>89352</v>
      </c>
      <c r="N45" s="36">
        <v>385727</v>
      </c>
      <c r="O45" s="36">
        <v>1</v>
      </c>
      <c r="P45" s="36">
        <v>4310302</v>
      </c>
      <c r="Q45" s="48">
        <v>10</v>
      </c>
      <c r="R45" s="20" t="s">
        <v>46</v>
      </c>
      <c r="S45" s="36">
        <v>313391.85000000003</v>
      </c>
      <c r="T45" s="36">
        <v>225905.59999999998</v>
      </c>
      <c r="U45" s="36">
        <v>269892.31</v>
      </c>
      <c r="V45" s="36">
        <v>131153.68</v>
      </c>
      <c r="W45" s="36">
        <v>115102.37999999999</v>
      </c>
      <c r="X45" s="36">
        <v>81623.669999999984</v>
      </c>
      <c r="Y45" s="36">
        <v>89728.77</v>
      </c>
      <c r="Z45" s="36">
        <v>56873.63</v>
      </c>
      <c r="AA45" s="36">
        <v>30570.63</v>
      </c>
      <c r="AB45" s="36">
        <v>49888.289999999994</v>
      </c>
      <c r="AC45" s="36">
        <v>43285.17</v>
      </c>
      <c r="AD45" s="36">
        <v>37253.19</v>
      </c>
      <c r="AE45" s="36">
        <v>157723.5</v>
      </c>
      <c r="AF45" s="36">
        <v>253.32999999999998</v>
      </c>
      <c r="AG45" s="36">
        <v>1602646</v>
      </c>
      <c r="AH45" s="49"/>
    </row>
    <row r="46" spans="1:34">
      <c r="A46" s="3" t="s">
        <v>402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R46" s="3" t="s">
        <v>403</v>
      </c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</row>
    <row r="47" spans="1:34"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R47" s="3" t="s">
        <v>404</v>
      </c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</row>
    <row r="48" spans="1:34">
      <c r="D48" s="3"/>
      <c r="F48" s="6"/>
      <c r="S48" s="6"/>
      <c r="T48" s="32"/>
      <c r="V48" s="6"/>
      <c r="W48" s="6"/>
    </row>
    <row r="49" spans="1:34">
      <c r="A49" s="7" t="s">
        <v>112</v>
      </c>
      <c r="D49" s="3"/>
      <c r="F49" s="6"/>
      <c r="R49" s="7" t="s">
        <v>115</v>
      </c>
      <c r="S49" s="6"/>
      <c r="T49" s="6"/>
      <c r="V49" s="6"/>
      <c r="W49" s="6"/>
    </row>
    <row r="50" spans="1:34" ht="14.25">
      <c r="A50" s="7" t="s">
        <v>344</v>
      </c>
      <c r="D50" s="3"/>
      <c r="F50" s="6"/>
      <c r="R50" s="7" t="s">
        <v>413</v>
      </c>
      <c r="S50" s="6"/>
      <c r="T50" s="6"/>
      <c r="V50" s="6"/>
      <c r="W50" s="6"/>
    </row>
    <row r="51" spans="1:34" ht="51">
      <c r="A51" s="15" t="s">
        <v>145</v>
      </c>
      <c r="B51" s="26" t="s">
        <v>9</v>
      </c>
      <c r="C51" s="26" t="s">
        <v>10</v>
      </c>
      <c r="D51" s="26" t="s">
        <v>640</v>
      </c>
      <c r="E51" s="26" t="s">
        <v>11</v>
      </c>
      <c r="F51" s="26" t="s">
        <v>218</v>
      </c>
      <c r="G51" s="26" t="s">
        <v>13</v>
      </c>
      <c r="H51" s="26" t="s">
        <v>159</v>
      </c>
      <c r="I51" s="26" t="s">
        <v>349</v>
      </c>
      <c r="J51" s="26" t="s">
        <v>197</v>
      </c>
      <c r="K51" s="26" t="s">
        <v>162</v>
      </c>
      <c r="L51" s="26" t="s">
        <v>219</v>
      </c>
      <c r="M51" s="26" t="s">
        <v>160</v>
      </c>
      <c r="N51" s="26" t="s">
        <v>31</v>
      </c>
      <c r="O51" s="26" t="s">
        <v>216</v>
      </c>
      <c r="P51" s="26" t="s">
        <v>48</v>
      </c>
      <c r="R51" s="15" t="s">
        <v>145</v>
      </c>
      <c r="S51" s="26" t="s">
        <v>9</v>
      </c>
      <c r="T51" s="26" t="s">
        <v>10</v>
      </c>
      <c r="U51" s="26" t="s">
        <v>640</v>
      </c>
      <c r="V51" s="26" t="s">
        <v>11</v>
      </c>
      <c r="W51" s="26" t="s">
        <v>218</v>
      </c>
      <c r="X51" s="26" t="s">
        <v>13</v>
      </c>
      <c r="Y51" s="26" t="s">
        <v>159</v>
      </c>
      <c r="Z51" s="26" t="s">
        <v>349</v>
      </c>
      <c r="AA51" s="26" t="s">
        <v>197</v>
      </c>
      <c r="AB51" s="26" t="s">
        <v>162</v>
      </c>
      <c r="AC51" s="26" t="s">
        <v>219</v>
      </c>
      <c r="AD51" s="26" t="s">
        <v>160</v>
      </c>
      <c r="AE51" s="26" t="s">
        <v>31</v>
      </c>
      <c r="AF51" s="26" t="s">
        <v>216</v>
      </c>
      <c r="AG51" s="26" t="s">
        <v>48</v>
      </c>
    </row>
    <row r="52" spans="1:34">
      <c r="A52" s="21" t="s">
        <v>14</v>
      </c>
      <c r="B52" s="4">
        <v>1154</v>
      </c>
      <c r="C52" s="4">
        <v>2741</v>
      </c>
      <c r="D52" s="4">
        <v>7190</v>
      </c>
      <c r="E52" s="4">
        <v>1477</v>
      </c>
      <c r="F52" s="4">
        <v>1617</v>
      </c>
      <c r="G52" s="4">
        <v>1165</v>
      </c>
      <c r="H52" s="4">
        <v>1364</v>
      </c>
      <c r="I52" s="4">
        <v>203</v>
      </c>
      <c r="J52" s="4">
        <v>541</v>
      </c>
      <c r="K52" s="4">
        <v>816</v>
      </c>
      <c r="L52" s="4">
        <v>683</v>
      </c>
      <c r="M52" s="4">
        <v>904</v>
      </c>
      <c r="N52" s="4">
        <v>1878</v>
      </c>
      <c r="O52" s="5">
        <v>0</v>
      </c>
      <c r="P52" s="4">
        <v>21733</v>
      </c>
      <c r="Q52" s="49"/>
      <c r="R52" s="21" t="s">
        <v>14</v>
      </c>
      <c r="S52" s="4">
        <v>875.42</v>
      </c>
      <c r="T52" s="4">
        <v>984.84</v>
      </c>
      <c r="U52" s="4">
        <v>1644.41</v>
      </c>
      <c r="V52" s="4">
        <v>713.52</v>
      </c>
      <c r="W52" s="4">
        <v>683.54</v>
      </c>
      <c r="X52" s="4">
        <v>674.55</v>
      </c>
      <c r="Y52" s="4">
        <v>810.96</v>
      </c>
      <c r="Z52" s="4">
        <v>106.43</v>
      </c>
      <c r="AA52" s="4">
        <v>181.38</v>
      </c>
      <c r="AB52" s="4">
        <v>347.77</v>
      </c>
      <c r="AC52" s="4">
        <v>310.29000000000002</v>
      </c>
      <c r="AD52" s="4">
        <v>259.33</v>
      </c>
      <c r="AE52" s="4">
        <v>908.4</v>
      </c>
      <c r="AF52" s="4">
        <v>0</v>
      </c>
      <c r="AG52" s="4">
        <v>8500.840000000002</v>
      </c>
      <c r="AH52" s="49"/>
    </row>
    <row r="53" spans="1:34">
      <c r="A53" s="22" t="s">
        <v>15</v>
      </c>
      <c r="B53" s="5">
        <v>16953</v>
      </c>
      <c r="C53" s="5">
        <v>10397</v>
      </c>
      <c r="D53" s="5">
        <v>13440</v>
      </c>
      <c r="E53" s="5">
        <v>3683</v>
      </c>
      <c r="F53" s="5">
        <v>4082</v>
      </c>
      <c r="G53" s="5">
        <v>3171</v>
      </c>
      <c r="H53" s="5">
        <v>2367</v>
      </c>
      <c r="I53" s="5">
        <v>328</v>
      </c>
      <c r="J53" s="5">
        <v>1259</v>
      </c>
      <c r="K53" s="5">
        <v>1314</v>
      </c>
      <c r="L53" s="5">
        <v>1735</v>
      </c>
      <c r="M53" s="5">
        <v>1146</v>
      </c>
      <c r="N53" s="5">
        <v>5364</v>
      </c>
      <c r="O53" s="5">
        <v>0</v>
      </c>
      <c r="P53" s="5">
        <v>65239</v>
      </c>
      <c r="Q53" s="48"/>
      <c r="R53" s="22" t="s">
        <v>15</v>
      </c>
      <c r="S53" s="5">
        <v>4898.74</v>
      </c>
      <c r="T53" s="5">
        <v>4317.13</v>
      </c>
      <c r="U53" s="5">
        <v>4660.3999999999996</v>
      </c>
      <c r="V53" s="5">
        <v>2008.66</v>
      </c>
      <c r="W53" s="5">
        <v>1815.29</v>
      </c>
      <c r="X53" s="5">
        <v>1205.2</v>
      </c>
      <c r="Y53" s="5">
        <v>1605.43</v>
      </c>
      <c r="Z53" s="5">
        <v>416.72</v>
      </c>
      <c r="AA53" s="5">
        <v>557.63</v>
      </c>
      <c r="AB53" s="5">
        <v>704.53</v>
      </c>
      <c r="AC53" s="5">
        <v>698.53</v>
      </c>
      <c r="AD53" s="5">
        <v>314.79000000000002</v>
      </c>
      <c r="AE53" s="5">
        <v>2414.89</v>
      </c>
      <c r="AF53" s="5">
        <v>1.5</v>
      </c>
      <c r="AG53" s="5">
        <v>25619.439999999999</v>
      </c>
      <c r="AH53" s="49"/>
    </row>
    <row r="54" spans="1:34">
      <c r="A54" s="22" t="s">
        <v>16</v>
      </c>
      <c r="B54" s="5">
        <v>32224</v>
      </c>
      <c r="C54" s="5">
        <v>24212</v>
      </c>
      <c r="D54" s="5">
        <v>18842</v>
      </c>
      <c r="E54" s="5">
        <v>8692</v>
      </c>
      <c r="F54" s="5">
        <v>8853</v>
      </c>
      <c r="G54" s="5">
        <v>4038</v>
      </c>
      <c r="H54" s="5">
        <v>4248</v>
      </c>
      <c r="I54" s="5">
        <v>415</v>
      </c>
      <c r="J54" s="5">
        <v>3304</v>
      </c>
      <c r="K54" s="5">
        <v>3646</v>
      </c>
      <c r="L54" s="5">
        <v>3155</v>
      </c>
      <c r="M54" s="5">
        <v>2935</v>
      </c>
      <c r="N54" s="5">
        <v>11683</v>
      </c>
      <c r="O54" s="5">
        <v>0</v>
      </c>
      <c r="P54" s="5">
        <v>126247</v>
      </c>
      <c r="Q54" s="49"/>
      <c r="R54" s="22" t="s">
        <v>16</v>
      </c>
      <c r="S54" s="5">
        <v>12308.31</v>
      </c>
      <c r="T54" s="5">
        <v>12591.62</v>
      </c>
      <c r="U54" s="5">
        <v>11477.86</v>
      </c>
      <c r="V54" s="5">
        <v>6727.52</v>
      </c>
      <c r="W54" s="5">
        <v>5838.61</v>
      </c>
      <c r="X54" s="5">
        <v>2819.62</v>
      </c>
      <c r="Y54" s="5">
        <v>3731.02</v>
      </c>
      <c r="Z54" s="5">
        <v>792.97</v>
      </c>
      <c r="AA54" s="5">
        <v>1557.46</v>
      </c>
      <c r="AB54" s="5">
        <v>2245.5100000000002</v>
      </c>
      <c r="AC54" s="5">
        <v>2182.5500000000002</v>
      </c>
      <c r="AD54" s="5">
        <v>1350.6</v>
      </c>
      <c r="AE54" s="5">
        <v>7366.1</v>
      </c>
      <c r="AF54" s="5">
        <v>4.5</v>
      </c>
      <c r="AG54" s="5">
        <v>70994.25</v>
      </c>
      <c r="AH54" s="49"/>
    </row>
    <row r="55" spans="1:34">
      <c r="A55" s="22" t="s">
        <v>17</v>
      </c>
      <c r="B55" s="5">
        <v>9548</v>
      </c>
      <c r="C55" s="5">
        <v>10528</v>
      </c>
      <c r="D55" s="5">
        <v>8988</v>
      </c>
      <c r="E55" s="5">
        <v>3809</v>
      </c>
      <c r="F55" s="5">
        <v>4424</v>
      </c>
      <c r="G55" s="5">
        <v>1463</v>
      </c>
      <c r="H55" s="5">
        <v>2388</v>
      </c>
      <c r="I55" s="5">
        <v>227</v>
      </c>
      <c r="J55" s="5">
        <v>1723</v>
      </c>
      <c r="K55" s="5">
        <v>1515</v>
      </c>
      <c r="L55" s="5">
        <v>1545</v>
      </c>
      <c r="M55" s="5">
        <v>1135</v>
      </c>
      <c r="N55" s="5">
        <v>5788</v>
      </c>
      <c r="O55" s="5">
        <v>0</v>
      </c>
      <c r="P55" s="5">
        <v>53081</v>
      </c>
      <c r="Q55" s="49"/>
      <c r="R55" s="22" t="s">
        <v>17</v>
      </c>
      <c r="S55" s="5">
        <v>2309.96</v>
      </c>
      <c r="T55" s="5">
        <v>2890.08</v>
      </c>
      <c r="U55" s="5">
        <v>2638.24</v>
      </c>
      <c r="V55" s="5">
        <v>1410.56</v>
      </c>
      <c r="W55" s="5">
        <v>1440.54</v>
      </c>
      <c r="X55" s="5">
        <v>583.11</v>
      </c>
      <c r="Y55" s="5">
        <v>1056.8</v>
      </c>
      <c r="Z55" s="5">
        <v>287.81</v>
      </c>
      <c r="AA55" s="5">
        <v>412.23</v>
      </c>
      <c r="AB55" s="5">
        <v>517.16</v>
      </c>
      <c r="AC55" s="5">
        <v>526.15</v>
      </c>
      <c r="AD55" s="5">
        <v>350.77</v>
      </c>
      <c r="AE55" s="5">
        <v>1929.22</v>
      </c>
      <c r="AF55" s="5">
        <v>3</v>
      </c>
      <c r="AG55" s="5">
        <v>16355.63</v>
      </c>
      <c r="AH55" s="49"/>
    </row>
    <row r="56" spans="1:34">
      <c r="A56" s="22" t="s">
        <v>18</v>
      </c>
      <c r="B56" s="5">
        <v>24623</v>
      </c>
      <c r="C56" s="5">
        <v>18063</v>
      </c>
      <c r="D56" s="5">
        <v>17700</v>
      </c>
      <c r="E56" s="5">
        <v>6266</v>
      </c>
      <c r="F56" s="5">
        <v>7275</v>
      </c>
      <c r="G56" s="5">
        <v>3416</v>
      </c>
      <c r="H56" s="5">
        <v>4229</v>
      </c>
      <c r="I56" s="5">
        <v>636</v>
      </c>
      <c r="J56" s="5">
        <v>2543</v>
      </c>
      <c r="K56" s="5">
        <v>2224</v>
      </c>
      <c r="L56" s="5">
        <v>2708</v>
      </c>
      <c r="M56" s="5">
        <v>2390</v>
      </c>
      <c r="N56" s="5">
        <v>9175</v>
      </c>
      <c r="O56" s="5">
        <v>0</v>
      </c>
      <c r="P56" s="5">
        <v>101248</v>
      </c>
      <c r="Q56" s="49"/>
      <c r="R56" s="22" t="s">
        <v>18</v>
      </c>
      <c r="S56" s="5">
        <v>3805.97</v>
      </c>
      <c r="T56" s="5">
        <v>2554.3000000000002</v>
      </c>
      <c r="U56" s="5">
        <v>2303.9699999999998</v>
      </c>
      <c r="V56" s="5">
        <v>1540.97</v>
      </c>
      <c r="W56" s="5">
        <v>1320.62</v>
      </c>
      <c r="X56" s="5">
        <v>842.44</v>
      </c>
      <c r="Y56" s="5">
        <v>1305.6300000000001</v>
      </c>
      <c r="Z56" s="5">
        <v>368.75</v>
      </c>
      <c r="AA56" s="5">
        <v>332.78</v>
      </c>
      <c r="AB56" s="5">
        <v>584.61</v>
      </c>
      <c r="AC56" s="5">
        <v>545.64</v>
      </c>
      <c r="AD56" s="5">
        <v>490.17</v>
      </c>
      <c r="AE56" s="5">
        <v>1561.96</v>
      </c>
      <c r="AF56" s="5">
        <v>3</v>
      </c>
      <c r="AG56" s="5">
        <v>17560.809999999998</v>
      </c>
      <c r="AH56" s="49"/>
    </row>
    <row r="57" spans="1:34">
      <c r="A57" s="22" t="s">
        <v>19</v>
      </c>
      <c r="B57" s="5">
        <v>90292</v>
      </c>
      <c r="C57" s="5">
        <v>63290</v>
      </c>
      <c r="D57" s="5">
        <v>48574</v>
      </c>
      <c r="E57" s="5">
        <v>23171</v>
      </c>
      <c r="F57" s="5">
        <v>23769</v>
      </c>
      <c r="G57" s="5">
        <v>11072</v>
      </c>
      <c r="H57" s="5">
        <v>11990</v>
      </c>
      <c r="I57" s="5">
        <v>1438</v>
      </c>
      <c r="J57" s="5">
        <v>9490</v>
      </c>
      <c r="K57" s="5">
        <v>8115</v>
      </c>
      <c r="L57" s="5">
        <v>8526</v>
      </c>
      <c r="M57" s="5">
        <v>7302</v>
      </c>
      <c r="N57" s="5">
        <v>32878</v>
      </c>
      <c r="O57" s="5">
        <v>0</v>
      </c>
      <c r="P57" s="5">
        <v>339907</v>
      </c>
      <c r="Q57" s="49"/>
      <c r="R57" s="22" t="s">
        <v>19</v>
      </c>
      <c r="S57" s="5">
        <v>15661.57</v>
      </c>
      <c r="T57" s="5">
        <v>12981.36</v>
      </c>
      <c r="U57" s="5">
        <v>12810.47</v>
      </c>
      <c r="V57" s="5">
        <v>6943.38</v>
      </c>
      <c r="W57" s="5">
        <v>6724.52</v>
      </c>
      <c r="X57" s="5">
        <v>3909.4</v>
      </c>
      <c r="Y57" s="5">
        <v>4825.29</v>
      </c>
      <c r="Z57" s="5">
        <v>2411.89</v>
      </c>
      <c r="AA57" s="5">
        <v>2035.64</v>
      </c>
      <c r="AB57" s="5">
        <v>2678.72</v>
      </c>
      <c r="AC57" s="5">
        <v>2629.25</v>
      </c>
      <c r="AD57" s="5">
        <v>2086.61</v>
      </c>
      <c r="AE57" s="5">
        <v>8517.33</v>
      </c>
      <c r="AF57" s="5">
        <v>11.99</v>
      </c>
      <c r="AG57" s="5">
        <v>84227.420000000013</v>
      </c>
      <c r="AH57" s="49"/>
    </row>
    <row r="58" spans="1:34">
      <c r="A58" s="22" t="s">
        <v>20</v>
      </c>
      <c r="B58" s="5">
        <v>648550</v>
      </c>
      <c r="C58" s="5">
        <v>408538</v>
      </c>
      <c r="D58" s="5">
        <v>386436</v>
      </c>
      <c r="E58" s="5">
        <v>186686</v>
      </c>
      <c r="F58" s="5">
        <v>134349</v>
      </c>
      <c r="G58" s="5">
        <v>104569</v>
      </c>
      <c r="H58" s="5">
        <v>76211</v>
      </c>
      <c r="I58" s="5">
        <v>86216</v>
      </c>
      <c r="J58" s="5">
        <v>52107</v>
      </c>
      <c r="K58" s="5">
        <v>43169</v>
      </c>
      <c r="L58" s="5">
        <v>48733</v>
      </c>
      <c r="M58" s="5">
        <v>41391</v>
      </c>
      <c r="N58" s="5">
        <v>212482</v>
      </c>
      <c r="O58" s="5">
        <v>1</v>
      </c>
      <c r="P58" s="5">
        <v>2429438</v>
      </c>
      <c r="Q58" s="49"/>
      <c r="R58" s="22" t="s">
        <v>20</v>
      </c>
      <c r="S58" s="5">
        <v>206766.34</v>
      </c>
      <c r="T58" s="5">
        <v>142974.81</v>
      </c>
      <c r="U58" s="5">
        <v>188444.04</v>
      </c>
      <c r="V58" s="5">
        <v>90545.72</v>
      </c>
      <c r="W58" s="5">
        <v>74639.81</v>
      </c>
      <c r="X58" s="5">
        <v>57440.26</v>
      </c>
      <c r="Y58" s="5">
        <v>59402.45</v>
      </c>
      <c r="Z58" s="5">
        <v>29187.07</v>
      </c>
      <c r="AA58" s="5">
        <v>19397.09</v>
      </c>
      <c r="AB58" s="5">
        <v>32269.02</v>
      </c>
      <c r="AC58" s="5">
        <v>28308.65</v>
      </c>
      <c r="AD58" s="5">
        <v>24919.41</v>
      </c>
      <c r="AE58" s="5">
        <v>104751.76</v>
      </c>
      <c r="AF58" s="5">
        <v>131.91</v>
      </c>
      <c r="AG58" s="5">
        <v>1059178.3399999999</v>
      </c>
      <c r="AH58" s="49"/>
    </row>
    <row r="59" spans="1:34">
      <c r="A59" s="22" t="s">
        <v>21</v>
      </c>
      <c r="B59" s="5">
        <v>45582</v>
      </c>
      <c r="C59" s="5">
        <v>43809</v>
      </c>
      <c r="D59" s="5">
        <v>32478</v>
      </c>
      <c r="E59" s="5">
        <v>9497</v>
      </c>
      <c r="F59" s="5">
        <v>15281</v>
      </c>
      <c r="G59" s="5">
        <v>5842</v>
      </c>
      <c r="H59" s="5">
        <v>6104</v>
      </c>
      <c r="I59" s="5">
        <v>901</v>
      </c>
      <c r="J59" s="5">
        <v>5677</v>
      </c>
      <c r="K59" s="5">
        <v>4414</v>
      </c>
      <c r="L59" s="5">
        <v>4664</v>
      </c>
      <c r="M59" s="5">
        <v>9262</v>
      </c>
      <c r="N59" s="5">
        <v>17299</v>
      </c>
      <c r="O59" s="5">
        <v>0</v>
      </c>
      <c r="P59" s="5">
        <v>200810</v>
      </c>
      <c r="Q59" s="49"/>
      <c r="R59" s="22" t="s">
        <v>21</v>
      </c>
      <c r="S59" s="5">
        <v>8629.75</v>
      </c>
      <c r="T59" s="5">
        <v>7055.8</v>
      </c>
      <c r="U59" s="5">
        <v>11296.48</v>
      </c>
      <c r="V59" s="5">
        <v>2978.52</v>
      </c>
      <c r="W59" s="5">
        <v>3777.49</v>
      </c>
      <c r="X59" s="5">
        <v>2217.02</v>
      </c>
      <c r="Y59" s="5">
        <v>2399.9</v>
      </c>
      <c r="Z59" s="5">
        <v>1112.26</v>
      </c>
      <c r="AA59" s="5">
        <v>962.36</v>
      </c>
      <c r="AB59" s="5">
        <v>1702.87</v>
      </c>
      <c r="AC59" s="5">
        <v>1274.1500000000001</v>
      </c>
      <c r="AD59" s="5">
        <v>1561.96</v>
      </c>
      <c r="AE59" s="5">
        <v>4577.95</v>
      </c>
      <c r="AF59" s="5">
        <v>11.99</v>
      </c>
      <c r="AG59" s="5">
        <v>49558.5</v>
      </c>
      <c r="AH59" s="49"/>
    </row>
    <row r="60" spans="1:34">
      <c r="A60" s="22" t="s">
        <v>22</v>
      </c>
      <c r="B60" s="5">
        <v>54447</v>
      </c>
      <c r="C60" s="5">
        <v>39903</v>
      </c>
      <c r="D60" s="5">
        <v>25087</v>
      </c>
      <c r="E60" s="5">
        <v>9110</v>
      </c>
      <c r="F60" s="5">
        <v>15021</v>
      </c>
      <c r="G60" s="5">
        <v>4034</v>
      </c>
      <c r="H60" s="5">
        <v>7224</v>
      </c>
      <c r="I60" s="5">
        <v>972</v>
      </c>
      <c r="J60" s="5">
        <v>4852</v>
      </c>
      <c r="K60" s="5">
        <v>5660</v>
      </c>
      <c r="L60" s="5">
        <v>4368</v>
      </c>
      <c r="M60" s="5">
        <v>5706</v>
      </c>
      <c r="N60" s="5">
        <v>17423</v>
      </c>
      <c r="O60" s="5">
        <v>0</v>
      </c>
      <c r="P60" s="5">
        <v>193807</v>
      </c>
      <c r="Q60" s="49"/>
      <c r="R60" s="22" t="s">
        <v>22</v>
      </c>
      <c r="S60" s="5">
        <v>7775.32</v>
      </c>
      <c r="T60" s="5">
        <v>5882.08</v>
      </c>
      <c r="U60" s="5">
        <v>5264.5</v>
      </c>
      <c r="V60" s="5">
        <v>2614.2600000000002</v>
      </c>
      <c r="W60" s="5">
        <v>3087.94</v>
      </c>
      <c r="X60" s="5">
        <v>2005.66</v>
      </c>
      <c r="Y60" s="5">
        <v>2399.9</v>
      </c>
      <c r="Z60" s="5">
        <v>736.01</v>
      </c>
      <c r="AA60" s="5">
        <v>761.49</v>
      </c>
      <c r="AB60" s="5">
        <v>1283.1500000000001</v>
      </c>
      <c r="AC60" s="5">
        <v>986.34</v>
      </c>
      <c r="AD60" s="5">
        <v>1028.32</v>
      </c>
      <c r="AE60" s="5">
        <v>3951.37</v>
      </c>
      <c r="AF60" s="5">
        <v>6</v>
      </c>
      <c r="AG60" s="5">
        <v>37782.340000000004</v>
      </c>
      <c r="AH60" s="49"/>
    </row>
    <row r="61" spans="1:34">
      <c r="A61" s="22" t="s">
        <v>237</v>
      </c>
      <c r="B61" s="5">
        <v>18929</v>
      </c>
      <c r="C61" s="5">
        <v>13602</v>
      </c>
      <c r="D61" s="5">
        <v>13164</v>
      </c>
      <c r="E61" s="5">
        <v>3350</v>
      </c>
      <c r="F61" s="5">
        <v>5685</v>
      </c>
      <c r="G61" s="5">
        <v>1272</v>
      </c>
      <c r="H61" s="5">
        <v>3399</v>
      </c>
      <c r="I61" s="5">
        <v>421</v>
      </c>
      <c r="J61" s="5">
        <v>2198</v>
      </c>
      <c r="K61" s="5">
        <v>1629</v>
      </c>
      <c r="L61" s="5">
        <v>1543</v>
      </c>
      <c r="M61" s="5">
        <v>2208</v>
      </c>
      <c r="N61" s="5">
        <v>7352</v>
      </c>
      <c r="O61" s="5">
        <v>0</v>
      </c>
      <c r="P61" s="5">
        <v>74752</v>
      </c>
      <c r="Q61" s="49"/>
      <c r="R61" s="22" t="s">
        <v>237</v>
      </c>
      <c r="S61" s="5">
        <v>3858.43</v>
      </c>
      <c r="T61" s="5">
        <v>2163.06</v>
      </c>
      <c r="U61" s="5">
        <v>2473.35</v>
      </c>
      <c r="V61" s="5">
        <v>1017.82</v>
      </c>
      <c r="W61" s="5">
        <v>1046.3</v>
      </c>
      <c r="X61" s="5">
        <v>734.51</v>
      </c>
      <c r="Y61" s="5">
        <v>1028.32</v>
      </c>
      <c r="Z61" s="5">
        <v>368.75</v>
      </c>
      <c r="AA61" s="5">
        <v>370.25</v>
      </c>
      <c r="AB61" s="5">
        <v>467.69</v>
      </c>
      <c r="AC61" s="5">
        <v>422.72</v>
      </c>
      <c r="AD61" s="5">
        <v>352.27</v>
      </c>
      <c r="AE61" s="5">
        <v>1659.4</v>
      </c>
      <c r="AF61" s="5">
        <v>4.5</v>
      </c>
      <c r="AG61" s="5">
        <v>15967.369999999999</v>
      </c>
      <c r="AH61" s="49"/>
    </row>
    <row r="62" spans="1:34">
      <c r="A62" s="22" t="s">
        <v>23</v>
      </c>
      <c r="B62" s="5">
        <v>92545</v>
      </c>
      <c r="C62" s="5">
        <v>74530</v>
      </c>
      <c r="D62" s="5">
        <v>38632</v>
      </c>
      <c r="E62" s="5">
        <v>17988</v>
      </c>
      <c r="F62" s="5">
        <v>24997</v>
      </c>
      <c r="G62" s="5">
        <v>8702</v>
      </c>
      <c r="H62" s="5">
        <v>11553</v>
      </c>
      <c r="I62" s="5">
        <v>1240</v>
      </c>
      <c r="J62" s="5">
        <v>7639</v>
      </c>
      <c r="K62" s="5">
        <v>7570</v>
      </c>
      <c r="L62" s="5">
        <v>6377</v>
      </c>
      <c r="M62" s="5">
        <v>8874</v>
      </c>
      <c r="N62" s="5">
        <v>30473</v>
      </c>
      <c r="O62" s="5">
        <v>0</v>
      </c>
      <c r="P62" s="5">
        <v>331120</v>
      </c>
      <c r="Q62" s="49"/>
      <c r="R62" s="22" t="s">
        <v>23</v>
      </c>
      <c r="S62" s="5">
        <v>21041.49</v>
      </c>
      <c r="T62" s="5">
        <v>14167.07</v>
      </c>
      <c r="U62" s="5">
        <v>9356.77</v>
      </c>
      <c r="V62" s="5">
        <v>5676.72</v>
      </c>
      <c r="W62" s="5">
        <v>5957.03</v>
      </c>
      <c r="X62" s="5">
        <v>3829.95</v>
      </c>
      <c r="Y62" s="5">
        <v>4060.8</v>
      </c>
      <c r="Z62" s="5">
        <v>2092.61</v>
      </c>
      <c r="AA62" s="5">
        <v>1660.89</v>
      </c>
      <c r="AB62" s="5">
        <v>2777.65</v>
      </c>
      <c r="AC62" s="5">
        <v>2297.9699999999998</v>
      </c>
      <c r="AD62" s="5">
        <v>2284.48</v>
      </c>
      <c r="AE62" s="5">
        <v>8724.19</v>
      </c>
      <c r="AF62" s="5">
        <v>20.99</v>
      </c>
      <c r="AG62" s="5">
        <v>83948.61</v>
      </c>
      <c r="AH62" s="49"/>
    </row>
    <row r="63" spans="1:34">
      <c r="A63" s="22" t="s">
        <v>24</v>
      </c>
      <c r="B63" s="5">
        <v>29329</v>
      </c>
      <c r="C63" s="5">
        <v>22040</v>
      </c>
      <c r="D63" s="5">
        <v>16458</v>
      </c>
      <c r="E63" s="5">
        <v>6404</v>
      </c>
      <c r="F63" s="5">
        <v>8956</v>
      </c>
      <c r="G63" s="5">
        <v>3485</v>
      </c>
      <c r="H63" s="5">
        <v>4814</v>
      </c>
      <c r="I63" s="5">
        <v>729</v>
      </c>
      <c r="J63" s="5">
        <v>2619</v>
      </c>
      <c r="K63" s="5">
        <v>3002</v>
      </c>
      <c r="L63" s="5">
        <v>2238</v>
      </c>
      <c r="M63" s="5">
        <v>2689</v>
      </c>
      <c r="N63" s="5">
        <v>11085</v>
      </c>
      <c r="O63" s="5">
        <v>0</v>
      </c>
      <c r="P63" s="5">
        <v>113848</v>
      </c>
      <c r="Q63" s="49"/>
      <c r="R63" s="22" t="s">
        <v>24</v>
      </c>
      <c r="S63" s="5">
        <v>8433.39</v>
      </c>
      <c r="T63" s="5">
        <v>5324.46</v>
      </c>
      <c r="U63" s="5">
        <v>3558.63</v>
      </c>
      <c r="V63" s="5">
        <v>2618.7600000000002</v>
      </c>
      <c r="W63" s="5">
        <v>2443.37</v>
      </c>
      <c r="X63" s="5">
        <v>1771.82</v>
      </c>
      <c r="Y63" s="5">
        <v>2357.9299999999998</v>
      </c>
      <c r="Z63" s="5">
        <v>953.37</v>
      </c>
      <c r="AA63" s="5">
        <v>698.53</v>
      </c>
      <c r="AB63" s="5">
        <v>1344.6</v>
      </c>
      <c r="AC63" s="5">
        <v>1113.76</v>
      </c>
      <c r="AD63" s="5">
        <v>927.88</v>
      </c>
      <c r="AE63" s="5">
        <v>3486.68</v>
      </c>
      <c r="AF63" s="5">
        <v>19.489999999999998</v>
      </c>
      <c r="AG63" s="5">
        <v>35052.669999999991</v>
      </c>
      <c r="AH63" s="49"/>
    </row>
    <row r="64" spans="1:34">
      <c r="A64" s="22" t="s">
        <v>25</v>
      </c>
      <c r="B64" s="5">
        <v>6544</v>
      </c>
      <c r="C64" s="5">
        <v>7615</v>
      </c>
      <c r="D64" s="5">
        <v>6758</v>
      </c>
      <c r="E64" s="5">
        <v>3251</v>
      </c>
      <c r="F64" s="5">
        <v>3676</v>
      </c>
      <c r="G64" s="5">
        <v>1536</v>
      </c>
      <c r="H64" s="5">
        <v>2398</v>
      </c>
      <c r="I64" s="5">
        <v>323</v>
      </c>
      <c r="J64" s="5">
        <v>1005</v>
      </c>
      <c r="K64" s="5">
        <v>1364</v>
      </c>
      <c r="L64" s="5">
        <v>1011</v>
      </c>
      <c r="M64" s="5">
        <v>568</v>
      </c>
      <c r="N64" s="5">
        <v>3947</v>
      </c>
      <c r="O64" s="5">
        <v>0</v>
      </c>
      <c r="P64" s="5">
        <v>39996</v>
      </c>
      <c r="Q64" s="49"/>
      <c r="R64" s="22" t="s">
        <v>25</v>
      </c>
      <c r="S64" s="5">
        <v>2602.27</v>
      </c>
      <c r="T64" s="5">
        <v>2070.12</v>
      </c>
      <c r="U64" s="5">
        <v>1854.27</v>
      </c>
      <c r="V64" s="5">
        <v>1245.67</v>
      </c>
      <c r="W64" s="5">
        <v>1038.81</v>
      </c>
      <c r="X64" s="5">
        <v>746.5</v>
      </c>
      <c r="Y64" s="5">
        <v>1067.29</v>
      </c>
      <c r="Z64" s="5">
        <v>281.81</v>
      </c>
      <c r="AA64" s="5">
        <v>226.35</v>
      </c>
      <c r="AB64" s="5">
        <v>719.52</v>
      </c>
      <c r="AC64" s="5">
        <v>352.27</v>
      </c>
      <c r="AD64" s="5">
        <v>212.86</v>
      </c>
      <c r="AE64" s="5">
        <v>1499</v>
      </c>
      <c r="AF64" s="5">
        <v>1.5</v>
      </c>
      <c r="AG64" s="5">
        <v>13918.240000000002</v>
      </c>
      <c r="AH64" s="49"/>
    </row>
    <row r="65" spans="1:34">
      <c r="A65" s="22" t="s">
        <v>26</v>
      </c>
      <c r="B65" s="5">
        <v>37648</v>
      </c>
      <c r="C65" s="5">
        <v>33671</v>
      </c>
      <c r="D65" s="5">
        <v>25671</v>
      </c>
      <c r="E65" s="5">
        <v>10414</v>
      </c>
      <c r="F65" s="5">
        <v>12966</v>
      </c>
      <c r="G65" s="5">
        <v>5589</v>
      </c>
      <c r="H65" s="5">
        <v>7496</v>
      </c>
      <c r="I65" s="5">
        <v>739</v>
      </c>
      <c r="J65" s="5">
        <v>4074</v>
      </c>
      <c r="K65" s="5">
        <v>3138</v>
      </c>
      <c r="L65" s="5">
        <v>3162</v>
      </c>
      <c r="M65" s="5">
        <v>1891</v>
      </c>
      <c r="N65" s="5">
        <v>14077</v>
      </c>
      <c r="O65" s="5">
        <v>0</v>
      </c>
      <c r="P65" s="5">
        <v>160536</v>
      </c>
      <c r="Q65" s="49"/>
      <c r="R65" s="22" t="s">
        <v>26</v>
      </c>
      <c r="S65" s="5">
        <v>10242.68</v>
      </c>
      <c r="T65" s="5">
        <v>6844.44</v>
      </c>
      <c r="U65" s="5">
        <v>6112.93</v>
      </c>
      <c r="V65" s="5">
        <v>3576.62</v>
      </c>
      <c r="W65" s="5">
        <v>3686.05</v>
      </c>
      <c r="X65" s="5">
        <v>2149.5700000000002</v>
      </c>
      <c r="Y65" s="5">
        <v>2629.25</v>
      </c>
      <c r="Z65" s="5">
        <v>938.38</v>
      </c>
      <c r="AA65" s="5">
        <v>953.37</v>
      </c>
      <c r="AB65" s="5">
        <v>1519.99</v>
      </c>
      <c r="AC65" s="5">
        <v>1107.76</v>
      </c>
      <c r="AD65" s="5">
        <v>698.53</v>
      </c>
      <c r="AE65" s="5">
        <v>4488.01</v>
      </c>
      <c r="AF65" s="5">
        <v>26.98</v>
      </c>
      <c r="AG65" s="5">
        <v>44974.559999999998</v>
      </c>
      <c r="AH65" s="49"/>
    </row>
    <row r="66" spans="1:34">
      <c r="A66" s="22" t="s">
        <v>27</v>
      </c>
      <c r="B66" s="5">
        <v>4389</v>
      </c>
      <c r="C66" s="5">
        <v>2547</v>
      </c>
      <c r="D66" s="5">
        <v>1564</v>
      </c>
      <c r="E66" s="5">
        <v>1228</v>
      </c>
      <c r="F66" s="5">
        <v>1507</v>
      </c>
      <c r="G66" s="5">
        <v>570</v>
      </c>
      <c r="H66" s="5">
        <v>794</v>
      </c>
      <c r="I66" s="5">
        <v>111</v>
      </c>
      <c r="J66" s="5">
        <v>354</v>
      </c>
      <c r="K66" s="5">
        <v>439</v>
      </c>
      <c r="L66" s="5">
        <v>507</v>
      </c>
      <c r="M66" s="5">
        <v>304</v>
      </c>
      <c r="N66" s="5">
        <v>1718</v>
      </c>
      <c r="O66" s="5">
        <v>0</v>
      </c>
      <c r="P66" s="5">
        <v>16032</v>
      </c>
      <c r="Q66" s="49"/>
      <c r="R66" s="22" t="s">
        <v>27</v>
      </c>
      <c r="S66" s="5">
        <v>1137.74</v>
      </c>
      <c r="T66" s="5">
        <v>500.67</v>
      </c>
      <c r="U66" s="5">
        <v>367.26</v>
      </c>
      <c r="V66" s="5">
        <v>331.28</v>
      </c>
      <c r="W66" s="5">
        <v>347.77</v>
      </c>
      <c r="X66" s="5">
        <v>166.39</v>
      </c>
      <c r="Y66" s="5">
        <v>232.35</v>
      </c>
      <c r="Z66" s="5">
        <v>128.91</v>
      </c>
      <c r="AA66" s="5">
        <v>112.43</v>
      </c>
      <c r="AB66" s="5">
        <v>145.4</v>
      </c>
      <c r="AC66" s="5">
        <v>146.9</v>
      </c>
      <c r="AD66" s="5">
        <v>76.45</v>
      </c>
      <c r="AE66" s="5">
        <v>332.78</v>
      </c>
      <c r="AF66" s="5">
        <v>3</v>
      </c>
      <c r="AG66" s="5">
        <v>4029.329999999999</v>
      </c>
      <c r="AH66" s="49"/>
    </row>
    <row r="67" spans="1:34">
      <c r="A67" s="22" t="s">
        <v>28</v>
      </c>
      <c r="B67" s="5">
        <v>9223</v>
      </c>
      <c r="C67" s="5">
        <v>6856</v>
      </c>
      <c r="D67" s="5">
        <v>12034</v>
      </c>
      <c r="E67" s="5">
        <v>2481</v>
      </c>
      <c r="F67" s="5">
        <v>2521</v>
      </c>
      <c r="G67" s="5">
        <v>1028</v>
      </c>
      <c r="H67" s="5">
        <v>1781</v>
      </c>
      <c r="I67" s="5">
        <v>145</v>
      </c>
      <c r="J67" s="5">
        <v>862</v>
      </c>
      <c r="K67" s="5">
        <v>1059</v>
      </c>
      <c r="L67" s="5">
        <v>766</v>
      </c>
      <c r="M67" s="5">
        <v>647</v>
      </c>
      <c r="N67" s="5">
        <v>3105</v>
      </c>
      <c r="O67" s="5">
        <v>0</v>
      </c>
      <c r="P67" s="5">
        <v>42508</v>
      </c>
      <c r="Q67" s="49"/>
      <c r="R67" s="22" t="s">
        <v>28</v>
      </c>
      <c r="S67" s="5">
        <v>2761.16</v>
      </c>
      <c r="T67" s="5">
        <v>2404.4</v>
      </c>
      <c r="U67" s="5">
        <v>4583.95</v>
      </c>
      <c r="V67" s="5">
        <v>1107.76</v>
      </c>
      <c r="W67" s="5">
        <v>1134.74</v>
      </c>
      <c r="X67" s="5">
        <v>464.69</v>
      </c>
      <c r="Y67" s="5">
        <v>730.01</v>
      </c>
      <c r="Z67" s="5">
        <v>257.83</v>
      </c>
      <c r="AA67" s="5">
        <v>319.29000000000002</v>
      </c>
      <c r="AB67" s="5">
        <v>514.16</v>
      </c>
      <c r="AC67" s="5">
        <v>355.26</v>
      </c>
      <c r="AD67" s="5">
        <v>301.3</v>
      </c>
      <c r="AE67" s="5">
        <v>1427.05</v>
      </c>
      <c r="AF67" s="5">
        <v>3</v>
      </c>
      <c r="AG67" s="5">
        <v>16364.599999999999</v>
      </c>
      <c r="AH67" s="49"/>
    </row>
    <row r="68" spans="1:34">
      <c r="A68" s="22" t="s">
        <v>216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49"/>
      <c r="R68" s="22" t="s">
        <v>216</v>
      </c>
      <c r="S68" s="5">
        <v>283.31</v>
      </c>
      <c r="T68" s="5">
        <v>199.37</v>
      </c>
      <c r="U68" s="5">
        <v>1044.8</v>
      </c>
      <c r="V68" s="5">
        <v>95.94</v>
      </c>
      <c r="W68" s="5">
        <v>119.92</v>
      </c>
      <c r="X68" s="5">
        <v>62.96</v>
      </c>
      <c r="Y68" s="5">
        <v>85.44</v>
      </c>
      <c r="Z68" s="5">
        <v>16432.060000000001</v>
      </c>
      <c r="AA68" s="5">
        <v>31.48</v>
      </c>
      <c r="AB68" s="5">
        <v>65.959999999999994</v>
      </c>
      <c r="AC68" s="5">
        <v>26.98</v>
      </c>
      <c r="AD68" s="5">
        <v>37.479999999999997</v>
      </c>
      <c r="AE68" s="5">
        <v>127.42</v>
      </c>
      <c r="AF68" s="5">
        <v>0</v>
      </c>
      <c r="AG68" s="5">
        <v>18613.12</v>
      </c>
      <c r="AH68" s="49"/>
    </row>
    <row r="69" spans="1:34">
      <c r="A69" s="20" t="s">
        <v>46</v>
      </c>
      <c r="B69" s="36">
        <v>1121980</v>
      </c>
      <c r="C69" s="36">
        <v>782342</v>
      </c>
      <c r="D69" s="36">
        <v>673016</v>
      </c>
      <c r="E69" s="36">
        <v>297507</v>
      </c>
      <c r="F69" s="36">
        <v>274979</v>
      </c>
      <c r="G69" s="36">
        <v>160952</v>
      </c>
      <c r="H69" s="36">
        <v>148360</v>
      </c>
      <c r="I69" s="36">
        <v>95044</v>
      </c>
      <c r="J69" s="36">
        <v>100247</v>
      </c>
      <c r="K69" s="36">
        <v>89074</v>
      </c>
      <c r="L69" s="36">
        <v>91721</v>
      </c>
      <c r="M69" s="36">
        <v>89352</v>
      </c>
      <c r="N69" s="36">
        <v>385727</v>
      </c>
      <c r="O69" s="36">
        <v>1</v>
      </c>
      <c r="P69" s="36">
        <v>4310302</v>
      </c>
      <c r="Q69" s="48"/>
      <c r="R69" s="20" t="s">
        <v>46</v>
      </c>
      <c r="S69" s="36">
        <v>313391.84999999998</v>
      </c>
      <c r="T69" s="36">
        <v>225905.61</v>
      </c>
      <c r="U69" s="36">
        <v>269892.33</v>
      </c>
      <c r="V69" s="36">
        <v>131153.68</v>
      </c>
      <c r="W69" s="36">
        <v>115102.35</v>
      </c>
      <c r="X69" s="36">
        <v>81623.650000000023</v>
      </c>
      <c r="Y69" s="36">
        <v>89728.76999999999</v>
      </c>
      <c r="Z69" s="36">
        <v>56873.630000000005</v>
      </c>
      <c r="AA69" s="36">
        <v>30570.649999999998</v>
      </c>
      <c r="AB69" s="36">
        <v>49888.310000000005</v>
      </c>
      <c r="AC69" s="36">
        <v>43285.170000000006</v>
      </c>
      <c r="AD69" s="36">
        <v>37253.21</v>
      </c>
      <c r="AE69" s="36">
        <v>157723.51</v>
      </c>
      <c r="AF69" s="36">
        <v>253.35000000000002</v>
      </c>
      <c r="AG69" s="36">
        <v>1602646.0700000005</v>
      </c>
      <c r="AH69" s="49"/>
    </row>
    <row r="70" spans="1:34">
      <c r="A70" s="3" t="s">
        <v>402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R70" s="3" t="s">
        <v>403</v>
      </c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</row>
    <row r="71" spans="1:34">
      <c r="E71" s="3"/>
      <c r="F71" s="6"/>
      <c r="R71" s="3" t="s">
        <v>404</v>
      </c>
      <c r="S71" s="6"/>
      <c r="T71" s="6"/>
      <c r="V71" s="6"/>
      <c r="W71" s="6"/>
    </row>
    <row r="72" spans="1:34">
      <c r="A72" s="7" t="s">
        <v>116</v>
      </c>
      <c r="E72" s="3"/>
      <c r="F72" s="6"/>
      <c r="S72" s="6"/>
      <c r="T72" s="6"/>
      <c r="V72" s="6"/>
      <c r="W72" s="6"/>
    </row>
    <row r="73" spans="1:34">
      <c r="A73" s="7" t="s">
        <v>345</v>
      </c>
      <c r="E73" s="3"/>
      <c r="F73" s="6"/>
      <c r="R73" s="7"/>
      <c r="S73" s="6"/>
      <c r="T73" s="6"/>
      <c r="V73" s="6"/>
      <c r="W73" s="6"/>
    </row>
    <row r="74" spans="1:34" ht="14.25">
      <c r="A74" s="8" t="s">
        <v>144</v>
      </c>
      <c r="B74" s="8" t="s">
        <v>0</v>
      </c>
      <c r="C74" s="8" t="s">
        <v>409</v>
      </c>
      <c r="D74" s="8" t="s">
        <v>45</v>
      </c>
      <c r="E74" s="3"/>
      <c r="F74" s="6"/>
      <c r="R74" s="25"/>
      <c r="S74" s="25"/>
      <c r="T74" s="25"/>
      <c r="V74" s="25"/>
      <c r="W74" s="6"/>
    </row>
    <row r="75" spans="1:34">
      <c r="A75" s="33" t="s">
        <v>9</v>
      </c>
      <c r="B75" s="4">
        <v>21037524</v>
      </c>
      <c r="C75" s="4">
        <v>3990717.99</v>
      </c>
      <c r="D75" s="4">
        <v>25028241.990000002</v>
      </c>
      <c r="E75" s="3"/>
      <c r="F75" s="6"/>
      <c r="R75" s="24"/>
      <c r="S75" s="12"/>
      <c r="T75" s="12"/>
      <c r="V75" s="12"/>
      <c r="W75" s="6"/>
    </row>
    <row r="76" spans="1:34">
      <c r="A76" s="33" t="s">
        <v>10</v>
      </c>
      <c r="B76" s="5">
        <v>10774393</v>
      </c>
      <c r="C76" s="5">
        <v>2535525.7200000002</v>
      </c>
      <c r="D76" s="5">
        <v>13309918.720000001</v>
      </c>
      <c r="E76" s="3"/>
      <c r="F76" s="6"/>
      <c r="R76" s="24"/>
      <c r="S76" s="12"/>
      <c r="T76" s="12"/>
      <c r="V76" s="12"/>
      <c r="W76" s="6"/>
    </row>
    <row r="77" spans="1:34" ht="14.25">
      <c r="A77" s="33" t="s">
        <v>455</v>
      </c>
      <c r="B77" s="5">
        <v>4058907</v>
      </c>
      <c r="C77" s="5">
        <v>1935415.01</v>
      </c>
      <c r="D77" s="5">
        <v>5994322.0099999998</v>
      </c>
      <c r="E77" s="3"/>
      <c r="F77" s="6"/>
      <c r="R77" s="24"/>
      <c r="S77" s="12"/>
      <c r="T77" s="12"/>
      <c r="V77" s="12"/>
      <c r="W77" s="6"/>
    </row>
    <row r="78" spans="1:34">
      <c r="A78" s="33" t="s">
        <v>11</v>
      </c>
      <c r="B78" s="5">
        <v>1356699</v>
      </c>
      <c r="C78" s="5">
        <v>463197.74</v>
      </c>
      <c r="D78" s="5">
        <v>1819896.74</v>
      </c>
      <c r="E78" s="3"/>
      <c r="F78" s="6"/>
      <c r="R78" s="24"/>
      <c r="S78" s="12"/>
      <c r="T78" s="12"/>
      <c r="V78" s="12"/>
      <c r="W78" s="6"/>
    </row>
    <row r="79" spans="1:34">
      <c r="A79" s="33" t="s">
        <v>12</v>
      </c>
      <c r="B79" s="5">
        <v>4770758</v>
      </c>
      <c r="C79" s="5">
        <v>1842166.31</v>
      </c>
      <c r="D79" s="5">
        <v>6612924.3100000005</v>
      </c>
      <c r="E79" s="3"/>
      <c r="F79" s="6"/>
      <c r="R79" s="24"/>
      <c r="T79" s="12"/>
      <c r="V79" s="12"/>
      <c r="W79" s="6"/>
    </row>
    <row r="80" spans="1:34">
      <c r="A80" s="33" t="s">
        <v>13</v>
      </c>
      <c r="B80" s="5">
        <v>488415</v>
      </c>
      <c r="C80" s="5">
        <v>166179.28</v>
      </c>
      <c r="D80" s="5">
        <v>654594.28</v>
      </c>
      <c r="E80" s="3"/>
      <c r="F80" s="6"/>
      <c r="R80" s="24"/>
      <c r="T80" s="12"/>
      <c r="V80" s="12"/>
      <c r="W80" s="6"/>
    </row>
    <row r="81" spans="1:34">
      <c r="A81" s="33" t="s">
        <v>159</v>
      </c>
      <c r="B81" s="5">
        <v>1310733</v>
      </c>
      <c r="C81" s="5">
        <v>552925.37</v>
      </c>
      <c r="D81" s="5">
        <v>1863658.37</v>
      </c>
      <c r="E81" s="3"/>
      <c r="F81" s="6"/>
      <c r="R81" s="24"/>
      <c r="T81" s="12"/>
      <c r="V81" s="12"/>
      <c r="W81" s="6"/>
    </row>
    <row r="82" spans="1:34">
      <c r="A82" s="33" t="s">
        <v>349</v>
      </c>
      <c r="B82" s="5">
        <v>2793438</v>
      </c>
      <c r="C82" s="5">
        <v>1601362.2</v>
      </c>
      <c r="D82" s="5">
        <v>4394800.2</v>
      </c>
      <c r="E82" s="3"/>
      <c r="F82" s="6"/>
      <c r="R82" s="24"/>
      <c r="T82" s="12"/>
      <c r="V82" s="12"/>
      <c r="W82" s="6"/>
    </row>
    <row r="83" spans="1:34">
      <c r="A83" s="33" t="s">
        <v>197</v>
      </c>
      <c r="B83" s="5">
        <v>2179418</v>
      </c>
      <c r="C83" s="5">
        <v>550658.81999999995</v>
      </c>
      <c r="D83" s="5">
        <v>2730076.82</v>
      </c>
      <c r="E83" s="3"/>
      <c r="F83" s="6"/>
      <c r="T83" s="6"/>
      <c r="V83" s="6"/>
      <c r="W83" s="6"/>
    </row>
    <row r="84" spans="1:34">
      <c r="A84" s="33" t="s">
        <v>162</v>
      </c>
      <c r="B84" s="5">
        <v>2841673</v>
      </c>
      <c r="C84" s="5">
        <v>1382625.44</v>
      </c>
      <c r="D84" s="5">
        <v>4224298.4399999995</v>
      </c>
      <c r="E84" s="3"/>
      <c r="F84" s="6"/>
      <c r="T84" s="6"/>
      <c r="V84" s="6"/>
      <c r="W84" s="6"/>
    </row>
    <row r="85" spans="1:34">
      <c r="A85" s="33" t="s">
        <v>161</v>
      </c>
      <c r="B85" s="5">
        <v>1083073</v>
      </c>
      <c r="C85" s="5">
        <v>348882.4</v>
      </c>
      <c r="D85" s="5">
        <v>1431955.4</v>
      </c>
      <c r="E85" s="3"/>
      <c r="F85" s="6"/>
      <c r="T85" s="6"/>
      <c r="V85" s="6"/>
      <c r="W85" s="6"/>
    </row>
    <row r="86" spans="1:34">
      <c r="A86" s="33" t="s">
        <v>160</v>
      </c>
      <c r="B86" s="5">
        <v>1501116</v>
      </c>
      <c r="C86" s="5">
        <v>541983.85</v>
      </c>
      <c r="D86" s="5">
        <v>2043099.85</v>
      </c>
      <c r="E86" s="3"/>
      <c r="F86" s="6"/>
      <c r="T86" s="6"/>
      <c r="V86" s="6"/>
      <c r="W86" s="6"/>
    </row>
    <row r="87" spans="1:34">
      <c r="A87" s="33" t="s">
        <v>31</v>
      </c>
      <c r="B87" s="5">
        <v>4951453</v>
      </c>
      <c r="C87" s="5">
        <v>1479712.09</v>
      </c>
      <c r="D87" s="5">
        <v>6431165.0899999999</v>
      </c>
      <c r="E87" s="3"/>
      <c r="F87" s="6"/>
      <c r="T87" s="6"/>
      <c r="V87" s="6"/>
      <c r="W87" s="6"/>
    </row>
    <row r="88" spans="1:34">
      <c r="A88" s="33" t="s">
        <v>216</v>
      </c>
      <c r="B88" s="5">
        <v>14</v>
      </c>
      <c r="C88" s="5">
        <v>114.78</v>
      </c>
      <c r="D88" s="5">
        <v>128.78</v>
      </c>
      <c r="T88" s="6"/>
      <c r="V88" s="6"/>
      <c r="W88" s="6"/>
    </row>
    <row r="89" spans="1:34">
      <c r="A89" s="20" t="s">
        <v>46</v>
      </c>
      <c r="B89" s="36">
        <v>59147614</v>
      </c>
      <c r="C89" s="36">
        <v>17391467</v>
      </c>
      <c r="D89" s="36">
        <v>76539081</v>
      </c>
      <c r="E89" s="3"/>
      <c r="F89" s="6"/>
      <c r="T89" s="6"/>
      <c r="V89" s="6"/>
      <c r="W89" s="6"/>
    </row>
    <row r="90" spans="1:34">
      <c r="A90" s="3" t="s">
        <v>405</v>
      </c>
      <c r="B90" s="46"/>
      <c r="C90" s="46"/>
      <c r="D90" s="46"/>
      <c r="E90" s="3"/>
      <c r="F90" s="6"/>
      <c r="T90" s="6"/>
      <c r="V90" s="6"/>
      <c r="W90" s="6"/>
    </row>
    <row r="91" spans="1:34" ht="44.1" customHeight="1">
      <c r="A91" s="130" t="s">
        <v>404</v>
      </c>
      <c r="B91" s="130"/>
      <c r="C91" s="130"/>
      <c r="D91" s="130"/>
      <c r="E91" s="130"/>
      <c r="F91" s="6"/>
      <c r="T91" s="6"/>
      <c r="V91" s="6"/>
      <c r="W91" s="6"/>
    </row>
    <row r="92" spans="1:34">
      <c r="E92" s="3"/>
      <c r="F92" s="6"/>
      <c r="T92" s="6"/>
      <c r="V92" s="6"/>
      <c r="W92" s="6"/>
    </row>
    <row r="93" spans="1:34">
      <c r="A93" s="7" t="s">
        <v>117</v>
      </c>
      <c r="E93" s="3"/>
      <c r="F93" s="6"/>
      <c r="R93" s="7" t="s">
        <v>120</v>
      </c>
      <c r="S93" s="6"/>
      <c r="T93" s="6"/>
      <c r="V93" s="6"/>
      <c r="W93" s="6"/>
    </row>
    <row r="94" spans="1:34" ht="14.25">
      <c r="A94" s="7" t="s">
        <v>346</v>
      </c>
      <c r="E94" s="3"/>
      <c r="F94" s="6"/>
      <c r="R94" s="7" t="s">
        <v>412</v>
      </c>
      <c r="S94" s="6"/>
      <c r="T94" s="6"/>
      <c r="V94" s="6"/>
      <c r="W94" s="6"/>
    </row>
    <row r="95" spans="1:34" ht="51">
      <c r="A95" s="26" t="s">
        <v>50</v>
      </c>
      <c r="B95" s="26" t="s">
        <v>9</v>
      </c>
      <c r="C95" s="26" t="s">
        <v>10</v>
      </c>
      <c r="D95" s="26" t="s">
        <v>454</v>
      </c>
      <c r="E95" s="26" t="s">
        <v>11</v>
      </c>
      <c r="F95" s="26" t="s">
        <v>12</v>
      </c>
      <c r="G95" s="26" t="s">
        <v>13</v>
      </c>
      <c r="H95" s="26" t="s">
        <v>159</v>
      </c>
      <c r="I95" s="26" t="s">
        <v>349</v>
      </c>
      <c r="J95" s="26" t="s">
        <v>197</v>
      </c>
      <c r="K95" s="26" t="s">
        <v>162</v>
      </c>
      <c r="L95" s="26" t="s">
        <v>161</v>
      </c>
      <c r="M95" s="26" t="s">
        <v>160</v>
      </c>
      <c r="N95" s="26" t="s">
        <v>31</v>
      </c>
      <c r="O95" s="26" t="s">
        <v>216</v>
      </c>
      <c r="P95" s="26" t="s">
        <v>48</v>
      </c>
      <c r="R95" s="26" t="s">
        <v>50</v>
      </c>
      <c r="S95" s="26" t="s">
        <v>9</v>
      </c>
      <c r="T95" s="26" t="s">
        <v>10</v>
      </c>
      <c r="U95" s="26" t="s">
        <v>456</v>
      </c>
      <c r="V95" s="26" t="s">
        <v>11</v>
      </c>
      <c r="W95" s="26" t="s">
        <v>12</v>
      </c>
      <c r="X95" s="26" t="s">
        <v>13</v>
      </c>
      <c r="Y95" s="26" t="s">
        <v>159</v>
      </c>
      <c r="Z95" s="26" t="s">
        <v>349</v>
      </c>
      <c r="AA95" s="26" t="s">
        <v>197</v>
      </c>
      <c r="AB95" s="26" t="s">
        <v>162</v>
      </c>
      <c r="AC95" s="26" t="s">
        <v>161</v>
      </c>
      <c r="AD95" s="26" t="s">
        <v>160</v>
      </c>
      <c r="AE95" s="26" t="s">
        <v>31</v>
      </c>
      <c r="AF95" s="26" t="s">
        <v>216</v>
      </c>
      <c r="AG95" s="26" t="s">
        <v>48</v>
      </c>
    </row>
    <row r="96" spans="1:34">
      <c r="A96" s="13" t="s">
        <v>5</v>
      </c>
      <c r="B96" s="4">
        <v>6878904</v>
      </c>
      <c r="C96" s="4">
        <v>5105700</v>
      </c>
      <c r="D96" s="14">
        <v>2381220</v>
      </c>
      <c r="E96" s="14">
        <v>677569</v>
      </c>
      <c r="F96" s="14">
        <v>2975497</v>
      </c>
      <c r="G96" s="14">
        <v>276304</v>
      </c>
      <c r="H96" s="14">
        <v>740540</v>
      </c>
      <c r="I96" s="14">
        <v>570</v>
      </c>
      <c r="J96" s="14">
        <v>1579157</v>
      </c>
      <c r="K96" s="14">
        <v>1456756</v>
      </c>
      <c r="L96" s="14">
        <v>572211</v>
      </c>
      <c r="M96" s="14">
        <v>1290</v>
      </c>
      <c r="N96" s="14">
        <v>2458241</v>
      </c>
      <c r="O96" s="14">
        <v>0</v>
      </c>
      <c r="P96" s="14">
        <v>25103959</v>
      </c>
      <c r="Q96" s="48"/>
      <c r="R96" s="13" t="s">
        <v>5</v>
      </c>
      <c r="S96" s="4">
        <v>1831682.3</v>
      </c>
      <c r="T96" s="4">
        <v>1526486.79</v>
      </c>
      <c r="U96" s="14">
        <v>1373835.69</v>
      </c>
      <c r="V96" s="14">
        <v>293717.25</v>
      </c>
      <c r="W96" s="14">
        <v>1296983.1000000001</v>
      </c>
      <c r="X96" s="14">
        <v>111130.53</v>
      </c>
      <c r="Y96" s="14">
        <v>346688.6</v>
      </c>
      <c r="Z96" s="14">
        <v>3251.09</v>
      </c>
      <c r="AA96" s="14">
        <v>408651.78</v>
      </c>
      <c r="AB96" s="14">
        <v>697533.61</v>
      </c>
      <c r="AC96" s="14">
        <v>168075.62</v>
      </c>
      <c r="AD96" s="14">
        <v>18809.79</v>
      </c>
      <c r="AE96" s="14">
        <v>830277.22</v>
      </c>
      <c r="AF96" s="14">
        <v>58.2</v>
      </c>
      <c r="AG96" s="14">
        <v>8907181.5699999984</v>
      </c>
      <c r="AH96" s="49"/>
    </row>
    <row r="97" spans="1:34">
      <c r="A97" s="16" t="s">
        <v>6</v>
      </c>
      <c r="B97" s="5">
        <v>14158620</v>
      </c>
      <c r="C97" s="5">
        <v>5668693</v>
      </c>
      <c r="D97" s="10">
        <v>1677687</v>
      </c>
      <c r="E97" s="10">
        <v>679130</v>
      </c>
      <c r="F97" s="10">
        <v>1795261</v>
      </c>
      <c r="G97" s="10">
        <v>212111</v>
      </c>
      <c r="H97" s="10">
        <v>570193</v>
      </c>
      <c r="I97" s="10">
        <v>2792868</v>
      </c>
      <c r="J97" s="10">
        <v>600261</v>
      </c>
      <c r="K97" s="10">
        <v>1384917</v>
      </c>
      <c r="L97" s="10">
        <v>510862</v>
      </c>
      <c r="M97" s="10">
        <v>1499826</v>
      </c>
      <c r="N97" s="10">
        <v>2493212</v>
      </c>
      <c r="O97" s="10">
        <v>14</v>
      </c>
      <c r="P97" s="10">
        <v>34043655</v>
      </c>
      <c r="Q97" s="48"/>
      <c r="R97" s="16" t="s">
        <v>6</v>
      </c>
      <c r="S97" s="5">
        <v>2159011.44</v>
      </c>
      <c r="T97" s="5">
        <v>1009037.31</v>
      </c>
      <c r="U97" s="10">
        <v>561530.82999999996</v>
      </c>
      <c r="V97" s="10">
        <v>169480.49</v>
      </c>
      <c r="W97" s="10">
        <v>545183.21</v>
      </c>
      <c r="X97" s="10">
        <v>55048.75</v>
      </c>
      <c r="Y97" s="10">
        <v>206236.78</v>
      </c>
      <c r="Z97" s="10">
        <v>1597862.14</v>
      </c>
      <c r="AA97" s="10">
        <v>142007.04000000001</v>
      </c>
      <c r="AB97" s="10">
        <v>685091.83</v>
      </c>
      <c r="AC97" s="10">
        <v>180784.15</v>
      </c>
      <c r="AD97" s="10">
        <v>523017.24</v>
      </c>
      <c r="AE97" s="10">
        <v>649417.09</v>
      </c>
      <c r="AF97" s="10">
        <v>56.58</v>
      </c>
      <c r="AG97" s="10">
        <v>8483764.8800000008</v>
      </c>
      <c r="AH97" s="49"/>
    </row>
    <row r="98" spans="1:34">
      <c r="A98" s="16" t="s">
        <v>216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10">
        <v>0</v>
      </c>
      <c r="Q98" s="48"/>
      <c r="R98" s="16" t="s">
        <v>216</v>
      </c>
      <c r="S98" s="5">
        <v>24.25</v>
      </c>
      <c r="T98" s="5">
        <v>1.62</v>
      </c>
      <c r="U98" s="10">
        <v>48.5</v>
      </c>
      <c r="V98" s="10">
        <v>0</v>
      </c>
      <c r="W98" s="10">
        <v>0</v>
      </c>
      <c r="X98" s="10">
        <v>0</v>
      </c>
      <c r="Y98" s="10">
        <v>0</v>
      </c>
      <c r="Z98" s="10">
        <v>248.96</v>
      </c>
      <c r="AA98" s="10">
        <v>0</v>
      </c>
      <c r="AB98" s="10">
        <v>0</v>
      </c>
      <c r="AC98" s="10">
        <v>22.63</v>
      </c>
      <c r="AD98" s="10">
        <v>156.82</v>
      </c>
      <c r="AE98" s="10">
        <v>17.78</v>
      </c>
      <c r="AF98" s="10">
        <v>0</v>
      </c>
      <c r="AG98" s="10">
        <v>520.56000000000006</v>
      </c>
      <c r="AH98" s="49"/>
    </row>
    <row r="99" spans="1:34">
      <c r="A99" s="20" t="s">
        <v>46</v>
      </c>
      <c r="B99" s="36">
        <v>21037524</v>
      </c>
      <c r="C99" s="36">
        <v>10774393</v>
      </c>
      <c r="D99" s="36">
        <v>4058907</v>
      </c>
      <c r="E99" s="36">
        <v>1356699</v>
      </c>
      <c r="F99" s="36">
        <v>4770758</v>
      </c>
      <c r="G99" s="36">
        <v>488415</v>
      </c>
      <c r="H99" s="36">
        <v>1310733</v>
      </c>
      <c r="I99" s="36">
        <v>2793438</v>
      </c>
      <c r="J99" s="36">
        <v>2179418</v>
      </c>
      <c r="K99" s="36">
        <v>2841673</v>
      </c>
      <c r="L99" s="36">
        <v>1083073</v>
      </c>
      <c r="M99" s="36">
        <v>1501116</v>
      </c>
      <c r="N99" s="36">
        <v>4951453</v>
      </c>
      <c r="O99" s="36">
        <v>14</v>
      </c>
      <c r="P99" s="51">
        <v>59147614</v>
      </c>
      <c r="Q99" s="48"/>
      <c r="R99" s="20" t="s">
        <v>46</v>
      </c>
      <c r="S99" s="36">
        <v>3990717.99</v>
      </c>
      <c r="T99" s="36">
        <v>2535525.7200000002</v>
      </c>
      <c r="U99" s="36">
        <v>1935415.02</v>
      </c>
      <c r="V99" s="36">
        <v>463197.74</v>
      </c>
      <c r="W99" s="36">
        <v>1842166.31</v>
      </c>
      <c r="X99" s="36">
        <v>166179.28</v>
      </c>
      <c r="Y99" s="36">
        <v>552925.38</v>
      </c>
      <c r="Z99" s="36">
        <v>1601362.19</v>
      </c>
      <c r="AA99" s="36">
        <v>550658.82000000007</v>
      </c>
      <c r="AB99" s="36">
        <v>1382625.44</v>
      </c>
      <c r="AC99" s="36">
        <v>348882.4</v>
      </c>
      <c r="AD99" s="36">
        <v>541983.85</v>
      </c>
      <c r="AE99" s="36">
        <v>1479712.09</v>
      </c>
      <c r="AF99" s="36">
        <v>114.78</v>
      </c>
      <c r="AG99" s="51">
        <v>17391467.009999998</v>
      </c>
      <c r="AH99" s="49"/>
    </row>
    <row r="100" spans="1:34">
      <c r="A100" s="3" t="s">
        <v>402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R100" s="3" t="s">
        <v>405</v>
      </c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37"/>
    </row>
    <row r="101" spans="1:34"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R101" s="3" t="s">
        <v>404</v>
      </c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37"/>
    </row>
    <row r="102" spans="1:34">
      <c r="D102" s="3"/>
      <c r="F102" s="6"/>
      <c r="S102" s="6"/>
      <c r="T102" s="6"/>
      <c r="V102" s="6"/>
      <c r="W102" s="6"/>
      <c r="AH102" s="37"/>
    </row>
    <row r="103" spans="1:34">
      <c r="A103" s="7" t="s">
        <v>118</v>
      </c>
      <c r="D103" s="3"/>
      <c r="F103" s="6"/>
      <c r="R103" s="7" t="s">
        <v>121</v>
      </c>
      <c r="S103" s="6"/>
      <c r="T103" s="6"/>
      <c r="V103" s="6"/>
      <c r="W103" s="6"/>
      <c r="AH103" s="37"/>
    </row>
    <row r="104" spans="1:34" ht="14.25">
      <c r="A104" s="7" t="s">
        <v>347</v>
      </c>
      <c r="D104" s="3"/>
      <c r="F104" s="6"/>
      <c r="R104" s="7" t="s">
        <v>411</v>
      </c>
      <c r="S104" s="6"/>
      <c r="T104" s="6"/>
      <c r="V104" s="6"/>
      <c r="W104" s="6"/>
      <c r="AH104" s="37"/>
    </row>
    <row r="105" spans="1:34" ht="51">
      <c r="A105" s="15" t="s">
        <v>51</v>
      </c>
      <c r="B105" s="26" t="s">
        <v>9</v>
      </c>
      <c r="C105" s="26" t="s">
        <v>10</v>
      </c>
      <c r="D105" s="26" t="s">
        <v>454</v>
      </c>
      <c r="E105" s="26" t="s">
        <v>11</v>
      </c>
      <c r="F105" s="26" t="s">
        <v>12</v>
      </c>
      <c r="G105" s="26" t="s">
        <v>13</v>
      </c>
      <c r="H105" s="26" t="s">
        <v>159</v>
      </c>
      <c r="I105" s="26" t="s">
        <v>349</v>
      </c>
      <c r="J105" s="26" t="s">
        <v>197</v>
      </c>
      <c r="K105" s="26" t="s">
        <v>162</v>
      </c>
      <c r="L105" s="26" t="s">
        <v>161</v>
      </c>
      <c r="M105" s="26" t="s">
        <v>160</v>
      </c>
      <c r="N105" s="26" t="s">
        <v>31</v>
      </c>
      <c r="O105" s="26" t="s">
        <v>216</v>
      </c>
      <c r="P105" s="26" t="s">
        <v>48</v>
      </c>
      <c r="R105" s="15" t="s">
        <v>51</v>
      </c>
      <c r="S105" s="26" t="s">
        <v>9</v>
      </c>
      <c r="T105" s="26" t="s">
        <v>10</v>
      </c>
      <c r="U105" s="26" t="s">
        <v>456</v>
      </c>
      <c r="V105" s="26" t="s">
        <v>11</v>
      </c>
      <c r="W105" s="26" t="s">
        <v>12</v>
      </c>
      <c r="X105" s="26" t="s">
        <v>13</v>
      </c>
      <c r="Y105" s="26" t="s">
        <v>159</v>
      </c>
      <c r="Z105" s="26" t="s">
        <v>349</v>
      </c>
      <c r="AA105" s="26" t="s">
        <v>197</v>
      </c>
      <c r="AB105" s="26" t="s">
        <v>162</v>
      </c>
      <c r="AC105" s="26" t="s">
        <v>161</v>
      </c>
      <c r="AD105" s="26" t="s">
        <v>160</v>
      </c>
      <c r="AE105" s="26" t="s">
        <v>31</v>
      </c>
      <c r="AF105" s="26" t="s">
        <v>216</v>
      </c>
      <c r="AG105" s="26" t="s">
        <v>48</v>
      </c>
      <c r="AH105" s="37"/>
    </row>
    <row r="106" spans="1:34">
      <c r="A106" s="13" t="s">
        <v>40</v>
      </c>
      <c r="B106" s="4">
        <v>56357</v>
      </c>
      <c r="C106" s="4">
        <v>23359</v>
      </c>
      <c r="D106" s="4">
        <v>39357</v>
      </c>
      <c r="E106" s="4">
        <v>7821</v>
      </c>
      <c r="F106" s="4">
        <v>28142</v>
      </c>
      <c r="G106" s="4">
        <v>4311</v>
      </c>
      <c r="H106" s="4">
        <v>5199</v>
      </c>
      <c r="I106" s="4">
        <v>5275</v>
      </c>
      <c r="J106" s="4">
        <v>932</v>
      </c>
      <c r="K106" s="4">
        <v>2163</v>
      </c>
      <c r="L106" s="4">
        <v>2365</v>
      </c>
      <c r="M106" s="4">
        <v>9131</v>
      </c>
      <c r="N106" s="4">
        <v>12830</v>
      </c>
      <c r="O106" s="5">
        <v>0</v>
      </c>
      <c r="P106" s="4">
        <v>197242</v>
      </c>
      <c r="Q106" s="49"/>
      <c r="R106" s="13" t="s">
        <v>40</v>
      </c>
      <c r="S106" s="4">
        <v>1682.94</v>
      </c>
      <c r="T106" s="4">
        <v>931.19</v>
      </c>
      <c r="U106" s="4">
        <v>1888.25</v>
      </c>
      <c r="V106" s="4">
        <v>459.13</v>
      </c>
      <c r="W106" s="4">
        <v>1775.09</v>
      </c>
      <c r="X106" s="4">
        <v>126.1</v>
      </c>
      <c r="Y106" s="4">
        <v>121.25</v>
      </c>
      <c r="Z106" s="4">
        <v>194</v>
      </c>
      <c r="AA106" s="4">
        <v>75.98</v>
      </c>
      <c r="AB106" s="4">
        <v>48.5</v>
      </c>
      <c r="AC106" s="4">
        <v>79.22</v>
      </c>
      <c r="AD106" s="4">
        <v>80.83</v>
      </c>
      <c r="AE106" s="4">
        <v>271.60000000000002</v>
      </c>
      <c r="AF106" s="4">
        <v>0</v>
      </c>
      <c r="AG106" s="4">
        <v>7734.0800000000008</v>
      </c>
      <c r="AH106" s="49"/>
    </row>
    <row r="107" spans="1:34">
      <c r="A107" s="16" t="s">
        <v>2</v>
      </c>
      <c r="B107" s="5">
        <v>1321710</v>
      </c>
      <c r="C107" s="5">
        <v>354110</v>
      </c>
      <c r="D107" s="5">
        <v>370536</v>
      </c>
      <c r="E107" s="5">
        <v>80752</v>
      </c>
      <c r="F107" s="5">
        <v>324313</v>
      </c>
      <c r="G107" s="5">
        <v>35945</v>
      </c>
      <c r="H107" s="5">
        <v>56605</v>
      </c>
      <c r="I107" s="5">
        <v>309888</v>
      </c>
      <c r="J107" s="5">
        <v>14939</v>
      </c>
      <c r="K107" s="5">
        <v>26967</v>
      </c>
      <c r="L107" s="5">
        <v>34766</v>
      </c>
      <c r="M107" s="5">
        <v>211933</v>
      </c>
      <c r="N107" s="5">
        <v>186801</v>
      </c>
      <c r="O107" s="5">
        <v>0</v>
      </c>
      <c r="P107" s="5">
        <v>3329265</v>
      </c>
      <c r="Q107" s="48"/>
      <c r="R107" s="16" t="s">
        <v>2</v>
      </c>
      <c r="S107" s="5">
        <v>85323.86</v>
      </c>
      <c r="T107" s="5">
        <v>41473.69</v>
      </c>
      <c r="U107" s="5">
        <v>65427.68</v>
      </c>
      <c r="V107" s="5">
        <v>13447.34</v>
      </c>
      <c r="W107" s="5">
        <v>54269.52</v>
      </c>
      <c r="X107" s="5">
        <v>6183.71</v>
      </c>
      <c r="Y107" s="5">
        <v>9095.31</v>
      </c>
      <c r="Z107" s="5">
        <v>20466.86</v>
      </c>
      <c r="AA107" s="5">
        <v>2209.9699999999998</v>
      </c>
      <c r="AB107" s="5">
        <v>4266.3500000000004</v>
      </c>
      <c r="AC107" s="5">
        <v>5161.9799999999996</v>
      </c>
      <c r="AD107" s="5">
        <v>11982.65</v>
      </c>
      <c r="AE107" s="5">
        <v>23976.62</v>
      </c>
      <c r="AF107" s="5">
        <v>4.8499999999999996</v>
      </c>
      <c r="AG107" s="5">
        <v>343290.3899999999</v>
      </c>
      <c r="AH107" s="49"/>
    </row>
    <row r="108" spans="1:34">
      <c r="A108" s="16" t="s">
        <v>41</v>
      </c>
      <c r="B108" s="5">
        <v>7091353</v>
      </c>
      <c r="C108" s="5">
        <v>1714077</v>
      </c>
      <c r="D108" s="5">
        <v>1189079</v>
      </c>
      <c r="E108" s="5">
        <v>307807</v>
      </c>
      <c r="F108" s="5">
        <v>1045036</v>
      </c>
      <c r="G108" s="5">
        <v>135852</v>
      </c>
      <c r="H108" s="5">
        <v>257923</v>
      </c>
      <c r="I108" s="5">
        <v>1781036</v>
      </c>
      <c r="J108" s="5">
        <v>121314</v>
      </c>
      <c r="K108" s="5">
        <v>222390</v>
      </c>
      <c r="L108" s="5">
        <v>193709</v>
      </c>
      <c r="M108" s="5">
        <v>926245</v>
      </c>
      <c r="N108" s="5">
        <v>913609</v>
      </c>
      <c r="O108" s="5">
        <v>0</v>
      </c>
      <c r="P108" s="5">
        <v>15899430</v>
      </c>
      <c r="Q108" s="48"/>
      <c r="R108" s="16" t="s">
        <v>41</v>
      </c>
      <c r="S108" s="5">
        <v>1302841.8600000001</v>
      </c>
      <c r="T108" s="5">
        <v>519969.84</v>
      </c>
      <c r="U108" s="5">
        <v>653507.23</v>
      </c>
      <c r="V108" s="5">
        <v>136908.10999999999</v>
      </c>
      <c r="W108" s="5">
        <v>525207.81000000006</v>
      </c>
      <c r="X108" s="5">
        <v>58026.63</v>
      </c>
      <c r="Y108" s="5">
        <v>135482.22</v>
      </c>
      <c r="Z108" s="5">
        <v>884144.19</v>
      </c>
      <c r="AA108" s="5">
        <v>55971.86</v>
      </c>
      <c r="AB108" s="5">
        <v>139032.4</v>
      </c>
      <c r="AC108" s="5">
        <v>79760.95</v>
      </c>
      <c r="AD108" s="5">
        <v>326591.95</v>
      </c>
      <c r="AE108" s="5">
        <v>364806.46</v>
      </c>
      <c r="AF108" s="5">
        <v>42.03</v>
      </c>
      <c r="AG108" s="5">
        <v>5182293.5400000019</v>
      </c>
      <c r="AH108" s="49"/>
    </row>
    <row r="109" spans="1:34">
      <c r="A109" s="16" t="s">
        <v>42</v>
      </c>
      <c r="B109" s="5">
        <v>5485992</v>
      </c>
      <c r="C109" s="5">
        <v>2152326</v>
      </c>
      <c r="D109" s="5">
        <v>899013</v>
      </c>
      <c r="E109" s="5">
        <v>256525</v>
      </c>
      <c r="F109" s="5">
        <v>963694</v>
      </c>
      <c r="G109" s="5">
        <v>106072</v>
      </c>
      <c r="H109" s="5">
        <v>283239</v>
      </c>
      <c r="I109" s="5">
        <v>686554</v>
      </c>
      <c r="J109" s="5">
        <v>235211</v>
      </c>
      <c r="K109" s="5">
        <v>444895</v>
      </c>
      <c r="L109" s="5">
        <v>222301</v>
      </c>
      <c r="M109" s="5">
        <v>346923</v>
      </c>
      <c r="N109" s="5">
        <v>1005721</v>
      </c>
      <c r="O109" s="5">
        <v>14</v>
      </c>
      <c r="P109" s="5">
        <v>13088480</v>
      </c>
      <c r="Q109" s="48"/>
      <c r="R109" s="16" t="s">
        <v>42</v>
      </c>
      <c r="S109" s="5">
        <v>1303632.4099999999</v>
      </c>
      <c r="T109" s="5">
        <v>670959.03</v>
      </c>
      <c r="U109" s="5">
        <v>542130.96</v>
      </c>
      <c r="V109" s="5">
        <v>117529.26</v>
      </c>
      <c r="W109" s="5">
        <v>497063.45</v>
      </c>
      <c r="X109" s="5">
        <v>44703.77</v>
      </c>
      <c r="Y109" s="5">
        <v>169624.37</v>
      </c>
      <c r="Z109" s="5">
        <v>683344.23</v>
      </c>
      <c r="AA109" s="5">
        <v>111007.67</v>
      </c>
      <c r="AB109" s="5">
        <v>296843.86</v>
      </c>
      <c r="AC109" s="5">
        <v>106521.45</v>
      </c>
      <c r="AD109" s="5">
        <v>199233.42</v>
      </c>
      <c r="AE109" s="5">
        <v>403278.01</v>
      </c>
      <c r="AF109" s="5">
        <v>43.65</v>
      </c>
      <c r="AG109" s="5">
        <v>5145915.54</v>
      </c>
      <c r="AH109" s="49"/>
    </row>
    <row r="110" spans="1:34">
      <c r="A110" s="16" t="s">
        <v>43</v>
      </c>
      <c r="B110" s="5">
        <v>3643856</v>
      </c>
      <c r="C110" s="5">
        <v>2883892</v>
      </c>
      <c r="D110" s="5">
        <v>844930</v>
      </c>
      <c r="E110" s="5">
        <v>270032</v>
      </c>
      <c r="F110" s="5">
        <v>1111345</v>
      </c>
      <c r="G110" s="5">
        <v>96893</v>
      </c>
      <c r="H110" s="5">
        <v>303690</v>
      </c>
      <c r="I110" s="5">
        <v>10685</v>
      </c>
      <c r="J110" s="5">
        <v>501165</v>
      </c>
      <c r="K110" s="5">
        <v>726487</v>
      </c>
      <c r="L110" s="5">
        <v>244255</v>
      </c>
      <c r="M110" s="5">
        <v>6045</v>
      </c>
      <c r="N110" s="5">
        <v>1194573</v>
      </c>
      <c r="O110" s="5">
        <v>0</v>
      </c>
      <c r="P110" s="5">
        <v>11837848</v>
      </c>
      <c r="Q110" s="48"/>
      <c r="R110" s="16" t="s">
        <v>43</v>
      </c>
      <c r="S110" s="5">
        <v>731974.85</v>
      </c>
      <c r="T110" s="5">
        <v>659766.92000000004</v>
      </c>
      <c r="U110" s="5">
        <v>389180.78</v>
      </c>
      <c r="V110" s="5">
        <v>86638.2</v>
      </c>
      <c r="W110" s="5">
        <v>414418.39</v>
      </c>
      <c r="X110" s="5">
        <v>29903.279999999999</v>
      </c>
      <c r="Y110" s="5">
        <v>129403.59</v>
      </c>
      <c r="Z110" s="5">
        <v>13212.93</v>
      </c>
      <c r="AA110" s="5">
        <v>143505.68</v>
      </c>
      <c r="AB110" s="5">
        <v>358750.46</v>
      </c>
      <c r="AC110" s="5">
        <v>78947.77</v>
      </c>
      <c r="AD110" s="5">
        <v>3865.42</v>
      </c>
      <c r="AE110" s="5">
        <v>328624.08</v>
      </c>
      <c r="AF110" s="5">
        <v>19.399999999999999</v>
      </c>
      <c r="AG110" s="5">
        <v>3368211.75</v>
      </c>
      <c r="AH110" s="49"/>
    </row>
    <row r="111" spans="1:34">
      <c r="A111" s="16" t="s">
        <v>44</v>
      </c>
      <c r="B111" s="5">
        <v>2594662</v>
      </c>
      <c r="C111" s="5">
        <v>2763618</v>
      </c>
      <c r="D111" s="5">
        <v>579578</v>
      </c>
      <c r="E111" s="5">
        <v>290271</v>
      </c>
      <c r="F111" s="5">
        <v>1018871</v>
      </c>
      <c r="G111" s="5">
        <v>83065</v>
      </c>
      <c r="H111" s="5">
        <v>296982</v>
      </c>
      <c r="I111" s="5">
        <v>0</v>
      </c>
      <c r="J111" s="5">
        <v>813629</v>
      </c>
      <c r="K111" s="5">
        <v>918289</v>
      </c>
      <c r="L111" s="5">
        <v>250389</v>
      </c>
      <c r="M111" s="5">
        <v>571</v>
      </c>
      <c r="N111" s="5">
        <v>1190481</v>
      </c>
      <c r="O111" s="5">
        <v>0</v>
      </c>
      <c r="P111" s="5">
        <v>10800406</v>
      </c>
      <c r="Q111" s="48"/>
      <c r="R111" s="16" t="s">
        <v>44</v>
      </c>
      <c r="S111" s="5">
        <v>467137.53</v>
      </c>
      <c r="T111" s="5">
        <v>533425.27</v>
      </c>
      <c r="U111" s="5">
        <v>242580.81</v>
      </c>
      <c r="V111" s="5">
        <v>81497.23</v>
      </c>
      <c r="W111" s="5">
        <v>284746.43</v>
      </c>
      <c r="X111" s="5">
        <v>22056.03</v>
      </c>
      <c r="Y111" s="5">
        <v>88835.23</v>
      </c>
      <c r="Z111" s="5">
        <v>0</v>
      </c>
      <c r="AA111" s="5">
        <v>173213.35</v>
      </c>
      <c r="AB111" s="5">
        <v>416791.64</v>
      </c>
      <c r="AC111" s="5">
        <v>58791.3</v>
      </c>
      <c r="AD111" s="5">
        <v>189.15</v>
      </c>
      <c r="AE111" s="5">
        <v>285030.96000000002</v>
      </c>
      <c r="AF111" s="5">
        <v>4.8499999999999996</v>
      </c>
      <c r="AG111" s="5">
        <v>2654299.7799999998</v>
      </c>
      <c r="AH111" s="49"/>
    </row>
    <row r="112" spans="1:34">
      <c r="A112" s="16" t="s">
        <v>3</v>
      </c>
      <c r="B112" s="5">
        <v>843594</v>
      </c>
      <c r="C112" s="5">
        <v>883011</v>
      </c>
      <c r="D112" s="5">
        <v>136414</v>
      </c>
      <c r="E112" s="5">
        <v>143491</v>
      </c>
      <c r="F112" s="5">
        <v>279357</v>
      </c>
      <c r="G112" s="5">
        <v>26277</v>
      </c>
      <c r="H112" s="5">
        <v>107095</v>
      </c>
      <c r="I112" s="5">
        <v>0</v>
      </c>
      <c r="J112" s="5">
        <v>492228</v>
      </c>
      <c r="K112" s="5">
        <v>500482</v>
      </c>
      <c r="L112" s="5">
        <v>135288</v>
      </c>
      <c r="M112" s="5">
        <v>268</v>
      </c>
      <c r="N112" s="5">
        <v>447438</v>
      </c>
      <c r="O112" s="5">
        <v>0</v>
      </c>
      <c r="P112" s="5">
        <v>3994943</v>
      </c>
      <c r="Q112" s="48"/>
      <c r="R112" s="16" t="s">
        <v>3</v>
      </c>
      <c r="S112" s="5">
        <v>98124.54</v>
      </c>
      <c r="T112" s="5">
        <v>108965.83</v>
      </c>
      <c r="U112" s="5">
        <v>40699.31</v>
      </c>
      <c r="V112" s="5">
        <v>26718.47</v>
      </c>
      <c r="W112" s="5">
        <v>64685.63</v>
      </c>
      <c r="X112" s="5">
        <v>5179.7700000000004</v>
      </c>
      <c r="Y112" s="5">
        <v>20327.830000000002</v>
      </c>
      <c r="Z112" s="5">
        <v>0</v>
      </c>
      <c r="AA112" s="5">
        <v>64674.31</v>
      </c>
      <c r="AB112" s="5">
        <v>166892.22</v>
      </c>
      <c r="AC112" s="5">
        <v>19619.73</v>
      </c>
      <c r="AD112" s="5">
        <v>17.78</v>
      </c>
      <c r="AE112" s="5">
        <v>73724.350000000006</v>
      </c>
      <c r="AF112" s="5">
        <v>0</v>
      </c>
      <c r="AG112" s="5">
        <v>689629.77</v>
      </c>
      <c r="AH112" s="49"/>
    </row>
    <row r="113" spans="1:34">
      <c r="A113" s="16" t="s">
        <v>216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48"/>
      <c r="R113" s="16" t="s">
        <v>216</v>
      </c>
      <c r="S113" s="5">
        <v>0</v>
      </c>
      <c r="T113" s="5">
        <v>33.950000000000003</v>
      </c>
      <c r="U113" s="5">
        <v>0</v>
      </c>
      <c r="V113" s="5">
        <v>0</v>
      </c>
      <c r="W113" s="5">
        <v>0</v>
      </c>
      <c r="X113" s="5">
        <v>0</v>
      </c>
      <c r="Y113" s="5">
        <v>35.57</v>
      </c>
      <c r="Z113" s="5">
        <v>0</v>
      </c>
      <c r="AA113" s="5">
        <v>0</v>
      </c>
      <c r="AB113" s="5">
        <v>0</v>
      </c>
      <c r="AC113" s="5">
        <v>0</v>
      </c>
      <c r="AD113" s="5">
        <v>22.63</v>
      </c>
      <c r="AE113" s="5">
        <v>0</v>
      </c>
      <c r="AF113" s="5">
        <v>0</v>
      </c>
      <c r="AG113" s="5">
        <v>92.15</v>
      </c>
      <c r="AH113" s="49"/>
    </row>
    <row r="114" spans="1:34">
      <c r="A114" s="20" t="s">
        <v>46</v>
      </c>
      <c r="B114" s="36">
        <v>21037524</v>
      </c>
      <c r="C114" s="36">
        <v>10774393</v>
      </c>
      <c r="D114" s="36">
        <v>4058907</v>
      </c>
      <c r="E114" s="36">
        <v>1356699</v>
      </c>
      <c r="F114" s="36">
        <v>4770758</v>
      </c>
      <c r="G114" s="36">
        <v>488415</v>
      </c>
      <c r="H114" s="36">
        <v>1310733</v>
      </c>
      <c r="I114" s="36">
        <v>2793438</v>
      </c>
      <c r="J114" s="36">
        <v>2179418</v>
      </c>
      <c r="K114" s="36">
        <v>2841673</v>
      </c>
      <c r="L114" s="36">
        <v>1083073</v>
      </c>
      <c r="M114" s="36">
        <v>1501116</v>
      </c>
      <c r="N114" s="36">
        <v>4951453</v>
      </c>
      <c r="O114" s="36">
        <v>14</v>
      </c>
      <c r="P114" s="36">
        <v>59147614</v>
      </c>
      <c r="Q114" s="48"/>
      <c r="R114" s="20" t="s">
        <v>46</v>
      </c>
      <c r="S114" s="36">
        <v>3990717.99</v>
      </c>
      <c r="T114" s="36">
        <v>2535525.7200000002</v>
      </c>
      <c r="U114" s="36">
        <v>1935415.02</v>
      </c>
      <c r="V114" s="36">
        <v>463197.74</v>
      </c>
      <c r="W114" s="36">
        <v>1842166.32</v>
      </c>
      <c r="X114" s="36">
        <v>166179.28999999998</v>
      </c>
      <c r="Y114" s="36">
        <v>552925.36999999988</v>
      </c>
      <c r="Z114" s="36">
        <v>1601362.2099999997</v>
      </c>
      <c r="AA114" s="36">
        <v>550658.82000000007</v>
      </c>
      <c r="AB114" s="36">
        <v>1382625.43</v>
      </c>
      <c r="AC114" s="36">
        <v>348882.39999999997</v>
      </c>
      <c r="AD114" s="36">
        <v>541983.83000000007</v>
      </c>
      <c r="AE114" s="36">
        <v>1479712.08</v>
      </c>
      <c r="AF114" s="36">
        <v>114.78</v>
      </c>
      <c r="AG114" s="36">
        <v>17391467</v>
      </c>
      <c r="AH114" s="49"/>
    </row>
    <row r="115" spans="1:34">
      <c r="A115" s="3" t="s">
        <v>402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R115" s="3" t="s">
        <v>405</v>
      </c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</row>
    <row r="116" spans="1:34"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R116" s="3" t="s">
        <v>404</v>
      </c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</row>
    <row r="117" spans="1:34">
      <c r="D117" s="3"/>
      <c r="F117" s="6"/>
      <c r="S117" s="6"/>
      <c r="T117" s="6"/>
      <c r="V117" s="6"/>
      <c r="W117" s="6"/>
    </row>
    <row r="118" spans="1:34">
      <c r="A118" s="7" t="s">
        <v>119</v>
      </c>
      <c r="D118" s="3"/>
      <c r="F118" s="6"/>
      <c r="R118" s="7" t="s">
        <v>122</v>
      </c>
      <c r="S118" s="6"/>
      <c r="T118" s="6"/>
      <c r="V118" s="6"/>
      <c r="W118" s="6"/>
    </row>
    <row r="119" spans="1:34" ht="14.25">
      <c r="A119" s="7" t="s">
        <v>348</v>
      </c>
      <c r="D119" s="3"/>
      <c r="F119" s="6"/>
      <c r="R119" s="7" t="s">
        <v>410</v>
      </c>
      <c r="S119" s="6"/>
      <c r="T119" s="6"/>
      <c r="V119" s="6"/>
      <c r="W119" s="6"/>
    </row>
    <row r="120" spans="1:34" ht="51">
      <c r="A120" s="15" t="s">
        <v>145</v>
      </c>
      <c r="B120" s="26" t="s">
        <v>9</v>
      </c>
      <c r="C120" s="26" t="s">
        <v>10</v>
      </c>
      <c r="D120" s="26" t="s">
        <v>454</v>
      </c>
      <c r="E120" s="26" t="s">
        <v>11</v>
      </c>
      <c r="F120" s="26" t="s">
        <v>12</v>
      </c>
      <c r="G120" s="26" t="s">
        <v>13</v>
      </c>
      <c r="H120" s="26" t="s">
        <v>159</v>
      </c>
      <c r="I120" s="26" t="s">
        <v>349</v>
      </c>
      <c r="J120" s="26" t="s">
        <v>197</v>
      </c>
      <c r="K120" s="26" t="s">
        <v>162</v>
      </c>
      <c r="L120" s="26" t="s">
        <v>161</v>
      </c>
      <c r="M120" s="26" t="s">
        <v>160</v>
      </c>
      <c r="N120" s="26" t="s">
        <v>31</v>
      </c>
      <c r="O120" s="26" t="s">
        <v>216</v>
      </c>
      <c r="P120" s="26" t="s">
        <v>48</v>
      </c>
      <c r="R120" s="15" t="s">
        <v>145</v>
      </c>
      <c r="S120" s="26" t="s">
        <v>9</v>
      </c>
      <c r="T120" s="26" t="s">
        <v>10</v>
      </c>
      <c r="U120" s="26" t="s">
        <v>456</v>
      </c>
      <c r="V120" s="26" t="s">
        <v>11</v>
      </c>
      <c r="W120" s="26" t="s">
        <v>12</v>
      </c>
      <c r="X120" s="26" t="s">
        <v>13</v>
      </c>
      <c r="Y120" s="26" t="s">
        <v>159</v>
      </c>
      <c r="Z120" s="26" t="s">
        <v>349</v>
      </c>
      <c r="AA120" s="26" t="s">
        <v>197</v>
      </c>
      <c r="AB120" s="26" t="s">
        <v>162</v>
      </c>
      <c r="AC120" s="26" t="s">
        <v>161</v>
      </c>
      <c r="AD120" s="26" t="s">
        <v>160</v>
      </c>
      <c r="AE120" s="26" t="s">
        <v>31</v>
      </c>
      <c r="AF120" s="26" t="s">
        <v>216</v>
      </c>
      <c r="AG120" s="26" t="s">
        <v>48</v>
      </c>
    </row>
    <row r="121" spans="1:34">
      <c r="A121" s="21" t="s">
        <v>14</v>
      </c>
      <c r="B121" s="4">
        <v>11873</v>
      </c>
      <c r="C121" s="4">
        <v>26671</v>
      </c>
      <c r="D121" s="4">
        <v>49362</v>
      </c>
      <c r="E121" s="4">
        <v>3623</v>
      </c>
      <c r="F121" s="4">
        <v>26879</v>
      </c>
      <c r="G121" s="4">
        <v>2160</v>
      </c>
      <c r="H121" s="4">
        <v>9484</v>
      </c>
      <c r="I121" s="4">
        <v>5912</v>
      </c>
      <c r="J121" s="4">
        <v>11226</v>
      </c>
      <c r="K121" s="4">
        <v>21581</v>
      </c>
      <c r="L121" s="4">
        <v>6876</v>
      </c>
      <c r="M121" s="4">
        <v>16050</v>
      </c>
      <c r="N121" s="4">
        <v>18740</v>
      </c>
      <c r="O121" s="5">
        <v>0</v>
      </c>
      <c r="P121" s="4">
        <v>210437</v>
      </c>
      <c r="Q121" s="49"/>
      <c r="R121" s="21" t="s">
        <v>14</v>
      </c>
      <c r="S121" s="4">
        <v>8668.51</v>
      </c>
      <c r="T121" s="4">
        <v>8733.17</v>
      </c>
      <c r="U121" s="4">
        <v>9876.15</v>
      </c>
      <c r="V121" s="4">
        <v>1747.6</v>
      </c>
      <c r="W121" s="4">
        <v>11929.3</v>
      </c>
      <c r="X121" s="4">
        <v>1518.04</v>
      </c>
      <c r="Y121" s="4">
        <v>2625.45</v>
      </c>
      <c r="Z121" s="4">
        <v>2924.53</v>
      </c>
      <c r="AA121" s="4">
        <v>2669.1</v>
      </c>
      <c r="AB121" s="4">
        <v>6903.12</v>
      </c>
      <c r="AC121" s="4">
        <v>2284.33</v>
      </c>
      <c r="AD121" s="4">
        <v>4085.29</v>
      </c>
      <c r="AE121" s="4">
        <v>6967.79</v>
      </c>
      <c r="AF121" s="4">
        <v>0</v>
      </c>
      <c r="AG121" s="4">
        <v>70932.37999999999</v>
      </c>
      <c r="AH121" s="49"/>
    </row>
    <row r="122" spans="1:34">
      <c r="A122" s="22" t="s">
        <v>15</v>
      </c>
      <c r="B122" s="5">
        <v>319233</v>
      </c>
      <c r="C122" s="5">
        <v>138826</v>
      </c>
      <c r="D122" s="5">
        <v>80694</v>
      </c>
      <c r="E122" s="5">
        <v>14019</v>
      </c>
      <c r="F122" s="5">
        <v>70526</v>
      </c>
      <c r="G122" s="5">
        <v>7306</v>
      </c>
      <c r="H122" s="5">
        <v>19629</v>
      </c>
      <c r="I122" s="5">
        <v>9441</v>
      </c>
      <c r="J122" s="5">
        <v>27296</v>
      </c>
      <c r="K122" s="5">
        <v>42465</v>
      </c>
      <c r="L122" s="5">
        <v>19382</v>
      </c>
      <c r="M122" s="5">
        <v>19407</v>
      </c>
      <c r="N122" s="5">
        <v>70631</v>
      </c>
      <c r="O122" s="5">
        <v>0</v>
      </c>
      <c r="P122" s="5">
        <v>838855</v>
      </c>
      <c r="Q122" s="48"/>
      <c r="R122" s="22" t="s">
        <v>15</v>
      </c>
      <c r="S122" s="5">
        <v>63975.92</v>
      </c>
      <c r="T122" s="5">
        <v>51993.27</v>
      </c>
      <c r="U122" s="5">
        <v>36677.07</v>
      </c>
      <c r="V122" s="5">
        <v>7955.56</v>
      </c>
      <c r="W122" s="5">
        <v>31319.47</v>
      </c>
      <c r="X122" s="5">
        <v>1888.25</v>
      </c>
      <c r="Y122" s="5">
        <v>9636.89</v>
      </c>
      <c r="Z122" s="5">
        <v>11887.27</v>
      </c>
      <c r="AA122" s="5">
        <v>11011.04</v>
      </c>
      <c r="AB122" s="5">
        <v>20432.91</v>
      </c>
      <c r="AC122" s="5">
        <v>6149.76</v>
      </c>
      <c r="AD122" s="5">
        <v>5218.5600000000004</v>
      </c>
      <c r="AE122" s="5">
        <v>23292.78</v>
      </c>
      <c r="AF122" s="5">
        <v>0</v>
      </c>
      <c r="AG122" s="5">
        <v>281438.75</v>
      </c>
      <c r="AH122" s="49"/>
    </row>
    <row r="123" spans="1:34" ht="15" customHeight="1">
      <c r="A123" s="22" t="s">
        <v>16</v>
      </c>
      <c r="B123" s="5">
        <v>641381</v>
      </c>
      <c r="C123" s="5">
        <v>373351</v>
      </c>
      <c r="D123" s="5">
        <v>149256</v>
      </c>
      <c r="E123" s="5">
        <v>60954</v>
      </c>
      <c r="F123" s="5">
        <v>165400</v>
      </c>
      <c r="G123" s="5">
        <v>20203</v>
      </c>
      <c r="H123" s="5">
        <v>44699</v>
      </c>
      <c r="I123" s="5">
        <v>12077</v>
      </c>
      <c r="J123" s="5">
        <v>77068</v>
      </c>
      <c r="K123" s="5">
        <v>103726</v>
      </c>
      <c r="L123" s="5">
        <v>40526</v>
      </c>
      <c r="M123" s="5">
        <v>47135</v>
      </c>
      <c r="N123" s="5">
        <v>171789</v>
      </c>
      <c r="O123" s="5">
        <v>0</v>
      </c>
      <c r="P123" s="5">
        <v>1907565</v>
      </c>
      <c r="Q123" s="48"/>
      <c r="R123" s="22" t="s">
        <v>16</v>
      </c>
      <c r="S123" s="5">
        <v>175208.3</v>
      </c>
      <c r="T123" s="5">
        <v>158804.1</v>
      </c>
      <c r="U123" s="5">
        <v>94323.78</v>
      </c>
      <c r="V123" s="5">
        <v>33590.870000000003</v>
      </c>
      <c r="W123" s="5">
        <v>98696.83</v>
      </c>
      <c r="X123" s="5">
        <v>9179.3700000000008</v>
      </c>
      <c r="Y123" s="5">
        <v>29921.06</v>
      </c>
      <c r="Z123" s="5">
        <v>22119.08</v>
      </c>
      <c r="AA123" s="5">
        <v>28939.75</v>
      </c>
      <c r="AB123" s="5">
        <v>59386.23</v>
      </c>
      <c r="AC123" s="5">
        <v>17860.810000000001</v>
      </c>
      <c r="AD123" s="5">
        <v>19736.13</v>
      </c>
      <c r="AE123" s="5">
        <v>82054.98</v>
      </c>
      <c r="AF123" s="5">
        <v>1.62</v>
      </c>
      <c r="AG123" s="5">
        <v>829822.91</v>
      </c>
      <c r="AH123" s="49"/>
    </row>
    <row r="124" spans="1:34" ht="15" customHeight="1">
      <c r="A124" s="22" t="s">
        <v>17</v>
      </c>
      <c r="B124" s="5">
        <v>191842</v>
      </c>
      <c r="C124" s="5">
        <v>168402</v>
      </c>
      <c r="D124" s="5">
        <v>52412</v>
      </c>
      <c r="E124" s="5">
        <v>20770</v>
      </c>
      <c r="F124" s="5">
        <v>86177</v>
      </c>
      <c r="G124" s="5">
        <v>4193</v>
      </c>
      <c r="H124" s="5">
        <v>24211</v>
      </c>
      <c r="I124" s="5">
        <v>6573</v>
      </c>
      <c r="J124" s="5">
        <v>41931</v>
      </c>
      <c r="K124" s="5">
        <v>50521</v>
      </c>
      <c r="L124" s="5">
        <v>19632</v>
      </c>
      <c r="M124" s="5">
        <v>19584</v>
      </c>
      <c r="N124" s="5">
        <v>85752</v>
      </c>
      <c r="O124" s="5">
        <v>0</v>
      </c>
      <c r="P124" s="5">
        <v>772000</v>
      </c>
      <c r="Q124" s="48"/>
      <c r="R124" s="22" t="s">
        <v>17</v>
      </c>
      <c r="S124" s="5">
        <v>26762.12</v>
      </c>
      <c r="T124" s="5">
        <v>32304.02</v>
      </c>
      <c r="U124" s="5">
        <v>17199.599999999999</v>
      </c>
      <c r="V124" s="5">
        <v>4618.79</v>
      </c>
      <c r="W124" s="5">
        <v>25368.560000000001</v>
      </c>
      <c r="X124" s="5">
        <v>1105.79</v>
      </c>
      <c r="Y124" s="5">
        <v>6099.64</v>
      </c>
      <c r="Z124" s="5">
        <v>7055.09</v>
      </c>
      <c r="AA124" s="5">
        <v>7478.65</v>
      </c>
      <c r="AB124" s="5">
        <v>14279.92</v>
      </c>
      <c r="AC124" s="5">
        <v>4098.22</v>
      </c>
      <c r="AD124" s="5">
        <v>5333.35</v>
      </c>
      <c r="AE124" s="5">
        <v>18795.240000000002</v>
      </c>
      <c r="AF124" s="5">
        <v>0</v>
      </c>
      <c r="AG124" s="5">
        <v>170498.98999999996</v>
      </c>
      <c r="AH124" s="49"/>
    </row>
    <row r="125" spans="1:34" ht="15" customHeight="1">
      <c r="A125" s="22" t="s">
        <v>18</v>
      </c>
      <c r="B125" s="5">
        <v>480575</v>
      </c>
      <c r="C125" s="5">
        <v>263518</v>
      </c>
      <c r="D125" s="5">
        <v>81305</v>
      </c>
      <c r="E125" s="5">
        <v>32626</v>
      </c>
      <c r="F125" s="5">
        <v>134453</v>
      </c>
      <c r="G125" s="5">
        <v>11322</v>
      </c>
      <c r="H125" s="5">
        <v>40485</v>
      </c>
      <c r="I125" s="5">
        <v>18394</v>
      </c>
      <c r="J125" s="5">
        <v>60726</v>
      </c>
      <c r="K125" s="5">
        <v>72412</v>
      </c>
      <c r="L125" s="5">
        <v>35134</v>
      </c>
      <c r="M125" s="5">
        <v>38593</v>
      </c>
      <c r="N125" s="5">
        <v>147875</v>
      </c>
      <c r="O125" s="5">
        <v>0</v>
      </c>
      <c r="P125" s="5">
        <v>1417418</v>
      </c>
      <c r="Q125" s="48"/>
      <c r="R125" s="22" t="s">
        <v>18</v>
      </c>
      <c r="S125" s="5">
        <v>47796.43</v>
      </c>
      <c r="T125" s="5">
        <v>25354.01</v>
      </c>
      <c r="U125" s="5">
        <v>13617.09</v>
      </c>
      <c r="V125" s="5">
        <v>4870.9799999999996</v>
      </c>
      <c r="W125" s="5">
        <v>22867.599999999999</v>
      </c>
      <c r="X125" s="5">
        <v>1157.53</v>
      </c>
      <c r="Y125" s="5">
        <v>8854.42</v>
      </c>
      <c r="Z125" s="5">
        <v>10349.83</v>
      </c>
      <c r="AA125" s="5">
        <v>5732.66</v>
      </c>
      <c r="AB125" s="5">
        <v>14406.02</v>
      </c>
      <c r="AC125" s="5">
        <v>4276.05</v>
      </c>
      <c r="AD125" s="5">
        <v>7375.18</v>
      </c>
      <c r="AE125" s="5">
        <v>13625.17</v>
      </c>
      <c r="AF125" s="5">
        <v>0</v>
      </c>
      <c r="AG125" s="5">
        <v>180282.96999999997</v>
      </c>
      <c r="AH125" s="49"/>
    </row>
    <row r="126" spans="1:34" ht="15" customHeight="1">
      <c r="A126" s="22" t="s">
        <v>19</v>
      </c>
      <c r="B126" s="5">
        <v>1811408</v>
      </c>
      <c r="C126" s="5">
        <v>955335</v>
      </c>
      <c r="D126" s="5">
        <v>267464</v>
      </c>
      <c r="E126" s="5">
        <v>114966</v>
      </c>
      <c r="F126" s="5">
        <v>418373</v>
      </c>
      <c r="G126" s="5">
        <v>38382</v>
      </c>
      <c r="H126" s="5">
        <v>127736</v>
      </c>
      <c r="I126" s="5">
        <v>41650</v>
      </c>
      <c r="J126" s="5">
        <v>222152</v>
      </c>
      <c r="K126" s="5">
        <v>270330</v>
      </c>
      <c r="L126" s="5">
        <v>106917</v>
      </c>
      <c r="M126" s="5">
        <v>124693</v>
      </c>
      <c r="N126" s="5">
        <v>467617</v>
      </c>
      <c r="O126" s="5">
        <v>0</v>
      </c>
      <c r="P126" s="5">
        <v>4967023</v>
      </c>
      <c r="Q126" s="48"/>
      <c r="R126" s="22" t="s">
        <v>19</v>
      </c>
      <c r="S126" s="5">
        <v>211065.73</v>
      </c>
      <c r="T126" s="5">
        <v>158448.43</v>
      </c>
      <c r="U126" s="5">
        <v>78223.509999999995</v>
      </c>
      <c r="V126" s="5">
        <v>23551.439999999999</v>
      </c>
      <c r="W126" s="5">
        <v>109442.75</v>
      </c>
      <c r="X126" s="5">
        <v>8889.99</v>
      </c>
      <c r="Y126" s="5">
        <v>31437.49</v>
      </c>
      <c r="Z126" s="5">
        <v>68707.87</v>
      </c>
      <c r="AA126" s="5">
        <v>39740.629999999997</v>
      </c>
      <c r="AB126" s="5">
        <v>77796.710000000006</v>
      </c>
      <c r="AC126" s="5">
        <v>22248.42</v>
      </c>
      <c r="AD126" s="5">
        <v>30397.98</v>
      </c>
      <c r="AE126" s="5">
        <v>83990.12</v>
      </c>
      <c r="AF126" s="5">
        <v>1.62</v>
      </c>
      <c r="AG126" s="5">
        <v>943942.69000000006</v>
      </c>
      <c r="AH126" s="49"/>
    </row>
    <row r="127" spans="1:34" ht="15" customHeight="1">
      <c r="A127" s="22" t="s">
        <v>20</v>
      </c>
      <c r="B127" s="5">
        <v>11899718</v>
      </c>
      <c r="C127" s="5">
        <v>5379268</v>
      </c>
      <c r="D127" s="5">
        <v>2327939</v>
      </c>
      <c r="E127" s="5">
        <v>782474</v>
      </c>
      <c r="F127" s="5">
        <v>2259084</v>
      </c>
      <c r="G127" s="5">
        <v>294816</v>
      </c>
      <c r="H127" s="5">
        <v>624033</v>
      </c>
      <c r="I127" s="5">
        <v>2537335</v>
      </c>
      <c r="J127" s="5">
        <v>1092180</v>
      </c>
      <c r="K127" s="5">
        <v>1412603</v>
      </c>
      <c r="L127" s="5">
        <v>577122</v>
      </c>
      <c r="M127" s="5">
        <v>653128</v>
      </c>
      <c r="N127" s="5">
        <v>2609907</v>
      </c>
      <c r="O127" s="5">
        <v>14</v>
      </c>
      <c r="P127" s="5">
        <v>32449621</v>
      </c>
      <c r="Q127" s="48"/>
      <c r="R127" s="22" t="s">
        <v>20</v>
      </c>
      <c r="S127" s="5">
        <v>2573467.0099999998</v>
      </c>
      <c r="T127" s="5">
        <v>1594893.96</v>
      </c>
      <c r="U127" s="5">
        <v>1379864.19</v>
      </c>
      <c r="V127" s="5">
        <v>310226.53999999998</v>
      </c>
      <c r="W127" s="5">
        <v>1185967.3500000001</v>
      </c>
      <c r="X127" s="5">
        <v>116937.56</v>
      </c>
      <c r="Y127" s="5">
        <v>357969.62</v>
      </c>
      <c r="Z127" s="5">
        <v>839833.27</v>
      </c>
      <c r="AA127" s="5">
        <v>346429.93</v>
      </c>
      <c r="AB127" s="5">
        <v>913368.47</v>
      </c>
      <c r="AC127" s="5">
        <v>227098.1</v>
      </c>
      <c r="AD127" s="5">
        <v>348643.13</v>
      </c>
      <c r="AE127" s="5">
        <v>964049.02</v>
      </c>
      <c r="AF127" s="5">
        <v>43.65</v>
      </c>
      <c r="AG127" s="5">
        <v>11158791.800000001</v>
      </c>
      <c r="AH127" s="49"/>
    </row>
    <row r="128" spans="1:34" ht="15" customHeight="1">
      <c r="A128" s="22" t="s">
        <v>21</v>
      </c>
      <c r="B128" s="5">
        <v>861356</v>
      </c>
      <c r="C128" s="5">
        <v>777368</v>
      </c>
      <c r="D128" s="5">
        <v>187879</v>
      </c>
      <c r="E128" s="5">
        <v>65784</v>
      </c>
      <c r="F128" s="5">
        <v>299570</v>
      </c>
      <c r="G128" s="5">
        <v>21682</v>
      </c>
      <c r="H128" s="5">
        <v>78052</v>
      </c>
      <c r="I128" s="5">
        <v>26035</v>
      </c>
      <c r="J128" s="5">
        <v>127849</v>
      </c>
      <c r="K128" s="5">
        <v>149731</v>
      </c>
      <c r="L128" s="5">
        <v>59267</v>
      </c>
      <c r="M128" s="5">
        <v>169153</v>
      </c>
      <c r="N128" s="5">
        <v>262684</v>
      </c>
      <c r="O128" s="5">
        <v>0</v>
      </c>
      <c r="P128" s="5">
        <v>3086410</v>
      </c>
      <c r="Q128" s="48"/>
      <c r="R128" s="22" t="s">
        <v>21</v>
      </c>
      <c r="S128" s="5">
        <v>106160.93</v>
      </c>
      <c r="T128" s="5">
        <v>80937.87</v>
      </c>
      <c r="U128" s="5">
        <v>76338.490000000005</v>
      </c>
      <c r="V128" s="5">
        <v>14123.1</v>
      </c>
      <c r="W128" s="5">
        <v>59048.35</v>
      </c>
      <c r="X128" s="5">
        <v>4612.32</v>
      </c>
      <c r="Y128" s="5">
        <v>18150.189999999999</v>
      </c>
      <c r="Z128" s="5">
        <v>30221.759999999998</v>
      </c>
      <c r="AA128" s="5">
        <v>15844.84</v>
      </c>
      <c r="AB128" s="5">
        <v>43512.29</v>
      </c>
      <c r="AC128" s="5">
        <v>10621.43</v>
      </c>
      <c r="AD128" s="5">
        <v>24354.92</v>
      </c>
      <c r="AE128" s="5">
        <v>46910.5</v>
      </c>
      <c r="AF128" s="5">
        <v>45.27</v>
      </c>
      <c r="AG128" s="5">
        <v>530882.26</v>
      </c>
      <c r="AH128" s="49"/>
    </row>
    <row r="129" spans="1:34" ht="15" customHeight="1">
      <c r="A129" s="22" t="s">
        <v>22</v>
      </c>
      <c r="B129" s="5">
        <v>980890</v>
      </c>
      <c r="C129" s="5">
        <v>655856</v>
      </c>
      <c r="D129" s="5">
        <v>131935</v>
      </c>
      <c r="E129" s="5">
        <v>56930</v>
      </c>
      <c r="F129" s="5">
        <v>298739</v>
      </c>
      <c r="G129" s="5">
        <v>16624</v>
      </c>
      <c r="H129" s="5">
        <v>76476</v>
      </c>
      <c r="I129" s="5">
        <v>28317</v>
      </c>
      <c r="J129" s="5">
        <v>107924</v>
      </c>
      <c r="K129" s="5">
        <v>167051</v>
      </c>
      <c r="L129" s="5">
        <v>53779</v>
      </c>
      <c r="M129" s="5">
        <v>100314</v>
      </c>
      <c r="N129" s="5">
        <v>244361</v>
      </c>
      <c r="O129" s="5">
        <v>0</v>
      </c>
      <c r="P129" s="5">
        <v>2919196</v>
      </c>
      <c r="Q129" s="48"/>
      <c r="R129" s="22" t="s">
        <v>22</v>
      </c>
      <c r="S129" s="5">
        <v>86521.8</v>
      </c>
      <c r="T129" s="5">
        <v>58434.02</v>
      </c>
      <c r="U129" s="5">
        <v>30116.68</v>
      </c>
      <c r="V129" s="5">
        <v>8577.98</v>
      </c>
      <c r="W129" s="5">
        <v>48840.79</v>
      </c>
      <c r="X129" s="5">
        <v>2492.88</v>
      </c>
      <c r="Y129" s="5">
        <v>12563.03</v>
      </c>
      <c r="Z129" s="5">
        <v>18043.490000000002</v>
      </c>
      <c r="AA129" s="5">
        <v>11211.51</v>
      </c>
      <c r="AB129" s="5">
        <v>29461.93</v>
      </c>
      <c r="AC129" s="5">
        <v>6699.42</v>
      </c>
      <c r="AD129" s="5">
        <v>14881.32</v>
      </c>
      <c r="AE129" s="5">
        <v>32903.79</v>
      </c>
      <c r="AF129" s="5">
        <v>0</v>
      </c>
      <c r="AG129" s="5">
        <v>360748.64</v>
      </c>
      <c r="AH129" s="49"/>
    </row>
    <row r="130" spans="1:34" ht="15" customHeight="1">
      <c r="A130" s="22" t="s">
        <v>237</v>
      </c>
      <c r="B130" s="5">
        <v>426870</v>
      </c>
      <c r="C130" s="5">
        <v>209426</v>
      </c>
      <c r="D130" s="5">
        <v>93637</v>
      </c>
      <c r="E130" s="5">
        <v>19213</v>
      </c>
      <c r="F130" s="5">
        <v>107493</v>
      </c>
      <c r="G130" s="5">
        <v>5971</v>
      </c>
      <c r="H130" s="5">
        <v>29055</v>
      </c>
      <c r="I130" s="5">
        <v>12272</v>
      </c>
      <c r="J130" s="5">
        <v>51148</v>
      </c>
      <c r="K130" s="5">
        <v>48084</v>
      </c>
      <c r="L130" s="5">
        <v>17960</v>
      </c>
      <c r="M130" s="5">
        <v>42273</v>
      </c>
      <c r="N130" s="5">
        <v>85638</v>
      </c>
      <c r="O130" s="5">
        <v>0</v>
      </c>
      <c r="P130" s="5">
        <v>1149040</v>
      </c>
      <c r="Q130" s="48"/>
      <c r="R130" s="22" t="s">
        <v>237</v>
      </c>
      <c r="S130" s="5">
        <v>59565.68</v>
      </c>
      <c r="T130" s="5">
        <v>24316.12</v>
      </c>
      <c r="U130" s="5">
        <v>17214.150000000001</v>
      </c>
      <c r="V130" s="5">
        <v>3082.96</v>
      </c>
      <c r="W130" s="5">
        <v>16974.89</v>
      </c>
      <c r="X130" s="5">
        <v>969.99</v>
      </c>
      <c r="Y130" s="5">
        <v>5963.84</v>
      </c>
      <c r="Z130" s="5">
        <v>10508.26</v>
      </c>
      <c r="AA130" s="5">
        <v>6511.89</v>
      </c>
      <c r="AB130" s="5">
        <v>12383.58</v>
      </c>
      <c r="AC130" s="5">
        <v>3078.11</v>
      </c>
      <c r="AD130" s="5">
        <v>6565.24</v>
      </c>
      <c r="AE130" s="5">
        <v>14367.22</v>
      </c>
      <c r="AF130" s="5">
        <v>0</v>
      </c>
      <c r="AG130" s="5">
        <v>181501.93</v>
      </c>
      <c r="AH130" s="49"/>
    </row>
    <row r="131" spans="1:34" ht="15" customHeight="1">
      <c r="A131" s="22" t="s">
        <v>23</v>
      </c>
      <c r="B131" s="5">
        <v>1906132</v>
      </c>
      <c r="C131" s="5">
        <v>1052514</v>
      </c>
      <c r="D131" s="5">
        <v>267068</v>
      </c>
      <c r="E131" s="5">
        <v>101980</v>
      </c>
      <c r="F131" s="5">
        <v>447929</v>
      </c>
      <c r="G131" s="5">
        <v>34364</v>
      </c>
      <c r="H131" s="5">
        <v>108036</v>
      </c>
      <c r="I131" s="5">
        <v>35872</v>
      </c>
      <c r="J131" s="5">
        <v>165680</v>
      </c>
      <c r="K131" s="5">
        <v>226909</v>
      </c>
      <c r="L131" s="5">
        <v>74060</v>
      </c>
      <c r="M131" s="5">
        <v>182025</v>
      </c>
      <c r="N131" s="5">
        <v>428618</v>
      </c>
      <c r="O131" s="5">
        <v>0</v>
      </c>
      <c r="P131" s="5">
        <v>5031187</v>
      </c>
      <c r="Q131" s="48"/>
      <c r="R131" s="22" t="s">
        <v>23</v>
      </c>
      <c r="S131" s="5">
        <v>312698.40999999997</v>
      </c>
      <c r="T131" s="5">
        <v>174949.64</v>
      </c>
      <c r="U131" s="5">
        <v>71908.850000000006</v>
      </c>
      <c r="V131" s="5">
        <v>25163.25</v>
      </c>
      <c r="W131" s="5">
        <v>102150.01</v>
      </c>
      <c r="X131" s="5">
        <v>7826.23</v>
      </c>
      <c r="Y131" s="5">
        <v>26005.52</v>
      </c>
      <c r="Z131" s="5">
        <v>59486.47</v>
      </c>
      <c r="AA131" s="5">
        <v>31917.63</v>
      </c>
      <c r="AB131" s="5">
        <v>75252.09</v>
      </c>
      <c r="AC131" s="5">
        <v>20883.96</v>
      </c>
      <c r="AD131" s="5">
        <v>41536.74</v>
      </c>
      <c r="AE131" s="5">
        <v>93142.01</v>
      </c>
      <c r="AF131" s="5">
        <v>3.23</v>
      </c>
      <c r="AG131" s="5">
        <v>1042924.0399999999</v>
      </c>
      <c r="AH131" s="49"/>
    </row>
    <row r="132" spans="1:34" ht="15" customHeight="1">
      <c r="A132" s="22" t="s">
        <v>24</v>
      </c>
      <c r="B132" s="5">
        <v>508635</v>
      </c>
      <c r="C132" s="5">
        <v>252867</v>
      </c>
      <c r="D132" s="5">
        <v>106185</v>
      </c>
      <c r="E132" s="5">
        <v>27287</v>
      </c>
      <c r="F132" s="5">
        <v>144936</v>
      </c>
      <c r="G132" s="5">
        <v>11197</v>
      </c>
      <c r="H132" s="5">
        <v>39680</v>
      </c>
      <c r="I132" s="5">
        <v>21270</v>
      </c>
      <c r="J132" s="5">
        <v>52134</v>
      </c>
      <c r="K132" s="5">
        <v>86315</v>
      </c>
      <c r="L132" s="5">
        <v>22281</v>
      </c>
      <c r="M132" s="5">
        <v>43834</v>
      </c>
      <c r="N132" s="5">
        <v>135802</v>
      </c>
      <c r="O132" s="5">
        <v>0</v>
      </c>
      <c r="P132" s="5">
        <v>1452423</v>
      </c>
      <c r="Q132" s="48"/>
      <c r="R132" s="22" t="s">
        <v>24</v>
      </c>
      <c r="S132" s="5">
        <v>102434.54</v>
      </c>
      <c r="T132" s="5">
        <v>50758.14</v>
      </c>
      <c r="U132" s="5">
        <v>24225.59</v>
      </c>
      <c r="V132" s="5">
        <v>8162.49</v>
      </c>
      <c r="W132" s="5">
        <v>33151.14</v>
      </c>
      <c r="X132" s="5">
        <v>2898.66</v>
      </c>
      <c r="Y132" s="5">
        <v>12671.35</v>
      </c>
      <c r="Z132" s="5">
        <v>26595.599999999999</v>
      </c>
      <c r="AA132" s="5">
        <v>12774.81</v>
      </c>
      <c r="AB132" s="5">
        <v>35914.01</v>
      </c>
      <c r="AC132" s="5">
        <v>9132.49</v>
      </c>
      <c r="AD132" s="5">
        <v>14294.47</v>
      </c>
      <c r="AE132" s="5">
        <v>30958.959999999999</v>
      </c>
      <c r="AF132" s="5">
        <v>9.6999999999999993</v>
      </c>
      <c r="AG132" s="5">
        <v>363981.95</v>
      </c>
      <c r="AH132" s="49"/>
    </row>
    <row r="133" spans="1:34" ht="15" customHeight="1">
      <c r="A133" s="22" t="s">
        <v>25</v>
      </c>
      <c r="B133" s="5">
        <v>96778</v>
      </c>
      <c r="C133" s="5">
        <v>57661</v>
      </c>
      <c r="D133" s="5">
        <v>28887</v>
      </c>
      <c r="E133" s="5">
        <v>6782</v>
      </c>
      <c r="F133" s="5">
        <v>49543</v>
      </c>
      <c r="G133" s="5">
        <v>2615</v>
      </c>
      <c r="H133" s="5">
        <v>13251</v>
      </c>
      <c r="I133" s="5">
        <v>9390</v>
      </c>
      <c r="J133" s="5">
        <v>22696</v>
      </c>
      <c r="K133" s="5">
        <v>37268</v>
      </c>
      <c r="L133" s="5">
        <v>8160</v>
      </c>
      <c r="M133" s="5">
        <v>5999</v>
      </c>
      <c r="N133" s="5">
        <v>29236</v>
      </c>
      <c r="O133" s="5">
        <v>0</v>
      </c>
      <c r="P133" s="5">
        <v>368266</v>
      </c>
      <c r="Q133" s="48"/>
      <c r="R133" s="22" t="s">
        <v>25</v>
      </c>
      <c r="S133" s="5">
        <v>27177.599999999999</v>
      </c>
      <c r="T133" s="5">
        <v>15822.21</v>
      </c>
      <c r="U133" s="5">
        <v>9961.83</v>
      </c>
      <c r="V133" s="5">
        <v>2567.25</v>
      </c>
      <c r="W133" s="5">
        <v>14236.27</v>
      </c>
      <c r="X133" s="5">
        <v>1345.06</v>
      </c>
      <c r="Y133" s="5">
        <v>5525.73</v>
      </c>
      <c r="Z133" s="5">
        <v>7294.35</v>
      </c>
      <c r="AA133" s="5">
        <v>3490.36</v>
      </c>
      <c r="AB133" s="5">
        <v>17681.36</v>
      </c>
      <c r="AC133" s="5">
        <v>1788.02</v>
      </c>
      <c r="AD133" s="5">
        <v>2685.27</v>
      </c>
      <c r="AE133" s="5">
        <v>10896.26</v>
      </c>
      <c r="AF133" s="5">
        <v>0</v>
      </c>
      <c r="AG133" s="5">
        <v>120471.57</v>
      </c>
      <c r="AH133" s="49"/>
    </row>
    <row r="134" spans="1:34" ht="15" customHeight="1">
      <c r="A134" s="22" t="s">
        <v>26</v>
      </c>
      <c r="B134" s="5">
        <v>643398</v>
      </c>
      <c r="C134" s="5">
        <v>344351</v>
      </c>
      <c r="D134" s="5">
        <v>153377</v>
      </c>
      <c r="E134" s="5">
        <v>35439</v>
      </c>
      <c r="F134" s="5">
        <v>198079</v>
      </c>
      <c r="G134" s="5">
        <v>13235</v>
      </c>
      <c r="H134" s="5">
        <v>55954</v>
      </c>
      <c r="I134" s="5">
        <v>21460</v>
      </c>
      <c r="J134" s="5">
        <v>92317</v>
      </c>
      <c r="K134" s="5">
        <v>108567</v>
      </c>
      <c r="L134" s="5">
        <v>28799</v>
      </c>
      <c r="M134" s="5">
        <v>25623</v>
      </c>
      <c r="N134" s="5">
        <v>136796</v>
      </c>
      <c r="O134" s="5">
        <v>0</v>
      </c>
      <c r="P134" s="5">
        <v>1857395</v>
      </c>
      <c r="Q134" s="48"/>
      <c r="R134" s="22" t="s">
        <v>26</v>
      </c>
      <c r="S134" s="5">
        <v>129427.84</v>
      </c>
      <c r="T134" s="5">
        <v>59598.01</v>
      </c>
      <c r="U134" s="5">
        <v>39601.599999999999</v>
      </c>
      <c r="V134" s="5">
        <v>10010.33</v>
      </c>
      <c r="W134" s="5">
        <v>54832.11</v>
      </c>
      <c r="X134" s="5">
        <v>4059.42</v>
      </c>
      <c r="Y134" s="5">
        <v>17104.22</v>
      </c>
      <c r="Z134" s="5">
        <v>25061.4</v>
      </c>
      <c r="AA134" s="5">
        <v>17975.599999999999</v>
      </c>
      <c r="AB134" s="5">
        <v>42243.22</v>
      </c>
      <c r="AC134" s="5">
        <v>8283.74</v>
      </c>
      <c r="AD134" s="5">
        <v>10322.35</v>
      </c>
      <c r="AE134" s="5">
        <v>38077.089999999997</v>
      </c>
      <c r="AF134" s="5">
        <v>8.08</v>
      </c>
      <c r="AG134" s="5">
        <v>456605.00999999995</v>
      </c>
      <c r="AH134" s="49"/>
    </row>
    <row r="135" spans="1:34" ht="15" customHeight="1">
      <c r="A135" s="22" t="s">
        <v>27</v>
      </c>
      <c r="B135" s="5">
        <v>67776</v>
      </c>
      <c r="C135" s="5">
        <v>26895</v>
      </c>
      <c r="D135" s="5">
        <v>9398</v>
      </c>
      <c r="E135" s="5">
        <v>4106</v>
      </c>
      <c r="F135" s="5">
        <v>23666</v>
      </c>
      <c r="G135" s="5">
        <v>1737</v>
      </c>
      <c r="H135" s="5">
        <v>6537</v>
      </c>
      <c r="I135" s="5">
        <v>3217</v>
      </c>
      <c r="J135" s="5">
        <v>7042</v>
      </c>
      <c r="K135" s="5">
        <v>11644</v>
      </c>
      <c r="L135" s="5">
        <v>5394</v>
      </c>
      <c r="M135" s="5">
        <v>3654</v>
      </c>
      <c r="N135" s="5">
        <v>20364</v>
      </c>
      <c r="O135" s="5">
        <v>0</v>
      </c>
      <c r="P135" s="5">
        <v>191430</v>
      </c>
      <c r="Q135" s="48"/>
      <c r="R135" s="22" t="s">
        <v>27</v>
      </c>
      <c r="S135" s="5">
        <v>13798.16</v>
      </c>
      <c r="T135" s="5">
        <v>4643.04</v>
      </c>
      <c r="U135" s="5">
        <v>2479.9499999999998</v>
      </c>
      <c r="V135" s="5">
        <v>924.73</v>
      </c>
      <c r="W135" s="5">
        <v>5221.8</v>
      </c>
      <c r="X135" s="5">
        <v>384.76</v>
      </c>
      <c r="Y135" s="5">
        <v>1687.79</v>
      </c>
      <c r="Z135" s="5">
        <v>3388.51</v>
      </c>
      <c r="AA135" s="5">
        <v>1712.04</v>
      </c>
      <c r="AB135" s="5">
        <v>2775.8</v>
      </c>
      <c r="AC135" s="5">
        <v>1248.06</v>
      </c>
      <c r="AD135" s="5">
        <v>787.31</v>
      </c>
      <c r="AE135" s="5">
        <v>2610.9</v>
      </c>
      <c r="AF135" s="5">
        <v>0</v>
      </c>
      <c r="AG135" s="5">
        <v>41662.85</v>
      </c>
      <c r="AH135" s="49"/>
    </row>
    <row r="136" spans="1:34" ht="15" customHeight="1">
      <c r="A136" s="22" t="s">
        <v>28</v>
      </c>
      <c r="B136" s="5">
        <v>189659</v>
      </c>
      <c r="C136" s="5">
        <v>92084</v>
      </c>
      <c r="D136" s="5">
        <v>72109</v>
      </c>
      <c r="E136" s="5">
        <v>9746</v>
      </c>
      <c r="F136" s="5">
        <v>39911</v>
      </c>
      <c r="G136" s="5">
        <v>2608</v>
      </c>
      <c r="H136" s="5">
        <v>13415</v>
      </c>
      <c r="I136" s="5">
        <v>4223</v>
      </c>
      <c r="J136" s="5">
        <v>20049</v>
      </c>
      <c r="K136" s="5">
        <v>32466</v>
      </c>
      <c r="L136" s="5">
        <v>7784</v>
      </c>
      <c r="M136" s="5">
        <v>9651</v>
      </c>
      <c r="N136" s="5">
        <v>35643</v>
      </c>
      <c r="O136" s="5">
        <v>0</v>
      </c>
      <c r="P136" s="5">
        <v>529348</v>
      </c>
      <c r="Q136" s="48"/>
      <c r="R136" s="22" t="s">
        <v>28</v>
      </c>
      <c r="S136" s="5">
        <v>42063.77</v>
      </c>
      <c r="T136" s="5">
        <v>33248.14</v>
      </c>
      <c r="U136" s="5">
        <v>30621.08</v>
      </c>
      <c r="V136" s="5">
        <v>3784.59</v>
      </c>
      <c r="W136" s="5">
        <v>19978.63</v>
      </c>
      <c r="X136" s="5">
        <v>798.63</v>
      </c>
      <c r="Y136" s="5">
        <v>5968.69</v>
      </c>
      <c r="Z136" s="5">
        <v>7059.94</v>
      </c>
      <c r="AA136" s="5">
        <v>6613.74</v>
      </c>
      <c r="AB136" s="5">
        <v>15123.81</v>
      </c>
      <c r="AC136" s="5">
        <v>2872.8</v>
      </c>
      <c r="AD136" s="5">
        <v>5265.45</v>
      </c>
      <c r="AE136" s="5">
        <v>15760.78</v>
      </c>
      <c r="AF136" s="5">
        <v>1.62</v>
      </c>
      <c r="AG136" s="5">
        <v>189161.66999999998</v>
      </c>
      <c r="AH136" s="49"/>
    </row>
    <row r="137" spans="1:34" ht="15" customHeight="1">
      <c r="A137" s="22" t="s">
        <v>216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48"/>
      <c r="R137" s="22" t="s">
        <v>216</v>
      </c>
      <c r="S137" s="5">
        <v>3925.24</v>
      </c>
      <c r="T137" s="5">
        <v>2287.5700000000002</v>
      </c>
      <c r="U137" s="5">
        <v>3165.41</v>
      </c>
      <c r="V137" s="5">
        <v>239.27</v>
      </c>
      <c r="W137" s="5">
        <v>2140.4499999999998</v>
      </c>
      <c r="X137" s="5">
        <v>114.78</v>
      </c>
      <c r="Y137" s="5">
        <v>740.43</v>
      </c>
      <c r="Z137" s="5">
        <v>450825.48</v>
      </c>
      <c r="AA137" s="5">
        <v>604.63</v>
      </c>
      <c r="AB137" s="5">
        <v>1703.96</v>
      </c>
      <c r="AC137" s="5">
        <v>258.66000000000003</v>
      </c>
      <c r="AD137" s="5">
        <v>501.16</v>
      </c>
      <c r="AE137" s="5">
        <v>1309.49</v>
      </c>
      <c r="AF137" s="5">
        <v>0</v>
      </c>
      <c r="AG137" s="5">
        <v>467816.52999999997</v>
      </c>
      <c r="AH137" s="49"/>
    </row>
    <row r="138" spans="1:34" ht="15" customHeight="1">
      <c r="A138" s="20" t="s">
        <v>46</v>
      </c>
      <c r="B138" s="36">
        <v>21037524</v>
      </c>
      <c r="C138" s="36">
        <v>10774393</v>
      </c>
      <c r="D138" s="36">
        <v>4058907</v>
      </c>
      <c r="E138" s="36">
        <v>1356699</v>
      </c>
      <c r="F138" s="36">
        <v>4770758</v>
      </c>
      <c r="G138" s="36">
        <v>488415</v>
      </c>
      <c r="H138" s="36">
        <v>1310733</v>
      </c>
      <c r="I138" s="36">
        <v>2793438</v>
      </c>
      <c r="J138" s="36">
        <v>2179418</v>
      </c>
      <c r="K138" s="36">
        <v>2841673</v>
      </c>
      <c r="L138" s="36">
        <v>1083073</v>
      </c>
      <c r="M138" s="36">
        <v>1501116</v>
      </c>
      <c r="N138" s="36">
        <v>4951453</v>
      </c>
      <c r="O138" s="36">
        <v>14</v>
      </c>
      <c r="P138" s="36">
        <v>59147614</v>
      </c>
      <c r="Q138" s="48"/>
      <c r="R138" s="20" t="s">
        <v>46</v>
      </c>
      <c r="S138" s="36">
        <v>3990717.99</v>
      </c>
      <c r="T138" s="36">
        <v>2535525.7200000002</v>
      </c>
      <c r="U138" s="36">
        <v>1935415.02</v>
      </c>
      <c r="V138" s="36">
        <v>463197.73</v>
      </c>
      <c r="W138" s="36">
        <v>1842166.3</v>
      </c>
      <c r="X138" s="36">
        <v>166179.26000000004</v>
      </c>
      <c r="Y138" s="36">
        <v>552925.3600000001</v>
      </c>
      <c r="Z138" s="36">
        <v>1601362.2000000002</v>
      </c>
      <c r="AA138" s="36">
        <v>550658.81000000006</v>
      </c>
      <c r="AB138" s="36">
        <v>1382625.4300000002</v>
      </c>
      <c r="AC138" s="36">
        <v>348882.37999999995</v>
      </c>
      <c r="AD138" s="36">
        <v>541983.85</v>
      </c>
      <c r="AE138" s="36">
        <v>1479712.1</v>
      </c>
      <c r="AF138" s="36">
        <v>114.79</v>
      </c>
      <c r="AG138" s="36">
        <v>17391466.940000001</v>
      </c>
      <c r="AH138" s="49"/>
    </row>
    <row r="139" spans="1:34" ht="15" customHeight="1">
      <c r="A139" s="3" t="s">
        <v>402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R139" s="3" t="s">
        <v>405</v>
      </c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</row>
    <row r="140" spans="1:34" ht="15" customHeight="1">
      <c r="R140" s="3" t="s">
        <v>404</v>
      </c>
    </row>
    <row r="141" spans="1:34" ht="15" customHeight="1"/>
    <row r="142" spans="1:34" ht="15" customHeight="1"/>
    <row r="143" spans="1:34" ht="15" customHeight="1"/>
    <row r="144" spans="1:3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</sheetData>
  <mergeCells count="2">
    <mergeCell ref="A22:E22"/>
    <mergeCell ref="A91:E9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866"/>
  <sheetViews>
    <sheetView showGridLines="0" zoomScaleNormal="100" workbookViewId="0"/>
  </sheetViews>
  <sheetFormatPr baseColWidth="10" defaultColWidth="33.140625" defaultRowHeight="12.75"/>
  <cols>
    <col min="1" max="1" width="31.140625" style="3" customWidth="1"/>
    <col min="2" max="5" width="12.85546875" style="6" customWidth="1"/>
    <col min="6" max="16" width="12.85546875" style="3" customWidth="1"/>
    <col min="17" max="17" width="11" style="3" customWidth="1"/>
    <col min="18" max="18" width="31.140625" style="3" customWidth="1"/>
    <col min="19" max="33" width="12.85546875" style="3" customWidth="1"/>
    <col min="34" max="34" width="15.7109375" style="3" customWidth="1"/>
    <col min="35" max="35" width="25.7109375" style="3" customWidth="1"/>
    <col min="36" max="36" width="17.140625" style="3" customWidth="1"/>
    <col min="37" max="37" width="16.85546875" style="3" customWidth="1"/>
    <col min="38" max="39" width="18.85546875" style="3" bestFit="1" customWidth="1"/>
    <col min="40" max="51" width="15.7109375" style="3" customWidth="1"/>
    <col min="52" max="16384" width="33.140625" style="3"/>
  </cols>
  <sheetData>
    <row r="1" spans="1:5" ht="18.75">
      <c r="A1" s="1" t="s">
        <v>142</v>
      </c>
    </row>
    <row r="2" spans="1:5">
      <c r="A2" s="7"/>
    </row>
    <row r="3" spans="1:5">
      <c r="A3" s="7" t="s">
        <v>123</v>
      </c>
    </row>
    <row r="4" spans="1:5">
      <c r="A4" s="7" t="s">
        <v>308</v>
      </c>
    </row>
    <row r="5" spans="1:5">
      <c r="A5" s="8" t="s">
        <v>144</v>
      </c>
      <c r="B5" s="8" t="s">
        <v>0</v>
      </c>
      <c r="C5" s="8" t="s">
        <v>1</v>
      </c>
      <c r="D5" s="8" t="s">
        <v>45</v>
      </c>
    </row>
    <row r="6" spans="1:5">
      <c r="A6" s="33" t="s">
        <v>9</v>
      </c>
      <c r="B6" s="4">
        <v>221241</v>
      </c>
      <c r="C6" s="4">
        <v>176752</v>
      </c>
      <c r="D6" s="4">
        <v>397993</v>
      </c>
    </row>
    <row r="7" spans="1:5">
      <c r="A7" s="33" t="s">
        <v>10</v>
      </c>
      <c r="B7" s="5">
        <v>81509</v>
      </c>
      <c r="C7" s="5">
        <v>33425</v>
      </c>
      <c r="D7" s="5">
        <v>114934</v>
      </c>
      <c r="E7" s="3"/>
    </row>
    <row r="8" spans="1:5" ht="14.25">
      <c r="A8" s="33" t="s">
        <v>453</v>
      </c>
      <c r="B8" s="5">
        <v>5038</v>
      </c>
      <c r="C8" s="5">
        <v>15440</v>
      </c>
      <c r="D8" s="5">
        <v>20478</v>
      </c>
      <c r="E8" s="3"/>
    </row>
    <row r="9" spans="1:5">
      <c r="A9" s="33" t="s">
        <v>11</v>
      </c>
      <c r="B9" s="5">
        <v>5227</v>
      </c>
      <c r="C9" s="5">
        <v>5320</v>
      </c>
      <c r="D9" s="5">
        <v>10547</v>
      </c>
      <c r="E9" s="3"/>
    </row>
    <row r="10" spans="1:5">
      <c r="A10" s="33" t="s">
        <v>218</v>
      </c>
      <c r="B10" s="5">
        <v>13258</v>
      </c>
      <c r="C10" s="5">
        <v>9107</v>
      </c>
      <c r="D10" s="5">
        <v>22365</v>
      </c>
      <c r="E10" s="3"/>
    </row>
    <row r="11" spans="1:5">
      <c r="A11" s="33" t="s">
        <v>13</v>
      </c>
      <c r="B11" s="5">
        <v>1531</v>
      </c>
      <c r="C11" s="5">
        <v>2718</v>
      </c>
      <c r="D11" s="5">
        <v>4249</v>
      </c>
      <c r="E11" s="3"/>
    </row>
    <row r="12" spans="1:5">
      <c r="A12" s="33" t="s">
        <v>159</v>
      </c>
      <c r="B12" s="5">
        <v>3632</v>
      </c>
      <c r="C12" s="5">
        <v>2764</v>
      </c>
      <c r="D12" s="5">
        <v>6396</v>
      </c>
      <c r="E12" s="3"/>
    </row>
    <row r="13" spans="1:5">
      <c r="A13" s="33" t="s">
        <v>349</v>
      </c>
      <c r="B13" s="5">
        <v>276</v>
      </c>
      <c r="C13" s="5">
        <v>243</v>
      </c>
      <c r="D13" s="5">
        <v>519</v>
      </c>
      <c r="E13" s="3"/>
    </row>
    <row r="14" spans="1:5">
      <c r="A14" s="33" t="s">
        <v>197</v>
      </c>
      <c r="B14" s="5">
        <v>9518</v>
      </c>
      <c r="C14" s="5">
        <v>2982</v>
      </c>
      <c r="D14" s="5">
        <v>12500</v>
      </c>
      <c r="E14" s="3"/>
    </row>
    <row r="15" spans="1:5">
      <c r="A15" s="33" t="s">
        <v>162</v>
      </c>
      <c r="B15" s="5">
        <v>4671</v>
      </c>
      <c r="C15" s="5">
        <v>2972</v>
      </c>
      <c r="D15" s="5">
        <v>7643</v>
      </c>
      <c r="E15" s="3"/>
    </row>
    <row r="16" spans="1:5">
      <c r="A16" s="33" t="s">
        <v>219</v>
      </c>
      <c r="B16" s="5">
        <v>3820</v>
      </c>
      <c r="C16" s="5">
        <v>1802</v>
      </c>
      <c r="D16" s="5">
        <v>5622</v>
      </c>
      <c r="E16" s="3"/>
    </row>
    <row r="17" spans="1:34">
      <c r="A17" s="33" t="s">
        <v>160</v>
      </c>
      <c r="B17" s="5">
        <v>1127</v>
      </c>
      <c r="C17" s="5">
        <v>1750</v>
      </c>
      <c r="D17" s="5">
        <v>2877</v>
      </c>
      <c r="E17" s="3"/>
    </row>
    <row r="18" spans="1:34">
      <c r="A18" s="33" t="s">
        <v>31</v>
      </c>
      <c r="B18" s="5">
        <v>27871</v>
      </c>
      <c r="C18" s="5">
        <v>14246</v>
      </c>
      <c r="D18" s="5">
        <v>42117</v>
      </c>
      <c r="E18" s="3"/>
    </row>
    <row r="19" spans="1:34">
      <c r="A19" s="33" t="s">
        <v>216</v>
      </c>
      <c r="B19" s="5">
        <v>1</v>
      </c>
      <c r="C19" s="5">
        <v>3</v>
      </c>
      <c r="D19" s="5">
        <v>4</v>
      </c>
      <c r="E19" s="3"/>
    </row>
    <row r="20" spans="1:34">
      <c r="A20" s="20" t="s">
        <v>46</v>
      </c>
      <c r="B20" s="36">
        <v>378720</v>
      </c>
      <c r="C20" s="36">
        <v>269524</v>
      </c>
      <c r="D20" s="36">
        <v>648244</v>
      </c>
      <c r="E20" s="32"/>
    </row>
    <row r="21" spans="1:34" ht="41.1" customHeight="1">
      <c r="A21" s="130" t="s">
        <v>406</v>
      </c>
      <c r="B21" s="130"/>
      <c r="C21" s="130"/>
      <c r="D21" s="130"/>
      <c r="E21" s="130"/>
    </row>
    <row r="23" spans="1:34">
      <c r="A23" s="7" t="s">
        <v>124</v>
      </c>
      <c r="R23" s="7" t="s">
        <v>127</v>
      </c>
      <c r="S23" s="6"/>
      <c r="T23" s="6"/>
      <c r="V23" s="6"/>
      <c r="W23" s="6"/>
    </row>
    <row r="24" spans="1:34">
      <c r="A24" s="7" t="s">
        <v>309</v>
      </c>
      <c r="R24" s="7" t="s">
        <v>310</v>
      </c>
      <c r="S24" s="6"/>
      <c r="T24" s="6"/>
      <c r="V24" s="6"/>
      <c r="W24" s="6"/>
    </row>
    <row r="25" spans="1:34" ht="51">
      <c r="A25" s="26" t="s">
        <v>50</v>
      </c>
      <c r="B25" s="26" t="s">
        <v>9</v>
      </c>
      <c r="C25" s="26" t="s">
        <v>10</v>
      </c>
      <c r="D25" s="26" t="s">
        <v>454</v>
      </c>
      <c r="E25" s="26" t="s">
        <v>11</v>
      </c>
      <c r="F25" s="26" t="s">
        <v>12</v>
      </c>
      <c r="G25" s="26" t="s">
        <v>13</v>
      </c>
      <c r="H25" s="26" t="s">
        <v>159</v>
      </c>
      <c r="I25" s="26" t="s">
        <v>349</v>
      </c>
      <c r="J25" s="26" t="s">
        <v>197</v>
      </c>
      <c r="K25" s="26" t="s">
        <v>162</v>
      </c>
      <c r="L25" s="26" t="s">
        <v>161</v>
      </c>
      <c r="M25" s="26" t="s">
        <v>160</v>
      </c>
      <c r="N25" s="26" t="s">
        <v>31</v>
      </c>
      <c r="O25" s="26" t="s">
        <v>216</v>
      </c>
      <c r="P25" s="26" t="s">
        <v>48</v>
      </c>
      <c r="R25" s="26" t="s">
        <v>50</v>
      </c>
      <c r="S25" s="26" t="s">
        <v>9</v>
      </c>
      <c r="T25" s="26" t="s">
        <v>10</v>
      </c>
      <c r="U25" s="26" t="s">
        <v>454</v>
      </c>
      <c r="V25" s="26" t="s">
        <v>11</v>
      </c>
      <c r="W25" s="26" t="s">
        <v>12</v>
      </c>
      <c r="X25" s="26" t="s">
        <v>13</v>
      </c>
      <c r="Y25" s="26" t="s">
        <v>159</v>
      </c>
      <c r="Z25" s="26" t="s">
        <v>349</v>
      </c>
      <c r="AA25" s="26" t="s">
        <v>197</v>
      </c>
      <c r="AB25" s="26" t="s">
        <v>162</v>
      </c>
      <c r="AC25" s="26" t="s">
        <v>161</v>
      </c>
      <c r="AD25" s="26" t="s">
        <v>160</v>
      </c>
      <c r="AE25" s="26" t="s">
        <v>31</v>
      </c>
      <c r="AF25" s="26" t="s">
        <v>216</v>
      </c>
      <c r="AG25" s="26" t="s">
        <v>48</v>
      </c>
    </row>
    <row r="26" spans="1:34">
      <c r="A26" s="13" t="s">
        <v>5</v>
      </c>
      <c r="B26" s="4">
        <v>57577</v>
      </c>
      <c r="C26" s="4">
        <v>32263</v>
      </c>
      <c r="D26" s="14">
        <v>2967</v>
      </c>
      <c r="E26" s="14">
        <v>2322</v>
      </c>
      <c r="F26" s="14">
        <v>7328</v>
      </c>
      <c r="G26" s="14">
        <v>774</v>
      </c>
      <c r="H26" s="14">
        <v>2028</v>
      </c>
      <c r="I26" s="14">
        <v>5</v>
      </c>
      <c r="J26" s="14">
        <v>6590</v>
      </c>
      <c r="K26" s="14">
        <v>2430</v>
      </c>
      <c r="L26" s="14">
        <v>1822</v>
      </c>
      <c r="M26" s="14">
        <v>11</v>
      </c>
      <c r="N26" s="14">
        <v>12342</v>
      </c>
      <c r="O26" s="14">
        <v>1</v>
      </c>
      <c r="P26" s="14">
        <v>128460</v>
      </c>
      <c r="Q26" s="48"/>
      <c r="R26" s="13" t="s">
        <v>5</v>
      </c>
      <c r="S26" s="4">
        <v>79980</v>
      </c>
      <c r="T26" s="4">
        <v>20278</v>
      </c>
      <c r="U26" s="14">
        <v>9836</v>
      </c>
      <c r="V26" s="14">
        <v>3216</v>
      </c>
      <c r="W26" s="14">
        <v>6487</v>
      </c>
      <c r="X26" s="14">
        <v>1788</v>
      </c>
      <c r="Y26" s="14">
        <v>1800</v>
      </c>
      <c r="Z26" s="14">
        <v>15</v>
      </c>
      <c r="AA26" s="14">
        <v>2177</v>
      </c>
      <c r="AB26" s="14">
        <v>1699</v>
      </c>
      <c r="AC26" s="14">
        <v>917</v>
      </c>
      <c r="AD26" s="14">
        <v>14</v>
      </c>
      <c r="AE26" s="14">
        <v>8078</v>
      </c>
      <c r="AF26" s="14">
        <v>1</v>
      </c>
      <c r="AG26" s="14">
        <v>136286</v>
      </c>
      <c r="AH26" s="49"/>
    </row>
    <row r="27" spans="1:34">
      <c r="A27" s="16" t="s">
        <v>6</v>
      </c>
      <c r="B27" s="5">
        <v>163664</v>
      </c>
      <c r="C27" s="5">
        <v>49246</v>
      </c>
      <c r="D27" s="10">
        <v>2071</v>
      </c>
      <c r="E27" s="10">
        <v>2905</v>
      </c>
      <c r="F27" s="10">
        <v>5930</v>
      </c>
      <c r="G27" s="10">
        <v>757</v>
      </c>
      <c r="H27" s="10">
        <v>1604</v>
      </c>
      <c r="I27" s="10">
        <v>271</v>
      </c>
      <c r="J27" s="10">
        <v>2928</v>
      </c>
      <c r="K27" s="10">
        <v>2241</v>
      </c>
      <c r="L27" s="10">
        <v>1998</v>
      </c>
      <c r="M27" s="10">
        <v>1116</v>
      </c>
      <c r="N27" s="10">
        <v>15529</v>
      </c>
      <c r="O27" s="5">
        <v>0</v>
      </c>
      <c r="P27" s="10">
        <v>250260</v>
      </c>
      <c r="Q27" s="48"/>
      <c r="R27" s="16" t="s">
        <v>6</v>
      </c>
      <c r="S27" s="5">
        <v>96772</v>
      </c>
      <c r="T27" s="5">
        <v>13147</v>
      </c>
      <c r="U27" s="10">
        <v>5604</v>
      </c>
      <c r="V27" s="10">
        <v>2104</v>
      </c>
      <c r="W27" s="10">
        <v>2620</v>
      </c>
      <c r="X27" s="10">
        <v>930</v>
      </c>
      <c r="Y27" s="10">
        <v>964</v>
      </c>
      <c r="Z27" s="10">
        <v>228</v>
      </c>
      <c r="AA27" s="10">
        <v>805</v>
      </c>
      <c r="AB27" s="10">
        <v>1273</v>
      </c>
      <c r="AC27" s="10">
        <v>885</v>
      </c>
      <c r="AD27" s="10">
        <v>1736</v>
      </c>
      <c r="AE27" s="10">
        <v>6168</v>
      </c>
      <c r="AF27" s="10">
        <v>2</v>
      </c>
      <c r="AG27" s="10">
        <v>133238</v>
      </c>
      <c r="AH27" s="48"/>
    </row>
    <row r="28" spans="1:34">
      <c r="A28" s="16" t="s">
        <v>216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10">
        <v>0</v>
      </c>
      <c r="Q28" s="48"/>
      <c r="R28" s="16" t="s">
        <v>216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10">
        <v>0</v>
      </c>
      <c r="AH28" s="48"/>
    </row>
    <row r="29" spans="1:34" s="2" customFormat="1">
      <c r="A29" s="20" t="s">
        <v>46</v>
      </c>
      <c r="B29" s="36">
        <v>221241</v>
      </c>
      <c r="C29" s="36">
        <v>81509</v>
      </c>
      <c r="D29" s="36">
        <v>5038</v>
      </c>
      <c r="E29" s="36">
        <v>5227</v>
      </c>
      <c r="F29" s="36">
        <v>13258</v>
      </c>
      <c r="G29" s="36">
        <v>1531</v>
      </c>
      <c r="H29" s="36">
        <v>3632</v>
      </c>
      <c r="I29" s="36">
        <v>276</v>
      </c>
      <c r="J29" s="36">
        <v>9518</v>
      </c>
      <c r="K29" s="36">
        <v>4671</v>
      </c>
      <c r="L29" s="36">
        <v>3820</v>
      </c>
      <c r="M29" s="36">
        <v>1127</v>
      </c>
      <c r="N29" s="36">
        <v>27871</v>
      </c>
      <c r="O29" s="36">
        <v>1</v>
      </c>
      <c r="P29" s="36">
        <v>378720</v>
      </c>
      <c r="Q29" s="88"/>
      <c r="R29" s="20" t="s">
        <v>46</v>
      </c>
      <c r="S29" s="36">
        <v>176752</v>
      </c>
      <c r="T29" s="36">
        <v>33425</v>
      </c>
      <c r="U29" s="36">
        <v>15440</v>
      </c>
      <c r="V29" s="36">
        <v>5320</v>
      </c>
      <c r="W29" s="36">
        <v>9107</v>
      </c>
      <c r="X29" s="36">
        <v>2718</v>
      </c>
      <c r="Y29" s="36">
        <v>2764</v>
      </c>
      <c r="Z29" s="36">
        <v>243</v>
      </c>
      <c r="AA29" s="36">
        <v>2982</v>
      </c>
      <c r="AB29" s="36">
        <v>2972</v>
      </c>
      <c r="AC29" s="36">
        <v>1802</v>
      </c>
      <c r="AD29" s="36">
        <v>1750</v>
      </c>
      <c r="AE29" s="36">
        <v>14246</v>
      </c>
      <c r="AF29" s="36">
        <v>3</v>
      </c>
      <c r="AG29" s="51">
        <v>269524</v>
      </c>
      <c r="AH29" s="88"/>
    </row>
    <row r="30" spans="1:34">
      <c r="A30" s="3" t="s">
        <v>406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8"/>
      <c r="R30" s="3" t="s">
        <v>406</v>
      </c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</row>
    <row r="31" spans="1:34">
      <c r="D31" s="3"/>
      <c r="F31" s="6"/>
      <c r="Q31" s="48"/>
      <c r="S31" s="6"/>
      <c r="T31" s="6"/>
      <c r="V31" s="6"/>
      <c r="W31" s="6"/>
    </row>
    <row r="32" spans="1:34">
      <c r="A32" s="7" t="s">
        <v>125</v>
      </c>
      <c r="D32" s="3"/>
      <c r="F32" s="6"/>
      <c r="Q32" s="48"/>
      <c r="R32" s="7" t="s">
        <v>128</v>
      </c>
      <c r="S32" s="6"/>
      <c r="T32" s="6"/>
      <c r="V32" s="6"/>
      <c r="W32" s="6"/>
    </row>
    <row r="33" spans="1:34">
      <c r="A33" s="7" t="s">
        <v>311</v>
      </c>
      <c r="D33" s="3"/>
      <c r="F33" s="6"/>
      <c r="Q33" s="48"/>
      <c r="R33" s="7" t="s">
        <v>312</v>
      </c>
      <c r="S33" s="6"/>
      <c r="T33" s="6"/>
      <c r="V33" s="6"/>
      <c r="W33" s="6"/>
    </row>
    <row r="34" spans="1:34" ht="51">
      <c r="A34" s="15" t="s">
        <v>51</v>
      </c>
      <c r="B34" s="26" t="s">
        <v>9</v>
      </c>
      <c r="C34" s="26" t="s">
        <v>10</v>
      </c>
      <c r="D34" s="26" t="s">
        <v>454</v>
      </c>
      <c r="E34" s="26" t="s">
        <v>11</v>
      </c>
      <c r="F34" s="26" t="s">
        <v>12</v>
      </c>
      <c r="G34" s="26" t="s">
        <v>13</v>
      </c>
      <c r="H34" s="26" t="s">
        <v>159</v>
      </c>
      <c r="I34" s="26" t="s">
        <v>349</v>
      </c>
      <c r="J34" s="26" t="s">
        <v>197</v>
      </c>
      <c r="K34" s="26" t="s">
        <v>162</v>
      </c>
      <c r="L34" s="26" t="s">
        <v>161</v>
      </c>
      <c r="M34" s="26" t="s">
        <v>160</v>
      </c>
      <c r="N34" s="26" t="s">
        <v>31</v>
      </c>
      <c r="O34" s="26" t="s">
        <v>216</v>
      </c>
      <c r="P34" s="26" t="s">
        <v>48</v>
      </c>
      <c r="Q34" s="48"/>
      <c r="R34" s="15" t="s">
        <v>51</v>
      </c>
      <c r="S34" s="26" t="s">
        <v>9</v>
      </c>
      <c r="T34" s="26" t="s">
        <v>10</v>
      </c>
      <c r="U34" s="26" t="s">
        <v>454</v>
      </c>
      <c r="V34" s="26" t="s">
        <v>11</v>
      </c>
      <c r="W34" s="26" t="s">
        <v>12</v>
      </c>
      <c r="X34" s="26" t="s">
        <v>13</v>
      </c>
      <c r="Y34" s="26" t="s">
        <v>159</v>
      </c>
      <c r="Z34" s="26" t="s">
        <v>349</v>
      </c>
      <c r="AA34" s="26" t="s">
        <v>197</v>
      </c>
      <c r="AB34" s="26" t="s">
        <v>162</v>
      </c>
      <c r="AC34" s="26" t="s">
        <v>161</v>
      </c>
      <c r="AD34" s="26" t="s">
        <v>160</v>
      </c>
      <c r="AE34" s="26" t="s">
        <v>31</v>
      </c>
      <c r="AF34" s="26" t="s">
        <v>216</v>
      </c>
      <c r="AG34" s="26" t="s">
        <v>48</v>
      </c>
    </row>
    <row r="35" spans="1:34">
      <c r="A35" s="13" t="s">
        <v>40</v>
      </c>
      <c r="B35" s="4">
        <v>182</v>
      </c>
      <c r="C35" s="4">
        <v>54</v>
      </c>
      <c r="D35" s="4">
        <v>69</v>
      </c>
      <c r="E35" s="4">
        <v>26</v>
      </c>
      <c r="F35" s="4">
        <v>35</v>
      </c>
      <c r="G35" s="4">
        <v>24</v>
      </c>
      <c r="H35" s="4">
        <v>9</v>
      </c>
      <c r="I35" s="5">
        <v>0</v>
      </c>
      <c r="J35" s="4">
        <v>3</v>
      </c>
      <c r="K35" s="4">
        <v>4</v>
      </c>
      <c r="L35" s="4">
        <v>3</v>
      </c>
      <c r="M35" s="4">
        <v>7</v>
      </c>
      <c r="N35" s="4">
        <v>82</v>
      </c>
      <c r="O35" s="5">
        <v>0</v>
      </c>
      <c r="P35" s="4">
        <v>498</v>
      </c>
      <c r="Q35" s="48"/>
      <c r="R35" s="13" t="s">
        <v>40</v>
      </c>
      <c r="S35" s="4">
        <v>69</v>
      </c>
      <c r="T35" s="4">
        <v>18</v>
      </c>
      <c r="U35" s="4">
        <v>19</v>
      </c>
      <c r="V35" s="4">
        <v>5</v>
      </c>
      <c r="W35" s="4">
        <v>10</v>
      </c>
      <c r="X35" s="4">
        <v>4</v>
      </c>
      <c r="Y35" s="4">
        <v>2</v>
      </c>
      <c r="Z35" s="5">
        <v>0</v>
      </c>
      <c r="AA35" s="5">
        <v>0</v>
      </c>
      <c r="AB35" s="5">
        <v>0</v>
      </c>
      <c r="AC35" s="5">
        <v>0</v>
      </c>
      <c r="AD35" s="4">
        <v>2</v>
      </c>
      <c r="AE35" s="4">
        <v>3</v>
      </c>
      <c r="AF35" s="5">
        <v>0</v>
      </c>
      <c r="AG35" s="4">
        <v>132</v>
      </c>
      <c r="AH35" s="49"/>
    </row>
    <row r="36" spans="1:34">
      <c r="A36" s="16" t="s">
        <v>2</v>
      </c>
      <c r="B36" s="5">
        <v>10311</v>
      </c>
      <c r="C36" s="5">
        <v>1518</v>
      </c>
      <c r="D36" s="5">
        <v>573</v>
      </c>
      <c r="E36" s="5">
        <v>271</v>
      </c>
      <c r="F36" s="5">
        <v>537</v>
      </c>
      <c r="G36" s="5">
        <v>129</v>
      </c>
      <c r="H36" s="5">
        <v>144</v>
      </c>
      <c r="I36" s="5">
        <v>17</v>
      </c>
      <c r="J36" s="5">
        <v>25</v>
      </c>
      <c r="K36" s="5">
        <v>33</v>
      </c>
      <c r="L36" s="5">
        <v>91</v>
      </c>
      <c r="M36" s="5">
        <v>143</v>
      </c>
      <c r="N36" s="5">
        <v>830</v>
      </c>
      <c r="O36" s="5">
        <v>0</v>
      </c>
      <c r="P36" s="5">
        <v>14622</v>
      </c>
      <c r="Q36" s="48"/>
      <c r="R36" s="16" t="s">
        <v>2</v>
      </c>
      <c r="S36" s="5">
        <v>3484</v>
      </c>
      <c r="T36" s="5">
        <v>777</v>
      </c>
      <c r="U36" s="5">
        <v>665</v>
      </c>
      <c r="V36" s="5">
        <v>179</v>
      </c>
      <c r="W36" s="5">
        <v>399</v>
      </c>
      <c r="X36" s="5">
        <v>161</v>
      </c>
      <c r="Y36" s="5">
        <v>104</v>
      </c>
      <c r="Z36" s="5">
        <v>1</v>
      </c>
      <c r="AA36" s="5">
        <v>15</v>
      </c>
      <c r="AB36" s="5">
        <v>8</v>
      </c>
      <c r="AC36" s="5">
        <v>40</v>
      </c>
      <c r="AD36" s="5">
        <v>33</v>
      </c>
      <c r="AE36" s="5">
        <v>300</v>
      </c>
      <c r="AF36" s="5">
        <v>0</v>
      </c>
      <c r="AG36" s="5">
        <v>6166</v>
      </c>
      <c r="AH36" s="48"/>
    </row>
    <row r="37" spans="1:34">
      <c r="A37" s="16" t="s">
        <v>41</v>
      </c>
      <c r="B37" s="5">
        <v>72066</v>
      </c>
      <c r="C37" s="5">
        <v>9316</v>
      </c>
      <c r="D37" s="5">
        <v>1670</v>
      </c>
      <c r="E37" s="5">
        <v>1262</v>
      </c>
      <c r="F37" s="5">
        <v>2202</v>
      </c>
      <c r="G37" s="5">
        <v>494</v>
      </c>
      <c r="H37" s="5">
        <v>587</v>
      </c>
      <c r="I37" s="5">
        <v>193</v>
      </c>
      <c r="J37" s="5">
        <v>365</v>
      </c>
      <c r="K37" s="5">
        <v>289</v>
      </c>
      <c r="L37" s="5">
        <v>741</v>
      </c>
      <c r="M37" s="5">
        <v>687</v>
      </c>
      <c r="N37" s="5">
        <v>4627</v>
      </c>
      <c r="O37" s="5">
        <v>1</v>
      </c>
      <c r="P37" s="5">
        <v>94500</v>
      </c>
      <c r="Q37" s="48"/>
      <c r="R37" s="16" t="s">
        <v>41</v>
      </c>
      <c r="S37" s="5">
        <v>54841</v>
      </c>
      <c r="T37" s="5">
        <v>7049</v>
      </c>
      <c r="U37" s="5">
        <v>6313</v>
      </c>
      <c r="V37" s="5">
        <v>1800</v>
      </c>
      <c r="W37" s="5">
        <v>2568</v>
      </c>
      <c r="X37" s="5">
        <v>1191</v>
      </c>
      <c r="Y37" s="5">
        <v>852</v>
      </c>
      <c r="Z37" s="5">
        <v>124</v>
      </c>
      <c r="AA37" s="5">
        <v>218</v>
      </c>
      <c r="AB37" s="5">
        <v>225</v>
      </c>
      <c r="AC37" s="5">
        <v>467</v>
      </c>
      <c r="AD37" s="5">
        <v>918</v>
      </c>
      <c r="AE37" s="5">
        <v>3409</v>
      </c>
      <c r="AF37" s="5">
        <v>1</v>
      </c>
      <c r="AG37" s="5">
        <v>79976</v>
      </c>
      <c r="AH37" s="48"/>
    </row>
    <row r="38" spans="1:34">
      <c r="A38" s="16" t="s">
        <v>42</v>
      </c>
      <c r="B38" s="5">
        <v>61011</v>
      </c>
      <c r="C38" s="5">
        <v>14120</v>
      </c>
      <c r="D38" s="5">
        <v>1165</v>
      </c>
      <c r="E38" s="5">
        <v>881</v>
      </c>
      <c r="F38" s="5">
        <v>2185</v>
      </c>
      <c r="G38" s="5">
        <v>328</v>
      </c>
      <c r="H38" s="5">
        <v>662</v>
      </c>
      <c r="I38" s="5">
        <v>64</v>
      </c>
      <c r="J38" s="5">
        <v>820</v>
      </c>
      <c r="K38" s="5">
        <v>591</v>
      </c>
      <c r="L38" s="5">
        <v>756</v>
      </c>
      <c r="M38" s="5">
        <v>273</v>
      </c>
      <c r="N38" s="5">
        <v>5536</v>
      </c>
      <c r="O38" s="5">
        <v>0</v>
      </c>
      <c r="P38" s="5">
        <v>88392</v>
      </c>
      <c r="Q38" s="48"/>
      <c r="R38" s="16" t="s">
        <v>42</v>
      </c>
      <c r="S38" s="5">
        <v>60382</v>
      </c>
      <c r="T38" s="5">
        <v>9065</v>
      </c>
      <c r="U38" s="5">
        <v>4271</v>
      </c>
      <c r="V38" s="5">
        <v>1396</v>
      </c>
      <c r="W38" s="5">
        <v>2294</v>
      </c>
      <c r="X38" s="5">
        <v>753</v>
      </c>
      <c r="Y38" s="5">
        <v>817</v>
      </c>
      <c r="Z38" s="5">
        <v>110</v>
      </c>
      <c r="AA38" s="5">
        <v>552</v>
      </c>
      <c r="AB38" s="5">
        <v>401</v>
      </c>
      <c r="AC38" s="5">
        <v>542</v>
      </c>
      <c r="AD38" s="5">
        <v>765</v>
      </c>
      <c r="AE38" s="5">
        <v>4120</v>
      </c>
      <c r="AF38" s="5">
        <v>1</v>
      </c>
      <c r="AG38" s="5">
        <v>85469</v>
      </c>
      <c r="AH38" s="48"/>
    </row>
    <row r="39" spans="1:34">
      <c r="A39" s="16" t="s">
        <v>43</v>
      </c>
      <c r="B39" s="5">
        <v>37988</v>
      </c>
      <c r="C39" s="5">
        <v>22589</v>
      </c>
      <c r="D39" s="5">
        <v>958</v>
      </c>
      <c r="E39" s="5">
        <v>759</v>
      </c>
      <c r="F39" s="5">
        <v>3259</v>
      </c>
      <c r="G39" s="5">
        <v>245</v>
      </c>
      <c r="H39" s="5">
        <v>817</v>
      </c>
      <c r="I39" s="5">
        <v>2</v>
      </c>
      <c r="J39" s="5">
        <v>1920</v>
      </c>
      <c r="K39" s="5">
        <v>986</v>
      </c>
      <c r="L39" s="5">
        <v>884</v>
      </c>
      <c r="M39" s="5">
        <v>13</v>
      </c>
      <c r="N39" s="5">
        <v>6920</v>
      </c>
      <c r="O39" s="5">
        <v>0</v>
      </c>
      <c r="P39" s="5">
        <v>77340</v>
      </c>
      <c r="Q39" s="48"/>
      <c r="R39" s="16" t="s">
        <v>43</v>
      </c>
      <c r="S39" s="5">
        <v>32863</v>
      </c>
      <c r="T39" s="5">
        <v>8460</v>
      </c>
      <c r="U39" s="5">
        <v>2519</v>
      </c>
      <c r="V39" s="5">
        <v>902</v>
      </c>
      <c r="W39" s="5">
        <v>2096</v>
      </c>
      <c r="X39" s="5">
        <v>338</v>
      </c>
      <c r="Y39" s="5">
        <v>549</v>
      </c>
      <c r="Z39" s="5">
        <v>8</v>
      </c>
      <c r="AA39" s="5">
        <v>717</v>
      </c>
      <c r="AB39" s="5">
        <v>767</v>
      </c>
      <c r="AC39" s="5">
        <v>367</v>
      </c>
      <c r="AD39" s="5">
        <v>31</v>
      </c>
      <c r="AE39" s="5">
        <v>3001</v>
      </c>
      <c r="AF39" s="5">
        <v>1</v>
      </c>
      <c r="AG39" s="5">
        <v>52619</v>
      </c>
      <c r="AH39" s="48"/>
    </row>
    <row r="40" spans="1:34">
      <c r="A40" s="16" t="s">
        <v>44</v>
      </c>
      <c r="B40" s="5">
        <v>29952</v>
      </c>
      <c r="C40" s="5">
        <v>25367</v>
      </c>
      <c r="D40" s="5">
        <v>512</v>
      </c>
      <c r="E40" s="5">
        <v>1167</v>
      </c>
      <c r="F40" s="5">
        <v>3738</v>
      </c>
      <c r="G40" s="5">
        <v>210</v>
      </c>
      <c r="H40" s="5">
        <v>871</v>
      </c>
      <c r="I40" s="5">
        <v>0</v>
      </c>
      <c r="J40" s="5">
        <v>3466</v>
      </c>
      <c r="K40" s="5">
        <v>1490</v>
      </c>
      <c r="L40" s="5">
        <v>713</v>
      </c>
      <c r="M40" s="5">
        <v>3</v>
      </c>
      <c r="N40" s="5">
        <v>6979</v>
      </c>
      <c r="O40" s="5">
        <v>0</v>
      </c>
      <c r="P40" s="5">
        <v>74468</v>
      </c>
      <c r="Q40" s="48"/>
      <c r="R40" s="16" t="s">
        <v>44</v>
      </c>
      <c r="S40" s="5">
        <v>20471</v>
      </c>
      <c r="T40" s="5">
        <v>6903</v>
      </c>
      <c r="U40" s="5">
        <v>1385</v>
      </c>
      <c r="V40" s="5">
        <v>756</v>
      </c>
      <c r="W40" s="5">
        <v>1479</v>
      </c>
      <c r="X40" s="5">
        <v>232</v>
      </c>
      <c r="Y40" s="5">
        <v>342</v>
      </c>
      <c r="Z40" s="5">
        <v>0</v>
      </c>
      <c r="AA40" s="5">
        <v>1078</v>
      </c>
      <c r="AB40" s="5">
        <v>987</v>
      </c>
      <c r="AC40" s="5">
        <v>243</v>
      </c>
      <c r="AD40" s="5">
        <v>0</v>
      </c>
      <c r="AE40" s="5">
        <v>2672</v>
      </c>
      <c r="AF40" s="5">
        <v>0</v>
      </c>
      <c r="AG40" s="5">
        <v>36548</v>
      </c>
      <c r="AH40" s="48"/>
    </row>
    <row r="41" spans="1:34">
      <c r="A41" s="16" t="s">
        <v>3</v>
      </c>
      <c r="B41" s="5">
        <v>9731</v>
      </c>
      <c r="C41" s="5">
        <v>8545</v>
      </c>
      <c r="D41" s="5">
        <v>91</v>
      </c>
      <c r="E41" s="5">
        <v>861</v>
      </c>
      <c r="F41" s="5">
        <v>1302</v>
      </c>
      <c r="G41" s="5">
        <v>101</v>
      </c>
      <c r="H41" s="5">
        <v>542</v>
      </c>
      <c r="I41" s="5">
        <v>0</v>
      </c>
      <c r="J41" s="5">
        <v>2919</v>
      </c>
      <c r="K41" s="5">
        <v>1278</v>
      </c>
      <c r="L41" s="5">
        <v>632</v>
      </c>
      <c r="M41" s="5">
        <v>1</v>
      </c>
      <c r="N41" s="5">
        <v>2897</v>
      </c>
      <c r="O41" s="5">
        <v>0</v>
      </c>
      <c r="P41" s="5">
        <v>28900</v>
      </c>
      <c r="Q41" s="48"/>
      <c r="R41" s="16" t="s">
        <v>3</v>
      </c>
      <c r="S41" s="5">
        <v>4642</v>
      </c>
      <c r="T41" s="5">
        <v>1153</v>
      </c>
      <c r="U41" s="5">
        <v>268</v>
      </c>
      <c r="V41" s="5">
        <v>282</v>
      </c>
      <c r="W41" s="5">
        <v>261</v>
      </c>
      <c r="X41" s="5">
        <v>39</v>
      </c>
      <c r="Y41" s="5">
        <v>98</v>
      </c>
      <c r="Z41" s="5">
        <v>0</v>
      </c>
      <c r="AA41" s="5">
        <v>402</v>
      </c>
      <c r="AB41" s="5">
        <v>584</v>
      </c>
      <c r="AC41" s="5">
        <v>143</v>
      </c>
      <c r="AD41" s="5">
        <v>1</v>
      </c>
      <c r="AE41" s="5">
        <v>741</v>
      </c>
      <c r="AF41" s="5">
        <v>0</v>
      </c>
      <c r="AG41" s="5">
        <v>8614</v>
      </c>
      <c r="AH41" s="48"/>
    </row>
    <row r="42" spans="1:34">
      <c r="A42" s="16" t="s">
        <v>216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48"/>
      <c r="R42" s="16" t="s">
        <v>216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48"/>
    </row>
    <row r="43" spans="1:34" s="2" customFormat="1">
      <c r="A43" s="20" t="s">
        <v>46</v>
      </c>
      <c r="B43" s="36">
        <v>221241</v>
      </c>
      <c r="C43" s="36">
        <v>81509</v>
      </c>
      <c r="D43" s="36">
        <v>5038</v>
      </c>
      <c r="E43" s="36">
        <v>5227</v>
      </c>
      <c r="F43" s="36">
        <v>13258</v>
      </c>
      <c r="G43" s="36">
        <v>1531</v>
      </c>
      <c r="H43" s="36">
        <v>3632</v>
      </c>
      <c r="I43" s="36">
        <v>276</v>
      </c>
      <c r="J43" s="36">
        <v>9518</v>
      </c>
      <c r="K43" s="36">
        <v>4671</v>
      </c>
      <c r="L43" s="36">
        <v>3820</v>
      </c>
      <c r="M43" s="36">
        <v>1127</v>
      </c>
      <c r="N43" s="36">
        <v>27871</v>
      </c>
      <c r="O43" s="36">
        <v>1</v>
      </c>
      <c r="P43" s="36">
        <v>378720</v>
      </c>
      <c r="Q43" s="88"/>
      <c r="R43" s="20" t="s">
        <v>46</v>
      </c>
      <c r="S43" s="36">
        <v>176752</v>
      </c>
      <c r="T43" s="36">
        <v>33425</v>
      </c>
      <c r="U43" s="36">
        <v>15440</v>
      </c>
      <c r="V43" s="36">
        <v>5320</v>
      </c>
      <c r="W43" s="36">
        <v>9107</v>
      </c>
      <c r="X43" s="36">
        <v>2718</v>
      </c>
      <c r="Y43" s="36">
        <v>2764</v>
      </c>
      <c r="Z43" s="36">
        <v>243</v>
      </c>
      <c r="AA43" s="36">
        <v>2982</v>
      </c>
      <c r="AB43" s="36">
        <v>2972</v>
      </c>
      <c r="AC43" s="36">
        <v>1802</v>
      </c>
      <c r="AD43" s="36">
        <v>1750</v>
      </c>
      <c r="AE43" s="36">
        <v>14246</v>
      </c>
      <c r="AF43" s="36">
        <v>3</v>
      </c>
      <c r="AG43" s="36">
        <v>269524</v>
      </c>
      <c r="AH43" s="88"/>
    </row>
    <row r="44" spans="1:34">
      <c r="A44" s="3" t="s">
        <v>406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R44" s="3" t="s">
        <v>406</v>
      </c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</row>
    <row r="45" spans="1:34">
      <c r="D45" s="3"/>
      <c r="F45" s="6"/>
      <c r="S45" s="6"/>
      <c r="T45" s="32"/>
      <c r="V45" s="6"/>
      <c r="W45" s="6"/>
    </row>
    <row r="46" spans="1:34">
      <c r="A46" s="7" t="s">
        <v>126</v>
      </c>
      <c r="D46" s="3"/>
      <c r="F46" s="6"/>
      <c r="R46" s="7" t="s">
        <v>129</v>
      </c>
      <c r="S46" s="6"/>
      <c r="T46" s="6"/>
      <c r="V46" s="6"/>
      <c r="W46" s="6"/>
    </row>
    <row r="47" spans="1:34">
      <c r="A47" s="7" t="s">
        <v>313</v>
      </c>
      <c r="D47" s="3"/>
      <c r="F47" s="6"/>
      <c r="R47" s="7" t="s">
        <v>314</v>
      </c>
      <c r="S47" s="6"/>
      <c r="T47" s="6"/>
      <c r="V47" s="6"/>
      <c r="W47" s="6"/>
    </row>
    <row r="48" spans="1:34" ht="51">
      <c r="A48" s="15" t="s">
        <v>145</v>
      </c>
      <c r="B48" s="26" t="s">
        <v>9</v>
      </c>
      <c r="C48" s="26" t="s">
        <v>10</v>
      </c>
      <c r="D48" s="26" t="s">
        <v>454</v>
      </c>
      <c r="E48" s="26" t="s">
        <v>11</v>
      </c>
      <c r="F48" s="26" t="s">
        <v>12</v>
      </c>
      <c r="G48" s="26" t="s">
        <v>13</v>
      </c>
      <c r="H48" s="26" t="s">
        <v>159</v>
      </c>
      <c r="I48" s="26" t="s">
        <v>349</v>
      </c>
      <c r="J48" s="26" t="s">
        <v>197</v>
      </c>
      <c r="K48" s="26" t="s">
        <v>162</v>
      </c>
      <c r="L48" s="26" t="s">
        <v>161</v>
      </c>
      <c r="M48" s="26" t="s">
        <v>160</v>
      </c>
      <c r="N48" s="26" t="s">
        <v>31</v>
      </c>
      <c r="O48" s="26" t="s">
        <v>216</v>
      </c>
      <c r="P48" s="26" t="s">
        <v>48</v>
      </c>
      <c r="R48" s="15" t="s">
        <v>145</v>
      </c>
      <c r="S48" s="26" t="s">
        <v>9</v>
      </c>
      <c r="T48" s="26" t="s">
        <v>10</v>
      </c>
      <c r="U48" s="26" t="s">
        <v>454</v>
      </c>
      <c r="V48" s="26" t="s">
        <v>11</v>
      </c>
      <c r="W48" s="26" t="s">
        <v>12</v>
      </c>
      <c r="X48" s="26" t="s">
        <v>13</v>
      </c>
      <c r="Y48" s="26" t="s">
        <v>159</v>
      </c>
      <c r="Z48" s="26" t="s">
        <v>349</v>
      </c>
      <c r="AA48" s="26" t="s">
        <v>197</v>
      </c>
      <c r="AB48" s="26" t="s">
        <v>162</v>
      </c>
      <c r="AC48" s="26" t="s">
        <v>161</v>
      </c>
      <c r="AD48" s="26" t="s">
        <v>160</v>
      </c>
      <c r="AE48" s="26" t="s">
        <v>31</v>
      </c>
      <c r="AF48" s="26" t="s">
        <v>216</v>
      </c>
      <c r="AG48" s="26" t="s">
        <v>48</v>
      </c>
    </row>
    <row r="49" spans="1:34">
      <c r="A49" s="21" t="s">
        <v>14</v>
      </c>
      <c r="B49" s="4">
        <v>999</v>
      </c>
      <c r="C49" s="4">
        <v>395</v>
      </c>
      <c r="D49" s="4">
        <v>85</v>
      </c>
      <c r="E49" s="4">
        <v>104</v>
      </c>
      <c r="F49" s="4">
        <v>95</v>
      </c>
      <c r="G49" s="4">
        <v>98</v>
      </c>
      <c r="H49" s="4">
        <v>134</v>
      </c>
      <c r="I49" s="4">
        <v>2</v>
      </c>
      <c r="J49" s="4">
        <v>74</v>
      </c>
      <c r="K49" s="4">
        <v>128</v>
      </c>
      <c r="L49" s="4">
        <v>54</v>
      </c>
      <c r="M49" s="4">
        <v>46</v>
      </c>
      <c r="N49" s="4">
        <v>223</v>
      </c>
      <c r="O49" s="5">
        <v>0</v>
      </c>
      <c r="P49" s="4">
        <v>2437</v>
      </c>
      <c r="Q49" s="49"/>
      <c r="R49" s="21" t="s">
        <v>14</v>
      </c>
      <c r="S49" s="4">
        <v>275</v>
      </c>
      <c r="T49" s="4">
        <v>104</v>
      </c>
      <c r="U49" s="4">
        <v>87</v>
      </c>
      <c r="V49" s="4">
        <v>24</v>
      </c>
      <c r="W49" s="4">
        <v>43</v>
      </c>
      <c r="X49" s="4">
        <v>18</v>
      </c>
      <c r="Y49" s="4">
        <v>29</v>
      </c>
      <c r="Z49" s="4">
        <v>4</v>
      </c>
      <c r="AA49" s="4">
        <v>9</v>
      </c>
      <c r="AB49" s="4">
        <v>21</v>
      </c>
      <c r="AC49" s="4">
        <v>9</v>
      </c>
      <c r="AD49" s="4">
        <v>15</v>
      </c>
      <c r="AE49" s="4">
        <v>63</v>
      </c>
      <c r="AF49" s="5">
        <v>0</v>
      </c>
      <c r="AG49" s="4">
        <v>701</v>
      </c>
      <c r="AH49" s="49"/>
    </row>
    <row r="50" spans="1:34">
      <c r="A50" s="22" t="s">
        <v>15</v>
      </c>
      <c r="B50" s="5">
        <v>3291</v>
      </c>
      <c r="C50" s="5">
        <v>851</v>
      </c>
      <c r="D50" s="5">
        <v>47</v>
      </c>
      <c r="E50" s="5">
        <v>131</v>
      </c>
      <c r="F50" s="5">
        <v>147</v>
      </c>
      <c r="G50" s="5">
        <v>127</v>
      </c>
      <c r="H50" s="5">
        <v>49</v>
      </c>
      <c r="I50" s="5">
        <v>1</v>
      </c>
      <c r="J50" s="5">
        <v>95</v>
      </c>
      <c r="K50" s="5">
        <v>84</v>
      </c>
      <c r="L50" s="5">
        <v>38</v>
      </c>
      <c r="M50" s="5">
        <v>35</v>
      </c>
      <c r="N50" s="5">
        <v>288</v>
      </c>
      <c r="O50" s="5">
        <v>0</v>
      </c>
      <c r="P50" s="5">
        <v>5184</v>
      </c>
      <c r="Q50" s="48"/>
      <c r="R50" s="22" t="s">
        <v>15</v>
      </c>
      <c r="S50" s="5">
        <v>2977</v>
      </c>
      <c r="T50" s="5">
        <v>699</v>
      </c>
      <c r="U50" s="5">
        <v>187</v>
      </c>
      <c r="V50" s="5">
        <v>60</v>
      </c>
      <c r="W50" s="5">
        <v>203</v>
      </c>
      <c r="X50" s="5">
        <v>34</v>
      </c>
      <c r="Y50" s="5">
        <v>48</v>
      </c>
      <c r="Z50" s="5">
        <v>3</v>
      </c>
      <c r="AA50" s="5">
        <v>78</v>
      </c>
      <c r="AB50" s="5">
        <v>17</v>
      </c>
      <c r="AC50" s="5">
        <v>35</v>
      </c>
      <c r="AD50" s="5">
        <v>22</v>
      </c>
      <c r="AE50" s="5">
        <v>285</v>
      </c>
      <c r="AF50" s="5">
        <v>0</v>
      </c>
      <c r="AG50" s="5">
        <v>4648</v>
      </c>
      <c r="AH50" s="48"/>
    </row>
    <row r="51" spans="1:34">
      <c r="A51" s="22" t="s">
        <v>16</v>
      </c>
      <c r="B51" s="5">
        <v>1425</v>
      </c>
      <c r="C51" s="5">
        <v>826</v>
      </c>
      <c r="D51" s="5">
        <v>156</v>
      </c>
      <c r="E51" s="5">
        <v>109</v>
      </c>
      <c r="F51" s="5">
        <v>204</v>
      </c>
      <c r="G51" s="5">
        <v>46</v>
      </c>
      <c r="H51" s="5">
        <v>77</v>
      </c>
      <c r="I51" s="5">
        <v>6</v>
      </c>
      <c r="J51" s="5">
        <v>107</v>
      </c>
      <c r="K51" s="5">
        <v>35</v>
      </c>
      <c r="L51" s="5">
        <v>48</v>
      </c>
      <c r="M51" s="5">
        <v>25</v>
      </c>
      <c r="N51" s="5">
        <v>580</v>
      </c>
      <c r="O51" s="5">
        <v>0</v>
      </c>
      <c r="P51" s="5">
        <v>3644</v>
      </c>
      <c r="Q51" s="48"/>
      <c r="R51" s="22" t="s">
        <v>16</v>
      </c>
      <c r="S51" s="5">
        <v>7309</v>
      </c>
      <c r="T51" s="5">
        <v>1850</v>
      </c>
      <c r="U51" s="5">
        <v>448</v>
      </c>
      <c r="V51" s="5">
        <v>266</v>
      </c>
      <c r="W51" s="5">
        <v>492</v>
      </c>
      <c r="X51" s="5">
        <v>85</v>
      </c>
      <c r="Y51" s="5">
        <v>153</v>
      </c>
      <c r="Z51" s="5">
        <v>1</v>
      </c>
      <c r="AA51" s="5">
        <v>156</v>
      </c>
      <c r="AB51" s="5">
        <v>110</v>
      </c>
      <c r="AC51" s="5">
        <v>97</v>
      </c>
      <c r="AD51" s="5">
        <v>90</v>
      </c>
      <c r="AE51" s="5">
        <v>657</v>
      </c>
      <c r="AF51" s="5">
        <v>0</v>
      </c>
      <c r="AG51" s="5">
        <v>11714</v>
      </c>
      <c r="AH51" s="48"/>
    </row>
    <row r="52" spans="1:34">
      <c r="A52" s="22" t="s">
        <v>17</v>
      </c>
      <c r="B52" s="5">
        <v>3089</v>
      </c>
      <c r="C52" s="5">
        <v>732</v>
      </c>
      <c r="D52" s="5">
        <v>126</v>
      </c>
      <c r="E52" s="5">
        <v>79</v>
      </c>
      <c r="F52" s="5">
        <v>173</v>
      </c>
      <c r="G52" s="5">
        <v>18</v>
      </c>
      <c r="H52" s="5">
        <v>33</v>
      </c>
      <c r="I52" s="5">
        <v>0</v>
      </c>
      <c r="J52" s="5">
        <v>131</v>
      </c>
      <c r="K52" s="5">
        <v>49</v>
      </c>
      <c r="L52" s="5">
        <v>32</v>
      </c>
      <c r="M52" s="5">
        <v>21</v>
      </c>
      <c r="N52" s="5">
        <v>492</v>
      </c>
      <c r="O52" s="5">
        <v>0</v>
      </c>
      <c r="P52" s="5">
        <v>4975</v>
      </c>
      <c r="Q52" s="48"/>
      <c r="R52" s="22" t="s">
        <v>17</v>
      </c>
      <c r="S52" s="5">
        <v>1301</v>
      </c>
      <c r="T52" s="5">
        <v>552</v>
      </c>
      <c r="U52" s="5">
        <v>130</v>
      </c>
      <c r="V52" s="5">
        <v>42</v>
      </c>
      <c r="W52" s="5">
        <v>141</v>
      </c>
      <c r="X52" s="5">
        <v>25</v>
      </c>
      <c r="Y52" s="5">
        <v>45</v>
      </c>
      <c r="Z52" s="5">
        <v>0</v>
      </c>
      <c r="AA52" s="5">
        <v>51</v>
      </c>
      <c r="AB52" s="5">
        <v>76</v>
      </c>
      <c r="AC52" s="5">
        <v>34</v>
      </c>
      <c r="AD52" s="5">
        <v>17</v>
      </c>
      <c r="AE52" s="5">
        <v>244</v>
      </c>
      <c r="AF52" s="5">
        <v>0</v>
      </c>
      <c r="AG52" s="5">
        <v>2658</v>
      </c>
      <c r="AH52" s="48"/>
    </row>
    <row r="53" spans="1:34">
      <c r="A53" s="22" t="s">
        <v>18</v>
      </c>
      <c r="B53" s="5">
        <v>5704</v>
      </c>
      <c r="C53" s="5">
        <v>1695</v>
      </c>
      <c r="D53" s="5">
        <v>117</v>
      </c>
      <c r="E53" s="5">
        <v>116</v>
      </c>
      <c r="F53" s="5">
        <v>265</v>
      </c>
      <c r="G53" s="5">
        <v>35</v>
      </c>
      <c r="H53" s="5">
        <v>79</v>
      </c>
      <c r="I53" s="5">
        <v>5</v>
      </c>
      <c r="J53" s="5">
        <v>266</v>
      </c>
      <c r="K53" s="5">
        <v>84</v>
      </c>
      <c r="L53" s="5">
        <v>85</v>
      </c>
      <c r="M53" s="5">
        <v>105</v>
      </c>
      <c r="N53" s="5">
        <v>716</v>
      </c>
      <c r="O53" s="5">
        <v>0</v>
      </c>
      <c r="P53" s="5">
        <v>9272</v>
      </c>
      <c r="Q53" s="48"/>
      <c r="R53" s="22" t="s">
        <v>18</v>
      </c>
      <c r="S53" s="5">
        <v>1872</v>
      </c>
      <c r="T53" s="5">
        <v>360</v>
      </c>
      <c r="U53" s="5">
        <v>157</v>
      </c>
      <c r="V53" s="5">
        <v>39</v>
      </c>
      <c r="W53" s="5">
        <v>81</v>
      </c>
      <c r="X53" s="5">
        <v>30</v>
      </c>
      <c r="Y53" s="5">
        <v>23</v>
      </c>
      <c r="Z53" s="5">
        <v>3</v>
      </c>
      <c r="AA53" s="5">
        <v>41</v>
      </c>
      <c r="AB53" s="5">
        <v>83</v>
      </c>
      <c r="AC53" s="5">
        <v>26</v>
      </c>
      <c r="AD53" s="5">
        <v>31</v>
      </c>
      <c r="AE53" s="5">
        <v>123</v>
      </c>
      <c r="AF53" s="5">
        <v>0</v>
      </c>
      <c r="AG53" s="5">
        <v>2869</v>
      </c>
      <c r="AH53" s="48"/>
    </row>
    <row r="54" spans="1:34">
      <c r="A54" s="22" t="s">
        <v>19</v>
      </c>
      <c r="B54" s="5">
        <v>7875</v>
      </c>
      <c r="C54" s="5">
        <v>3856</v>
      </c>
      <c r="D54" s="5">
        <v>123</v>
      </c>
      <c r="E54" s="5">
        <v>418</v>
      </c>
      <c r="F54" s="5">
        <v>563</v>
      </c>
      <c r="G54" s="5">
        <v>61</v>
      </c>
      <c r="H54" s="5">
        <v>200</v>
      </c>
      <c r="I54" s="5">
        <v>12</v>
      </c>
      <c r="J54" s="5">
        <v>451</v>
      </c>
      <c r="K54" s="5">
        <v>229</v>
      </c>
      <c r="L54" s="5">
        <v>199</v>
      </c>
      <c r="M54" s="5">
        <v>58</v>
      </c>
      <c r="N54" s="5">
        <v>1449</v>
      </c>
      <c r="O54" s="5">
        <v>0</v>
      </c>
      <c r="P54" s="5">
        <v>15494</v>
      </c>
      <c r="Q54" s="48"/>
      <c r="R54" s="22" t="s">
        <v>19</v>
      </c>
      <c r="S54" s="5">
        <v>9416</v>
      </c>
      <c r="T54" s="5">
        <v>2228</v>
      </c>
      <c r="U54" s="5">
        <v>916</v>
      </c>
      <c r="V54" s="5">
        <v>302</v>
      </c>
      <c r="W54" s="5">
        <v>557</v>
      </c>
      <c r="X54" s="5">
        <v>142</v>
      </c>
      <c r="Y54" s="5">
        <v>133</v>
      </c>
      <c r="Z54" s="5">
        <v>15</v>
      </c>
      <c r="AA54" s="5">
        <v>207</v>
      </c>
      <c r="AB54" s="5">
        <v>188</v>
      </c>
      <c r="AC54" s="5">
        <v>135</v>
      </c>
      <c r="AD54" s="5">
        <v>135</v>
      </c>
      <c r="AE54" s="5">
        <v>795</v>
      </c>
      <c r="AF54" s="5">
        <v>0</v>
      </c>
      <c r="AG54" s="5">
        <v>15169</v>
      </c>
      <c r="AH54" s="48"/>
    </row>
    <row r="55" spans="1:34">
      <c r="A55" s="22" t="s">
        <v>20</v>
      </c>
      <c r="B55" s="5">
        <v>140099</v>
      </c>
      <c r="C55" s="5">
        <v>47360</v>
      </c>
      <c r="D55" s="5">
        <v>1591</v>
      </c>
      <c r="E55" s="5">
        <v>2741</v>
      </c>
      <c r="F55" s="5">
        <v>6964</v>
      </c>
      <c r="G55" s="5">
        <v>589</v>
      </c>
      <c r="H55" s="5">
        <v>1675</v>
      </c>
      <c r="I55" s="5">
        <v>229</v>
      </c>
      <c r="J55" s="5">
        <v>5711</v>
      </c>
      <c r="K55" s="5">
        <v>2360</v>
      </c>
      <c r="L55" s="5">
        <v>2480</v>
      </c>
      <c r="M55" s="5">
        <v>197</v>
      </c>
      <c r="N55" s="5">
        <v>15756</v>
      </c>
      <c r="O55" s="5">
        <v>0</v>
      </c>
      <c r="P55" s="5">
        <v>227752</v>
      </c>
      <c r="Q55" s="48"/>
      <c r="R55" s="22" t="s">
        <v>20</v>
      </c>
      <c r="S55" s="5">
        <v>118879</v>
      </c>
      <c r="T55" s="5">
        <v>20278</v>
      </c>
      <c r="U55" s="5">
        <v>9769</v>
      </c>
      <c r="V55" s="5">
        <v>3207</v>
      </c>
      <c r="W55" s="5">
        <v>5400</v>
      </c>
      <c r="X55" s="5">
        <v>1637</v>
      </c>
      <c r="Y55" s="5">
        <v>1610</v>
      </c>
      <c r="Z55" s="5">
        <v>70</v>
      </c>
      <c r="AA55" s="5">
        <v>1720</v>
      </c>
      <c r="AB55" s="5">
        <v>1685</v>
      </c>
      <c r="AC55" s="5">
        <v>999</v>
      </c>
      <c r="AD55" s="5">
        <v>968</v>
      </c>
      <c r="AE55" s="5">
        <v>8908</v>
      </c>
      <c r="AF55" s="5">
        <v>2</v>
      </c>
      <c r="AG55" s="5">
        <v>175132</v>
      </c>
      <c r="AH55" s="48"/>
    </row>
    <row r="56" spans="1:34">
      <c r="A56" s="22" t="s">
        <v>21</v>
      </c>
      <c r="B56" s="5">
        <v>14140</v>
      </c>
      <c r="C56" s="5">
        <v>5529</v>
      </c>
      <c r="D56" s="5">
        <v>87</v>
      </c>
      <c r="E56" s="5">
        <v>185</v>
      </c>
      <c r="F56" s="5">
        <v>919</v>
      </c>
      <c r="G56" s="5">
        <v>69</v>
      </c>
      <c r="H56" s="5">
        <v>276</v>
      </c>
      <c r="I56" s="5">
        <v>2</v>
      </c>
      <c r="J56" s="5">
        <v>595</v>
      </c>
      <c r="K56" s="5">
        <v>289</v>
      </c>
      <c r="L56" s="5">
        <v>179</v>
      </c>
      <c r="M56" s="5">
        <v>73</v>
      </c>
      <c r="N56" s="5">
        <v>1590</v>
      </c>
      <c r="O56" s="5">
        <v>0</v>
      </c>
      <c r="P56" s="5">
        <v>23933</v>
      </c>
      <c r="Q56" s="48"/>
      <c r="R56" s="22" t="s">
        <v>21</v>
      </c>
      <c r="S56" s="5">
        <v>6719</v>
      </c>
      <c r="T56" s="5">
        <v>1597</v>
      </c>
      <c r="U56" s="5">
        <v>657</v>
      </c>
      <c r="V56" s="5">
        <v>223</v>
      </c>
      <c r="W56" s="5">
        <v>363</v>
      </c>
      <c r="X56" s="5">
        <v>91</v>
      </c>
      <c r="Y56" s="5">
        <v>88</v>
      </c>
      <c r="Z56" s="5">
        <v>4</v>
      </c>
      <c r="AA56" s="5">
        <v>181</v>
      </c>
      <c r="AB56" s="5">
        <v>116</v>
      </c>
      <c r="AC56" s="5">
        <v>74</v>
      </c>
      <c r="AD56" s="5">
        <v>126</v>
      </c>
      <c r="AE56" s="5">
        <v>609</v>
      </c>
      <c r="AF56" s="5">
        <v>1</v>
      </c>
      <c r="AG56" s="5">
        <v>10849</v>
      </c>
      <c r="AH56" s="48"/>
    </row>
    <row r="57" spans="1:34">
      <c r="A57" s="22" t="s">
        <v>22</v>
      </c>
      <c r="B57" s="5">
        <v>6997</v>
      </c>
      <c r="C57" s="5">
        <v>2229</v>
      </c>
      <c r="D57" s="5">
        <v>168</v>
      </c>
      <c r="E57" s="5">
        <v>105</v>
      </c>
      <c r="F57" s="5">
        <v>366</v>
      </c>
      <c r="G57" s="5">
        <v>36</v>
      </c>
      <c r="H57" s="5">
        <v>107</v>
      </c>
      <c r="I57" s="5">
        <v>0</v>
      </c>
      <c r="J57" s="5">
        <v>207</v>
      </c>
      <c r="K57" s="5">
        <v>158</v>
      </c>
      <c r="L57" s="5">
        <v>62</v>
      </c>
      <c r="M57" s="5">
        <v>73</v>
      </c>
      <c r="N57" s="5">
        <v>703</v>
      </c>
      <c r="O57" s="5">
        <v>0</v>
      </c>
      <c r="P57" s="5">
        <v>11211</v>
      </c>
      <c r="Q57" s="48"/>
      <c r="R57" s="22" t="s">
        <v>22</v>
      </c>
      <c r="S57" s="5">
        <v>3882</v>
      </c>
      <c r="T57" s="5">
        <v>520</v>
      </c>
      <c r="U57" s="5">
        <v>281</v>
      </c>
      <c r="V57" s="5">
        <v>67</v>
      </c>
      <c r="W57" s="5">
        <v>213</v>
      </c>
      <c r="X57" s="5">
        <v>47</v>
      </c>
      <c r="Y57" s="5">
        <v>52</v>
      </c>
      <c r="Z57" s="5">
        <v>2</v>
      </c>
      <c r="AA57" s="5">
        <v>56</v>
      </c>
      <c r="AB57" s="5">
        <v>125</v>
      </c>
      <c r="AC57" s="5">
        <v>30</v>
      </c>
      <c r="AD57" s="5">
        <v>56</v>
      </c>
      <c r="AE57" s="5">
        <v>253</v>
      </c>
      <c r="AF57" s="5">
        <v>0</v>
      </c>
      <c r="AG57" s="5">
        <v>5584</v>
      </c>
      <c r="AH57" s="48"/>
    </row>
    <row r="58" spans="1:34">
      <c r="A58" s="22" t="s">
        <v>237</v>
      </c>
      <c r="B58" s="5">
        <v>1911</v>
      </c>
      <c r="C58" s="5">
        <v>1028</v>
      </c>
      <c r="D58" s="5">
        <v>652</v>
      </c>
      <c r="E58" s="5">
        <v>73</v>
      </c>
      <c r="F58" s="5">
        <v>202</v>
      </c>
      <c r="G58" s="5">
        <v>14</v>
      </c>
      <c r="H58" s="5">
        <v>53</v>
      </c>
      <c r="I58" s="5">
        <v>1</v>
      </c>
      <c r="J58" s="5">
        <v>154</v>
      </c>
      <c r="K58" s="5">
        <v>32</v>
      </c>
      <c r="L58" s="5">
        <v>39</v>
      </c>
      <c r="M58" s="5">
        <v>21</v>
      </c>
      <c r="N58" s="5">
        <v>405</v>
      </c>
      <c r="O58" s="5">
        <v>1</v>
      </c>
      <c r="P58" s="5">
        <v>4586</v>
      </c>
      <c r="Q58" s="48"/>
      <c r="R58" s="22" t="s">
        <v>237</v>
      </c>
      <c r="S58" s="5">
        <v>1904</v>
      </c>
      <c r="T58" s="5">
        <v>271</v>
      </c>
      <c r="U58" s="5">
        <v>225</v>
      </c>
      <c r="V58" s="5">
        <v>48</v>
      </c>
      <c r="W58" s="5">
        <v>73</v>
      </c>
      <c r="X58" s="5">
        <v>16</v>
      </c>
      <c r="Y58" s="5">
        <v>20</v>
      </c>
      <c r="Z58" s="5">
        <v>1</v>
      </c>
      <c r="AA58" s="5">
        <v>31</v>
      </c>
      <c r="AB58" s="5">
        <v>40</v>
      </c>
      <c r="AC58" s="5">
        <v>7</v>
      </c>
      <c r="AD58" s="5">
        <v>17</v>
      </c>
      <c r="AE58" s="5">
        <v>147</v>
      </c>
      <c r="AF58" s="5">
        <v>0</v>
      </c>
      <c r="AG58" s="5">
        <v>2800</v>
      </c>
      <c r="AH58" s="48"/>
    </row>
    <row r="59" spans="1:34">
      <c r="A59" s="22" t="s">
        <v>23</v>
      </c>
      <c r="B59" s="5">
        <v>20115</v>
      </c>
      <c r="C59" s="5">
        <v>11857</v>
      </c>
      <c r="D59" s="5">
        <v>323</v>
      </c>
      <c r="E59" s="5">
        <v>620</v>
      </c>
      <c r="F59" s="5">
        <v>2166</v>
      </c>
      <c r="G59" s="5">
        <v>154</v>
      </c>
      <c r="H59" s="5">
        <v>501</v>
      </c>
      <c r="I59" s="5">
        <v>5</v>
      </c>
      <c r="J59" s="5">
        <v>1098</v>
      </c>
      <c r="K59" s="5">
        <v>745</v>
      </c>
      <c r="L59" s="5">
        <v>338</v>
      </c>
      <c r="M59" s="5">
        <v>253</v>
      </c>
      <c r="N59" s="5">
        <v>3592</v>
      </c>
      <c r="O59" s="5">
        <v>0</v>
      </c>
      <c r="P59" s="5">
        <v>41767</v>
      </c>
      <c r="Q59" s="48"/>
      <c r="R59" s="22" t="s">
        <v>23</v>
      </c>
      <c r="S59" s="5">
        <v>10148</v>
      </c>
      <c r="T59" s="5">
        <v>2400</v>
      </c>
      <c r="U59" s="5">
        <v>554</v>
      </c>
      <c r="V59" s="5">
        <v>285</v>
      </c>
      <c r="W59" s="5">
        <v>562</v>
      </c>
      <c r="X59" s="5">
        <v>105</v>
      </c>
      <c r="Y59" s="5">
        <v>127</v>
      </c>
      <c r="Z59" s="5">
        <v>4</v>
      </c>
      <c r="AA59" s="5">
        <v>159</v>
      </c>
      <c r="AB59" s="5">
        <v>214</v>
      </c>
      <c r="AC59" s="5">
        <v>129</v>
      </c>
      <c r="AD59" s="5">
        <v>137</v>
      </c>
      <c r="AE59" s="5">
        <v>898</v>
      </c>
      <c r="AF59" s="5">
        <v>0</v>
      </c>
      <c r="AG59" s="5">
        <v>15722</v>
      </c>
      <c r="AH59" s="48"/>
    </row>
    <row r="60" spans="1:34">
      <c r="A60" s="22" t="s">
        <v>24</v>
      </c>
      <c r="B60" s="5">
        <v>6375</v>
      </c>
      <c r="C60" s="5">
        <v>1917</v>
      </c>
      <c r="D60" s="5">
        <v>324</v>
      </c>
      <c r="E60" s="5">
        <v>167</v>
      </c>
      <c r="F60" s="5">
        <v>315</v>
      </c>
      <c r="G60" s="5">
        <v>49</v>
      </c>
      <c r="H60" s="5">
        <v>115</v>
      </c>
      <c r="I60" s="5">
        <v>1</v>
      </c>
      <c r="J60" s="5">
        <v>305</v>
      </c>
      <c r="K60" s="5">
        <v>170</v>
      </c>
      <c r="L60" s="5">
        <v>88</v>
      </c>
      <c r="M60" s="5">
        <v>71</v>
      </c>
      <c r="N60" s="5">
        <v>738</v>
      </c>
      <c r="O60" s="5">
        <v>0</v>
      </c>
      <c r="P60" s="5">
        <v>10635</v>
      </c>
      <c r="Q60" s="48"/>
      <c r="R60" s="22" t="s">
        <v>24</v>
      </c>
      <c r="S60" s="5">
        <v>3782</v>
      </c>
      <c r="T60" s="5">
        <v>601</v>
      </c>
      <c r="U60" s="5">
        <v>240</v>
      </c>
      <c r="V60" s="5">
        <v>78</v>
      </c>
      <c r="W60" s="5">
        <v>119</v>
      </c>
      <c r="X60" s="5">
        <v>46</v>
      </c>
      <c r="Y60" s="5">
        <v>47</v>
      </c>
      <c r="Z60" s="5">
        <v>2</v>
      </c>
      <c r="AA60" s="5">
        <v>47</v>
      </c>
      <c r="AB60" s="5">
        <v>55</v>
      </c>
      <c r="AC60" s="5">
        <v>38</v>
      </c>
      <c r="AD60" s="5">
        <v>22</v>
      </c>
      <c r="AE60" s="5">
        <v>253</v>
      </c>
      <c r="AF60" s="5">
        <v>0</v>
      </c>
      <c r="AG60" s="5">
        <v>5330</v>
      </c>
      <c r="AH60" s="48"/>
    </row>
    <row r="61" spans="1:34">
      <c r="A61" s="22" t="s">
        <v>25</v>
      </c>
      <c r="B61" s="5">
        <v>1930</v>
      </c>
      <c r="C61" s="5">
        <v>1255</v>
      </c>
      <c r="D61" s="5">
        <v>899</v>
      </c>
      <c r="E61" s="5">
        <v>100</v>
      </c>
      <c r="F61" s="5">
        <v>351</v>
      </c>
      <c r="G61" s="5">
        <v>68</v>
      </c>
      <c r="H61" s="5">
        <v>82</v>
      </c>
      <c r="I61" s="5">
        <v>4</v>
      </c>
      <c r="J61" s="5">
        <v>65</v>
      </c>
      <c r="K61" s="5">
        <v>121</v>
      </c>
      <c r="L61" s="5">
        <v>51</v>
      </c>
      <c r="M61" s="5">
        <v>44</v>
      </c>
      <c r="N61" s="5">
        <v>504</v>
      </c>
      <c r="O61" s="5">
        <v>0</v>
      </c>
      <c r="P61" s="5">
        <v>5474</v>
      </c>
      <c r="Q61" s="48"/>
      <c r="R61" s="22" t="s">
        <v>25</v>
      </c>
      <c r="S61" s="5">
        <v>822</v>
      </c>
      <c r="T61" s="5">
        <v>140</v>
      </c>
      <c r="U61" s="5">
        <v>113</v>
      </c>
      <c r="V61" s="5">
        <v>32</v>
      </c>
      <c r="W61" s="5">
        <v>52</v>
      </c>
      <c r="X61" s="5">
        <v>12</v>
      </c>
      <c r="Y61" s="5">
        <v>26</v>
      </c>
      <c r="Z61" s="5">
        <v>0</v>
      </c>
      <c r="AA61" s="5">
        <v>18</v>
      </c>
      <c r="AB61" s="5">
        <v>25</v>
      </c>
      <c r="AC61" s="5">
        <v>5</v>
      </c>
      <c r="AD61" s="5">
        <v>13</v>
      </c>
      <c r="AE61" s="5">
        <v>94</v>
      </c>
      <c r="AF61" s="5">
        <v>0</v>
      </c>
      <c r="AG61" s="5">
        <v>1352</v>
      </c>
      <c r="AH61" s="48"/>
    </row>
    <row r="62" spans="1:34">
      <c r="A62" s="22" t="s">
        <v>26</v>
      </c>
      <c r="B62" s="5">
        <v>4499</v>
      </c>
      <c r="C62" s="5">
        <v>1047</v>
      </c>
      <c r="D62" s="5">
        <v>213</v>
      </c>
      <c r="E62" s="5">
        <v>180</v>
      </c>
      <c r="F62" s="5">
        <v>253</v>
      </c>
      <c r="G62" s="5">
        <v>133</v>
      </c>
      <c r="H62" s="5">
        <v>183</v>
      </c>
      <c r="I62" s="5">
        <v>7</v>
      </c>
      <c r="J62" s="5">
        <v>159</v>
      </c>
      <c r="K62" s="5">
        <v>124</v>
      </c>
      <c r="L62" s="5">
        <v>69</v>
      </c>
      <c r="M62" s="5">
        <v>61</v>
      </c>
      <c r="N62" s="5">
        <v>502</v>
      </c>
      <c r="O62" s="5">
        <v>0</v>
      </c>
      <c r="P62" s="5">
        <v>7430</v>
      </c>
      <c r="Q62" s="48"/>
      <c r="R62" s="22" t="s">
        <v>26</v>
      </c>
      <c r="S62" s="5">
        <v>3777</v>
      </c>
      <c r="T62" s="5">
        <v>621</v>
      </c>
      <c r="U62" s="5">
        <v>319</v>
      </c>
      <c r="V62" s="5">
        <v>104</v>
      </c>
      <c r="W62" s="5">
        <v>255</v>
      </c>
      <c r="X62" s="5">
        <v>58</v>
      </c>
      <c r="Y62" s="5">
        <v>61</v>
      </c>
      <c r="Z62" s="5">
        <v>2</v>
      </c>
      <c r="AA62" s="5">
        <v>85</v>
      </c>
      <c r="AB62" s="5">
        <v>64</v>
      </c>
      <c r="AC62" s="5">
        <v>31</v>
      </c>
      <c r="AD62" s="5">
        <v>22</v>
      </c>
      <c r="AE62" s="5">
        <v>262</v>
      </c>
      <c r="AF62" s="5">
        <v>0</v>
      </c>
      <c r="AG62" s="5">
        <v>5661</v>
      </c>
      <c r="AH62" s="48"/>
    </row>
    <row r="63" spans="1:34">
      <c r="A63" s="22" t="s">
        <v>27</v>
      </c>
      <c r="B63" s="5">
        <v>1168</v>
      </c>
      <c r="C63" s="5">
        <v>287</v>
      </c>
      <c r="D63" s="5">
        <v>66</v>
      </c>
      <c r="E63" s="5">
        <v>49</v>
      </c>
      <c r="F63" s="5">
        <v>109</v>
      </c>
      <c r="G63" s="5">
        <v>23</v>
      </c>
      <c r="H63" s="5">
        <v>40</v>
      </c>
      <c r="I63" s="5">
        <v>0</v>
      </c>
      <c r="J63" s="5">
        <v>15</v>
      </c>
      <c r="K63" s="5">
        <v>30</v>
      </c>
      <c r="L63" s="5">
        <v>40</v>
      </c>
      <c r="M63" s="5">
        <v>29</v>
      </c>
      <c r="N63" s="5">
        <v>137</v>
      </c>
      <c r="O63" s="5">
        <v>0</v>
      </c>
      <c r="P63" s="5">
        <v>1993</v>
      </c>
      <c r="Q63" s="48"/>
      <c r="R63" s="22" t="s">
        <v>27</v>
      </c>
      <c r="S63" s="5">
        <v>400</v>
      </c>
      <c r="T63" s="5">
        <v>75</v>
      </c>
      <c r="U63" s="5">
        <v>22</v>
      </c>
      <c r="V63" s="5">
        <v>5</v>
      </c>
      <c r="W63" s="5">
        <v>19</v>
      </c>
      <c r="X63" s="5">
        <v>5</v>
      </c>
      <c r="Y63" s="5">
        <v>9</v>
      </c>
      <c r="Z63" s="5">
        <v>0</v>
      </c>
      <c r="AA63" s="5">
        <v>3</v>
      </c>
      <c r="AB63" s="5">
        <v>5</v>
      </c>
      <c r="AC63" s="5">
        <v>4</v>
      </c>
      <c r="AD63" s="5">
        <v>3</v>
      </c>
      <c r="AE63" s="5">
        <v>17</v>
      </c>
      <c r="AF63" s="5">
        <v>0</v>
      </c>
      <c r="AG63" s="5">
        <v>567</v>
      </c>
      <c r="AH63" s="48"/>
    </row>
    <row r="64" spans="1:34">
      <c r="A64" s="22" t="s">
        <v>28</v>
      </c>
      <c r="B64" s="5">
        <v>1624</v>
      </c>
      <c r="C64" s="5">
        <v>645</v>
      </c>
      <c r="D64" s="5">
        <v>61</v>
      </c>
      <c r="E64" s="5">
        <v>50</v>
      </c>
      <c r="F64" s="5">
        <v>166</v>
      </c>
      <c r="G64" s="5">
        <v>11</v>
      </c>
      <c r="H64" s="5">
        <v>28</v>
      </c>
      <c r="I64" s="5">
        <v>1</v>
      </c>
      <c r="J64" s="5">
        <v>85</v>
      </c>
      <c r="K64" s="5">
        <v>33</v>
      </c>
      <c r="L64" s="5">
        <v>18</v>
      </c>
      <c r="M64" s="5">
        <v>15</v>
      </c>
      <c r="N64" s="5">
        <v>196</v>
      </c>
      <c r="O64" s="5">
        <v>0</v>
      </c>
      <c r="P64" s="5">
        <v>2933</v>
      </c>
      <c r="Q64" s="48"/>
      <c r="R64" s="22" t="s">
        <v>28</v>
      </c>
      <c r="S64" s="5">
        <v>1576</v>
      </c>
      <c r="T64" s="5">
        <v>301</v>
      </c>
      <c r="U64" s="5">
        <v>203</v>
      </c>
      <c r="V64" s="5">
        <v>19</v>
      </c>
      <c r="W64" s="5">
        <v>95</v>
      </c>
      <c r="X64" s="5">
        <v>12</v>
      </c>
      <c r="Y64" s="5">
        <v>17</v>
      </c>
      <c r="Z64" s="5">
        <v>1</v>
      </c>
      <c r="AA64" s="5">
        <v>39</v>
      </c>
      <c r="AB64" s="5">
        <v>39</v>
      </c>
      <c r="AC64" s="5">
        <v>19</v>
      </c>
      <c r="AD64" s="5">
        <v>17</v>
      </c>
      <c r="AE64" s="5">
        <v>111</v>
      </c>
      <c r="AF64" s="5">
        <v>0</v>
      </c>
      <c r="AG64" s="5">
        <v>2449</v>
      </c>
      <c r="AH64" s="48"/>
    </row>
    <row r="65" spans="1:34">
      <c r="A65" s="22" t="s">
        <v>216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48"/>
      <c r="R65" s="22" t="s">
        <v>216</v>
      </c>
      <c r="S65" s="5">
        <v>1713</v>
      </c>
      <c r="T65" s="5">
        <v>828</v>
      </c>
      <c r="U65" s="5">
        <v>1132</v>
      </c>
      <c r="V65" s="5">
        <v>519</v>
      </c>
      <c r="W65" s="5">
        <v>439</v>
      </c>
      <c r="X65" s="5">
        <v>355</v>
      </c>
      <c r="Y65" s="5">
        <v>276</v>
      </c>
      <c r="Z65" s="5">
        <v>131</v>
      </c>
      <c r="AA65" s="5">
        <v>101</v>
      </c>
      <c r="AB65" s="5">
        <v>109</v>
      </c>
      <c r="AC65" s="5">
        <v>130</v>
      </c>
      <c r="AD65" s="5">
        <v>59</v>
      </c>
      <c r="AE65" s="5">
        <v>527</v>
      </c>
      <c r="AF65" s="5">
        <v>0</v>
      </c>
      <c r="AG65" s="5">
        <v>6319</v>
      </c>
      <c r="AH65" s="48"/>
    </row>
    <row r="66" spans="1:34" s="2" customFormat="1">
      <c r="A66" s="20" t="s">
        <v>46</v>
      </c>
      <c r="B66" s="36">
        <v>221241</v>
      </c>
      <c r="C66" s="36">
        <v>81509</v>
      </c>
      <c r="D66" s="36">
        <v>5038</v>
      </c>
      <c r="E66" s="36">
        <v>5227</v>
      </c>
      <c r="F66" s="36">
        <v>13258</v>
      </c>
      <c r="G66" s="36">
        <v>1531</v>
      </c>
      <c r="H66" s="36">
        <v>3632</v>
      </c>
      <c r="I66" s="36">
        <v>276</v>
      </c>
      <c r="J66" s="36">
        <v>9518</v>
      </c>
      <c r="K66" s="36">
        <v>4671</v>
      </c>
      <c r="L66" s="36">
        <v>3820</v>
      </c>
      <c r="M66" s="36">
        <v>1127</v>
      </c>
      <c r="N66" s="36">
        <v>27871</v>
      </c>
      <c r="O66" s="36">
        <v>1</v>
      </c>
      <c r="P66" s="36">
        <v>378720</v>
      </c>
      <c r="Q66" s="88"/>
      <c r="R66" s="20" t="s">
        <v>46</v>
      </c>
      <c r="S66" s="36">
        <v>176752</v>
      </c>
      <c r="T66" s="36">
        <v>33425</v>
      </c>
      <c r="U66" s="36">
        <v>15440</v>
      </c>
      <c r="V66" s="36">
        <v>5320</v>
      </c>
      <c r="W66" s="36">
        <v>9107</v>
      </c>
      <c r="X66" s="36">
        <v>2718</v>
      </c>
      <c r="Y66" s="36">
        <v>2764</v>
      </c>
      <c r="Z66" s="36">
        <v>243</v>
      </c>
      <c r="AA66" s="36">
        <v>2982</v>
      </c>
      <c r="AB66" s="36">
        <v>2972</v>
      </c>
      <c r="AC66" s="36">
        <v>1802</v>
      </c>
      <c r="AD66" s="36">
        <v>1750</v>
      </c>
      <c r="AE66" s="36">
        <v>14246</v>
      </c>
      <c r="AF66" s="36">
        <v>3</v>
      </c>
      <c r="AG66" s="36">
        <v>269524</v>
      </c>
      <c r="AH66" s="88"/>
    </row>
    <row r="67" spans="1:34">
      <c r="A67" s="3" t="s">
        <v>406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R67" s="3" t="s">
        <v>406</v>
      </c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</row>
    <row r="68" spans="1:34">
      <c r="E68" s="3"/>
      <c r="F68" s="6"/>
      <c r="S68" s="6"/>
      <c r="T68" s="6"/>
      <c r="V68" s="6"/>
      <c r="W68" s="6"/>
    </row>
    <row r="69" spans="1:34">
      <c r="A69" s="7" t="s">
        <v>130</v>
      </c>
      <c r="E69" s="3"/>
      <c r="F69" s="6"/>
      <c r="S69" s="6"/>
      <c r="T69" s="6"/>
      <c r="V69" s="6"/>
      <c r="W69" s="6"/>
    </row>
    <row r="70" spans="1:34">
      <c r="A70" s="7" t="s">
        <v>315</v>
      </c>
      <c r="E70" s="3"/>
      <c r="F70" s="6"/>
      <c r="R70" s="7"/>
      <c r="S70" s="6"/>
      <c r="T70" s="6"/>
      <c r="V70" s="6"/>
      <c r="W70" s="6"/>
    </row>
    <row r="71" spans="1:34">
      <c r="A71" s="8" t="s">
        <v>144</v>
      </c>
      <c r="B71" s="8" t="s">
        <v>0</v>
      </c>
      <c r="C71" s="8" t="s">
        <v>1</v>
      </c>
      <c r="D71" s="8" t="s">
        <v>45</v>
      </c>
      <c r="E71" s="3"/>
      <c r="F71" s="6"/>
      <c r="R71" s="25"/>
      <c r="S71" s="25"/>
      <c r="T71" s="25"/>
      <c r="V71" s="25"/>
      <c r="W71" s="6"/>
    </row>
    <row r="72" spans="1:34">
      <c r="A72" s="33" t="s">
        <v>9</v>
      </c>
      <c r="B72" s="4">
        <v>4926419</v>
      </c>
      <c r="C72" s="4">
        <v>3704005</v>
      </c>
      <c r="D72" s="4">
        <v>8630424</v>
      </c>
      <c r="E72" s="3"/>
      <c r="F72" s="32"/>
      <c r="S72" s="24"/>
      <c r="T72" s="12"/>
      <c r="V72" s="12"/>
      <c r="W72" s="6"/>
    </row>
    <row r="73" spans="1:34">
      <c r="A73" s="33" t="s">
        <v>10</v>
      </c>
      <c r="B73" s="5">
        <v>2047933</v>
      </c>
      <c r="C73" s="5">
        <v>678316</v>
      </c>
      <c r="D73" s="5">
        <v>2726249</v>
      </c>
      <c r="E73" s="3"/>
      <c r="F73" s="32"/>
      <c r="S73" s="24"/>
      <c r="T73" s="12"/>
      <c r="V73" s="12"/>
      <c r="W73" s="6"/>
    </row>
    <row r="74" spans="1:34" ht="14.25">
      <c r="A74" s="33" t="s">
        <v>453</v>
      </c>
      <c r="B74" s="5">
        <v>51322</v>
      </c>
      <c r="C74" s="5">
        <v>156629</v>
      </c>
      <c r="D74" s="5">
        <v>207951</v>
      </c>
      <c r="E74" s="3"/>
      <c r="F74" s="32"/>
      <c r="S74" s="24"/>
      <c r="T74" s="12"/>
      <c r="V74" s="12"/>
      <c r="W74" s="6"/>
    </row>
    <row r="75" spans="1:34">
      <c r="A75" s="33" t="s">
        <v>11</v>
      </c>
      <c r="B75" s="5">
        <v>84572</v>
      </c>
      <c r="C75" s="5">
        <v>51350</v>
      </c>
      <c r="D75" s="5">
        <v>135922</v>
      </c>
      <c r="E75" s="3"/>
      <c r="F75" s="32"/>
      <c r="S75" s="24"/>
      <c r="T75" s="12"/>
      <c r="V75" s="12"/>
      <c r="W75" s="6"/>
    </row>
    <row r="76" spans="1:34">
      <c r="A76" s="33" t="s">
        <v>12</v>
      </c>
      <c r="B76" s="5">
        <v>357755</v>
      </c>
      <c r="C76" s="5">
        <v>194212</v>
      </c>
      <c r="D76" s="5">
        <v>551967</v>
      </c>
      <c r="E76" s="3"/>
      <c r="F76" s="32"/>
      <c r="S76" s="24"/>
      <c r="T76" s="12"/>
      <c r="V76" s="12"/>
      <c r="W76" s="6"/>
    </row>
    <row r="77" spans="1:34">
      <c r="A77" s="33" t="s">
        <v>13</v>
      </c>
      <c r="B77" s="5">
        <v>18791</v>
      </c>
      <c r="C77" s="5">
        <v>16522</v>
      </c>
      <c r="D77" s="5">
        <v>35313</v>
      </c>
      <c r="E77" s="3"/>
      <c r="F77" s="32"/>
      <c r="S77" s="24"/>
      <c r="T77" s="12"/>
      <c r="V77" s="12"/>
      <c r="W77" s="6"/>
    </row>
    <row r="78" spans="1:34">
      <c r="A78" s="33" t="s">
        <v>159</v>
      </c>
      <c r="B78" s="5">
        <v>70465</v>
      </c>
      <c r="C78" s="5">
        <v>32220</v>
      </c>
      <c r="D78" s="5">
        <v>102685</v>
      </c>
      <c r="E78" s="3"/>
      <c r="F78" s="32"/>
      <c r="S78" s="24"/>
      <c r="T78" s="12"/>
      <c r="V78" s="12"/>
      <c r="W78" s="6"/>
    </row>
    <row r="79" spans="1:34">
      <c r="A79" s="33" t="s">
        <v>349</v>
      </c>
      <c r="B79" s="5">
        <v>8209</v>
      </c>
      <c r="C79" s="5">
        <v>7290</v>
      </c>
      <c r="D79" s="5">
        <v>15499</v>
      </c>
      <c r="E79" s="3"/>
      <c r="F79" s="32"/>
      <c r="S79" s="24"/>
      <c r="T79" s="12"/>
      <c r="V79" s="12"/>
      <c r="W79" s="6"/>
    </row>
    <row r="80" spans="1:34">
      <c r="A80" s="33" t="s">
        <v>197</v>
      </c>
      <c r="B80" s="5">
        <v>283290</v>
      </c>
      <c r="C80" s="5">
        <v>76427</v>
      </c>
      <c r="D80" s="5">
        <v>359717</v>
      </c>
      <c r="E80" s="3"/>
      <c r="F80" s="32"/>
      <c r="S80" s="24"/>
      <c r="T80" s="12"/>
      <c r="V80" s="12"/>
      <c r="W80" s="6"/>
    </row>
    <row r="81" spans="1:34">
      <c r="A81" s="33" t="s">
        <v>162</v>
      </c>
      <c r="B81" s="5">
        <v>165500</v>
      </c>
      <c r="C81" s="5">
        <v>94235</v>
      </c>
      <c r="D81" s="5">
        <v>259735</v>
      </c>
      <c r="E81" s="3"/>
      <c r="F81" s="32"/>
      <c r="T81" s="6"/>
      <c r="V81" s="6"/>
      <c r="W81" s="6"/>
    </row>
    <row r="82" spans="1:34">
      <c r="A82" s="33" t="s">
        <v>161</v>
      </c>
      <c r="B82" s="5">
        <v>102979</v>
      </c>
      <c r="C82" s="5">
        <v>29342</v>
      </c>
      <c r="D82" s="5">
        <v>132321</v>
      </c>
      <c r="E82" s="3"/>
      <c r="F82" s="32"/>
      <c r="T82" s="6"/>
      <c r="V82" s="6"/>
      <c r="W82" s="6"/>
    </row>
    <row r="83" spans="1:34">
      <c r="A83" s="33" t="s">
        <v>160</v>
      </c>
      <c r="B83" s="5">
        <v>21493</v>
      </c>
      <c r="C83" s="5">
        <v>30586</v>
      </c>
      <c r="D83" s="5">
        <v>52079</v>
      </c>
      <c r="E83" s="3"/>
      <c r="F83" s="32"/>
      <c r="T83" s="6"/>
      <c r="V83" s="6"/>
      <c r="W83" s="6"/>
    </row>
    <row r="84" spans="1:34">
      <c r="A84" s="33" t="s">
        <v>31</v>
      </c>
      <c r="B84" s="5">
        <v>681901</v>
      </c>
      <c r="C84" s="5">
        <v>277199</v>
      </c>
      <c r="D84" s="5">
        <v>959100</v>
      </c>
      <c r="E84" s="3"/>
      <c r="T84" s="6"/>
      <c r="V84" s="6"/>
      <c r="W84" s="6"/>
    </row>
    <row r="85" spans="1:34">
      <c r="A85" s="33" t="s">
        <v>216</v>
      </c>
      <c r="B85" s="5">
        <v>4</v>
      </c>
      <c r="C85" s="5">
        <v>51</v>
      </c>
      <c r="D85" s="5">
        <v>55</v>
      </c>
      <c r="E85" s="3"/>
      <c r="T85" s="6"/>
      <c r="V85" s="6"/>
      <c r="W85" s="6"/>
    </row>
    <row r="86" spans="1:34">
      <c r="A86" s="20" t="s">
        <v>46</v>
      </c>
      <c r="B86" s="36">
        <v>8820633</v>
      </c>
      <c r="C86" s="36">
        <v>5348384</v>
      </c>
      <c r="D86" s="36">
        <v>14169017</v>
      </c>
      <c r="E86" s="3"/>
      <c r="F86" s="6"/>
      <c r="S86" s="6"/>
      <c r="T86" s="6"/>
      <c r="V86" s="6"/>
      <c r="W86" s="6"/>
    </row>
    <row r="87" spans="1:34" ht="44.1" customHeight="1">
      <c r="A87" s="130" t="s">
        <v>406</v>
      </c>
      <c r="B87" s="130"/>
      <c r="C87" s="130"/>
      <c r="D87" s="130"/>
      <c r="E87" s="130"/>
      <c r="F87" s="6"/>
      <c r="S87" s="6"/>
      <c r="T87" s="6"/>
      <c r="V87" s="6"/>
      <c r="W87" s="6"/>
    </row>
    <row r="88" spans="1:34">
      <c r="E88" s="3"/>
      <c r="F88" s="6"/>
      <c r="S88" s="6"/>
      <c r="T88" s="6"/>
      <c r="V88" s="6"/>
      <c r="W88" s="6"/>
    </row>
    <row r="89" spans="1:34">
      <c r="A89" s="7" t="s">
        <v>131</v>
      </c>
      <c r="E89" s="3"/>
      <c r="F89" s="6"/>
      <c r="R89" s="7" t="s">
        <v>134</v>
      </c>
      <c r="S89" s="6"/>
      <c r="T89" s="6"/>
      <c r="V89" s="6"/>
      <c r="W89" s="6"/>
    </row>
    <row r="90" spans="1:34">
      <c r="A90" s="7" t="s">
        <v>316</v>
      </c>
      <c r="E90" s="3"/>
      <c r="F90" s="6"/>
      <c r="R90" s="7" t="s">
        <v>317</v>
      </c>
      <c r="S90" s="6"/>
      <c r="T90" s="6"/>
      <c r="V90" s="6"/>
      <c r="W90" s="6"/>
    </row>
    <row r="91" spans="1:34" ht="51">
      <c r="A91" s="26" t="s">
        <v>50</v>
      </c>
      <c r="B91" s="26" t="s">
        <v>9</v>
      </c>
      <c r="C91" s="26" t="s">
        <v>10</v>
      </c>
      <c r="D91" s="26" t="s">
        <v>454</v>
      </c>
      <c r="E91" s="26" t="s">
        <v>11</v>
      </c>
      <c r="F91" s="26" t="s">
        <v>12</v>
      </c>
      <c r="G91" s="26" t="s">
        <v>13</v>
      </c>
      <c r="H91" s="26" t="s">
        <v>159</v>
      </c>
      <c r="I91" s="26" t="s">
        <v>349</v>
      </c>
      <c r="J91" s="26" t="s">
        <v>197</v>
      </c>
      <c r="K91" s="26" t="s">
        <v>162</v>
      </c>
      <c r="L91" s="26" t="s">
        <v>161</v>
      </c>
      <c r="M91" s="26" t="s">
        <v>160</v>
      </c>
      <c r="N91" s="26" t="s">
        <v>31</v>
      </c>
      <c r="O91" s="26" t="s">
        <v>216</v>
      </c>
      <c r="P91" s="26" t="s">
        <v>48</v>
      </c>
      <c r="R91" s="26" t="s">
        <v>50</v>
      </c>
      <c r="S91" s="26" t="s">
        <v>9</v>
      </c>
      <c r="T91" s="26" t="s">
        <v>10</v>
      </c>
      <c r="U91" s="26" t="s">
        <v>454</v>
      </c>
      <c r="V91" s="26" t="s">
        <v>11</v>
      </c>
      <c r="W91" s="26" t="s">
        <v>12</v>
      </c>
      <c r="X91" s="26" t="s">
        <v>13</v>
      </c>
      <c r="Y91" s="26" t="s">
        <v>159</v>
      </c>
      <c r="Z91" s="26" t="s">
        <v>349</v>
      </c>
      <c r="AA91" s="26" t="s">
        <v>197</v>
      </c>
      <c r="AB91" s="26" t="s">
        <v>162</v>
      </c>
      <c r="AC91" s="26" t="s">
        <v>161</v>
      </c>
      <c r="AD91" s="26" t="s">
        <v>160</v>
      </c>
      <c r="AE91" s="26" t="s">
        <v>31</v>
      </c>
      <c r="AF91" s="26" t="s">
        <v>216</v>
      </c>
      <c r="AG91" s="26" t="s">
        <v>48</v>
      </c>
    </row>
    <row r="92" spans="1:34">
      <c r="A92" s="13" t="s">
        <v>5</v>
      </c>
      <c r="B92" s="4">
        <v>1292455</v>
      </c>
      <c r="C92" s="4">
        <v>829828</v>
      </c>
      <c r="D92" s="14">
        <v>29879</v>
      </c>
      <c r="E92" s="14">
        <v>42469</v>
      </c>
      <c r="F92" s="14">
        <v>201019</v>
      </c>
      <c r="G92" s="14">
        <v>11468</v>
      </c>
      <c r="H92" s="14">
        <v>42555</v>
      </c>
      <c r="I92" s="14">
        <v>150</v>
      </c>
      <c r="J92" s="14">
        <v>200311</v>
      </c>
      <c r="K92" s="14">
        <v>87074</v>
      </c>
      <c r="L92" s="14">
        <v>56808</v>
      </c>
      <c r="M92" s="14">
        <v>176</v>
      </c>
      <c r="N92" s="14">
        <v>309807</v>
      </c>
      <c r="O92" s="14">
        <v>4</v>
      </c>
      <c r="P92" s="14">
        <v>3104003</v>
      </c>
      <c r="Q92" s="48"/>
      <c r="R92" s="13" t="s">
        <v>5</v>
      </c>
      <c r="S92" s="4">
        <v>1651028</v>
      </c>
      <c r="T92" s="4">
        <v>389127</v>
      </c>
      <c r="U92" s="14">
        <v>97699</v>
      </c>
      <c r="V92" s="14">
        <v>30175</v>
      </c>
      <c r="W92" s="14">
        <v>138554</v>
      </c>
      <c r="X92" s="14">
        <v>11011</v>
      </c>
      <c r="Y92" s="14">
        <v>21400</v>
      </c>
      <c r="Z92" s="14">
        <v>450</v>
      </c>
      <c r="AA92" s="14">
        <v>55824</v>
      </c>
      <c r="AB92" s="14">
        <v>54977</v>
      </c>
      <c r="AC92" s="14">
        <v>17938</v>
      </c>
      <c r="AD92" s="14">
        <v>206</v>
      </c>
      <c r="AE92" s="14">
        <v>158926</v>
      </c>
      <c r="AF92" s="14">
        <v>30</v>
      </c>
      <c r="AG92" s="14">
        <v>2627345</v>
      </c>
      <c r="AH92" s="49"/>
    </row>
    <row r="93" spans="1:34">
      <c r="A93" s="16" t="s">
        <v>6</v>
      </c>
      <c r="B93" s="5">
        <v>3633964</v>
      </c>
      <c r="C93" s="5">
        <v>1218105</v>
      </c>
      <c r="D93" s="10">
        <v>21443</v>
      </c>
      <c r="E93" s="10">
        <v>42103</v>
      </c>
      <c r="F93" s="10">
        <v>156736</v>
      </c>
      <c r="G93" s="10">
        <v>7323</v>
      </c>
      <c r="H93" s="10">
        <v>27910</v>
      </c>
      <c r="I93" s="10">
        <v>8059</v>
      </c>
      <c r="J93" s="10">
        <v>82979</v>
      </c>
      <c r="K93" s="10">
        <v>78426</v>
      </c>
      <c r="L93" s="10">
        <v>46171</v>
      </c>
      <c r="M93" s="10">
        <v>21317</v>
      </c>
      <c r="N93" s="10">
        <v>372094</v>
      </c>
      <c r="O93" s="5">
        <v>0</v>
      </c>
      <c r="P93" s="10">
        <v>5716630</v>
      </c>
      <c r="Q93" s="48"/>
      <c r="R93" s="16" t="s">
        <v>6</v>
      </c>
      <c r="S93" s="5">
        <v>2052977</v>
      </c>
      <c r="T93" s="5">
        <v>289189</v>
      </c>
      <c r="U93" s="10">
        <v>58930</v>
      </c>
      <c r="V93" s="10">
        <v>21175</v>
      </c>
      <c r="W93" s="10">
        <v>55658</v>
      </c>
      <c r="X93" s="10">
        <v>5511</v>
      </c>
      <c r="Y93" s="10">
        <v>10820</v>
      </c>
      <c r="Z93" s="10">
        <v>6840</v>
      </c>
      <c r="AA93" s="10">
        <v>20603</v>
      </c>
      <c r="AB93" s="10">
        <v>39258</v>
      </c>
      <c r="AC93" s="10">
        <v>11404</v>
      </c>
      <c r="AD93" s="10">
        <v>30380</v>
      </c>
      <c r="AE93" s="10">
        <v>118273</v>
      </c>
      <c r="AF93" s="10">
        <v>21</v>
      </c>
      <c r="AG93" s="10">
        <v>2721039</v>
      </c>
      <c r="AH93" s="48"/>
    </row>
    <row r="94" spans="1:34">
      <c r="A94" s="16" t="s">
        <v>216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10">
        <v>0</v>
      </c>
      <c r="Q94" s="48"/>
      <c r="R94" s="16" t="s">
        <v>216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10">
        <v>0</v>
      </c>
      <c r="AH94" s="48"/>
    </row>
    <row r="95" spans="1:34" s="2" customFormat="1">
      <c r="A95" s="20" t="s">
        <v>46</v>
      </c>
      <c r="B95" s="36">
        <v>4926419</v>
      </c>
      <c r="C95" s="36">
        <v>2047933</v>
      </c>
      <c r="D95" s="36">
        <v>51322</v>
      </c>
      <c r="E95" s="36">
        <v>84572</v>
      </c>
      <c r="F95" s="36">
        <v>357755</v>
      </c>
      <c r="G95" s="36">
        <v>18791</v>
      </c>
      <c r="H95" s="36">
        <v>70465</v>
      </c>
      <c r="I95" s="36">
        <v>8209</v>
      </c>
      <c r="J95" s="36">
        <v>283290</v>
      </c>
      <c r="K95" s="36">
        <v>165500</v>
      </c>
      <c r="L95" s="36">
        <v>102979</v>
      </c>
      <c r="M95" s="36">
        <v>21493</v>
      </c>
      <c r="N95" s="36">
        <v>681901</v>
      </c>
      <c r="O95" s="36">
        <v>4</v>
      </c>
      <c r="P95" s="51">
        <v>8820633</v>
      </c>
      <c r="Q95" s="88"/>
      <c r="R95" s="20" t="s">
        <v>46</v>
      </c>
      <c r="S95" s="36">
        <v>3704005</v>
      </c>
      <c r="T95" s="36">
        <v>678316</v>
      </c>
      <c r="U95" s="36">
        <v>156629</v>
      </c>
      <c r="V95" s="36">
        <v>51350</v>
      </c>
      <c r="W95" s="36">
        <v>194212</v>
      </c>
      <c r="X95" s="36">
        <v>16522</v>
      </c>
      <c r="Y95" s="36">
        <v>32220</v>
      </c>
      <c r="Z95" s="36">
        <v>7290</v>
      </c>
      <c r="AA95" s="36">
        <v>76427</v>
      </c>
      <c r="AB95" s="36">
        <v>94235</v>
      </c>
      <c r="AC95" s="36">
        <v>29342</v>
      </c>
      <c r="AD95" s="36">
        <v>30586</v>
      </c>
      <c r="AE95" s="36">
        <v>277199</v>
      </c>
      <c r="AF95" s="36">
        <v>51</v>
      </c>
      <c r="AG95" s="51">
        <v>5348384</v>
      </c>
      <c r="AH95" s="88"/>
    </row>
    <row r="96" spans="1:34">
      <c r="A96" s="3" t="s">
        <v>406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R96" s="3" t="s">
        <v>406</v>
      </c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</row>
    <row r="97" spans="1:34">
      <c r="D97" s="3"/>
      <c r="F97" s="6"/>
      <c r="S97" s="6"/>
      <c r="T97" s="6"/>
      <c r="V97" s="6"/>
      <c r="W97" s="6"/>
    </row>
    <row r="98" spans="1:34">
      <c r="A98" s="7" t="s">
        <v>132</v>
      </c>
      <c r="D98" s="3"/>
      <c r="F98" s="6"/>
      <c r="R98" s="7" t="s">
        <v>135</v>
      </c>
      <c r="S98" s="6"/>
      <c r="T98" s="6"/>
      <c r="V98" s="6"/>
      <c r="W98" s="6"/>
    </row>
    <row r="99" spans="1:34">
      <c r="A99" s="7" t="s">
        <v>318</v>
      </c>
      <c r="D99" s="3"/>
      <c r="F99" s="6"/>
      <c r="R99" s="7" t="s">
        <v>319</v>
      </c>
      <c r="S99" s="6"/>
      <c r="T99" s="6"/>
      <c r="V99" s="6"/>
      <c r="W99" s="6"/>
    </row>
    <row r="100" spans="1:34" ht="51">
      <c r="A100" s="15" t="s">
        <v>51</v>
      </c>
      <c r="B100" s="26" t="s">
        <v>9</v>
      </c>
      <c r="C100" s="26" t="s">
        <v>10</v>
      </c>
      <c r="D100" s="26" t="s">
        <v>454</v>
      </c>
      <c r="E100" s="26" t="s">
        <v>11</v>
      </c>
      <c r="F100" s="26" t="s">
        <v>12</v>
      </c>
      <c r="G100" s="26" t="s">
        <v>13</v>
      </c>
      <c r="H100" s="26" t="s">
        <v>159</v>
      </c>
      <c r="I100" s="26" t="s">
        <v>349</v>
      </c>
      <c r="J100" s="26" t="s">
        <v>197</v>
      </c>
      <c r="K100" s="26" t="s">
        <v>162</v>
      </c>
      <c r="L100" s="26" t="s">
        <v>161</v>
      </c>
      <c r="M100" s="26" t="s">
        <v>160</v>
      </c>
      <c r="N100" s="26" t="s">
        <v>31</v>
      </c>
      <c r="O100" s="26" t="s">
        <v>216</v>
      </c>
      <c r="P100" s="26" t="s">
        <v>48</v>
      </c>
      <c r="R100" s="15" t="s">
        <v>51</v>
      </c>
      <c r="S100" s="26" t="s">
        <v>9</v>
      </c>
      <c r="T100" s="26" t="s">
        <v>10</v>
      </c>
      <c r="U100" s="26" t="s">
        <v>454</v>
      </c>
      <c r="V100" s="26" t="s">
        <v>11</v>
      </c>
      <c r="W100" s="26" t="s">
        <v>12</v>
      </c>
      <c r="X100" s="26" t="s">
        <v>13</v>
      </c>
      <c r="Y100" s="26" t="s">
        <v>159</v>
      </c>
      <c r="Z100" s="26" t="s">
        <v>349</v>
      </c>
      <c r="AA100" s="26" t="s">
        <v>197</v>
      </c>
      <c r="AB100" s="26" t="s">
        <v>162</v>
      </c>
      <c r="AC100" s="26" t="s">
        <v>161</v>
      </c>
      <c r="AD100" s="26" t="s">
        <v>160</v>
      </c>
      <c r="AE100" s="26" t="s">
        <v>31</v>
      </c>
      <c r="AF100" s="26" t="s">
        <v>216</v>
      </c>
      <c r="AG100" s="26" t="s">
        <v>48</v>
      </c>
    </row>
    <row r="101" spans="1:34">
      <c r="A101" s="13" t="s">
        <v>40</v>
      </c>
      <c r="B101" s="4">
        <v>3784</v>
      </c>
      <c r="C101" s="4">
        <v>651</v>
      </c>
      <c r="D101" s="4">
        <v>629</v>
      </c>
      <c r="E101" s="4">
        <v>164</v>
      </c>
      <c r="F101" s="4">
        <v>500</v>
      </c>
      <c r="G101" s="4">
        <v>159</v>
      </c>
      <c r="H101" s="4">
        <v>61</v>
      </c>
      <c r="I101" s="5">
        <v>0</v>
      </c>
      <c r="J101" s="4">
        <v>36</v>
      </c>
      <c r="K101" s="4">
        <v>56</v>
      </c>
      <c r="L101" s="4">
        <v>37</v>
      </c>
      <c r="M101" s="4">
        <v>112</v>
      </c>
      <c r="N101" s="4">
        <v>982</v>
      </c>
      <c r="O101" s="5">
        <v>0</v>
      </c>
      <c r="P101" s="4">
        <v>7171</v>
      </c>
      <c r="Q101" s="49"/>
      <c r="R101" s="13" t="s">
        <v>40</v>
      </c>
      <c r="S101" s="4">
        <v>1215</v>
      </c>
      <c r="T101" s="4">
        <v>216</v>
      </c>
      <c r="U101" s="4">
        <v>127</v>
      </c>
      <c r="V101" s="4">
        <v>21</v>
      </c>
      <c r="W101" s="4">
        <v>103</v>
      </c>
      <c r="X101" s="4">
        <v>13</v>
      </c>
      <c r="Y101" s="4">
        <v>4</v>
      </c>
      <c r="Z101" s="5">
        <v>0</v>
      </c>
      <c r="AA101" s="5">
        <v>0</v>
      </c>
      <c r="AB101" s="5">
        <v>0</v>
      </c>
      <c r="AC101" s="5">
        <v>0</v>
      </c>
      <c r="AD101" s="4">
        <v>30</v>
      </c>
      <c r="AE101" s="4">
        <v>43</v>
      </c>
      <c r="AF101" s="5">
        <v>0</v>
      </c>
      <c r="AG101" s="4">
        <v>1772</v>
      </c>
      <c r="AH101" s="49"/>
    </row>
    <row r="102" spans="1:34">
      <c r="A102" s="16" t="s">
        <v>2</v>
      </c>
      <c r="B102" s="5">
        <v>213624</v>
      </c>
      <c r="C102" s="5">
        <v>25209</v>
      </c>
      <c r="D102" s="5">
        <v>5458</v>
      </c>
      <c r="E102" s="5">
        <v>2776</v>
      </c>
      <c r="F102" s="5">
        <v>12902</v>
      </c>
      <c r="G102" s="5">
        <v>839</v>
      </c>
      <c r="H102" s="5">
        <v>1630</v>
      </c>
      <c r="I102" s="5">
        <v>483</v>
      </c>
      <c r="J102" s="5">
        <v>500</v>
      </c>
      <c r="K102" s="5">
        <v>820</v>
      </c>
      <c r="L102" s="5">
        <v>1586</v>
      </c>
      <c r="M102" s="5">
        <v>2544</v>
      </c>
      <c r="N102" s="5">
        <v>13464</v>
      </c>
      <c r="O102" s="5">
        <v>0</v>
      </c>
      <c r="P102" s="5">
        <v>281835</v>
      </c>
      <c r="Q102" s="48"/>
      <c r="R102" s="16" t="s">
        <v>2</v>
      </c>
      <c r="S102" s="5">
        <v>66722</v>
      </c>
      <c r="T102" s="5">
        <v>11446</v>
      </c>
      <c r="U102" s="5">
        <v>5930</v>
      </c>
      <c r="V102" s="5">
        <v>1137</v>
      </c>
      <c r="W102" s="5">
        <v>6988</v>
      </c>
      <c r="X102" s="5">
        <v>652</v>
      </c>
      <c r="Y102" s="5">
        <v>625</v>
      </c>
      <c r="Z102" s="5">
        <v>30</v>
      </c>
      <c r="AA102" s="5">
        <v>197</v>
      </c>
      <c r="AB102" s="5">
        <v>124</v>
      </c>
      <c r="AC102" s="5">
        <v>346</v>
      </c>
      <c r="AD102" s="5">
        <v>517</v>
      </c>
      <c r="AE102" s="5">
        <v>4226</v>
      </c>
      <c r="AF102" s="5">
        <v>0</v>
      </c>
      <c r="AG102" s="5">
        <v>98940</v>
      </c>
      <c r="AH102" s="48"/>
    </row>
    <row r="103" spans="1:34">
      <c r="A103" s="16" t="s">
        <v>41</v>
      </c>
      <c r="B103" s="5">
        <v>1558550</v>
      </c>
      <c r="C103" s="5">
        <v>178593</v>
      </c>
      <c r="D103" s="5">
        <v>16566</v>
      </c>
      <c r="E103" s="5">
        <v>14195</v>
      </c>
      <c r="F103" s="5">
        <v>50384</v>
      </c>
      <c r="G103" s="5">
        <v>4288</v>
      </c>
      <c r="H103" s="5">
        <v>8056</v>
      </c>
      <c r="I103" s="5">
        <v>5746</v>
      </c>
      <c r="J103" s="5">
        <v>9279</v>
      </c>
      <c r="K103" s="5">
        <v>9637</v>
      </c>
      <c r="L103" s="5">
        <v>15012</v>
      </c>
      <c r="M103" s="5">
        <v>13446</v>
      </c>
      <c r="N103" s="5">
        <v>91074</v>
      </c>
      <c r="O103" s="5">
        <v>4</v>
      </c>
      <c r="P103" s="5">
        <v>1974830</v>
      </c>
      <c r="Q103" s="48"/>
      <c r="R103" s="16" t="s">
        <v>41</v>
      </c>
      <c r="S103" s="5">
        <v>1114532</v>
      </c>
      <c r="T103" s="5">
        <v>114150</v>
      </c>
      <c r="U103" s="5">
        <v>63137</v>
      </c>
      <c r="V103" s="5">
        <v>13216</v>
      </c>
      <c r="W103" s="5">
        <v>48798</v>
      </c>
      <c r="X103" s="5">
        <v>5700</v>
      </c>
      <c r="Y103" s="5">
        <v>6547</v>
      </c>
      <c r="Z103" s="5">
        <v>3720</v>
      </c>
      <c r="AA103" s="5">
        <v>4192</v>
      </c>
      <c r="AB103" s="5">
        <v>5862</v>
      </c>
      <c r="AC103" s="5">
        <v>5469</v>
      </c>
      <c r="AD103" s="5">
        <v>15769</v>
      </c>
      <c r="AE103" s="5">
        <v>53306</v>
      </c>
      <c r="AF103" s="5">
        <v>11</v>
      </c>
      <c r="AG103" s="5">
        <v>1454409</v>
      </c>
      <c r="AH103" s="48"/>
    </row>
    <row r="104" spans="1:34">
      <c r="A104" s="16" t="s">
        <v>42</v>
      </c>
      <c r="B104" s="5">
        <v>1359993</v>
      </c>
      <c r="C104" s="5">
        <v>319297</v>
      </c>
      <c r="D104" s="5">
        <v>11896</v>
      </c>
      <c r="E104" s="5">
        <v>12094</v>
      </c>
      <c r="F104" s="5">
        <v>55843</v>
      </c>
      <c r="G104" s="5">
        <v>3761</v>
      </c>
      <c r="H104" s="5">
        <v>11616</v>
      </c>
      <c r="I104" s="5">
        <v>1920</v>
      </c>
      <c r="J104" s="5">
        <v>23074</v>
      </c>
      <c r="K104" s="5">
        <v>19208</v>
      </c>
      <c r="L104" s="5">
        <v>18006</v>
      </c>
      <c r="M104" s="5">
        <v>5135</v>
      </c>
      <c r="N104" s="5">
        <v>126808</v>
      </c>
      <c r="O104" s="5">
        <v>0</v>
      </c>
      <c r="P104" s="5">
        <v>1968651</v>
      </c>
      <c r="Q104" s="48"/>
      <c r="R104" s="16" t="s">
        <v>42</v>
      </c>
      <c r="S104" s="5">
        <v>1269731</v>
      </c>
      <c r="T104" s="5">
        <v>172163</v>
      </c>
      <c r="U104" s="5">
        <v>42759</v>
      </c>
      <c r="V104" s="5">
        <v>11949</v>
      </c>
      <c r="W104" s="5">
        <v>47041</v>
      </c>
      <c r="X104" s="5">
        <v>4179</v>
      </c>
      <c r="Y104" s="5">
        <v>9495</v>
      </c>
      <c r="Z104" s="5">
        <v>3300</v>
      </c>
      <c r="AA104" s="5">
        <v>12849</v>
      </c>
      <c r="AB104" s="5">
        <v>10980</v>
      </c>
      <c r="AC104" s="5">
        <v>7486</v>
      </c>
      <c r="AD104" s="5">
        <v>13700</v>
      </c>
      <c r="AE104" s="5">
        <v>75824</v>
      </c>
      <c r="AF104" s="5">
        <v>10</v>
      </c>
      <c r="AG104" s="5">
        <v>1681466</v>
      </c>
      <c r="AH104" s="48"/>
    </row>
    <row r="105" spans="1:34">
      <c r="A105" s="16" t="s">
        <v>43</v>
      </c>
      <c r="B105" s="5">
        <v>856934</v>
      </c>
      <c r="C105" s="5">
        <v>580260</v>
      </c>
      <c r="D105" s="5">
        <v>10095</v>
      </c>
      <c r="E105" s="5">
        <v>11748</v>
      </c>
      <c r="F105" s="5">
        <v>89439</v>
      </c>
      <c r="G105" s="5">
        <v>3464</v>
      </c>
      <c r="H105" s="5">
        <v>15910</v>
      </c>
      <c r="I105" s="5">
        <v>60</v>
      </c>
      <c r="J105" s="5">
        <v>55743</v>
      </c>
      <c r="K105" s="5">
        <v>35095</v>
      </c>
      <c r="L105" s="5">
        <v>24680</v>
      </c>
      <c r="M105" s="5">
        <v>159</v>
      </c>
      <c r="N105" s="5">
        <v>177007</v>
      </c>
      <c r="O105" s="5">
        <v>0</v>
      </c>
      <c r="P105" s="5">
        <v>1860594</v>
      </c>
      <c r="Q105" s="48"/>
      <c r="R105" s="16" t="s">
        <v>43</v>
      </c>
      <c r="S105" s="5">
        <v>690306</v>
      </c>
      <c r="T105" s="5">
        <v>182709</v>
      </c>
      <c r="U105" s="5">
        <v>25501</v>
      </c>
      <c r="V105" s="5">
        <v>8125</v>
      </c>
      <c r="W105" s="5">
        <v>48217</v>
      </c>
      <c r="X105" s="5">
        <v>2643</v>
      </c>
      <c r="Y105" s="5">
        <v>7542</v>
      </c>
      <c r="Z105" s="5">
        <v>240</v>
      </c>
      <c r="AA105" s="5">
        <v>18079</v>
      </c>
      <c r="AB105" s="5">
        <v>23290</v>
      </c>
      <c r="AC105" s="5">
        <v>6754</v>
      </c>
      <c r="AD105" s="5">
        <v>559</v>
      </c>
      <c r="AE105" s="5">
        <v>61862</v>
      </c>
      <c r="AF105" s="5">
        <v>30</v>
      </c>
      <c r="AG105" s="5">
        <v>1075857</v>
      </c>
      <c r="AH105" s="48"/>
    </row>
    <row r="106" spans="1:34">
      <c r="A106" s="16" t="s">
        <v>44</v>
      </c>
      <c r="B106" s="5">
        <v>707211</v>
      </c>
      <c r="C106" s="5">
        <v>700278</v>
      </c>
      <c r="D106" s="5">
        <v>5582</v>
      </c>
      <c r="E106" s="5">
        <v>23802</v>
      </c>
      <c r="F106" s="5">
        <v>109569</v>
      </c>
      <c r="G106" s="5">
        <v>4336</v>
      </c>
      <c r="H106" s="5">
        <v>20468</v>
      </c>
      <c r="I106" s="5">
        <v>0</v>
      </c>
      <c r="J106" s="5">
        <v>105878</v>
      </c>
      <c r="K106" s="5">
        <v>54822</v>
      </c>
      <c r="L106" s="5">
        <v>20910</v>
      </c>
      <c r="M106" s="5">
        <v>82</v>
      </c>
      <c r="N106" s="5">
        <v>193713</v>
      </c>
      <c r="O106" s="5">
        <v>0</v>
      </c>
      <c r="P106" s="5">
        <v>1946651</v>
      </c>
      <c r="Q106" s="48"/>
      <c r="R106" s="16" t="s">
        <v>44</v>
      </c>
      <c r="S106" s="5">
        <v>456562</v>
      </c>
      <c r="T106" s="5">
        <v>169872</v>
      </c>
      <c r="U106" s="5">
        <v>15407</v>
      </c>
      <c r="V106" s="5">
        <v>10954</v>
      </c>
      <c r="W106" s="5">
        <v>36225</v>
      </c>
      <c r="X106" s="5">
        <v>2605</v>
      </c>
      <c r="Y106" s="5">
        <v>5789</v>
      </c>
      <c r="Z106" s="5">
        <v>0</v>
      </c>
      <c r="AA106" s="5">
        <v>29658</v>
      </c>
      <c r="AB106" s="5">
        <v>33669</v>
      </c>
      <c r="AC106" s="5">
        <v>5504</v>
      </c>
      <c r="AD106" s="5">
        <v>0</v>
      </c>
      <c r="AE106" s="5">
        <v>62909</v>
      </c>
      <c r="AF106" s="5">
        <v>0</v>
      </c>
      <c r="AG106" s="5">
        <v>829154</v>
      </c>
      <c r="AH106" s="48"/>
    </row>
    <row r="107" spans="1:34">
      <c r="A107" s="16" t="s">
        <v>3</v>
      </c>
      <c r="B107" s="5">
        <v>226323</v>
      </c>
      <c r="C107" s="5">
        <v>243645</v>
      </c>
      <c r="D107" s="5">
        <v>1096</v>
      </c>
      <c r="E107" s="5">
        <v>19793</v>
      </c>
      <c r="F107" s="5">
        <v>39118</v>
      </c>
      <c r="G107" s="5">
        <v>1944</v>
      </c>
      <c r="H107" s="5">
        <v>12724</v>
      </c>
      <c r="I107" s="5">
        <v>0</v>
      </c>
      <c r="J107" s="5">
        <v>88780</v>
      </c>
      <c r="K107" s="5">
        <v>45862</v>
      </c>
      <c r="L107" s="5">
        <v>22748</v>
      </c>
      <c r="M107" s="5">
        <v>15</v>
      </c>
      <c r="N107" s="5">
        <v>78853</v>
      </c>
      <c r="O107" s="5">
        <v>0</v>
      </c>
      <c r="P107" s="5">
        <v>780901</v>
      </c>
      <c r="Q107" s="48"/>
      <c r="R107" s="16" t="s">
        <v>3</v>
      </c>
      <c r="S107" s="5">
        <v>104937</v>
      </c>
      <c r="T107" s="5">
        <v>27760</v>
      </c>
      <c r="U107" s="5">
        <v>3768</v>
      </c>
      <c r="V107" s="5">
        <v>5948</v>
      </c>
      <c r="W107" s="5">
        <v>6840</v>
      </c>
      <c r="X107" s="5">
        <v>730</v>
      </c>
      <c r="Y107" s="5">
        <v>2218</v>
      </c>
      <c r="Z107" s="5">
        <v>0</v>
      </c>
      <c r="AA107" s="5">
        <v>11452</v>
      </c>
      <c r="AB107" s="5">
        <v>20310</v>
      </c>
      <c r="AC107" s="5">
        <v>3783</v>
      </c>
      <c r="AD107" s="5">
        <v>11</v>
      </c>
      <c r="AE107" s="5">
        <v>19029</v>
      </c>
      <c r="AF107" s="5">
        <v>0</v>
      </c>
      <c r="AG107" s="5">
        <v>206786</v>
      </c>
      <c r="AH107" s="48"/>
    </row>
    <row r="108" spans="1:34">
      <c r="A108" s="16" t="s">
        <v>216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48"/>
      <c r="R108" s="16" t="s">
        <v>216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48"/>
    </row>
    <row r="109" spans="1:34" s="2" customFormat="1">
      <c r="A109" s="20" t="s">
        <v>46</v>
      </c>
      <c r="B109" s="36">
        <v>4926419</v>
      </c>
      <c r="C109" s="36">
        <v>2047933</v>
      </c>
      <c r="D109" s="36">
        <v>51322</v>
      </c>
      <c r="E109" s="36">
        <v>84572</v>
      </c>
      <c r="F109" s="36">
        <v>357755</v>
      </c>
      <c r="G109" s="36">
        <v>18791</v>
      </c>
      <c r="H109" s="36">
        <v>70465</v>
      </c>
      <c r="I109" s="36">
        <v>8209</v>
      </c>
      <c r="J109" s="36">
        <v>283290</v>
      </c>
      <c r="K109" s="36">
        <v>165500</v>
      </c>
      <c r="L109" s="36">
        <v>102979</v>
      </c>
      <c r="M109" s="36">
        <v>21493</v>
      </c>
      <c r="N109" s="36">
        <v>681901</v>
      </c>
      <c r="O109" s="36">
        <v>4</v>
      </c>
      <c r="P109" s="36">
        <v>8820633</v>
      </c>
      <c r="Q109" s="88"/>
      <c r="R109" s="20" t="s">
        <v>46</v>
      </c>
      <c r="S109" s="36">
        <v>3704005</v>
      </c>
      <c r="T109" s="36">
        <v>678316</v>
      </c>
      <c r="U109" s="36">
        <v>156629</v>
      </c>
      <c r="V109" s="36">
        <v>51350</v>
      </c>
      <c r="W109" s="36">
        <v>194212</v>
      </c>
      <c r="X109" s="36">
        <v>16522</v>
      </c>
      <c r="Y109" s="36">
        <v>32220</v>
      </c>
      <c r="Z109" s="36">
        <v>7290</v>
      </c>
      <c r="AA109" s="36">
        <v>76427</v>
      </c>
      <c r="AB109" s="36">
        <v>94235</v>
      </c>
      <c r="AC109" s="36">
        <v>29342</v>
      </c>
      <c r="AD109" s="36">
        <v>30586</v>
      </c>
      <c r="AE109" s="36">
        <v>277199</v>
      </c>
      <c r="AF109" s="36">
        <v>51</v>
      </c>
      <c r="AG109" s="36">
        <v>5348384</v>
      </c>
      <c r="AH109" s="88"/>
    </row>
    <row r="110" spans="1:34">
      <c r="A110" s="3" t="s">
        <v>406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R110" s="3" t="s">
        <v>406</v>
      </c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</row>
    <row r="111" spans="1:34">
      <c r="D111" s="3"/>
      <c r="F111" s="6"/>
      <c r="S111" s="6"/>
      <c r="T111" s="6"/>
      <c r="V111" s="6"/>
      <c r="W111" s="6"/>
    </row>
    <row r="112" spans="1:34">
      <c r="A112" s="7" t="s">
        <v>133</v>
      </c>
      <c r="D112" s="3"/>
      <c r="F112" s="6"/>
      <c r="R112" s="7" t="s">
        <v>136</v>
      </c>
      <c r="S112" s="6"/>
      <c r="T112" s="6"/>
      <c r="V112" s="6"/>
      <c r="W112" s="6"/>
    </row>
    <row r="113" spans="1:34">
      <c r="A113" s="7" t="s">
        <v>320</v>
      </c>
      <c r="D113" s="3"/>
      <c r="F113" s="6"/>
      <c r="R113" s="7" t="s">
        <v>321</v>
      </c>
      <c r="S113" s="6"/>
      <c r="T113" s="6"/>
      <c r="V113" s="6"/>
      <c r="W113" s="6"/>
    </row>
    <row r="114" spans="1:34" ht="51">
      <c r="A114" s="15" t="s">
        <v>145</v>
      </c>
      <c r="B114" s="26" t="s">
        <v>9</v>
      </c>
      <c r="C114" s="26" t="s">
        <v>10</v>
      </c>
      <c r="D114" s="26" t="s">
        <v>454</v>
      </c>
      <c r="E114" s="26" t="s">
        <v>11</v>
      </c>
      <c r="F114" s="26" t="s">
        <v>12</v>
      </c>
      <c r="G114" s="26" t="s">
        <v>13</v>
      </c>
      <c r="H114" s="26" t="s">
        <v>159</v>
      </c>
      <c r="I114" s="26" t="s">
        <v>349</v>
      </c>
      <c r="J114" s="26" t="s">
        <v>197</v>
      </c>
      <c r="K114" s="26" t="s">
        <v>162</v>
      </c>
      <c r="L114" s="26" t="s">
        <v>161</v>
      </c>
      <c r="M114" s="26" t="s">
        <v>160</v>
      </c>
      <c r="N114" s="26" t="s">
        <v>31</v>
      </c>
      <c r="O114" s="26" t="s">
        <v>216</v>
      </c>
      <c r="P114" s="26" t="s">
        <v>48</v>
      </c>
      <c r="R114" s="15" t="s">
        <v>145</v>
      </c>
      <c r="S114" s="26" t="s">
        <v>9</v>
      </c>
      <c r="T114" s="26" t="s">
        <v>10</v>
      </c>
      <c r="U114" s="26" t="s">
        <v>454</v>
      </c>
      <c r="V114" s="26" t="s">
        <v>11</v>
      </c>
      <c r="W114" s="26" t="s">
        <v>12</v>
      </c>
      <c r="X114" s="26" t="s">
        <v>13</v>
      </c>
      <c r="Y114" s="26" t="s">
        <v>159</v>
      </c>
      <c r="Z114" s="26" t="s">
        <v>349</v>
      </c>
      <c r="AA114" s="26" t="s">
        <v>198</v>
      </c>
      <c r="AB114" s="26" t="s">
        <v>162</v>
      </c>
      <c r="AC114" s="26" t="s">
        <v>161</v>
      </c>
      <c r="AD114" s="26" t="s">
        <v>160</v>
      </c>
      <c r="AE114" s="26" t="s">
        <v>31</v>
      </c>
      <c r="AF114" s="26" t="s">
        <v>216</v>
      </c>
      <c r="AG114" s="26" t="s">
        <v>48</v>
      </c>
    </row>
    <row r="115" spans="1:34">
      <c r="A115" s="21" t="s">
        <v>14</v>
      </c>
      <c r="B115" s="4">
        <v>16877</v>
      </c>
      <c r="C115" s="4">
        <v>6340</v>
      </c>
      <c r="D115" s="4">
        <v>805</v>
      </c>
      <c r="E115" s="4">
        <v>810</v>
      </c>
      <c r="F115" s="4">
        <v>1939</v>
      </c>
      <c r="G115" s="4">
        <v>463</v>
      </c>
      <c r="H115" s="4">
        <v>912</v>
      </c>
      <c r="I115" s="4">
        <v>60</v>
      </c>
      <c r="J115" s="4">
        <v>1738</v>
      </c>
      <c r="K115" s="4">
        <v>4042</v>
      </c>
      <c r="L115" s="4">
        <v>861</v>
      </c>
      <c r="M115" s="4">
        <v>918</v>
      </c>
      <c r="N115" s="4">
        <v>3322</v>
      </c>
      <c r="O115" s="5">
        <v>0</v>
      </c>
      <c r="P115" s="4">
        <v>39087</v>
      </c>
      <c r="Q115" s="49"/>
      <c r="R115" s="21" t="s">
        <v>14</v>
      </c>
      <c r="S115" s="4">
        <v>5070</v>
      </c>
      <c r="T115" s="4">
        <v>2048</v>
      </c>
      <c r="U115" s="4">
        <v>832</v>
      </c>
      <c r="V115" s="4">
        <v>208</v>
      </c>
      <c r="W115" s="4">
        <v>1020</v>
      </c>
      <c r="X115" s="4">
        <v>165</v>
      </c>
      <c r="Y115" s="4">
        <v>410</v>
      </c>
      <c r="Z115" s="4">
        <v>120</v>
      </c>
      <c r="AA115" s="4">
        <v>193</v>
      </c>
      <c r="AB115" s="4">
        <v>461</v>
      </c>
      <c r="AC115" s="4">
        <v>93</v>
      </c>
      <c r="AD115" s="4">
        <v>347</v>
      </c>
      <c r="AE115" s="4">
        <v>1114</v>
      </c>
      <c r="AF115" s="5">
        <v>0</v>
      </c>
      <c r="AG115" s="4">
        <v>12081</v>
      </c>
      <c r="AH115" s="49"/>
    </row>
    <row r="116" spans="1:34">
      <c r="A116" s="22" t="s">
        <v>15</v>
      </c>
      <c r="B116" s="5">
        <v>76752</v>
      </c>
      <c r="C116" s="5">
        <v>21470</v>
      </c>
      <c r="D116" s="5">
        <v>446</v>
      </c>
      <c r="E116" s="5">
        <v>951</v>
      </c>
      <c r="F116" s="5">
        <v>3692</v>
      </c>
      <c r="G116" s="5">
        <v>1145</v>
      </c>
      <c r="H116" s="5">
        <v>703</v>
      </c>
      <c r="I116" s="5">
        <v>30</v>
      </c>
      <c r="J116" s="5">
        <v>3187</v>
      </c>
      <c r="K116" s="5">
        <v>2655</v>
      </c>
      <c r="L116" s="5">
        <v>602</v>
      </c>
      <c r="M116" s="5">
        <v>795</v>
      </c>
      <c r="N116" s="5">
        <v>8666</v>
      </c>
      <c r="O116" s="5">
        <v>0</v>
      </c>
      <c r="P116" s="5">
        <v>121094</v>
      </c>
      <c r="Q116" s="48"/>
      <c r="R116" s="22" t="s">
        <v>15</v>
      </c>
      <c r="S116" s="5">
        <v>65262</v>
      </c>
      <c r="T116" s="5">
        <v>14400</v>
      </c>
      <c r="U116" s="5">
        <v>1815</v>
      </c>
      <c r="V116" s="5">
        <v>674</v>
      </c>
      <c r="W116" s="5">
        <v>4287</v>
      </c>
      <c r="X116" s="5">
        <v>244</v>
      </c>
      <c r="Y116" s="5">
        <v>555</v>
      </c>
      <c r="Z116" s="5">
        <v>90</v>
      </c>
      <c r="AA116" s="5">
        <v>2194</v>
      </c>
      <c r="AB116" s="5">
        <v>441</v>
      </c>
      <c r="AC116" s="5">
        <v>601</v>
      </c>
      <c r="AD116" s="5">
        <v>365</v>
      </c>
      <c r="AE116" s="5">
        <v>5719</v>
      </c>
      <c r="AF116" s="5">
        <v>0</v>
      </c>
      <c r="AG116" s="5">
        <v>96647</v>
      </c>
      <c r="AH116" s="48"/>
    </row>
    <row r="117" spans="1:34" ht="15" customHeight="1">
      <c r="A117" s="22" t="s">
        <v>16</v>
      </c>
      <c r="B117" s="5">
        <v>31405</v>
      </c>
      <c r="C117" s="5">
        <v>18286</v>
      </c>
      <c r="D117" s="5">
        <v>1556</v>
      </c>
      <c r="E117" s="5">
        <v>1112</v>
      </c>
      <c r="F117" s="5">
        <v>4452</v>
      </c>
      <c r="G117" s="5">
        <v>527</v>
      </c>
      <c r="H117" s="5">
        <v>1070</v>
      </c>
      <c r="I117" s="5">
        <v>180</v>
      </c>
      <c r="J117" s="5">
        <v>3263</v>
      </c>
      <c r="K117" s="5">
        <v>1349</v>
      </c>
      <c r="L117" s="5">
        <v>902</v>
      </c>
      <c r="M117" s="5">
        <v>543</v>
      </c>
      <c r="N117" s="5">
        <v>9718</v>
      </c>
      <c r="O117" s="5">
        <v>0</v>
      </c>
      <c r="P117" s="5">
        <v>74363</v>
      </c>
      <c r="Q117" s="48"/>
      <c r="R117" s="22" t="s">
        <v>16</v>
      </c>
      <c r="S117" s="5">
        <v>159213</v>
      </c>
      <c r="T117" s="5">
        <v>39491</v>
      </c>
      <c r="U117" s="5">
        <v>4886</v>
      </c>
      <c r="V117" s="5">
        <v>3483</v>
      </c>
      <c r="W117" s="5">
        <v>10484</v>
      </c>
      <c r="X117" s="5">
        <v>547</v>
      </c>
      <c r="Y117" s="5">
        <v>1966</v>
      </c>
      <c r="Z117" s="5">
        <v>30</v>
      </c>
      <c r="AA117" s="5">
        <v>3566</v>
      </c>
      <c r="AB117" s="5">
        <v>3081</v>
      </c>
      <c r="AC117" s="5">
        <v>2038</v>
      </c>
      <c r="AD117" s="5">
        <v>1677</v>
      </c>
      <c r="AE117" s="5">
        <v>14228</v>
      </c>
      <c r="AF117" s="5">
        <v>0</v>
      </c>
      <c r="AG117" s="5">
        <v>244690</v>
      </c>
      <c r="AH117" s="48"/>
    </row>
    <row r="118" spans="1:34" ht="15" customHeight="1">
      <c r="A118" s="22" t="s">
        <v>17</v>
      </c>
      <c r="B118" s="5">
        <v>77597</v>
      </c>
      <c r="C118" s="5">
        <v>20099</v>
      </c>
      <c r="D118" s="5">
        <v>1193</v>
      </c>
      <c r="E118" s="5">
        <v>1862</v>
      </c>
      <c r="F118" s="5">
        <v>4593</v>
      </c>
      <c r="G118" s="5">
        <v>407</v>
      </c>
      <c r="H118" s="5">
        <v>519</v>
      </c>
      <c r="I118" s="5">
        <v>0</v>
      </c>
      <c r="J118" s="5">
        <v>3880</v>
      </c>
      <c r="K118" s="5">
        <v>1863</v>
      </c>
      <c r="L118" s="5">
        <v>813</v>
      </c>
      <c r="M118" s="5">
        <v>378</v>
      </c>
      <c r="N118" s="5">
        <v>12869</v>
      </c>
      <c r="O118" s="5">
        <v>0</v>
      </c>
      <c r="P118" s="5">
        <v>126073</v>
      </c>
      <c r="Q118" s="48"/>
      <c r="R118" s="22" t="s">
        <v>17</v>
      </c>
      <c r="S118" s="5">
        <v>31279</v>
      </c>
      <c r="T118" s="5">
        <v>11691</v>
      </c>
      <c r="U118" s="5">
        <v>1256</v>
      </c>
      <c r="V118" s="5">
        <v>432</v>
      </c>
      <c r="W118" s="5">
        <v>2927</v>
      </c>
      <c r="X118" s="5">
        <v>199</v>
      </c>
      <c r="Y118" s="5">
        <v>419</v>
      </c>
      <c r="Z118" s="5">
        <v>0</v>
      </c>
      <c r="AA118" s="5">
        <v>1455</v>
      </c>
      <c r="AB118" s="5">
        <v>2494</v>
      </c>
      <c r="AC118" s="5">
        <v>550</v>
      </c>
      <c r="AD118" s="5">
        <v>351</v>
      </c>
      <c r="AE118" s="5">
        <v>5102</v>
      </c>
      <c r="AF118" s="5">
        <v>0</v>
      </c>
      <c r="AG118" s="5">
        <v>58155</v>
      </c>
      <c r="AH118" s="48"/>
    </row>
    <row r="119" spans="1:34" ht="15" customHeight="1">
      <c r="A119" s="22" t="s">
        <v>18</v>
      </c>
      <c r="B119" s="5">
        <v>140989</v>
      </c>
      <c r="C119" s="5">
        <v>45220</v>
      </c>
      <c r="D119" s="5">
        <v>1245</v>
      </c>
      <c r="E119" s="5">
        <v>2144</v>
      </c>
      <c r="F119" s="5">
        <v>7616</v>
      </c>
      <c r="G119" s="5">
        <v>435</v>
      </c>
      <c r="H119" s="5">
        <v>1731</v>
      </c>
      <c r="I119" s="5">
        <v>150</v>
      </c>
      <c r="J119" s="5">
        <v>8587</v>
      </c>
      <c r="K119" s="5">
        <v>3703</v>
      </c>
      <c r="L119" s="5">
        <v>2635</v>
      </c>
      <c r="M119" s="5">
        <v>1967</v>
      </c>
      <c r="N119" s="5">
        <v>19854</v>
      </c>
      <c r="O119" s="5">
        <v>0</v>
      </c>
      <c r="P119" s="5">
        <v>236276</v>
      </c>
      <c r="Q119" s="48"/>
      <c r="R119" s="22" t="s">
        <v>18</v>
      </c>
      <c r="S119" s="5">
        <v>44544</v>
      </c>
      <c r="T119" s="5">
        <v>8448</v>
      </c>
      <c r="U119" s="5">
        <v>1482</v>
      </c>
      <c r="V119" s="5">
        <v>477</v>
      </c>
      <c r="W119" s="5">
        <v>1645</v>
      </c>
      <c r="X119" s="5">
        <v>148</v>
      </c>
      <c r="Y119" s="5">
        <v>324</v>
      </c>
      <c r="Z119" s="5">
        <v>90</v>
      </c>
      <c r="AA119" s="5">
        <v>1031</v>
      </c>
      <c r="AB119" s="5">
        <v>2675</v>
      </c>
      <c r="AC119" s="5">
        <v>457</v>
      </c>
      <c r="AD119" s="5">
        <v>579</v>
      </c>
      <c r="AE119" s="5">
        <v>2190</v>
      </c>
      <c r="AF119" s="5">
        <v>0</v>
      </c>
      <c r="AG119" s="5">
        <v>64090</v>
      </c>
      <c r="AH119" s="48"/>
    </row>
    <row r="120" spans="1:34" ht="15" customHeight="1">
      <c r="A120" s="22" t="s">
        <v>19</v>
      </c>
      <c r="B120" s="5">
        <v>190608</v>
      </c>
      <c r="C120" s="5">
        <v>107495</v>
      </c>
      <c r="D120" s="5">
        <v>1165</v>
      </c>
      <c r="E120" s="5">
        <v>5085</v>
      </c>
      <c r="F120" s="5">
        <v>16376</v>
      </c>
      <c r="G120" s="5">
        <v>660</v>
      </c>
      <c r="H120" s="5">
        <v>3975</v>
      </c>
      <c r="I120" s="5">
        <v>331</v>
      </c>
      <c r="J120" s="5">
        <v>14006</v>
      </c>
      <c r="K120" s="5">
        <v>8745</v>
      </c>
      <c r="L120" s="5">
        <v>5235</v>
      </c>
      <c r="M120" s="5">
        <v>992</v>
      </c>
      <c r="N120" s="5">
        <v>37749</v>
      </c>
      <c r="O120" s="5">
        <v>0</v>
      </c>
      <c r="P120" s="5">
        <v>392422</v>
      </c>
      <c r="Q120" s="48"/>
      <c r="R120" s="22" t="s">
        <v>19</v>
      </c>
      <c r="S120" s="5">
        <v>218608</v>
      </c>
      <c r="T120" s="5">
        <v>49453</v>
      </c>
      <c r="U120" s="5">
        <v>9859</v>
      </c>
      <c r="V120" s="5">
        <v>3315</v>
      </c>
      <c r="W120" s="5">
        <v>12856</v>
      </c>
      <c r="X120" s="5">
        <v>867</v>
      </c>
      <c r="Y120" s="5">
        <v>1698</v>
      </c>
      <c r="Z120" s="5">
        <v>450</v>
      </c>
      <c r="AA120" s="5">
        <v>5518</v>
      </c>
      <c r="AB120" s="5">
        <v>6490</v>
      </c>
      <c r="AC120" s="5">
        <v>2289</v>
      </c>
      <c r="AD120" s="5">
        <v>2424</v>
      </c>
      <c r="AE120" s="5">
        <v>17392</v>
      </c>
      <c r="AF120" s="5">
        <v>0</v>
      </c>
      <c r="AG120" s="5">
        <v>331219</v>
      </c>
      <c r="AH120" s="48"/>
    </row>
    <row r="121" spans="1:34" ht="15" customHeight="1">
      <c r="A121" s="22" t="s">
        <v>20</v>
      </c>
      <c r="B121" s="5">
        <v>3063499</v>
      </c>
      <c r="C121" s="5">
        <v>1182725</v>
      </c>
      <c r="D121" s="5">
        <v>17674</v>
      </c>
      <c r="E121" s="5">
        <v>49268</v>
      </c>
      <c r="F121" s="5">
        <v>191237</v>
      </c>
      <c r="G121" s="5">
        <v>9706</v>
      </c>
      <c r="H121" s="5">
        <v>36131</v>
      </c>
      <c r="I121" s="5">
        <v>6828</v>
      </c>
      <c r="J121" s="5">
        <v>168552</v>
      </c>
      <c r="K121" s="5">
        <v>84222</v>
      </c>
      <c r="L121" s="5">
        <v>72808</v>
      </c>
      <c r="M121" s="5">
        <v>3789</v>
      </c>
      <c r="N121" s="5">
        <v>388520</v>
      </c>
      <c r="O121" s="5">
        <v>0</v>
      </c>
      <c r="P121" s="5">
        <v>5274959</v>
      </c>
      <c r="Q121" s="48"/>
      <c r="R121" s="22" t="s">
        <v>20</v>
      </c>
      <c r="S121" s="5">
        <v>2413291</v>
      </c>
      <c r="T121" s="5">
        <v>406211</v>
      </c>
      <c r="U121" s="5">
        <v>99764</v>
      </c>
      <c r="V121" s="5">
        <v>30492</v>
      </c>
      <c r="W121" s="5">
        <v>114520</v>
      </c>
      <c r="X121" s="5">
        <v>10081</v>
      </c>
      <c r="Y121" s="5">
        <v>18978</v>
      </c>
      <c r="Z121" s="5">
        <v>2100</v>
      </c>
      <c r="AA121" s="5">
        <v>44250</v>
      </c>
      <c r="AB121" s="5">
        <v>54683</v>
      </c>
      <c r="AC121" s="5">
        <v>16992</v>
      </c>
      <c r="AD121" s="5">
        <v>15628</v>
      </c>
      <c r="AE121" s="5">
        <v>175200</v>
      </c>
      <c r="AF121" s="5">
        <v>21</v>
      </c>
      <c r="AG121" s="5">
        <v>3402211</v>
      </c>
      <c r="AH121" s="48"/>
    </row>
    <row r="122" spans="1:34" ht="15" customHeight="1">
      <c r="A122" s="22" t="s">
        <v>21</v>
      </c>
      <c r="B122" s="5">
        <v>313911</v>
      </c>
      <c r="C122" s="5">
        <v>162190</v>
      </c>
      <c r="D122" s="5">
        <v>818</v>
      </c>
      <c r="E122" s="5">
        <v>3584</v>
      </c>
      <c r="F122" s="5">
        <v>26993</v>
      </c>
      <c r="G122" s="5">
        <v>1077</v>
      </c>
      <c r="H122" s="5">
        <v>6455</v>
      </c>
      <c r="I122" s="5">
        <v>60</v>
      </c>
      <c r="J122" s="5">
        <v>18497</v>
      </c>
      <c r="K122" s="5">
        <v>10424</v>
      </c>
      <c r="L122" s="5">
        <v>4389</v>
      </c>
      <c r="M122" s="5">
        <v>1326</v>
      </c>
      <c r="N122" s="5">
        <v>43210</v>
      </c>
      <c r="O122" s="5">
        <v>0</v>
      </c>
      <c r="P122" s="5">
        <v>592934</v>
      </c>
      <c r="Q122" s="48"/>
      <c r="R122" s="22" t="s">
        <v>21</v>
      </c>
      <c r="S122" s="5">
        <v>141727</v>
      </c>
      <c r="T122" s="5">
        <v>32297</v>
      </c>
      <c r="U122" s="5">
        <v>5873</v>
      </c>
      <c r="V122" s="5">
        <v>2851</v>
      </c>
      <c r="W122" s="5">
        <v>8303</v>
      </c>
      <c r="X122" s="5">
        <v>828</v>
      </c>
      <c r="Y122" s="5">
        <v>1081</v>
      </c>
      <c r="Z122" s="5">
        <v>120</v>
      </c>
      <c r="AA122" s="5">
        <v>4585</v>
      </c>
      <c r="AB122" s="5">
        <v>3527</v>
      </c>
      <c r="AC122" s="5">
        <v>1362</v>
      </c>
      <c r="AD122" s="5">
        <v>2424</v>
      </c>
      <c r="AE122" s="5">
        <v>11959</v>
      </c>
      <c r="AF122" s="5">
        <v>30</v>
      </c>
      <c r="AG122" s="5">
        <v>216967</v>
      </c>
      <c r="AH122" s="48"/>
    </row>
    <row r="123" spans="1:34" ht="15" customHeight="1">
      <c r="A123" s="22" t="s">
        <v>22</v>
      </c>
      <c r="B123" s="5">
        <v>140624</v>
      </c>
      <c r="C123" s="5">
        <v>55367</v>
      </c>
      <c r="D123" s="5">
        <v>1353</v>
      </c>
      <c r="E123" s="5">
        <v>1161</v>
      </c>
      <c r="F123" s="5">
        <v>8975</v>
      </c>
      <c r="G123" s="5">
        <v>365</v>
      </c>
      <c r="H123" s="5">
        <v>2300</v>
      </c>
      <c r="I123" s="5">
        <v>0</v>
      </c>
      <c r="J123" s="5">
        <v>6311</v>
      </c>
      <c r="K123" s="5">
        <v>5054</v>
      </c>
      <c r="L123" s="5">
        <v>1094</v>
      </c>
      <c r="M123" s="5">
        <v>1255</v>
      </c>
      <c r="N123" s="5">
        <v>16933</v>
      </c>
      <c r="O123" s="5">
        <v>0</v>
      </c>
      <c r="P123" s="5">
        <v>240792</v>
      </c>
      <c r="Q123" s="48"/>
      <c r="R123" s="22" t="s">
        <v>22</v>
      </c>
      <c r="S123" s="5">
        <v>82794</v>
      </c>
      <c r="T123" s="5">
        <v>9778</v>
      </c>
      <c r="U123" s="5">
        <v>2698</v>
      </c>
      <c r="V123" s="5">
        <v>670</v>
      </c>
      <c r="W123" s="5">
        <v>5053</v>
      </c>
      <c r="X123" s="5">
        <v>432</v>
      </c>
      <c r="Y123" s="5">
        <v>495</v>
      </c>
      <c r="Z123" s="5">
        <v>60</v>
      </c>
      <c r="AA123" s="5">
        <v>1298</v>
      </c>
      <c r="AB123" s="5">
        <v>3778</v>
      </c>
      <c r="AC123" s="5">
        <v>410</v>
      </c>
      <c r="AD123" s="5">
        <v>1039</v>
      </c>
      <c r="AE123" s="5">
        <v>4919</v>
      </c>
      <c r="AF123" s="5">
        <v>0</v>
      </c>
      <c r="AG123" s="5">
        <v>113424</v>
      </c>
      <c r="AH123" s="48"/>
    </row>
    <row r="124" spans="1:34" ht="15" customHeight="1">
      <c r="A124" s="22" t="s">
        <v>237</v>
      </c>
      <c r="B124" s="5">
        <v>48588</v>
      </c>
      <c r="C124" s="5">
        <v>26712</v>
      </c>
      <c r="D124" s="5">
        <v>6351</v>
      </c>
      <c r="E124" s="5">
        <v>1465</v>
      </c>
      <c r="F124" s="5">
        <v>5492</v>
      </c>
      <c r="G124" s="5">
        <v>141</v>
      </c>
      <c r="H124" s="5">
        <v>751</v>
      </c>
      <c r="I124" s="5">
        <v>30</v>
      </c>
      <c r="J124" s="5">
        <v>4537</v>
      </c>
      <c r="K124" s="5">
        <v>934</v>
      </c>
      <c r="L124" s="5">
        <v>829</v>
      </c>
      <c r="M124" s="5">
        <v>371</v>
      </c>
      <c r="N124" s="5">
        <v>7363</v>
      </c>
      <c r="O124" s="5">
        <v>4</v>
      </c>
      <c r="P124" s="5">
        <v>103568</v>
      </c>
      <c r="Q124" s="48"/>
      <c r="R124" s="22" t="s">
        <v>237</v>
      </c>
      <c r="S124" s="5">
        <v>48964</v>
      </c>
      <c r="T124" s="5">
        <v>6510</v>
      </c>
      <c r="U124" s="5">
        <v>3038</v>
      </c>
      <c r="V124" s="5">
        <v>690</v>
      </c>
      <c r="W124" s="5">
        <v>1664</v>
      </c>
      <c r="X124" s="5">
        <v>96</v>
      </c>
      <c r="Y124" s="5">
        <v>203</v>
      </c>
      <c r="Z124" s="5">
        <v>30</v>
      </c>
      <c r="AA124" s="5">
        <v>968</v>
      </c>
      <c r="AB124" s="5">
        <v>1390</v>
      </c>
      <c r="AC124" s="5">
        <v>90</v>
      </c>
      <c r="AD124" s="5">
        <v>377</v>
      </c>
      <c r="AE124" s="5">
        <v>2943</v>
      </c>
      <c r="AF124" s="5">
        <v>0</v>
      </c>
      <c r="AG124" s="5">
        <v>66963</v>
      </c>
      <c r="AH124" s="48"/>
    </row>
    <row r="125" spans="1:34" ht="15" customHeight="1">
      <c r="A125" s="22" t="s">
        <v>23</v>
      </c>
      <c r="B125" s="5">
        <v>495500</v>
      </c>
      <c r="C125" s="5">
        <v>295964</v>
      </c>
      <c r="D125" s="5">
        <v>3168</v>
      </c>
      <c r="E125" s="5">
        <v>11301</v>
      </c>
      <c r="F125" s="5">
        <v>60792</v>
      </c>
      <c r="G125" s="5">
        <v>1678</v>
      </c>
      <c r="H125" s="5">
        <v>10183</v>
      </c>
      <c r="I125" s="5">
        <v>150</v>
      </c>
      <c r="J125" s="5">
        <v>31597</v>
      </c>
      <c r="K125" s="5">
        <v>26723</v>
      </c>
      <c r="L125" s="5">
        <v>7576</v>
      </c>
      <c r="M125" s="5">
        <v>5583</v>
      </c>
      <c r="N125" s="5">
        <v>94277</v>
      </c>
      <c r="O125" s="5">
        <v>0</v>
      </c>
      <c r="P125" s="5">
        <v>1044492</v>
      </c>
      <c r="Q125" s="48"/>
      <c r="R125" s="22" t="s">
        <v>23</v>
      </c>
      <c r="S125" s="5">
        <v>232865</v>
      </c>
      <c r="T125" s="5">
        <v>51467</v>
      </c>
      <c r="U125" s="5">
        <v>6033</v>
      </c>
      <c r="V125" s="5">
        <v>3159</v>
      </c>
      <c r="W125" s="5">
        <v>12605</v>
      </c>
      <c r="X125" s="5">
        <v>703</v>
      </c>
      <c r="Y125" s="5">
        <v>1764</v>
      </c>
      <c r="Z125" s="5">
        <v>120</v>
      </c>
      <c r="AA125" s="5">
        <v>4118</v>
      </c>
      <c r="AB125" s="5">
        <v>6388</v>
      </c>
      <c r="AC125" s="5">
        <v>2153</v>
      </c>
      <c r="AD125" s="5">
        <v>2998</v>
      </c>
      <c r="AE125" s="5">
        <v>18372</v>
      </c>
      <c r="AF125" s="5">
        <v>0</v>
      </c>
      <c r="AG125" s="5">
        <v>342745</v>
      </c>
      <c r="AH125" s="48"/>
    </row>
    <row r="126" spans="1:34" ht="15" customHeight="1">
      <c r="A126" s="22" t="s">
        <v>24</v>
      </c>
      <c r="B126" s="5">
        <v>141735</v>
      </c>
      <c r="C126" s="5">
        <v>42654</v>
      </c>
      <c r="D126" s="5">
        <v>3367</v>
      </c>
      <c r="E126" s="5">
        <v>1946</v>
      </c>
      <c r="F126" s="5">
        <v>6921</v>
      </c>
      <c r="G126" s="5">
        <v>680</v>
      </c>
      <c r="H126" s="5">
        <v>1926</v>
      </c>
      <c r="I126" s="5">
        <v>30</v>
      </c>
      <c r="J126" s="5">
        <v>8888</v>
      </c>
      <c r="K126" s="5">
        <v>5833</v>
      </c>
      <c r="L126" s="5">
        <v>1747</v>
      </c>
      <c r="M126" s="5">
        <v>1196</v>
      </c>
      <c r="N126" s="5">
        <v>16097</v>
      </c>
      <c r="O126" s="5">
        <v>0</v>
      </c>
      <c r="P126" s="5">
        <v>233020</v>
      </c>
      <c r="Q126" s="48"/>
      <c r="R126" s="22" t="s">
        <v>24</v>
      </c>
      <c r="S126" s="5">
        <v>84732</v>
      </c>
      <c r="T126" s="5">
        <v>12459</v>
      </c>
      <c r="U126" s="5">
        <v>2351</v>
      </c>
      <c r="V126" s="5">
        <v>708</v>
      </c>
      <c r="W126" s="5">
        <v>2341</v>
      </c>
      <c r="X126" s="5">
        <v>237</v>
      </c>
      <c r="Y126" s="5">
        <v>514</v>
      </c>
      <c r="Z126" s="5">
        <v>60</v>
      </c>
      <c r="AA126" s="5">
        <v>1223</v>
      </c>
      <c r="AB126" s="5">
        <v>1614</v>
      </c>
      <c r="AC126" s="5">
        <v>476</v>
      </c>
      <c r="AD126" s="5">
        <v>404</v>
      </c>
      <c r="AE126" s="5">
        <v>4649</v>
      </c>
      <c r="AF126" s="5">
        <v>0</v>
      </c>
      <c r="AG126" s="5">
        <v>111768</v>
      </c>
      <c r="AH126" s="48"/>
    </row>
    <row r="127" spans="1:34" ht="15" customHeight="1">
      <c r="A127" s="22" t="s">
        <v>25</v>
      </c>
      <c r="B127" s="5">
        <v>37153</v>
      </c>
      <c r="C127" s="5">
        <v>21594</v>
      </c>
      <c r="D127" s="5">
        <v>8881</v>
      </c>
      <c r="E127" s="5">
        <v>758</v>
      </c>
      <c r="F127" s="5">
        <v>5883</v>
      </c>
      <c r="G127" s="5">
        <v>351</v>
      </c>
      <c r="H127" s="5">
        <v>699</v>
      </c>
      <c r="I127" s="5">
        <v>120</v>
      </c>
      <c r="J127" s="5">
        <v>1958</v>
      </c>
      <c r="K127" s="5">
        <v>3279</v>
      </c>
      <c r="L127" s="5">
        <v>888</v>
      </c>
      <c r="M127" s="5">
        <v>703</v>
      </c>
      <c r="N127" s="5">
        <v>8069</v>
      </c>
      <c r="O127" s="5">
        <v>0</v>
      </c>
      <c r="P127" s="5">
        <v>90336</v>
      </c>
      <c r="Q127" s="48"/>
      <c r="R127" s="22" t="s">
        <v>25</v>
      </c>
      <c r="S127" s="5">
        <v>15460</v>
      </c>
      <c r="T127" s="5">
        <v>2983</v>
      </c>
      <c r="U127" s="5">
        <v>1095</v>
      </c>
      <c r="V127" s="5">
        <v>252</v>
      </c>
      <c r="W127" s="5">
        <v>977</v>
      </c>
      <c r="X127" s="5">
        <v>129</v>
      </c>
      <c r="Y127" s="5">
        <v>346</v>
      </c>
      <c r="Z127" s="5">
        <v>0</v>
      </c>
      <c r="AA127" s="5">
        <v>515</v>
      </c>
      <c r="AB127" s="5">
        <v>718</v>
      </c>
      <c r="AC127" s="5">
        <v>34</v>
      </c>
      <c r="AD127" s="5">
        <v>245</v>
      </c>
      <c r="AE127" s="5">
        <v>1564</v>
      </c>
      <c r="AF127" s="5">
        <v>0</v>
      </c>
      <c r="AG127" s="5">
        <v>24318</v>
      </c>
      <c r="AH127" s="48"/>
    </row>
    <row r="128" spans="1:34" ht="15" customHeight="1">
      <c r="A128" s="22" t="s">
        <v>26</v>
      </c>
      <c r="B128" s="5">
        <v>89345</v>
      </c>
      <c r="C128" s="5">
        <v>20378</v>
      </c>
      <c r="D128" s="5">
        <v>2150</v>
      </c>
      <c r="E128" s="5">
        <v>2157</v>
      </c>
      <c r="F128" s="5">
        <v>5201</v>
      </c>
      <c r="G128" s="5">
        <v>812</v>
      </c>
      <c r="H128" s="5">
        <v>2297</v>
      </c>
      <c r="I128" s="5">
        <v>210</v>
      </c>
      <c r="J128" s="5">
        <v>5470</v>
      </c>
      <c r="K128" s="5">
        <v>4788</v>
      </c>
      <c r="L128" s="5">
        <v>1201</v>
      </c>
      <c r="M128" s="5">
        <v>1004</v>
      </c>
      <c r="N128" s="5">
        <v>8709</v>
      </c>
      <c r="O128" s="5">
        <v>0</v>
      </c>
      <c r="P128" s="5">
        <v>143722</v>
      </c>
      <c r="Q128" s="48"/>
      <c r="R128" s="22" t="s">
        <v>26</v>
      </c>
      <c r="S128" s="5">
        <v>78512</v>
      </c>
      <c r="T128" s="5">
        <v>10849</v>
      </c>
      <c r="U128" s="5">
        <v>3165</v>
      </c>
      <c r="V128" s="5">
        <v>1068</v>
      </c>
      <c r="W128" s="5">
        <v>5544</v>
      </c>
      <c r="X128" s="5">
        <v>374</v>
      </c>
      <c r="Y128" s="5">
        <v>545</v>
      </c>
      <c r="Z128" s="5">
        <v>60</v>
      </c>
      <c r="AA128" s="5">
        <v>2227</v>
      </c>
      <c r="AB128" s="5">
        <v>1985</v>
      </c>
      <c r="AC128" s="5">
        <v>416</v>
      </c>
      <c r="AD128" s="5">
        <v>330</v>
      </c>
      <c r="AE128" s="5">
        <v>3822</v>
      </c>
      <c r="AF128" s="5">
        <v>0</v>
      </c>
      <c r="AG128" s="5">
        <v>108897</v>
      </c>
      <c r="AH128" s="48"/>
    </row>
    <row r="129" spans="1:34" ht="15" customHeight="1">
      <c r="A129" s="22" t="s">
        <v>27</v>
      </c>
      <c r="B129" s="5">
        <v>22201</v>
      </c>
      <c r="C129" s="5">
        <v>5541</v>
      </c>
      <c r="D129" s="5">
        <v>823</v>
      </c>
      <c r="E129" s="5">
        <v>433</v>
      </c>
      <c r="F129" s="5">
        <v>2098</v>
      </c>
      <c r="G129" s="5">
        <v>152</v>
      </c>
      <c r="H129" s="5">
        <v>373</v>
      </c>
      <c r="I129" s="5">
        <v>0</v>
      </c>
      <c r="J129" s="5">
        <v>308</v>
      </c>
      <c r="K129" s="5">
        <v>881</v>
      </c>
      <c r="L129" s="5">
        <v>974</v>
      </c>
      <c r="M129" s="5">
        <v>426</v>
      </c>
      <c r="N129" s="5">
        <v>2141</v>
      </c>
      <c r="O129" s="5">
        <v>0</v>
      </c>
      <c r="P129" s="5">
        <v>36351</v>
      </c>
      <c r="Q129" s="48"/>
      <c r="R129" s="22" t="s">
        <v>27</v>
      </c>
      <c r="S129" s="5">
        <v>8054</v>
      </c>
      <c r="T129" s="5">
        <v>1717</v>
      </c>
      <c r="U129" s="5">
        <v>247</v>
      </c>
      <c r="V129" s="5">
        <v>97</v>
      </c>
      <c r="W129" s="5">
        <v>379</v>
      </c>
      <c r="X129" s="5">
        <v>23</v>
      </c>
      <c r="Y129" s="5">
        <v>156</v>
      </c>
      <c r="Z129" s="5">
        <v>0</v>
      </c>
      <c r="AA129" s="5">
        <v>32</v>
      </c>
      <c r="AB129" s="5">
        <v>175</v>
      </c>
      <c r="AC129" s="5">
        <v>66</v>
      </c>
      <c r="AD129" s="5">
        <v>48</v>
      </c>
      <c r="AE129" s="5">
        <v>178</v>
      </c>
      <c r="AF129" s="5">
        <v>0</v>
      </c>
      <c r="AG129" s="5">
        <v>11172</v>
      </c>
      <c r="AH129" s="48"/>
    </row>
    <row r="130" spans="1:34" ht="15" customHeight="1">
      <c r="A130" s="22" t="s">
        <v>28</v>
      </c>
      <c r="B130" s="5">
        <v>39635</v>
      </c>
      <c r="C130" s="5">
        <v>15898</v>
      </c>
      <c r="D130" s="5">
        <v>327</v>
      </c>
      <c r="E130" s="5">
        <v>535</v>
      </c>
      <c r="F130" s="5">
        <v>5495</v>
      </c>
      <c r="G130" s="5">
        <v>192</v>
      </c>
      <c r="H130" s="5">
        <v>440</v>
      </c>
      <c r="I130" s="5">
        <v>30</v>
      </c>
      <c r="J130" s="5">
        <v>2511</v>
      </c>
      <c r="K130" s="5">
        <v>1005</v>
      </c>
      <c r="L130" s="5">
        <v>425</v>
      </c>
      <c r="M130" s="5">
        <v>247</v>
      </c>
      <c r="N130" s="5">
        <v>4404</v>
      </c>
      <c r="O130" s="5">
        <v>0</v>
      </c>
      <c r="P130" s="5">
        <v>71144</v>
      </c>
      <c r="Q130" s="48"/>
      <c r="R130" s="22" t="s">
        <v>28</v>
      </c>
      <c r="S130" s="5">
        <v>40352</v>
      </c>
      <c r="T130" s="5">
        <v>6741</v>
      </c>
      <c r="U130" s="5">
        <v>1944</v>
      </c>
      <c r="V130" s="5">
        <v>188</v>
      </c>
      <c r="W130" s="5">
        <v>2071</v>
      </c>
      <c r="X130" s="5">
        <v>68</v>
      </c>
      <c r="Y130" s="5">
        <v>233</v>
      </c>
      <c r="Z130" s="5">
        <v>30</v>
      </c>
      <c r="AA130" s="5">
        <v>1013</v>
      </c>
      <c r="AB130" s="5">
        <v>1331</v>
      </c>
      <c r="AC130" s="5">
        <v>332</v>
      </c>
      <c r="AD130" s="5">
        <v>410</v>
      </c>
      <c r="AE130" s="5">
        <v>2249</v>
      </c>
      <c r="AF130" s="5">
        <v>0</v>
      </c>
      <c r="AG130" s="5">
        <v>56962</v>
      </c>
      <c r="AH130" s="48"/>
    </row>
    <row r="131" spans="1:34" ht="15" customHeight="1">
      <c r="A131" s="22" t="s">
        <v>216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48"/>
      <c r="R131" s="22" t="s">
        <v>216</v>
      </c>
      <c r="S131" s="5">
        <v>33278</v>
      </c>
      <c r="T131" s="5">
        <v>11773</v>
      </c>
      <c r="U131" s="5">
        <v>10291</v>
      </c>
      <c r="V131" s="5">
        <v>2586</v>
      </c>
      <c r="W131" s="5">
        <v>7536</v>
      </c>
      <c r="X131" s="5">
        <v>1381</v>
      </c>
      <c r="Y131" s="5">
        <v>2533</v>
      </c>
      <c r="Z131" s="5">
        <v>3930</v>
      </c>
      <c r="AA131" s="5">
        <v>2241</v>
      </c>
      <c r="AB131" s="5">
        <v>3004</v>
      </c>
      <c r="AC131" s="5">
        <v>983</v>
      </c>
      <c r="AD131" s="5">
        <v>940</v>
      </c>
      <c r="AE131" s="5">
        <v>5599</v>
      </c>
      <c r="AF131" s="5">
        <v>0</v>
      </c>
      <c r="AG131" s="5">
        <v>86075</v>
      </c>
      <c r="AH131" s="48"/>
    </row>
    <row r="132" spans="1:34" s="2" customFormat="1" ht="15" customHeight="1">
      <c r="A132" s="20" t="s">
        <v>46</v>
      </c>
      <c r="B132" s="36">
        <v>4926419</v>
      </c>
      <c r="C132" s="36">
        <v>2047933</v>
      </c>
      <c r="D132" s="36">
        <v>51322</v>
      </c>
      <c r="E132" s="36">
        <v>84572</v>
      </c>
      <c r="F132" s="36">
        <v>357755</v>
      </c>
      <c r="G132" s="36">
        <v>18791</v>
      </c>
      <c r="H132" s="36">
        <v>70465</v>
      </c>
      <c r="I132" s="36">
        <v>8209</v>
      </c>
      <c r="J132" s="36">
        <v>283290</v>
      </c>
      <c r="K132" s="36">
        <v>165500</v>
      </c>
      <c r="L132" s="36">
        <v>102979</v>
      </c>
      <c r="M132" s="36">
        <v>21493</v>
      </c>
      <c r="N132" s="36">
        <v>681901</v>
      </c>
      <c r="O132" s="36">
        <v>4</v>
      </c>
      <c r="P132" s="36">
        <v>8820633</v>
      </c>
      <c r="Q132" s="88"/>
      <c r="R132" s="20" t="s">
        <v>46</v>
      </c>
      <c r="S132" s="36">
        <v>3704005</v>
      </c>
      <c r="T132" s="36">
        <v>678316</v>
      </c>
      <c r="U132" s="36">
        <v>156629</v>
      </c>
      <c r="V132" s="36">
        <v>51350</v>
      </c>
      <c r="W132" s="36">
        <v>194212</v>
      </c>
      <c r="X132" s="36">
        <v>16522</v>
      </c>
      <c r="Y132" s="36">
        <v>32220</v>
      </c>
      <c r="Z132" s="36">
        <v>7290</v>
      </c>
      <c r="AA132" s="36">
        <v>76427</v>
      </c>
      <c r="AB132" s="36">
        <v>94235</v>
      </c>
      <c r="AC132" s="36">
        <v>29342</v>
      </c>
      <c r="AD132" s="36">
        <v>30586</v>
      </c>
      <c r="AE132" s="36">
        <v>277199</v>
      </c>
      <c r="AF132" s="36">
        <v>51</v>
      </c>
      <c r="AG132" s="36">
        <v>5348384</v>
      </c>
      <c r="AH132" s="88"/>
    </row>
    <row r="133" spans="1:34" ht="15" customHeight="1">
      <c r="A133" s="3" t="s">
        <v>406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R133" s="3" t="s">
        <v>406</v>
      </c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</row>
    <row r="134" spans="1:34" ht="15" customHeight="1"/>
    <row r="135" spans="1:34" ht="15" customHeight="1">
      <c r="B135" s="3"/>
      <c r="C135" s="3"/>
      <c r="D135" s="3"/>
      <c r="E135" s="3"/>
    </row>
    <row r="136" spans="1:34" ht="15" customHeight="1">
      <c r="B136" s="3"/>
      <c r="C136" s="3"/>
      <c r="D136" s="3"/>
      <c r="E136" s="3"/>
    </row>
    <row r="137" spans="1:34">
      <c r="B137" s="3"/>
      <c r="C137" s="3"/>
      <c r="D137" s="3"/>
      <c r="E137" s="3"/>
    </row>
    <row r="138" spans="1:34" ht="15" customHeight="1">
      <c r="B138" s="3"/>
      <c r="C138" s="3"/>
      <c r="D138" s="3"/>
      <c r="E138" s="3"/>
    </row>
    <row r="139" spans="1:34" ht="15" customHeight="1">
      <c r="B139" s="3"/>
      <c r="C139" s="3"/>
      <c r="D139" s="3"/>
      <c r="E139" s="3"/>
    </row>
    <row r="140" spans="1:34" ht="15" customHeight="1">
      <c r="B140" s="3"/>
      <c r="C140" s="3"/>
      <c r="D140" s="3"/>
      <c r="E140" s="3"/>
    </row>
    <row r="141" spans="1:34" ht="15" customHeight="1">
      <c r="B141" s="3"/>
      <c r="C141" s="3"/>
      <c r="D141" s="3"/>
      <c r="E141" s="3"/>
    </row>
    <row r="142" spans="1:34" ht="15" customHeight="1">
      <c r="B142" s="3"/>
      <c r="C142" s="3"/>
      <c r="D142" s="3"/>
      <c r="E142" s="3"/>
    </row>
    <row r="143" spans="1:34" ht="15" customHeight="1">
      <c r="B143" s="3"/>
      <c r="C143" s="3"/>
      <c r="D143" s="3"/>
      <c r="E143" s="3"/>
    </row>
    <row r="144" spans="1:34" ht="15" customHeight="1">
      <c r="B144" s="3"/>
      <c r="C144" s="3"/>
      <c r="D144" s="3"/>
      <c r="E144" s="3"/>
    </row>
    <row r="145" spans="2:5" ht="15" customHeight="1">
      <c r="B145" s="3"/>
      <c r="C145" s="3"/>
      <c r="D145" s="3"/>
      <c r="E145" s="3"/>
    </row>
    <row r="146" spans="2:5" ht="15" customHeight="1">
      <c r="B146" s="3"/>
      <c r="C146" s="3"/>
      <c r="D146" s="3"/>
      <c r="E146" s="3"/>
    </row>
    <row r="147" spans="2:5" ht="15" customHeight="1">
      <c r="B147" s="3"/>
      <c r="C147" s="3"/>
      <c r="D147" s="3"/>
      <c r="E147" s="3"/>
    </row>
    <row r="148" spans="2:5" ht="15" customHeight="1">
      <c r="B148" s="3"/>
      <c r="C148" s="3"/>
      <c r="D148" s="3"/>
      <c r="E148" s="3"/>
    </row>
    <row r="149" spans="2:5" ht="15" customHeight="1">
      <c r="B149" s="3"/>
      <c r="C149" s="3"/>
      <c r="D149" s="3"/>
      <c r="E149" s="3"/>
    </row>
    <row r="150" spans="2:5" ht="15" customHeight="1">
      <c r="B150" s="3"/>
      <c r="C150" s="3"/>
      <c r="D150" s="3"/>
      <c r="E150" s="3"/>
    </row>
    <row r="151" spans="2:5" ht="15" customHeight="1">
      <c r="B151" s="3"/>
      <c r="C151" s="3"/>
      <c r="D151" s="3"/>
      <c r="E151" s="3"/>
    </row>
    <row r="152" spans="2:5" ht="15" customHeight="1">
      <c r="B152" s="3"/>
      <c r="C152" s="3"/>
      <c r="D152" s="3"/>
      <c r="E152" s="3"/>
    </row>
    <row r="153" spans="2:5" ht="15" customHeight="1">
      <c r="B153" s="3"/>
      <c r="C153" s="3"/>
      <c r="D153" s="3"/>
      <c r="E153" s="3"/>
    </row>
    <row r="154" spans="2:5" ht="15" customHeight="1"/>
    <row r="155" spans="2:5" ht="15" customHeight="1"/>
    <row r="156" spans="2:5" ht="15" customHeight="1"/>
    <row r="157" spans="2:5" ht="15" customHeight="1"/>
    <row r="158" spans="2:5" ht="15" customHeight="1"/>
    <row r="159" spans="2:5" ht="15" customHeight="1"/>
    <row r="160" spans="2:5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</sheetData>
  <mergeCells count="2">
    <mergeCell ref="A21:E21"/>
    <mergeCell ref="A87:E8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66"/>
  <sheetViews>
    <sheetView showGridLines="0" zoomScaleNormal="100" workbookViewId="0"/>
  </sheetViews>
  <sheetFormatPr baseColWidth="10" defaultColWidth="33.140625" defaultRowHeight="12.75"/>
  <cols>
    <col min="1" max="1" width="31.140625" style="3" customWidth="1"/>
    <col min="2" max="6" width="12.85546875" style="6" customWidth="1"/>
    <col min="7" max="7" width="14" style="3" customWidth="1"/>
    <col min="8" max="8" width="30" style="3" customWidth="1"/>
    <col min="9" max="9" width="31.140625" style="3" customWidth="1"/>
    <col min="10" max="13" width="12.85546875" style="3" customWidth="1"/>
    <col min="14" max="14" width="13.85546875" style="3" customWidth="1"/>
    <col min="15" max="15" width="17.42578125" style="3" customWidth="1"/>
    <col min="16" max="16" width="14" style="3" customWidth="1"/>
    <col min="17" max="17" width="11" style="3" customWidth="1"/>
    <col min="18" max="34" width="15.7109375" style="3" customWidth="1"/>
    <col min="35" max="16384" width="33.140625" style="3"/>
  </cols>
  <sheetData>
    <row r="1" spans="1:17" ht="18.75">
      <c r="A1" s="1" t="s">
        <v>143</v>
      </c>
      <c r="K1" s="55"/>
      <c r="M1" s="55"/>
      <c r="O1" s="55"/>
      <c r="Q1" s="55"/>
    </row>
    <row r="2" spans="1:17">
      <c r="K2" s="55"/>
      <c r="M2" s="55"/>
      <c r="O2" s="55"/>
      <c r="Q2" s="55"/>
    </row>
    <row r="3" spans="1:17">
      <c r="A3" s="2" t="s">
        <v>60</v>
      </c>
      <c r="K3" s="55"/>
      <c r="M3" s="55"/>
      <c r="O3" s="55"/>
      <c r="Q3" s="55"/>
    </row>
    <row r="4" spans="1:17">
      <c r="A4" s="2" t="s">
        <v>322</v>
      </c>
      <c r="K4" s="55"/>
      <c r="M4" s="55"/>
      <c r="O4" s="55"/>
      <c r="Q4" s="55"/>
    </row>
    <row r="5" spans="1:17" ht="14.25">
      <c r="A5" s="8" t="s">
        <v>49</v>
      </c>
      <c r="B5" s="8" t="s">
        <v>416</v>
      </c>
      <c r="C5" s="8" t="s">
        <v>417</v>
      </c>
      <c r="D5" s="8" t="s">
        <v>45</v>
      </c>
      <c r="K5" s="55"/>
      <c r="M5" s="55"/>
      <c r="O5" s="55"/>
      <c r="Q5" s="55"/>
    </row>
    <row r="6" spans="1:17">
      <c r="A6" s="16">
        <v>2016</v>
      </c>
      <c r="B6" s="4">
        <v>647982618</v>
      </c>
      <c r="C6" s="4">
        <v>445459559.17212099</v>
      </c>
      <c r="D6" s="14">
        <v>1093442177.172121</v>
      </c>
      <c r="E6" s="46"/>
      <c r="F6" s="46"/>
      <c r="K6" s="55"/>
      <c r="M6" s="55"/>
      <c r="O6" s="55"/>
      <c r="Q6" s="55"/>
    </row>
    <row r="7" spans="1:17">
      <c r="A7" s="16">
        <v>2017</v>
      </c>
      <c r="B7" s="5">
        <v>717127372.00999999</v>
      </c>
      <c r="C7" s="5">
        <v>531173125.01352501</v>
      </c>
      <c r="D7" s="10">
        <v>1248300497.023525</v>
      </c>
      <c r="E7" s="46"/>
      <c r="F7" s="46"/>
      <c r="K7" s="55"/>
      <c r="M7" s="55"/>
      <c r="O7" s="55"/>
      <c r="Q7" s="55"/>
    </row>
    <row r="8" spans="1:17">
      <c r="A8" s="16">
        <v>2018</v>
      </c>
      <c r="B8" s="5">
        <v>807358184.11300004</v>
      </c>
      <c r="C8" s="5">
        <v>580004700.12463999</v>
      </c>
      <c r="D8" s="10">
        <v>1387362884.2376399</v>
      </c>
      <c r="E8" s="46"/>
      <c r="F8" s="46"/>
      <c r="K8" s="55"/>
      <c r="M8" s="55"/>
      <c r="O8" s="55"/>
      <c r="Q8" s="55"/>
    </row>
    <row r="9" spans="1:17">
      <c r="A9" s="16">
        <v>2019</v>
      </c>
      <c r="B9" s="5">
        <v>892556819</v>
      </c>
      <c r="C9" s="5">
        <v>652063014.03354299</v>
      </c>
      <c r="D9" s="10">
        <v>1544619833.0335431</v>
      </c>
      <c r="E9" s="46"/>
      <c r="F9" s="46"/>
      <c r="K9" s="55"/>
      <c r="M9" s="55"/>
      <c r="O9" s="55"/>
      <c r="Q9" s="55"/>
    </row>
    <row r="10" spans="1:17">
      <c r="A10" s="18">
        <v>2020</v>
      </c>
      <c r="B10" s="11">
        <v>1019088259.4591501</v>
      </c>
      <c r="C10" s="11">
        <v>808026971.11000001</v>
      </c>
      <c r="D10" s="17">
        <v>1827115230.56915</v>
      </c>
      <c r="E10" s="46"/>
      <c r="F10" s="46"/>
      <c r="K10" s="55"/>
      <c r="M10" s="55"/>
      <c r="O10" s="55"/>
      <c r="Q10" s="55"/>
    </row>
    <row r="11" spans="1:17">
      <c r="A11" s="3" t="s">
        <v>407</v>
      </c>
      <c r="E11" s="41"/>
      <c r="F11" s="41"/>
      <c r="K11" s="55"/>
      <c r="M11" s="55"/>
      <c r="O11" s="55"/>
      <c r="Q11" s="55"/>
    </row>
    <row r="12" spans="1:17">
      <c r="A12" s="3" t="s">
        <v>408</v>
      </c>
      <c r="K12" s="55"/>
      <c r="M12" s="55"/>
      <c r="O12" s="55"/>
      <c r="Q12" s="55"/>
    </row>
    <row r="13" spans="1:17">
      <c r="K13" s="55"/>
      <c r="M13" s="55"/>
      <c r="O13" s="55"/>
      <c r="Q13" s="55"/>
    </row>
    <row r="14" spans="1:17">
      <c r="A14" s="2" t="s">
        <v>61</v>
      </c>
      <c r="K14" s="55"/>
      <c r="M14" s="55"/>
      <c r="O14" s="55"/>
      <c r="Q14" s="55"/>
    </row>
    <row r="15" spans="1:17">
      <c r="A15" s="2" t="s">
        <v>323</v>
      </c>
      <c r="K15" s="55"/>
      <c r="M15" s="55"/>
      <c r="O15" s="55"/>
      <c r="Q15" s="55"/>
    </row>
    <row r="16" spans="1:17" ht="14.25">
      <c r="A16" s="8" t="s">
        <v>49</v>
      </c>
      <c r="B16" s="8" t="s">
        <v>416</v>
      </c>
      <c r="C16" s="8" t="s">
        <v>417</v>
      </c>
      <c r="D16" s="8" t="s">
        <v>45</v>
      </c>
      <c r="K16" s="55"/>
      <c r="M16" s="55"/>
      <c r="O16" s="55"/>
      <c r="Q16" s="55"/>
    </row>
    <row r="17" spans="1:19">
      <c r="A17" s="16">
        <v>2016</v>
      </c>
      <c r="B17" s="4">
        <v>720926252.29643536</v>
      </c>
      <c r="C17" s="4">
        <v>495605100.54234099</v>
      </c>
      <c r="D17" s="4">
        <v>1216531352.8387764</v>
      </c>
      <c r="E17" s="46"/>
      <c r="F17" s="46"/>
      <c r="K17" s="55"/>
      <c r="M17" s="55"/>
      <c r="O17" s="55"/>
      <c r="Q17" s="55"/>
    </row>
    <row r="18" spans="1:19">
      <c r="A18" s="16">
        <v>2017</v>
      </c>
      <c r="B18" s="5">
        <v>780128166.41201985</v>
      </c>
      <c r="C18" s="5">
        <v>577837539.37977636</v>
      </c>
      <c r="D18" s="5">
        <v>1357965705.7917962</v>
      </c>
      <c r="E18" s="46"/>
      <c r="F18" s="46"/>
      <c r="K18" s="55"/>
      <c r="M18" s="55"/>
      <c r="O18" s="55"/>
      <c r="Q18" s="55"/>
    </row>
    <row r="19" spans="1:19">
      <c r="A19" s="16">
        <v>2018</v>
      </c>
      <c r="B19" s="5">
        <v>856293845.11348999</v>
      </c>
      <c r="C19" s="5">
        <v>615159992.9581089</v>
      </c>
      <c r="D19" s="5">
        <v>1471453838.0715985</v>
      </c>
      <c r="E19" s="46"/>
      <c r="F19" s="46"/>
      <c r="K19" s="55"/>
      <c r="M19" s="55"/>
      <c r="O19" s="55"/>
      <c r="Q19" s="55"/>
    </row>
    <row r="20" spans="1:19">
      <c r="A20" s="16">
        <v>2019</v>
      </c>
      <c r="B20" s="5">
        <v>919076932.85799718</v>
      </c>
      <c r="C20" s="5">
        <v>671437450.49141777</v>
      </c>
      <c r="D20" s="5">
        <v>1590514383.3494151</v>
      </c>
      <c r="E20" s="46"/>
      <c r="F20" s="57"/>
      <c r="K20" s="55"/>
      <c r="M20" s="55"/>
      <c r="O20" s="55"/>
      <c r="Q20" s="55"/>
    </row>
    <row r="21" spans="1:19">
      <c r="A21" s="18">
        <v>2020</v>
      </c>
      <c r="B21" s="11">
        <v>1019088259.4591501</v>
      </c>
      <c r="C21" s="11">
        <v>808026971.11000001</v>
      </c>
      <c r="D21" s="11">
        <v>1827115230.56915</v>
      </c>
      <c r="E21" s="46"/>
      <c r="F21" s="57"/>
      <c r="K21" s="55"/>
      <c r="M21" s="55"/>
      <c r="O21" s="55"/>
      <c r="Q21" s="55"/>
    </row>
    <row r="22" spans="1:19">
      <c r="A22" s="3" t="s">
        <v>407</v>
      </c>
      <c r="B22" s="41"/>
      <c r="C22" s="41"/>
      <c r="D22" s="41"/>
      <c r="K22" s="55"/>
      <c r="M22" s="55"/>
      <c r="O22" s="55"/>
      <c r="Q22" s="55"/>
    </row>
    <row r="23" spans="1:19">
      <c r="A23" s="3" t="s">
        <v>408</v>
      </c>
      <c r="B23" s="42"/>
      <c r="C23" s="42"/>
      <c r="D23" s="42"/>
      <c r="K23" s="55"/>
      <c r="M23" s="55"/>
      <c r="O23" s="55"/>
      <c r="Q23" s="55"/>
    </row>
    <row r="24" spans="1:19">
      <c r="K24" s="55"/>
      <c r="M24" s="55"/>
      <c r="O24" s="55"/>
      <c r="Q24" s="55"/>
    </row>
    <row r="25" spans="1:19">
      <c r="A25" s="2" t="s">
        <v>62</v>
      </c>
      <c r="K25" s="55"/>
      <c r="M25" s="55"/>
      <c r="O25" s="55"/>
      <c r="Q25" s="55"/>
    </row>
    <row r="26" spans="1:19">
      <c r="A26" s="7" t="s">
        <v>324</v>
      </c>
      <c r="M26" s="55"/>
      <c r="O26" s="55"/>
      <c r="Q26" s="55"/>
    </row>
    <row r="27" spans="1:19" ht="14.25">
      <c r="A27" s="8" t="s">
        <v>144</v>
      </c>
      <c r="B27" s="8" t="s">
        <v>416</v>
      </c>
      <c r="C27" s="8" t="s">
        <v>417</v>
      </c>
      <c r="D27" s="8" t="s">
        <v>45</v>
      </c>
      <c r="M27" s="55"/>
      <c r="O27" s="55"/>
      <c r="Q27" s="55"/>
    </row>
    <row r="28" spans="1:19">
      <c r="A28" s="22" t="s">
        <v>9</v>
      </c>
      <c r="B28" s="4">
        <v>383518258.72459167</v>
      </c>
      <c r="C28" s="4">
        <v>183638160.80000001</v>
      </c>
      <c r="D28" s="4">
        <v>567156419.52459168</v>
      </c>
      <c r="E28" s="46"/>
      <c r="F28" s="57"/>
      <c r="M28" s="55"/>
      <c r="O28" s="55"/>
      <c r="Q28" s="55"/>
      <c r="S28" s="55"/>
    </row>
    <row r="29" spans="1:19">
      <c r="A29" s="22" t="s">
        <v>10</v>
      </c>
      <c r="B29" s="5">
        <v>182603050.76823369</v>
      </c>
      <c r="C29" s="5">
        <v>117567453</v>
      </c>
      <c r="D29" s="5">
        <v>300170503.76823366</v>
      </c>
      <c r="E29" s="46"/>
      <c r="F29" s="57"/>
      <c r="M29" s="55"/>
      <c r="O29" s="55"/>
      <c r="Q29" s="55"/>
      <c r="S29" s="55"/>
    </row>
    <row r="30" spans="1:19" ht="14.25">
      <c r="A30" s="22" t="s">
        <v>457</v>
      </c>
      <c r="B30" s="5">
        <v>76237879.15300706</v>
      </c>
      <c r="C30" s="5">
        <v>85446849.319999993</v>
      </c>
      <c r="D30" s="5">
        <v>161684728.47300705</v>
      </c>
      <c r="E30" s="46"/>
      <c r="F30" s="57"/>
      <c r="M30" s="55"/>
      <c r="O30" s="55"/>
      <c r="Q30" s="55"/>
      <c r="S30" s="55"/>
    </row>
    <row r="31" spans="1:19">
      <c r="A31" s="22" t="s">
        <v>11</v>
      </c>
      <c r="B31" s="5">
        <v>23884381.169073809</v>
      </c>
      <c r="C31" s="5">
        <v>23299718.59</v>
      </c>
      <c r="D31" s="5">
        <v>47184099.759073809</v>
      </c>
      <c r="E31" s="46"/>
      <c r="F31" s="57"/>
      <c r="M31" s="55"/>
      <c r="O31" s="55"/>
      <c r="Q31" s="55"/>
      <c r="S31" s="55"/>
    </row>
    <row r="32" spans="1:19">
      <c r="A32" s="22" t="s">
        <v>12</v>
      </c>
      <c r="B32" s="5">
        <v>80042678.544977784</v>
      </c>
      <c r="C32" s="5">
        <v>84037350.939999998</v>
      </c>
      <c r="D32" s="5">
        <v>164080029.48497778</v>
      </c>
      <c r="E32" s="46"/>
      <c r="F32" s="57"/>
      <c r="M32" s="55"/>
      <c r="O32" s="55"/>
      <c r="Q32" s="55"/>
      <c r="S32" s="55"/>
    </row>
    <row r="33" spans="1:19">
      <c r="A33" s="22" t="s">
        <v>13</v>
      </c>
      <c r="B33" s="5">
        <v>8652589.4235055558</v>
      </c>
      <c r="C33" s="5">
        <v>8355726.0199999996</v>
      </c>
      <c r="D33" s="5">
        <v>17008315.443505555</v>
      </c>
      <c r="E33" s="46"/>
      <c r="F33" s="57"/>
      <c r="M33" s="55"/>
      <c r="O33" s="55"/>
      <c r="Q33" s="55"/>
      <c r="S33" s="55"/>
    </row>
    <row r="34" spans="1:19">
      <c r="A34" s="22" t="s">
        <v>159</v>
      </c>
      <c r="B34" s="5">
        <v>22526292.608240802</v>
      </c>
      <c r="C34" s="5">
        <v>26791996.649999999</v>
      </c>
      <c r="D34" s="5">
        <v>49318289.258240804</v>
      </c>
      <c r="E34" s="46"/>
      <c r="F34" s="57"/>
      <c r="M34" s="55"/>
      <c r="O34" s="55"/>
      <c r="Q34" s="55"/>
      <c r="S34" s="55"/>
    </row>
    <row r="35" spans="1:19">
      <c r="A35" s="22" t="s">
        <v>349</v>
      </c>
      <c r="B35" s="5">
        <v>36545435.607333332</v>
      </c>
      <c r="C35" s="5">
        <v>75595998.900000006</v>
      </c>
      <c r="D35" s="5">
        <v>112141434.50733334</v>
      </c>
      <c r="E35" s="46"/>
      <c r="F35" s="57"/>
      <c r="M35" s="55"/>
      <c r="O35" s="55"/>
      <c r="Q35" s="55"/>
      <c r="S35" s="55"/>
    </row>
    <row r="36" spans="1:19">
      <c r="A36" s="22" t="s">
        <v>197</v>
      </c>
      <c r="B36" s="5">
        <v>36335918.093483329</v>
      </c>
      <c r="C36" s="5">
        <v>25530908.449999999</v>
      </c>
      <c r="D36" s="5">
        <v>61866826.543483332</v>
      </c>
      <c r="E36" s="46"/>
      <c r="F36" s="57"/>
      <c r="M36" s="55"/>
      <c r="O36" s="55"/>
      <c r="Q36" s="55"/>
      <c r="S36" s="55"/>
    </row>
    <row r="37" spans="1:19">
      <c r="A37" s="22" t="s">
        <v>162</v>
      </c>
      <c r="B37" s="5">
        <v>45874117.758522227</v>
      </c>
      <c r="C37" s="5">
        <v>67236597.530000001</v>
      </c>
      <c r="D37" s="5">
        <v>113110715.28852223</v>
      </c>
      <c r="E37" s="46"/>
      <c r="F37" s="57"/>
      <c r="M37" s="55"/>
      <c r="O37" s="55"/>
      <c r="Q37" s="55"/>
      <c r="S37" s="55"/>
    </row>
    <row r="38" spans="1:19">
      <c r="A38" s="22" t="s">
        <v>161</v>
      </c>
      <c r="B38" s="5">
        <v>17649466.433444444</v>
      </c>
      <c r="C38" s="5">
        <v>16758881.5</v>
      </c>
      <c r="D38" s="5">
        <v>34408347.93344444</v>
      </c>
      <c r="E38" s="46"/>
      <c r="F38" s="57"/>
      <c r="M38" s="55"/>
      <c r="O38" s="55"/>
      <c r="Q38" s="55"/>
      <c r="S38" s="55"/>
    </row>
    <row r="39" spans="1:19">
      <c r="A39" s="22" t="s">
        <v>160</v>
      </c>
      <c r="B39" s="5">
        <v>22008017.033655554</v>
      </c>
      <c r="C39" s="5">
        <v>24185742.989999998</v>
      </c>
      <c r="D39" s="5">
        <v>46193760.023655549</v>
      </c>
      <c r="E39" s="46"/>
      <c r="F39" s="57"/>
      <c r="M39" s="55"/>
      <c r="O39" s="55"/>
      <c r="Q39" s="55"/>
      <c r="S39" s="55"/>
    </row>
    <row r="40" spans="1:19">
      <c r="A40" s="22" t="s">
        <v>163</v>
      </c>
      <c r="B40" s="5">
        <v>83209385.71007593</v>
      </c>
      <c r="C40" s="5">
        <v>69571429.620000005</v>
      </c>
      <c r="D40" s="5">
        <v>152780815.33007592</v>
      </c>
      <c r="E40" s="46"/>
      <c r="F40" s="57"/>
      <c r="M40" s="55"/>
      <c r="O40" s="55"/>
      <c r="Q40" s="55"/>
    </row>
    <row r="41" spans="1:19">
      <c r="A41" s="22" t="s">
        <v>216</v>
      </c>
      <c r="B41" s="5">
        <v>788.43100000000004</v>
      </c>
      <c r="C41" s="5">
        <v>10156.799999999999</v>
      </c>
      <c r="D41" s="5">
        <v>10945.231</v>
      </c>
      <c r="E41" s="46"/>
      <c r="F41" s="3"/>
    </row>
    <row r="42" spans="1:19">
      <c r="A42" s="20" t="s">
        <v>46</v>
      </c>
      <c r="B42" s="36">
        <v>1019088259.4591453</v>
      </c>
      <c r="C42" s="36">
        <v>808026971.1099999</v>
      </c>
      <c r="D42" s="36">
        <v>1827115230.569145</v>
      </c>
      <c r="E42" s="46"/>
      <c r="F42" s="57"/>
    </row>
    <row r="43" spans="1:19">
      <c r="A43" s="3" t="s">
        <v>407</v>
      </c>
      <c r="B43" s="46"/>
      <c r="C43" s="46"/>
      <c r="D43" s="46"/>
    </row>
    <row r="44" spans="1:19">
      <c r="A44" s="3" t="s">
        <v>408</v>
      </c>
    </row>
    <row r="45" spans="1:19" ht="42" customHeight="1">
      <c r="A45" s="130" t="s">
        <v>418</v>
      </c>
      <c r="B45" s="130"/>
      <c r="C45" s="130"/>
      <c r="D45" s="130"/>
      <c r="E45" s="130"/>
    </row>
    <row r="47" spans="1:19">
      <c r="A47" s="2" t="s">
        <v>164</v>
      </c>
      <c r="I47" s="2" t="s">
        <v>167</v>
      </c>
    </row>
    <row r="48" spans="1:19" ht="14.25">
      <c r="A48" s="34" t="s">
        <v>419</v>
      </c>
      <c r="B48" s="35"/>
      <c r="C48" s="35"/>
      <c r="D48" s="35"/>
      <c r="E48" s="35"/>
      <c r="F48" s="35"/>
      <c r="I48" s="34" t="s">
        <v>421</v>
      </c>
    </row>
    <row r="49" spans="1:14">
      <c r="A49" s="8" t="s">
        <v>144</v>
      </c>
      <c r="B49" s="8" t="s">
        <v>165</v>
      </c>
      <c r="C49" s="8" t="s">
        <v>166</v>
      </c>
      <c r="D49" s="8" t="s">
        <v>221</v>
      </c>
      <c r="E49" s="8" t="s">
        <v>217</v>
      </c>
      <c r="F49" s="8" t="s">
        <v>48</v>
      </c>
      <c r="G49" s="6"/>
      <c r="I49" s="8" t="s">
        <v>144</v>
      </c>
      <c r="J49" s="8" t="s">
        <v>165</v>
      </c>
      <c r="K49" s="8" t="s">
        <v>166</v>
      </c>
      <c r="L49" s="8" t="s">
        <v>221</v>
      </c>
      <c r="M49" s="8" t="s">
        <v>48</v>
      </c>
    </row>
    <row r="50" spans="1:14">
      <c r="A50" s="22" t="s">
        <v>9</v>
      </c>
      <c r="B50" s="4">
        <v>262335509.8689639</v>
      </c>
      <c r="C50" s="4">
        <v>52127115.000472218</v>
      </c>
      <c r="D50" s="4">
        <v>69055633.855155542</v>
      </c>
      <c r="E50" s="4">
        <v>0</v>
      </c>
      <c r="F50" s="4">
        <v>383518258.72459167</v>
      </c>
      <c r="G50" s="46"/>
      <c r="I50" s="22" t="s">
        <v>9</v>
      </c>
      <c r="J50" s="4">
        <v>42433746.890000001</v>
      </c>
      <c r="K50" s="4">
        <v>139112826.16999999</v>
      </c>
      <c r="L50" s="4">
        <v>2091587.74</v>
      </c>
      <c r="M50" s="4">
        <v>183638160.80000001</v>
      </c>
      <c r="N50" s="49"/>
    </row>
    <row r="51" spans="1:14">
      <c r="A51" s="22" t="s">
        <v>10</v>
      </c>
      <c r="B51" s="5">
        <v>116940652.50348762</v>
      </c>
      <c r="C51" s="5">
        <v>54706150.670518301</v>
      </c>
      <c r="D51" s="5">
        <v>10956247.594227778</v>
      </c>
      <c r="E51" s="5">
        <v>0</v>
      </c>
      <c r="F51" s="5">
        <v>182603050.76823372</v>
      </c>
      <c r="G51" s="46"/>
      <c r="I51" s="22" t="s">
        <v>10</v>
      </c>
      <c r="J51" s="5">
        <v>20766766.059999999</v>
      </c>
      <c r="K51" s="5">
        <v>95565919.640000001</v>
      </c>
      <c r="L51" s="5">
        <v>1234767.29</v>
      </c>
      <c r="M51" s="5">
        <v>117567452.99000001</v>
      </c>
      <c r="N51" s="49"/>
    </row>
    <row r="52" spans="1:14" ht="14.25">
      <c r="A52" s="22" t="s">
        <v>455</v>
      </c>
      <c r="B52" s="5">
        <v>19800764.885611109</v>
      </c>
      <c r="C52" s="5">
        <v>56032845.921501517</v>
      </c>
      <c r="D52" s="5">
        <v>403928.29989444447</v>
      </c>
      <c r="E52" s="5">
        <v>340.04599999999999</v>
      </c>
      <c r="F52" s="5">
        <v>76237879.153007075</v>
      </c>
      <c r="G52" s="46"/>
      <c r="I52" s="22" t="s">
        <v>455</v>
      </c>
      <c r="J52" s="5">
        <v>16426588.470000001</v>
      </c>
      <c r="K52" s="5">
        <v>68431196.680000007</v>
      </c>
      <c r="L52" s="5">
        <v>589064.18000000005</v>
      </c>
      <c r="M52" s="5">
        <v>85446849.330000013</v>
      </c>
      <c r="N52" s="49"/>
    </row>
    <row r="53" spans="1:14">
      <c r="A53" s="22" t="s">
        <v>11</v>
      </c>
      <c r="B53" s="5">
        <v>14441418.1745</v>
      </c>
      <c r="C53" s="5">
        <v>8001234.1913738102</v>
      </c>
      <c r="D53" s="5">
        <v>1441728.8032</v>
      </c>
      <c r="E53" s="5">
        <v>0</v>
      </c>
      <c r="F53" s="5">
        <v>23884381.169073809</v>
      </c>
      <c r="G53" s="46"/>
      <c r="I53" s="22" t="s">
        <v>11</v>
      </c>
      <c r="J53" s="5">
        <v>5459820.8099999996</v>
      </c>
      <c r="K53" s="5">
        <v>17690462.140000001</v>
      </c>
      <c r="L53" s="5">
        <v>149435.65</v>
      </c>
      <c r="M53" s="5">
        <v>23299718.599999998</v>
      </c>
      <c r="N53" s="49"/>
    </row>
    <row r="54" spans="1:14">
      <c r="A54" s="22" t="s">
        <v>12</v>
      </c>
      <c r="B54" s="5">
        <v>35719126.588088892</v>
      </c>
      <c r="C54" s="5">
        <v>42003270.855588891</v>
      </c>
      <c r="D54" s="5">
        <v>2320281.1013000002</v>
      </c>
      <c r="E54" s="5">
        <v>0</v>
      </c>
      <c r="F54" s="5">
        <v>80042678.544977784</v>
      </c>
      <c r="G54" s="46"/>
      <c r="I54" s="22" t="s">
        <v>12</v>
      </c>
      <c r="J54" s="5">
        <v>15351008.25</v>
      </c>
      <c r="K54" s="5">
        <v>67583565.420000002</v>
      </c>
      <c r="L54" s="5">
        <v>1102777.26</v>
      </c>
      <c r="M54" s="5">
        <v>84037350.930000007</v>
      </c>
      <c r="N54" s="49"/>
    </row>
    <row r="55" spans="1:14">
      <c r="A55" s="22" t="s">
        <v>13</v>
      </c>
      <c r="B55" s="5">
        <v>4328861.9830444437</v>
      </c>
      <c r="C55" s="5">
        <v>3940311.2038055551</v>
      </c>
      <c r="D55" s="5">
        <v>383416.23665555555</v>
      </c>
      <c r="E55" s="5">
        <v>0</v>
      </c>
      <c r="F55" s="5">
        <v>8652589.423505554</v>
      </c>
      <c r="G55" s="46"/>
      <c r="I55" s="22" t="s">
        <v>13</v>
      </c>
      <c r="J55" s="5">
        <v>2064050.24</v>
      </c>
      <c r="K55" s="5">
        <v>6183944.4199999999</v>
      </c>
      <c r="L55" s="5">
        <v>107731.37</v>
      </c>
      <c r="M55" s="5">
        <v>8355726.0300000003</v>
      </c>
      <c r="N55" s="49"/>
    </row>
    <row r="56" spans="1:14">
      <c r="A56" s="22" t="s">
        <v>159</v>
      </c>
      <c r="B56" s="5">
        <v>10447891.446734393</v>
      </c>
      <c r="C56" s="5">
        <v>11461247.090811966</v>
      </c>
      <c r="D56" s="5">
        <v>617154.07069444447</v>
      </c>
      <c r="E56" s="5">
        <v>0</v>
      </c>
      <c r="F56" s="5">
        <v>22526292.608240802</v>
      </c>
      <c r="G56" s="46"/>
      <c r="I56" s="22" t="s">
        <v>159</v>
      </c>
      <c r="J56" s="5">
        <v>5805427.9900000002</v>
      </c>
      <c r="K56" s="5">
        <v>20735866.940000001</v>
      </c>
      <c r="L56" s="5">
        <v>250701.73</v>
      </c>
      <c r="M56" s="5">
        <v>26791996.66</v>
      </c>
      <c r="N56" s="49"/>
    </row>
    <row r="57" spans="1:14">
      <c r="A57" s="22" t="s">
        <v>349</v>
      </c>
      <c r="B57" s="5">
        <v>189.762</v>
      </c>
      <c r="C57" s="5">
        <v>36541460.768333338</v>
      </c>
      <c r="D57" s="5">
        <v>0</v>
      </c>
      <c r="E57" s="5">
        <v>3785.0770000000002</v>
      </c>
      <c r="F57" s="5">
        <v>36545435.60733334</v>
      </c>
      <c r="G57" s="46"/>
      <c r="I57" s="22" t="s">
        <v>349</v>
      </c>
      <c r="J57" s="5">
        <v>16237150.880000001</v>
      </c>
      <c r="K57" s="5">
        <v>56660320.689999998</v>
      </c>
      <c r="L57" s="5">
        <v>2698527.33</v>
      </c>
      <c r="M57" s="5">
        <v>75595998.899999991</v>
      </c>
      <c r="N57" s="49"/>
    </row>
    <row r="58" spans="1:14">
      <c r="A58" s="22" t="s">
        <v>197</v>
      </c>
      <c r="B58" s="5">
        <v>12646905.957333334</v>
      </c>
      <c r="C58" s="5">
        <v>22677920.03805</v>
      </c>
      <c r="D58" s="5">
        <v>1011092.0981000001</v>
      </c>
      <c r="E58" s="5">
        <v>0</v>
      </c>
      <c r="F58" s="5">
        <v>36335918.093483336</v>
      </c>
      <c r="G58" s="46"/>
      <c r="I58" s="22" t="s">
        <v>197</v>
      </c>
      <c r="J58" s="5">
        <v>4817591.5999999996</v>
      </c>
      <c r="K58" s="5">
        <v>20488686.129999999</v>
      </c>
      <c r="L58" s="5">
        <v>224630.73</v>
      </c>
      <c r="M58" s="5">
        <v>25530908.459999997</v>
      </c>
      <c r="N58" s="49"/>
    </row>
    <row r="59" spans="1:14">
      <c r="A59" s="22" t="s">
        <v>162</v>
      </c>
      <c r="B59" s="5">
        <v>11536811.658299999</v>
      </c>
      <c r="C59" s="5">
        <v>33933758.455222219</v>
      </c>
      <c r="D59" s="5">
        <v>403547.64500000002</v>
      </c>
      <c r="E59" s="5">
        <v>0</v>
      </c>
      <c r="F59" s="5">
        <v>45874117.75852222</v>
      </c>
      <c r="G59" s="46"/>
      <c r="I59" s="22" t="s">
        <v>162</v>
      </c>
      <c r="J59" s="5">
        <v>14884309.1</v>
      </c>
      <c r="K59" s="5">
        <v>51293738.640000001</v>
      </c>
      <c r="L59" s="5">
        <v>1058549.79</v>
      </c>
      <c r="M59" s="5">
        <v>67236597.530000001</v>
      </c>
      <c r="N59" s="49"/>
    </row>
    <row r="60" spans="1:14">
      <c r="A60" s="22" t="s">
        <v>161</v>
      </c>
      <c r="B60" s="5">
        <v>9277092.5933833327</v>
      </c>
      <c r="C60" s="5">
        <v>7863440.7067611115</v>
      </c>
      <c r="D60" s="5">
        <v>508933.13329999999</v>
      </c>
      <c r="E60" s="5">
        <v>0</v>
      </c>
      <c r="F60" s="5">
        <v>17649466.433444444</v>
      </c>
      <c r="G60" s="46"/>
      <c r="I60" s="22" t="s">
        <v>161</v>
      </c>
      <c r="J60" s="5">
        <v>4083437.97</v>
      </c>
      <c r="K60" s="5">
        <v>12468079.99</v>
      </c>
      <c r="L60" s="5">
        <v>207363.55</v>
      </c>
      <c r="M60" s="5">
        <v>16758881.510000002</v>
      </c>
      <c r="N60" s="49"/>
    </row>
    <row r="61" spans="1:14">
      <c r="A61" s="22" t="s">
        <v>160</v>
      </c>
      <c r="B61" s="5">
        <v>15997246.746588888</v>
      </c>
      <c r="C61" s="5">
        <v>4217881.5740666669</v>
      </c>
      <c r="D61" s="5">
        <v>1792888.713</v>
      </c>
      <c r="E61" s="5">
        <v>0</v>
      </c>
      <c r="F61" s="5">
        <v>22008017.033655554</v>
      </c>
      <c r="G61" s="46"/>
      <c r="I61" s="22" t="s">
        <v>160</v>
      </c>
      <c r="J61" s="5">
        <v>5512006.7400000002</v>
      </c>
      <c r="K61" s="5">
        <v>18193240.100000001</v>
      </c>
      <c r="L61" s="5">
        <v>480496.15</v>
      </c>
      <c r="M61" s="5">
        <v>24185742.990000002</v>
      </c>
      <c r="N61" s="49"/>
    </row>
    <row r="62" spans="1:14">
      <c r="A62" s="22" t="s">
        <v>163</v>
      </c>
      <c r="B62" s="5">
        <v>46034169.526525922</v>
      </c>
      <c r="C62" s="5">
        <v>33100680.843483333</v>
      </c>
      <c r="D62" s="5">
        <v>4074535.3400666667</v>
      </c>
      <c r="E62" s="5">
        <v>0</v>
      </c>
      <c r="F62" s="5">
        <v>83209385.71007593</v>
      </c>
      <c r="G62" s="46"/>
      <c r="I62" s="22" t="s">
        <v>163</v>
      </c>
      <c r="J62" s="5">
        <v>15198729.369999999</v>
      </c>
      <c r="K62" s="5">
        <v>53551422.200000003</v>
      </c>
      <c r="L62" s="5">
        <v>821278.05</v>
      </c>
      <c r="M62" s="5">
        <v>69571429.620000005</v>
      </c>
      <c r="N62" s="49"/>
    </row>
    <row r="63" spans="1:14">
      <c r="A63" s="22" t="s">
        <v>216</v>
      </c>
      <c r="B63" s="5">
        <v>788.43100000000004</v>
      </c>
      <c r="C63" s="5">
        <v>0</v>
      </c>
      <c r="D63" s="5">
        <v>0</v>
      </c>
      <c r="E63" s="5">
        <v>0</v>
      </c>
      <c r="F63" s="5">
        <v>788.43100000000004</v>
      </c>
      <c r="G63" s="46"/>
      <c r="I63" s="22" t="s">
        <v>216</v>
      </c>
      <c r="J63" s="5">
        <v>3722.77</v>
      </c>
      <c r="K63" s="5">
        <v>6434.03</v>
      </c>
      <c r="L63" s="5">
        <v>0</v>
      </c>
      <c r="M63" s="5">
        <v>10156.799999999999</v>
      </c>
      <c r="N63" s="49"/>
    </row>
    <row r="64" spans="1:14">
      <c r="A64" s="20" t="s">
        <v>46</v>
      </c>
      <c r="B64" s="36">
        <v>559507430.12556183</v>
      </c>
      <c r="C64" s="36">
        <v>366607317.31998897</v>
      </c>
      <c r="D64" s="36">
        <v>92969386.890594438</v>
      </c>
      <c r="E64" s="36">
        <v>4125.1230000000005</v>
      </c>
      <c r="F64" s="36">
        <v>1019088259.4591453</v>
      </c>
      <c r="G64" s="46"/>
      <c r="I64" s="20" t="s">
        <v>46</v>
      </c>
      <c r="J64" s="36">
        <v>169044357.14000002</v>
      </c>
      <c r="K64" s="36">
        <v>627965703.19000006</v>
      </c>
      <c r="L64" s="36">
        <v>11016910.820000002</v>
      </c>
      <c r="M64" s="36">
        <v>808026971.14999998</v>
      </c>
      <c r="N64" s="49"/>
    </row>
    <row r="65" spans="1:14">
      <c r="A65" s="3" t="s">
        <v>407</v>
      </c>
      <c r="F65" s="46"/>
      <c r="G65" s="46"/>
      <c r="I65" s="3" t="s">
        <v>420</v>
      </c>
      <c r="M65" s="49"/>
    </row>
    <row r="66" spans="1:14" ht="30" customHeight="1">
      <c r="A66" s="130" t="s">
        <v>404</v>
      </c>
      <c r="B66" s="130"/>
      <c r="C66" s="130"/>
      <c r="D66" s="130"/>
      <c r="E66" s="130"/>
      <c r="F66" s="130"/>
      <c r="I66" s="130" t="s">
        <v>404</v>
      </c>
      <c r="J66" s="130"/>
      <c r="K66" s="130"/>
      <c r="L66" s="130"/>
      <c r="M66" s="130"/>
      <c r="N66" s="130"/>
    </row>
  </sheetData>
  <sortState xmlns:xlrd2="http://schemas.microsoft.com/office/spreadsheetml/2017/richdata2" ref="Q28:S37">
    <sortCondition ref="Q28:Q37"/>
  </sortState>
  <mergeCells count="3">
    <mergeCell ref="A66:F66"/>
    <mergeCell ref="I66:N66"/>
    <mergeCell ref="A45:E45"/>
  </mergeCells>
  <pageMargins left="0.7" right="0.7" top="0.75" bottom="0.75" header="0.3" footer="0.3"/>
  <pageSetup scale="33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2BDE-3845-3249-809D-ADA5317011A8}">
  <dimension ref="A1:M64"/>
  <sheetViews>
    <sheetView showGridLines="0" workbookViewId="0"/>
  </sheetViews>
  <sheetFormatPr baseColWidth="10" defaultColWidth="33.140625" defaultRowHeight="12.75"/>
  <cols>
    <col min="1" max="1" width="14.85546875" style="3" customWidth="1"/>
    <col min="2" max="4" width="14.85546875" style="6" customWidth="1"/>
    <col min="5" max="5" width="13" style="6" customWidth="1"/>
    <col min="6" max="8" width="8.85546875" style="3" customWidth="1"/>
    <col min="9" max="11" width="6.42578125" style="3" customWidth="1"/>
    <col min="12" max="16384" width="33.140625" style="3"/>
  </cols>
  <sheetData>
    <row r="1" spans="1:13" ht="18.75">
      <c r="A1" s="1" t="s">
        <v>458</v>
      </c>
    </row>
    <row r="3" spans="1:13">
      <c r="A3" s="2" t="s">
        <v>459</v>
      </c>
    </row>
    <row r="4" spans="1:13">
      <c r="A4" s="2" t="s">
        <v>465</v>
      </c>
    </row>
    <row r="5" spans="1:13">
      <c r="A5" s="8" t="s">
        <v>49</v>
      </c>
      <c r="B5" s="8" t="s">
        <v>0</v>
      </c>
      <c r="C5" s="8" t="s">
        <v>1</v>
      </c>
      <c r="D5" s="8" t="s">
        <v>45</v>
      </c>
    </row>
    <row r="6" spans="1:13">
      <c r="A6" s="16">
        <v>2016</v>
      </c>
      <c r="B6" s="74">
        <v>161.38519500816585</v>
      </c>
      <c r="C6" s="74">
        <v>297.08206525398413</v>
      </c>
      <c r="D6" s="74">
        <v>198.28204047233532</v>
      </c>
    </row>
    <row r="7" spans="1:13">
      <c r="A7" s="16">
        <v>2017</v>
      </c>
      <c r="B7" s="75">
        <v>169.26606191614474</v>
      </c>
      <c r="C7" s="75">
        <v>340.78603596479542</v>
      </c>
      <c r="D7" s="76">
        <v>215.39662499786368</v>
      </c>
    </row>
    <row r="8" spans="1:13">
      <c r="A8" s="16">
        <v>2018</v>
      </c>
      <c r="B8" s="75">
        <v>190.13600386747137</v>
      </c>
      <c r="C8" s="75">
        <v>360.0402837998497</v>
      </c>
      <c r="D8" s="76">
        <v>236.86622061550176</v>
      </c>
    </row>
    <row r="9" spans="1:13">
      <c r="A9" s="16">
        <v>2019</v>
      </c>
      <c r="B9" s="75">
        <v>198.30480475796696</v>
      </c>
      <c r="C9" s="75">
        <v>383.16676948459678</v>
      </c>
      <c r="D9" s="76">
        <v>249.02349228048979</v>
      </c>
      <c r="F9" s="42"/>
      <c r="G9" s="42"/>
      <c r="H9" s="42"/>
      <c r="J9" s="42"/>
      <c r="K9" s="42"/>
      <c r="L9" s="42"/>
      <c r="M9" s="42"/>
    </row>
    <row r="10" spans="1:13">
      <c r="A10" s="18">
        <v>2020</v>
      </c>
      <c r="B10" s="77">
        <v>221.17675363632793</v>
      </c>
      <c r="C10" s="77">
        <v>473.43074145099337</v>
      </c>
      <c r="D10" s="78">
        <v>289.36047774711994</v>
      </c>
      <c r="F10" s="42"/>
      <c r="G10" s="42"/>
      <c r="H10" s="42"/>
      <c r="J10" s="42"/>
      <c r="K10" s="42"/>
      <c r="L10" s="42"/>
      <c r="M10" s="42"/>
    </row>
    <row r="13" spans="1:13">
      <c r="A13" s="2" t="s">
        <v>460</v>
      </c>
    </row>
    <row r="14" spans="1:13">
      <c r="A14" s="2" t="s">
        <v>466</v>
      </c>
    </row>
    <row r="15" spans="1:13">
      <c r="A15" s="8" t="s">
        <v>49</v>
      </c>
      <c r="B15" s="8" t="s">
        <v>0</v>
      </c>
      <c r="C15" s="8" t="s">
        <v>1</v>
      </c>
      <c r="D15" s="8" t="s">
        <v>45</v>
      </c>
    </row>
    <row r="16" spans="1:13">
      <c r="A16" s="16">
        <v>2016</v>
      </c>
      <c r="B16" s="74">
        <v>8.7135611122032479</v>
      </c>
      <c r="C16" s="74">
        <v>7.0583023047650384</v>
      </c>
      <c r="D16" s="74">
        <v>8.2634856733916067</v>
      </c>
    </row>
    <row r="17" spans="1:8">
      <c r="A17" s="16">
        <v>2017</v>
      </c>
      <c r="B17" s="75">
        <v>9.1471592247188376</v>
      </c>
      <c r="C17" s="75">
        <v>7.6213874275463267</v>
      </c>
      <c r="D17" s="76">
        <v>8.7368005330960763</v>
      </c>
    </row>
    <row r="18" spans="1:8">
      <c r="A18" s="16">
        <v>2018</v>
      </c>
      <c r="B18" s="75">
        <v>10.315406211849846</v>
      </c>
      <c r="C18" s="75">
        <v>8.3671195039148163</v>
      </c>
      <c r="D18" s="76">
        <v>9.7795523758820533</v>
      </c>
      <c r="F18" s="6"/>
    </row>
    <row r="19" spans="1:8">
      <c r="A19" s="16">
        <v>2019</v>
      </c>
      <c r="B19" s="75">
        <v>12.161755275674548</v>
      </c>
      <c r="C19" s="75">
        <v>8.6617024944078267</v>
      </c>
      <c r="D19" s="76">
        <v>11.201481573142422</v>
      </c>
      <c r="F19" s="42"/>
      <c r="G19" s="42"/>
      <c r="H19" s="42"/>
    </row>
    <row r="20" spans="1:8">
      <c r="A20" s="18">
        <v>2020</v>
      </c>
      <c r="B20" s="77">
        <v>12.837040490288382</v>
      </c>
      <c r="C20" s="77">
        <v>10.189827086365415</v>
      </c>
      <c r="D20" s="78">
        <v>12.121504256514001</v>
      </c>
      <c r="F20" s="42"/>
      <c r="G20" s="42"/>
      <c r="H20" s="42"/>
    </row>
    <row r="21" spans="1:8">
      <c r="F21" s="43"/>
      <c r="G21" s="43"/>
      <c r="H21" s="43"/>
    </row>
    <row r="23" spans="1:8">
      <c r="A23" s="2" t="s">
        <v>461</v>
      </c>
    </row>
    <row r="24" spans="1:8">
      <c r="A24" s="2" t="s">
        <v>469</v>
      </c>
    </row>
    <row r="25" spans="1:8">
      <c r="A25" s="8" t="s">
        <v>49</v>
      </c>
      <c r="B25" s="8" t="s">
        <v>0</v>
      </c>
      <c r="C25" s="8" t="s">
        <v>1</v>
      </c>
      <c r="D25" s="8" t="s">
        <v>45</v>
      </c>
    </row>
    <row r="26" spans="1:8">
      <c r="A26" s="16">
        <v>2016</v>
      </c>
      <c r="B26" s="74">
        <v>18.521152595366278</v>
      </c>
      <c r="C26" s="74">
        <v>42.089733823588844</v>
      </c>
      <c r="D26" s="74">
        <v>23.99496390618825</v>
      </c>
    </row>
    <row r="27" spans="1:8">
      <c r="A27" s="16">
        <v>2017</v>
      </c>
      <c r="B27" s="75">
        <v>18.504768284641685</v>
      </c>
      <c r="C27" s="75">
        <v>44.714435423276996</v>
      </c>
      <c r="D27" s="76">
        <v>24.653947881940848</v>
      </c>
    </row>
    <row r="28" spans="1:8">
      <c r="A28" s="16">
        <v>2018</v>
      </c>
      <c r="B28" s="75">
        <v>18.432236206951522</v>
      </c>
      <c r="C28" s="75">
        <v>43.030374268156883</v>
      </c>
      <c r="D28" s="76">
        <v>24.220558519595631</v>
      </c>
    </row>
    <row r="29" spans="1:8">
      <c r="A29" s="16">
        <v>2019</v>
      </c>
      <c r="B29" s="75">
        <v>16.305607230447091</v>
      </c>
      <c r="C29" s="75">
        <v>44.236888733130371</v>
      </c>
      <c r="D29" s="76">
        <v>22.231299552156443</v>
      </c>
      <c r="F29" s="42"/>
      <c r="G29" s="42"/>
      <c r="H29" s="42"/>
    </row>
    <row r="30" spans="1:8">
      <c r="A30" s="18">
        <v>2020</v>
      </c>
      <c r="B30" s="77">
        <v>17.229575134833844</v>
      </c>
      <c r="C30" s="77">
        <v>46.461116311234697</v>
      </c>
      <c r="D30" s="78">
        <v>23.871664079284542</v>
      </c>
      <c r="F30" s="42"/>
      <c r="G30" s="42"/>
      <c r="H30" s="42"/>
    </row>
    <row r="31" spans="1:8">
      <c r="D31" s="80"/>
      <c r="F31" s="43"/>
      <c r="G31" s="43"/>
      <c r="H31" s="43"/>
    </row>
    <row r="33" spans="1:8">
      <c r="A33" s="2" t="s">
        <v>462</v>
      </c>
    </row>
    <row r="34" spans="1:8">
      <c r="A34" s="2" t="s">
        <v>470</v>
      </c>
    </row>
    <row r="35" spans="1:8">
      <c r="A35" s="8" t="s">
        <v>49</v>
      </c>
      <c r="B35" s="8" t="s">
        <v>0</v>
      </c>
      <c r="C35" s="8" t="s">
        <v>1</v>
      </c>
      <c r="D35" s="8" t="s">
        <v>45</v>
      </c>
    </row>
    <row r="36" spans="1:8">
      <c r="A36" s="16">
        <v>2016</v>
      </c>
      <c r="B36" s="74">
        <v>215.29441082030345</v>
      </c>
      <c r="C36" s="74">
        <v>293.9695929324298</v>
      </c>
      <c r="D36" s="74">
        <v>241.64059362776038</v>
      </c>
    </row>
    <row r="37" spans="1:8">
      <c r="A37" s="16">
        <v>2017</v>
      </c>
      <c r="B37" s="75">
        <v>212.91289210802077</v>
      </c>
      <c r="C37" s="75">
        <v>318.17075231634863</v>
      </c>
      <c r="D37" s="76">
        <v>247.79509816652475</v>
      </c>
    </row>
    <row r="38" spans="1:8">
      <c r="A38" s="16">
        <v>2018</v>
      </c>
      <c r="B38" s="75">
        <v>213.77396395487173</v>
      </c>
      <c r="C38" s="75">
        <v>326.28406750685093</v>
      </c>
      <c r="D38" s="76">
        <v>249.78188393420058</v>
      </c>
    </row>
    <row r="39" spans="1:8">
      <c r="A39" s="16">
        <v>2019</v>
      </c>
      <c r="B39" s="75">
        <v>213.18533297689376</v>
      </c>
      <c r="C39" s="75">
        <v>332.93736648608416</v>
      </c>
      <c r="D39" s="76">
        <v>251.3505935880838</v>
      </c>
      <c r="F39" s="42"/>
      <c r="G39" s="42"/>
      <c r="H39" s="42"/>
    </row>
    <row r="40" spans="1:8">
      <c r="A40" s="18">
        <v>2020</v>
      </c>
      <c r="B40" s="77">
        <v>236.4308253712037</v>
      </c>
      <c r="C40" s="77">
        <v>504.18306420132706</v>
      </c>
      <c r="D40" s="78">
        <v>309.00241817941742</v>
      </c>
      <c r="F40" s="42"/>
      <c r="G40" s="42"/>
      <c r="H40" s="42"/>
    </row>
    <row r="41" spans="1:8">
      <c r="B41" s="80"/>
    </row>
    <row r="43" spans="1:8">
      <c r="A43" s="2" t="s">
        <v>463</v>
      </c>
    </row>
    <row r="44" spans="1:8">
      <c r="A44" s="2" t="s">
        <v>467</v>
      </c>
    </row>
    <row r="45" spans="1:8">
      <c r="A45" s="8" t="s">
        <v>49</v>
      </c>
      <c r="B45" s="8" t="s">
        <v>0</v>
      </c>
      <c r="C45" s="8" t="s">
        <v>1</v>
      </c>
      <c r="D45" s="8" t="s">
        <v>45</v>
      </c>
    </row>
    <row r="46" spans="1:8">
      <c r="A46" s="16">
        <v>2016</v>
      </c>
      <c r="B46" s="74">
        <v>11.624244749982083</v>
      </c>
      <c r="C46" s="74">
        <v>6.9843538133205527</v>
      </c>
      <c r="D46" s="74">
        <v>10.070471227732991</v>
      </c>
    </row>
    <row r="47" spans="1:8">
      <c r="A47" s="16">
        <v>2017</v>
      </c>
      <c r="B47" s="75">
        <v>11.505839404902524</v>
      </c>
      <c r="C47" s="75">
        <v>7.1156160041935461</v>
      </c>
      <c r="D47" s="76">
        <v>10.050929747768146</v>
      </c>
    </row>
    <row r="48" spans="1:8">
      <c r="A48" s="16">
        <v>2018</v>
      </c>
      <c r="B48" s="75">
        <v>11.597831188504905</v>
      </c>
      <c r="C48" s="75">
        <v>7.5826453535707676</v>
      </c>
      <c r="D48" s="76">
        <v>10.312804460397338</v>
      </c>
    </row>
    <row r="49" spans="1:11">
      <c r="A49" s="16">
        <v>2019</v>
      </c>
      <c r="B49" s="75">
        <v>13.074357180566547</v>
      </c>
      <c r="C49" s="75">
        <v>7.5262383051983726</v>
      </c>
      <c r="D49" s="76">
        <v>11.306158373620706</v>
      </c>
      <c r="F49" s="43"/>
      <c r="G49" s="43"/>
      <c r="H49" s="43"/>
    </row>
    <row r="50" spans="1:11">
      <c r="A50" s="18">
        <v>2020</v>
      </c>
      <c r="B50" s="77">
        <v>13.722382793595438</v>
      </c>
      <c r="C50" s="77">
        <v>10.851720841658107</v>
      </c>
      <c r="D50" s="78">
        <v>12.944318299433718</v>
      </c>
      <c r="F50" s="43"/>
      <c r="G50" s="43"/>
      <c r="H50" s="43"/>
      <c r="I50" s="43"/>
      <c r="J50" s="43"/>
      <c r="K50" s="43"/>
    </row>
    <row r="51" spans="1:11">
      <c r="B51" s="81"/>
    </row>
    <row r="53" spans="1:11">
      <c r="A53" s="2" t="s">
        <v>464</v>
      </c>
    </row>
    <row r="54" spans="1:11">
      <c r="A54" s="2" t="s">
        <v>468</v>
      </c>
    </row>
    <row r="55" spans="1:11">
      <c r="A55" s="8" t="s">
        <v>49</v>
      </c>
      <c r="B55" s="8" t="s">
        <v>0</v>
      </c>
      <c r="C55" s="8" t="s">
        <v>1</v>
      </c>
      <c r="D55" s="8" t="s">
        <v>45</v>
      </c>
    </row>
    <row r="56" spans="1:11">
      <c r="A56" s="16">
        <v>2016</v>
      </c>
      <c r="B56" s="82">
        <v>2.5915420981387542E-2</v>
      </c>
      <c r="C56" s="82">
        <v>1.9240743800474094E-2</v>
      </c>
      <c r="D56" s="82">
        <v>2.2706422025629613E-2</v>
      </c>
    </row>
    <row r="57" spans="1:11">
      <c r="A57" s="16">
        <v>2017</v>
      </c>
      <c r="B57" s="79">
        <v>2.6533712285332293E-2</v>
      </c>
      <c r="C57" s="79">
        <v>2.1815285050033117E-2</v>
      </c>
      <c r="D57" s="83">
        <v>2.429749112719198E-2</v>
      </c>
    </row>
    <row r="58" spans="1:11">
      <c r="A58" s="16">
        <v>2018</v>
      </c>
      <c r="B58" s="79">
        <v>2.6933916805225354E-2</v>
      </c>
      <c r="C58" s="79">
        <v>2.2445050159195047E-2</v>
      </c>
      <c r="D58" s="83">
        <v>2.4855732189550037E-2</v>
      </c>
    </row>
    <row r="59" spans="1:11">
      <c r="A59" s="16">
        <v>2019</v>
      </c>
      <c r="B59" s="79">
        <v>2.7774837174539081E-2</v>
      </c>
      <c r="C59" s="79">
        <v>2.3255478005524077E-2</v>
      </c>
      <c r="D59" s="83">
        <v>2.5668983378979351E-2</v>
      </c>
      <c r="F59" s="42"/>
      <c r="G59" s="42"/>
      <c r="H59" s="42"/>
    </row>
    <row r="60" spans="1:11">
      <c r="A60" s="18">
        <v>2020</v>
      </c>
      <c r="B60" s="84">
        <v>3.0030033021357629E-2</v>
      </c>
      <c r="C60" s="84">
        <v>2.8642039933894765E-2</v>
      </c>
      <c r="D60" s="85">
        <v>2.9399961232780929E-2</v>
      </c>
      <c r="F60" s="42"/>
      <c r="G60" s="42"/>
      <c r="H60" s="42"/>
    </row>
    <row r="61" spans="1:11">
      <c r="G61" s="42"/>
    </row>
    <row r="63" spans="1:11">
      <c r="F63" s="86"/>
      <c r="G63" s="86"/>
      <c r="H63" s="86"/>
    </row>
    <row r="64" spans="1:11">
      <c r="F64" s="87"/>
      <c r="G64" s="87"/>
      <c r="H64" s="8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24"/>
  <sheetViews>
    <sheetView showGridLines="0" zoomScaleNormal="100" workbookViewId="0"/>
  </sheetViews>
  <sheetFormatPr baseColWidth="10" defaultColWidth="33.140625" defaultRowHeight="15"/>
  <cols>
    <col min="1" max="1" width="31.140625" style="3" customWidth="1"/>
    <col min="2" max="6" width="12.85546875" style="6" customWidth="1"/>
    <col min="7" max="7" width="10.42578125" style="47" customWidth="1"/>
    <col min="8" max="8" width="31.140625" style="3" customWidth="1"/>
    <col min="9" max="10" width="12.85546875" style="3" customWidth="1"/>
    <col min="11" max="11" width="12.85546875" customWidth="1"/>
    <col min="12" max="12" width="12.85546875" style="3" customWidth="1"/>
    <col min="13" max="13" width="12.85546875" style="6" customWidth="1"/>
    <col min="14" max="14" width="8.42578125" style="48" customWidth="1"/>
    <col min="15" max="16384" width="33.140625" style="3"/>
  </cols>
  <sheetData>
    <row r="1" spans="1:14" ht="18.75">
      <c r="A1" s="1" t="s">
        <v>213</v>
      </c>
    </row>
    <row r="2" spans="1:14">
      <c r="A2" s="7"/>
    </row>
    <row r="3" spans="1:14">
      <c r="A3" s="7" t="s">
        <v>199</v>
      </c>
    </row>
    <row r="4" spans="1:14">
      <c r="A4" s="7" t="s">
        <v>259</v>
      </c>
    </row>
    <row r="5" spans="1:14">
      <c r="A5" s="8" t="s">
        <v>169</v>
      </c>
      <c r="B5" s="8" t="s">
        <v>0</v>
      </c>
      <c r="C5" s="8" t="s">
        <v>1</v>
      </c>
      <c r="D5" s="8" t="s">
        <v>45</v>
      </c>
      <c r="E5" s="47"/>
      <c r="F5" s="47"/>
    </row>
    <row r="6" spans="1:14">
      <c r="A6" s="16" t="s">
        <v>30</v>
      </c>
      <c r="B6" s="4">
        <v>1757882</v>
      </c>
      <c r="C6" s="4">
        <v>296105</v>
      </c>
      <c r="D6" s="4">
        <v>2053987</v>
      </c>
      <c r="E6" s="46"/>
      <c r="F6" s="46"/>
    </row>
    <row r="7" spans="1:14" ht="12.75">
      <c r="A7" s="16" t="s">
        <v>29</v>
      </c>
      <c r="B7" s="5">
        <v>2579021</v>
      </c>
      <c r="C7" s="5">
        <v>1025579</v>
      </c>
      <c r="D7" s="5">
        <v>3604600</v>
      </c>
      <c r="E7" s="46"/>
      <c r="F7" s="46"/>
      <c r="K7" s="3"/>
    </row>
    <row r="8" spans="1:14" ht="12.75">
      <c r="A8" s="16" t="s">
        <v>4</v>
      </c>
      <c r="B8" s="5">
        <v>358777</v>
      </c>
      <c r="C8" s="5">
        <v>14555</v>
      </c>
      <c r="D8" s="5">
        <v>373332</v>
      </c>
      <c r="E8" s="46"/>
      <c r="F8" s="46"/>
      <c r="K8" s="3"/>
    </row>
    <row r="9" spans="1:14" ht="12.75">
      <c r="A9" s="16" t="s">
        <v>216</v>
      </c>
      <c r="B9" s="5">
        <v>14</v>
      </c>
      <c r="C9" s="5">
        <v>2427</v>
      </c>
      <c r="D9" s="5">
        <v>2441</v>
      </c>
      <c r="E9" s="46"/>
      <c r="F9" s="46"/>
      <c r="K9" s="3"/>
    </row>
    <row r="10" spans="1:14" ht="12.75">
      <c r="A10" s="20" t="s">
        <v>46</v>
      </c>
      <c r="B10" s="36">
        <v>4695694</v>
      </c>
      <c r="C10" s="36">
        <v>1338666</v>
      </c>
      <c r="D10" s="36">
        <v>6034360</v>
      </c>
      <c r="E10" s="46"/>
      <c r="F10" s="46"/>
      <c r="K10" s="3"/>
    </row>
    <row r="11" spans="1:14" ht="12.75">
      <c r="B11" s="46"/>
      <c r="C11" s="46"/>
      <c r="D11" s="46"/>
      <c r="E11" s="47"/>
      <c r="F11" s="47"/>
      <c r="K11" s="3"/>
    </row>
    <row r="13" spans="1:14" ht="12.75">
      <c r="A13" s="7" t="s">
        <v>200</v>
      </c>
      <c r="H13" s="7" t="s">
        <v>201</v>
      </c>
      <c r="K13" s="3"/>
    </row>
    <row r="14" spans="1:14" ht="12.75">
      <c r="A14" s="7" t="s">
        <v>426</v>
      </c>
      <c r="H14" s="7" t="s">
        <v>325</v>
      </c>
      <c r="K14" s="3"/>
    </row>
    <row r="15" spans="1:14" ht="25.5">
      <c r="A15" s="26" t="s">
        <v>50</v>
      </c>
      <c r="B15" s="26" t="s">
        <v>422</v>
      </c>
      <c r="C15" s="26" t="s">
        <v>423</v>
      </c>
      <c r="D15" s="26" t="s">
        <v>221</v>
      </c>
      <c r="E15" s="26" t="s">
        <v>217</v>
      </c>
      <c r="F15" s="26" t="s">
        <v>48</v>
      </c>
      <c r="G15" s="48"/>
      <c r="H15" s="26" t="s">
        <v>50</v>
      </c>
      <c r="I15" s="26" t="s">
        <v>422</v>
      </c>
      <c r="J15" s="26" t="s">
        <v>423</v>
      </c>
      <c r="K15" s="26" t="s">
        <v>221</v>
      </c>
      <c r="L15" s="26" t="s">
        <v>217</v>
      </c>
      <c r="M15" s="26" t="s">
        <v>48</v>
      </c>
    </row>
    <row r="16" spans="1:14" ht="12.75">
      <c r="A16" s="13" t="s">
        <v>5</v>
      </c>
      <c r="B16" s="4">
        <v>823160</v>
      </c>
      <c r="C16" s="4">
        <v>1032348</v>
      </c>
      <c r="D16" s="4">
        <v>132652</v>
      </c>
      <c r="E16" s="4">
        <v>3</v>
      </c>
      <c r="F16" s="4">
        <v>1988163</v>
      </c>
      <c r="G16" s="46"/>
      <c r="H16" s="13" t="s">
        <v>5</v>
      </c>
      <c r="I16" s="4">
        <v>100725</v>
      </c>
      <c r="J16" s="4">
        <v>602019</v>
      </c>
      <c r="K16" s="4">
        <v>5996</v>
      </c>
      <c r="L16" s="4">
        <v>1589</v>
      </c>
      <c r="M16" s="14">
        <v>710329</v>
      </c>
      <c r="N16" s="49"/>
    </row>
    <row r="17" spans="1:14" ht="12.75">
      <c r="A17" s="16" t="s">
        <v>6</v>
      </c>
      <c r="B17" s="5">
        <v>934722</v>
      </c>
      <c r="C17" s="5">
        <v>1546673</v>
      </c>
      <c r="D17" s="5">
        <v>226125</v>
      </c>
      <c r="E17" s="5">
        <v>11</v>
      </c>
      <c r="F17" s="5">
        <v>2707531</v>
      </c>
      <c r="G17" s="46"/>
      <c r="H17" s="16" t="s">
        <v>6</v>
      </c>
      <c r="I17" s="5">
        <v>195374</v>
      </c>
      <c r="J17" s="5">
        <v>423542</v>
      </c>
      <c r="K17" s="5">
        <v>8559</v>
      </c>
      <c r="L17" s="5">
        <v>838</v>
      </c>
      <c r="M17" s="10">
        <v>628313</v>
      </c>
      <c r="N17" s="49"/>
    </row>
    <row r="18" spans="1:14" ht="12.75">
      <c r="A18" s="22" t="s">
        <v>216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46"/>
      <c r="H18" s="22" t="s">
        <v>216</v>
      </c>
      <c r="I18" s="5">
        <v>6</v>
      </c>
      <c r="J18" s="5">
        <v>18</v>
      </c>
      <c r="K18" s="5">
        <v>0</v>
      </c>
      <c r="L18" s="5">
        <v>0</v>
      </c>
      <c r="M18" s="10">
        <v>24</v>
      </c>
      <c r="N18" s="49"/>
    </row>
    <row r="19" spans="1:14" ht="12.75">
      <c r="A19" s="20" t="s">
        <v>46</v>
      </c>
      <c r="B19" s="36">
        <v>1757882</v>
      </c>
      <c r="C19" s="36">
        <v>2579021</v>
      </c>
      <c r="D19" s="36">
        <v>358777</v>
      </c>
      <c r="E19" s="36">
        <v>14</v>
      </c>
      <c r="F19" s="36">
        <v>4695694</v>
      </c>
      <c r="G19" s="46"/>
      <c r="H19" s="20" t="s">
        <v>46</v>
      </c>
      <c r="I19" s="36">
        <v>296105</v>
      </c>
      <c r="J19" s="36">
        <v>1025579</v>
      </c>
      <c r="K19" s="36">
        <v>14555</v>
      </c>
      <c r="L19" s="36">
        <v>2427</v>
      </c>
      <c r="M19" s="36">
        <v>1338666</v>
      </c>
      <c r="N19" s="49"/>
    </row>
    <row r="20" spans="1:14" ht="12.75">
      <c r="B20" s="49"/>
      <c r="C20" s="49"/>
      <c r="D20" s="49"/>
      <c r="E20" s="49"/>
      <c r="F20" s="49"/>
      <c r="G20" s="46"/>
      <c r="I20" s="53"/>
      <c r="J20" s="53"/>
      <c r="K20" s="53"/>
      <c r="L20" s="53"/>
      <c r="M20" s="53"/>
    </row>
    <row r="21" spans="1:14" ht="12.75">
      <c r="E21" s="3"/>
      <c r="F21" s="3"/>
      <c r="G21" s="46"/>
      <c r="I21" s="6"/>
      <c r="J21" s="6"/>
      <c r="K21" s="3"/>
      <c r="L21" s="6"/>
      <c r="M21" s="3"/>
    </row>
    <row r="22" spans="1:14" ht="12.75">
      <c r="A22" s="7" t="s">
        <v>202</v>
      </c>
      <c r="E22" s="3"/>
      <c r="F22" s="3"/>
      <c r="G22" s="46"/>
      <c r="H22" s="7" t="s">
        <v>203</v>
      </c>
      <c r="I22" s="6"/>
      <c r="J22" s="6"/>
      <c r="K22" s="3"/>
      <c r="L22" s="6"/>
      <c r="M22" s="3"/>
    </row>
    <row r="23" spans="1:14" ht="12.75">
      <c r="A23" s="7" t="s">
        <v>427</v>
      </c>
      <c r="E23" s="3"/>
      <c r="F23" s="3"/>
      <c r="G23" s="46"/>
      <c r="H23" s="7" t="s">
        <v>326</v>
      </c>
      <c r="I23" s="6"/>
      <c r="J23" s="6"/>
      <c r="K23" s="3"/>
      <c r="L23" s="6"/>
      <c r="M23" s="3"/>
    </row>
    <row r="24" spans="1:14" ht="25.5">
      <c r="A24" s="15" t="s">
        <v>51</v>
      </c>
      <c r="B24" s="26" t="s">
        <v>422</v>
      </c>
      <c r="C24" s="26" t="s">
        <v>423</v>
      </c>
      <c r="D24" s="26" t="s">
        <v>221</v>
      </c>
      <c r="E24" s="26" t="s">
        <v>217</v>
      </c>
      <c r="F24" s="26" t="s">
        <v>48</v>
      </c>
      <c r="G24" s="46"/>
      <c r="H24" s="15" t="s">
        <v>51</v>
      </c>
      <c r="I24" s="26" t="s">
        <v>422</v>
      </c>
      <c r="J24" s="26" t="s">
        <v>423</v>
      </c>
      <c r="K24" s="26" t="s">
        <v>221</v>
      </c>
      <c r="L24" s="26" t="s">
        <v>217</v>
      </c>
      <c r="M24" s="26" t="s">
        <v>48</v>
      </c>
    </row>
    <row r="25" spans="1:14" ht="12.75">
      <c r="A25" s="13" t="s">
        <v>40</v>
      </c>
      <c r="B25" s="4">
        <v>13665</v>
      </c>
      <c r="C25" s="4">
        <v>12818</v>
      </c>
      <c r="D25" s="4">
        <v>1310</v>
      </c>
      <c r="E25" s="4">
        <v>2</v>
      </c>
      <c r="F25" s="4">
        <v>27795</v>
      </c>
      <c r="G25" s="46"/>
      <c r="H25" s="13" t="s">
        <v>40</v>
      </c>
      <c r="I25" s="4">
        <v>14</v>
      </c>
      <c r="J25" s="4">
        <v>900</v>
      </c>
      <c r="K25" s="4">
        <v>1</v>
      </c>
      <c r="L25" s="4">
        <v>7</v>
      </c>
      <c r="M25" s="4">
        <v>922</v>
      </c>
      <c r="N25" s="49"/>
    </row>
    <row r="26" spans="1:14" ht="12.75">
      <c r="A26" s="16" t="s">
        <v>2</v>
      </c>
      <c r="B26" s="5">
        <v>128786</v>
      </c>
      <c r="C26" s="5">
        <v>183788</v>
      </c>
      <c r="D26" s="5">
        <v>23878</v>
      </c>
      <c r="E26" s="5">
        <v>2</v>
      </c>
      <c r="F26" s="5">
        <v>336454</v>
      </c>
      <c r="G26" s="46"/>
      <c r="H26" s="16" t="s">
        <v>2</v>
      </c>
      <c r="I26" s="5">
        <v>1337</v>
      </c>
      <c r="J26" s="5">
        <v>34515</v>
      </c>
      <c r="K26" s="5">
        <v>71</v>
      </c>
      <c r="L26" s="5">
        <v>92</v>
      </c>
      <c r="M26" s="5">
        <v>36015</v>
      </c>
      <c r="N26" s="49"/>
    </row>
    <row r="27" spans="1:14" ht="12.75">
      <c r="A27" s="16" t="s">
        <v>41</v>
      </c>
      <c r="B27" s="5">
        <v>472436</v>
      </c>
      <c r="C27" s="5">
        <v>775265</v>
      </c>
      <c r="D27" s="5">
        <v>116395</v>
      </c>
      <c r="E27" s="5">
        <v>7</v>
      </c>
      <c r="F27" s="5">
        <v>1364103</v>
      </c>
      <c r="G27" s="46"/>
      <c r="H27" s="16" t="s">
        <v>41</v>
      </c>
      <c r="I27" s="5">
        <v>94324</v>
      </c>
      <c r="J27" s="5">
        <v>348558</v>
      </c>
      <c r="K27" s="5">
        <v>4009</v>
      </c>
      <c r="L27" s="5">
        <v>827</v>
      </c>
      <c r="M27" s="5">
        <v>447718</v>
      </c>
      <c r="N27" s="49"/>
    </row>
    <row r="28" spans="1:14" ht="12.75">
      <c r="A28" s="16" t="s">
        <v>42</v>
      </c>
      <c r="B28" s="5">
        <v>377943</v>
      </c>
      <c r="C28" s="5">
        <v>605696</v>
      </c>
      <c r="D28" s="5">
        <v>92672</v>
      </c>
      <c r="E28" s="5">
        <v>2</v>
      </c>
      <c r="F28" s="5">
        <v>1076313</v>
      </c>
      <c r="G28" s="46"/>
      <c r="H28" s="16" t="s">
        <v>42</v>
      </c>
      <c r="I28" s="5">
        <v>98010</v>
      </c>
      <c r="J28" s="5">
        <v>301558</v>
      </c>
      <c r="K28" s="5">
        <v>5032</v>
      </c>
      <c r="L28" s="5">
        <v>678</v>
      </c>
      <c r="M28" s="5">
        <v>405278</v>
      </c>
      <c r="N28" s="49"/>
    </row>
    <row r="29" spans="1:14" ht="12.75">
      <c r="A29" s="16" t="s">
        <v>43</v>
      </c>
      <c r="B29" s="5">
        <v>357237</v>
      </c>
      <c r="C29" s="5">
        <v>502167</v>
      </c>
      <c r="D29" s="5">
        <v>64635</v>
      </c>
      <c r="E29" s="5">
        <v>1</v>
      </c>
      <c r="F29" s="5">
        <v>924040</v>
      </c>
      <c r="G29" s="46"/>
      <c r="H29" s="16" t="s">
        <v>43</v>
      </c>
      <c r="I29" s="5">
        <v>51623</v>
      </c>
      <c r="J29" s="5">
        <v>193784</v>
      </c>
      <c r="K29" s="5">
        <v>2657</v>
      </c>
      <c r="L29" s="5">
        <v>451</v>
      </c>
      <c r="M29" s="5">
        <v>248515</v>
      </c>
      <c r="N29" s="49"/>
    </row>
    <row r="30" spans="1:14" ht="12.75">
      <c r="A30" s="16" t="s">
        <v>44</v>
      </c>
      <c r="B30" s="5">
        <v>305298</v>
      </c>
      <c r="C30" s="5">
        <v>382724</v>
      </c>
      <c r="D30" s="5">
        <v>46505</v>
      </c>
      <c r="E30" s="5">
        <v>0</v>
      </c>
      <c r="F30" s="5">
        <v>734527</v>
      </c>
      <c r="G30" s="46"/>
      <c r="H30" s="16" t="s">
        <v>44</v>
      </c>
      <c r="I30" s="5">
        <v>42193</v>
      </c>
      <c r="J30" s="5">
        <v>120268</v>
      </c>
      <c r="K30" s="5">
        <v>2189</v>
      </c>
      <c r="L30" s="5">
        <v>271</v>
      </c>
      <c r="M30" s="5">
        <v>164921</v>
      </c>
      <c r="N30" s="49"/>
    </row>
    <row r="31" spans="1:14" ht="12.75">
      <c r="A31" s="16" t="s">
        <v>3</v>
      </c>
      <c r="B31" s="5">
        <v>102517</v>
      </c>
      <c r="C31" s="5">
        <v>116563</v>
      </c>
      <c r="D31" s="5">
        <v>13382</v>
      </c>
      <c r="E31" s="5">
        <v>0</v>
      </c>
      <c r="F31" s="5">
        <v>232462</v>
      </c>
      <c r="G31" s="46"/>
      <c r="H31" s="16" t="s">
        <v>3</v>
      </c>
      <c r="I31" s="5">
        <v>8603</v>
      </c>
      <c r="J31" s="5">
        <v>25992</v>
      </c>
      <c r="K31" s="5">
        <v>596</v>
      </c>
      <c r="L31" s="5">
        <v>101</v>
      </c>
      <c r="M31" s="5">
        <v>35292</v>
      </c>
      <c r="N31" s="49"/>
    </row>
    <row r="32" spans="1:14" ht="12.75">
      <c r="A32" s="22" t="s">
        <v>216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46"/>
      <c r="H32" s="22" t="s">
        <v>216</v>
      </c>
      <c r="I32" s="5">
        <v>1</v>
      </c>
      <c r="J32" s="5">
        <v>4</v>
      </c>
      <c r="K32" s="5">
        <v>0</v>
      </c>
      <c r="L32" s="5">
        <v>0</v>
      </c>
      <c r="M32" s="5">
        <v>5</v>
      </c>
      <c r="N32" s="49"/>
    </row>
    <row r="33" spans="1:14" ht="12.75">
      <c r="A33" s="20" t="s">
        <v>46</v>
      </c>
      <c r="B33" s="36">
        <v>1757882</v>
      </c>
      <c r="C33" s="36">
        <v>2579021</v>
      </c>
      <c r="D33" s="36">
        <v>358777</v>
      </c>
      <c r="E33" s="36">
        <v>14</v>
      </c>
      <c r="F33" s="36">
        <v>4695694</v>
      </c>
      <c r="G33" s="46"/>
      <c r="H33" s="20" t="s">
        <v>46</v>
      </c>
      <c r="I33" s="36">
        <v>296105</v>
      </c>
      <c r="J33" s="36">
        <v>1025579</v>
      </c>
      <c r="K33" s="36">
        <v>14555</v>
      </c>
      <c r="L33" s="36">
        <v>2427</v>
      </c>
      <c r="M33" s="36">
        <v>1338666</v>
      </c>
      <c r="N33" s="49"/>
    </row>
    <row r="34" spans="1:14" ht="12.75">
      <c r="B34" s="46"/>
      <c r="C34" s="46"/>
      <c r="D34" s="46"/>
      <c r="E34" s="46"/>
      <c r="F34" s="46"/>
      <c r="G34" s="46"/>
      <c r="I34" s="46"/>
      <c r="J34" s="46"/>
      <c r="K34" s="46"/>
      <c r="L34" s="46"/>
      <c r="M34" s="46"/>
    </row>
    <row r="35" spans="1:14" ht="12.75">
      <c r="E35" s="3"/>
      <c r="F35" s="3"/>
      <c r="G35" s="46"/>
      <c r="I35" s="6"/>
      <c r="J35" s="6"/>
      <c r="K35" s="3"/>
      <c r="L35" s="6"/>
      <c r="M35" s="3"/>
    </row>
    <row r="36" spans="1:14" ht="12.75">
      <c r="A36" s="7" t="s">
        <v>204</v>
      </c>
      <c r="E36" s="3"/>
      <c r="F36" s="3"/>
      <c r="G36" s="46"/>
      <c r="H36" s="7" t="s">
        <v>205</v>
      </c>
      <c r="I36" s="6"/>
      <c r="J36" s="6"/>
      <c r="K36" s="3"/>
      <c r="L36" s="6"/>
      <c r="M36" s="3"/>
    </row>
    <row r="37" spans="1:14" ht="12.75">
      <c r="A37" s="7" t="s">
        <v>428</v>
      </c>
      <c r="E37" s="3"/>
      <c r="F37" s="3"/>
      <c r="G37" s="46"/>
      <c r="H37" s="7" t="s">
        <v>327</v>
      </c>
      <c r="I37" s="6"/>
      <c r="J37" s="6"/>
      <c r="K37" s="3"/>
      <c r="L37" s="6"/>
      <c r="M37" s="3"/>
    </row>
    <row r="38" spans="1:14" ht="25.5">
      <c r="A38" s="8" t="s">
        <v>144</v>
      </c>
      <c r="B38" s="26" t="s">
        <v>422</v>
      </c>
      <c r="C38" s="26" t="s">
        <v>423</v>
      </c>
      <c r="D38" s="26" t="s">
        <v>221</v>
      </c>
      <c r="E38" s="26" t="s">
        <v>217</v>
      </c>
      <c r="F38" s="26" t="s">
        <v>48</v>
      </c>
      <c r="G38" s="46"/>
      <c r="H38" s="8" t="s">
        <v>144</v>
      </c>
      <c r="I38" s="26" t="s">
        <v>422</v>
      </c>
      <c r="J38" s="26" t="s">
        <v>423</v>
      </c>
      <c r="K38" s="26" t="s">
        <v>221</v>
      </c>
      <c r="L38" s="26" t="s">
        <v>217</v>
      </c>
      <c r="M38" s="26" t="s">
        <v>48</v>
      </c>
    </row>
    <row r="39" spans="1:14" ht="12.75">
      <c r="A39" s="22" t="s">
        <v>9</v>
      </c>
      <c r="B39" s="38">
        <v>213285</v>
      </c>
      <c r="C39" s="38">
        <v>909846</v>
      </c>
      <c r="D39" s="38">
        <v>221313</v>
      </c>
      <c r="E39" s="5">
        <v>0</v>
      </c>
      <c r="F39" s="38">
        <v>1344444</v>
      </c>
      <c r="G39" s="46"/>
      <c r="H39" s="22" t="s">
        <v>9</v>
      </c>
      <c r="I39" s="4">
        <v>74473</v>
      </c>
      <c r="J39" s="4">
        <v>306596</v>
      </c>
      <c r="K39" s="4">
        <v>4205</v>
      </c>
      <c r="L39" s="5">
        <v>545</v>
      </c>
      <c r="M39" s="5">
        <v>385819</v>
      </c>
      <c r="N39" s="49"/>
    </row>
    <row r="40" spans="1:14" ht="12.75">
      <c r="A40" s="22" t="s">
        <v>10</v>
      </c>
      <c r="B40" s="39">
        <v>244499</v>
      </c>
      <c r="C40" s="39">
        <v>562638</v>
      </c>
      <c r="D40" s="39">
        <v>57906</v>
      </c>
      <c r="E40" s="39">
        <v>2</v>
      </c>
      <c r="F40" s="39">
        <v>865045</v>
      </c>
      <c r="G40" s="46"/>
      <c r="H40" s="22" t="s">
        <v>10</v>
      </c>
      <c r="I40" s="5">
        <v>36562</v>
      </c>
      <c r="J40" s="5">
        <v>145494</v>
      </c>
      <c r="K40" s="5">
        <v>1785</v>
      </c>
      <c r="L40" s="5">
        <v>288</v>
      </c>
      <c r="M40" s="5">
        <v>184129</v>
      </c>
      <c r="N40" s="49"/>
    </row>
    <row r="41" spans="1:14" ht="14.25">
      <c r="A41" s="22" t="s">
        <v>453</v>
      </c>
      <c r="B41" s="39">
        <v>515593</v>
      </c>
      <c r="C41" s="39">
        <v>160817</v>
      </c>
      <c r="D41" s="39">
        <v>2698</v>
      </c>
      <c r="E41" s="39">
        <v>1</v>
      </c>
      <c r="F41" s="39">
        <v>679109</v>
      </c>
      <c r="G41" s="49"/>
      <c r="H41" s="22" t="s">
        <v>453</v>
      </c>
      <c r="I41" s="5">
        <v>38506</v>
      </c>
      <c r="J41" s="5">
        <v>154870</v>
      </c>
      <c r="K41" s="5">
        <v>1594</v>
      </c>
      <c r="L41" s="5">
        <v>518</v>
      </c>
      <c r="M41" s="5">
        <v>195488</v>
      </c>
      <c r="N41" s="49"/>
    </row>
    <row r="42" spans="1:14" ht="12.75">
      <c r="A42" s="22" t="s">
        <v>11</v>
      </c>
      <c r="B42" s="39">
        <v>97008</v>
      </c>
      <c r="C42" s="39">
        <v>190591</v>
      </c>
      <c r="D42" s="39">
        <v>15465</v>
      </c>
      <c r="E42" s="39">
        <v>3</v>
      </c>
      <c r="F42" s="39">
        <v>303067</v>
      </c>
      <c r="G42" s="49"/>
      <c r="H42" s="22" t="s">
        <v>11</v>
      </c>
      <c r="I42" s="5">
        <v>26244</v>
      </c>
      <c r="J42" s="5">
        <v>65938</v>
      </c>
      <c r="K42" s="5">
        <v>444</v>
      </c>
      <c r="L42" s="5">
        <v>188</v>
      </c>
      <c r="M42" s="5">
        <v>92814</v>
      </c>
      <c r="N42" s="49"/>
    </row>
    <row r="43" spans="1:14" ht="12.75">
      <c r="A43" s="22" t="s">
        <v>12</v>
      </c>
      <c r="B43" s="39">
        <v>143808</v>
      </c>
      <c r="C43" s="39">
        <v>135230</v>
      </c>
      <c r="D43" s="39">
        <v>9958</v>
      </c>
      <c r="E43" s="5">
        <v>0</v>
      </c>
      <c r="F43" s="39">
        <v>288996</v>
      </c>
      <c r="G43" s="49"/>
      <c r="H43" s="22" t="s">
        <v>12</v>
      </c>
      <c r="I43" s="5">
        <v>15779</v>
      </c>
      <c r="J43" s="5">
        <v>68725</v>
      </c>
      <c r="K43" s="5">
        <v>1214</v>
      </c>
      <c r="L43" s="5">
        <v>175</v>
      </c>
      <c r="M43" s="5">
        <v>85893</v>
      </c>
      <c r="N43" s="49"/>
    </row>
    <row r="44" spans="1:14" ht="12.75">
      <c r="A44" s="22" t="s">
        <v>13</v>
      </c>
      <c r="B44" s="39">
        <v>49417</v>
      </c>
      <c r="C44" s="39">
        <v>105078</v>
      </c>
      <c r="D44" s="39">
        <v>8154</v>
      </c>
      <c r="E44" s="5">
        <v>0</v>
      </c>
      <c r="F44" s="39">
        <v>162649</v>
      </c>
      <c r="G44" s="49"/>
      <c r="H44" s="22" t="s">
        <v>13</v>
      </c>
      <c r="I44" s="5">
        <v>19432</v>
      </c>
      <c r="J44" s="5">
        <v>37428</v>
      </c>
      <c r="K44" s="5">
        <v>181</v>
      </c>
      <c r="L44" s="5">
        <v>129</v>
      </c>
      <c r="M44" s="5">
        <v>57170</v>
      </c>
      <c r="N44" s="49"/>
    </row>
    <row r="45" spans="1:14" ht="12.75">
      <c r="A45" s="22" t="s">
        <v>159</v>
      </c>
      <c r="B45" s="39">
        <v>64766</v>
      </c>
      <c r="C45" s="39">
        <v>81641</v>
      </c>
      <c r="D45" s="39">
        <v>5817</v>
      </c>
      <c r="E45" s="5">
        <v>0</v>
      </c>
      <c r="F45" s="39">
        <v>152224</v>
      </c>
      <c r="G45" s="49"/>
      <c r="H45" s="22" t="s">
        <v>159</v>
      </c>
      <c r="I45" s="5">
        <v>19467</v>
      </c>
      <c r="J45" s="5">
        <v>42571</v>
      </c>
      <c r="K45" s="5">
        <v>439</v>
      </c>
      <c r="L45" s="5">
        <v>146</v>
      </c>
      <c r="M45" s="5">
        <v>62623</v>
      </c>
      <c r="N45" s="49"/>
    </row>
    <row r="46" spans="1:14" ht="12.75">
      <c r="A46" s="22" t="s">
        <v>349</v>
      </c>
      <c r="B46" s="39">
        <v>95245</v>
      </c>
      <c r="C46" s="39">
        <v>71</v>
      </c>
      <c r="D46" s="5">
        <v>0</v>
      </c>
      <c r="E46" s="39">
        <v>7</v>
      </c>
      <c r="F46" s="39">
        <v>95323</v>
      </c>
      <c r="G46" s="49"/>
      <c r="H46" s="22" t="s">
        <v>349</v>
      </c>
      <c r="I46" s="5">
        <v>7876</v>
      </c>
      <c r="J46" s="5">
        <v>28610</v>
      </c>
      <c r="K46" s="5">
        <v>1592</v>
      </c>
      <c r="L46" s="5">
        <v>106</v>
      </c>
      <c r="M46" s="5">
        <v>38184</v>
      </c>
      <c r="N46" s="49"/>
    </row>
    <row r="47" spans="1:14" ht="12.75">
      <c r="A47" s="22" t="s">
        <v>197</v>
      </c>
      <c r="B47" s="39">
        <v>61377</v>
      </c>
      <c r="C47" s="39">
        <v>44196</v>
      </c>
      <c r="D47" s="39">
        <v>4382</v>
      </c>
      <c r="E47" s="5">
        <v>0</v>
      </c>
      <c r="F47" s="39">
        <v>109955</v>
      </c>
      <c r="G47" s="49"/>
      <c r="H47" s="22" t="s">
        <v>197</v>
      </c>
      <c r="I47" s="5">
        <v>4507</v>
      </c>
      <c r="J47" s="5">
        <v>18554</v>
      </c>
      <c r="K47" s="5">
        <v>284</v>
      </c>
      <c r="L47" s="5">
        <v>31</v>
      </c>
      <c r="M47" s="5">
        <v>23376</v>
      </c>
      <c r="N47" s="49"/>
    </row>
    <row r="48" spans="1:14" ht="12.75">
      <c r="A48" s="22" t="s">
        <v>162</v>
      </c>
      <c r="B48" s="39">
        <v>66057</v>
      </c>
      <c r="C48" s="39">
        <v>26481</v>
      </c>
      <c r="D48" s="39">
        <v>1333</v>
      </c>
      <c r="E48" s="5">
        <v>0</v>
      </c>
      <c r="F48" s="39">
        <v>93871</v>
      </c>
      <c r="G48" s="49"/>
      <c r="H48" s="22" t="s">
        <v>162</v>
      </c>
      <c r="I48" s="5">
        <v>7547</v>
      </c>
      <c r="J48" s="5">
        <v>27948</v>
      </c>
      <c r="K48" s="5">
        <v>715</v>
      </c>
      <c r="L48" s="5">
        <v>43</v>
      </c>
      <c r="M48" s="5">
        <v>36253</v>
      </c>
      <c r="N48" s="49"/>
    </row>
    <row r="49" spans="1:14" ht="12.75">
      <c r="A49" s="22" t="s">
        <v>161</v>
      </c>
      <c r="B49" s="39">
        <v>37758</v>
      </c>
      <c r="C49" s="39">
        <v>54310</v>
      </c>
      <c r="D49" s="39">
        <v>3633</v>
      </c>
      <c r="E49" s="39">
        <v>1</v>
      </c>
      <c r="F49" s="39">
        <v>95702</v>
      </c>
      <c r="G49" s="49"/>
      <c r="H49" s="22" t="s">
        <v>161</v>
      </c>
      <c r="I49" s="5">
        <v>9251</v>
      </c>
      <c r="J49" s="5">
        <v>21069</v>
      </c>
      <c r="K49" s="5">
        <v>302</v>
      </c>
      <c r="L49" s="5">
        <v>56</v>
      </c>
      <c r="M49" s="5">
        <v>30678</v>
      </c>
      <c r="N49" s="49"/>
    </row>
    <row r="50" spans="1:14" ht="12.75">
      <c r="A50" s="22" t="s">
        <v>160</v>
      </c>
      <c r="B50" s="39">
        <v>20431</v>
      </c>
      <c r="C50" s="39">
        <v>63359</v>
      </c>
      <c r="D50" s="39">
        <v>6861</v>
      </c>
      <c r="E50" s="5">
        <v>0</v>
      </c>
      <c r="F50" s="39">
        <v>90651</v>
      </c>
      <c r="G50" s="49"/>
      <c r="H50" s="22" t="s">
        <v>160</v>
      </c>
      <c r="I50" s="5">
        <v>5784</v>
      </c>
      <c r="J50" s="5">
        <v>20123</v>
      </c>
      <c r="K50" s="5">
        <v>671</v>
      </c>
      <c r="L50" s="5">
        <v>24</v>
      </c>
      <c r="M50" s="5">
        <v>26602</v>
      </c>
      <c r="N50" s="49"/>
    </row>
    <row r="51" spans="1:14" ht="12.75">
      <c r="A51" s="22" t="s">
        <v>31</v>
      </c>
      <c r="B51" s="39">
        <v>148616</v>
      </c>
      <c r="C51" s="39">
        <v>244682</v>
      </c>
      <c r="D51" s="39">
        <v>21257</v>
      </c>
      <c r="E51" s="5">
        <v>0</v>
      </c>
      <c r="F51" s="39">
        <v>414555</v>
      </c>
      <c r="G51" s="49"/>
      <c r="H51" s="22" t="s">
        <v>31</v>
      </c>
      <c r="I51" s="5">
        <v>30584</v>
      </c>
      <c r="J51" s="5">
        <v>87574</v>
      </c>
      <c r="K51" s="5">
        <v>1129</v>
      </c>
      <c r="L51" s="5">
        <v>178</v>
      </c>
      <c r="M51" s="5">
        <v>119465</v>
      </c>
      <c r="N51" s="49"/>
    </row>
    <row r="52" spans="1:14" ht="12.75">
      <c r="A52" s="22" t="s">
        <v>216</v>
      </c>
      <c r="B52" s="39">
        <v>22</v>
      </c>
      <c r="C52" s="39">
        <v>81</v>
      </c>
      <c r="D52" s="5">
        <v>0</v>
      </c>
      <c r="E52" s="5">
        <v>0</v>
      </c>
      <c r="F52" s="39">
        <v>103</v>
      </c>
      <c r="G52" s="49"/>
      <c r="H52" s="22" t="s">
        <v>216</v>
      </c>
      <c r="I52" s="5">
        <v>93</v>
      </c>
      <c r="J52" s="5">
        <v>79</v>
      </c>
      <c r="K52" s="5">
        <v>0</v>
      </c>
      <c r="L52" s="5">
        <v>0</v>
      </c>
      <c r="M52" s="5">
        <v>172</v>
      </c>
      <c r="N52" s="49"/>
    </row>
    <row r="53" spans="1:14" ht="12.75">
      <c r="A53" s="20" t="s">
        <v>46</v>
      </c>
      <c r="B53" s="36">
        <v>1757882</v>
      </c>
      <c r="C53" s="36">
        <v>2579021</v>
      </c>
      <c r="D53" s="36">
        <v>358777</v>
      </c>
      <c r="E53" s="36">
        <v>14</v>
      </c>
      <c r="F53" s="36">
        <v>4695694</v>
      </c>
      <c r="G53" s="49"/>
      <c r="H53" s="20" t="s">
        <v>46</v>
      </c>
      <c r="I53" s="36">
        <v>296105</v>
      </c>
      <c r="J53" s="36">
        <v>1025579</v>
      </c>
      <c r="K53" s="36">
        <v>14555</v>
      </c>
      <c r="L53" s="36">
        <v>2427</v>
      </c>
      <c r="M53" s="36">
        <v>1338666</v>
      </c>
    </row>
    <row r="54" spans="1:14" ht="27.95" customHeight="1">
      <c r="A54" s="131" t="s">
        <v>402</v>
      </c>
      <c r="B54" s="131"/>
      <c r="C54" s="131"/>
      <c r="D54" s="131"/>
      <c r="E54" s="131"/>
      <c r="F54" s="131"/>
      <c r="G54" s="48"/>
      <c r="H54" s="131" t="s">
        <v>402</v>
      </c>
      <c r="I54" s="131"/>
      <c r="J54" s="131"/>
      <c r="K54" s="131"/>
      <c r="L54" s="131"/>
      <c r="M54" s="131"/>
    </row>
    <row r="55" spans="1:14" ht="12.75">
      <c r="E55" s="3"/>
      <c r="F55" s="3"/>
      <c r="G55" s="48"/>
      <c r="I55" s="6"/>
      <c r="J55" s="6"/>
      <c r="K55" s="3"/>
      <c r="L55" s="6"/>
      <c r="M55" s="3"/>
    </row>
    <row r="56" spans="1:14" ht="12.75">
      <c r="A56" s="7" t="s">
        <v>206</v>
      </c>
      <c r="E56" s="3"/>
      <c r="F56" s="3"/>
      <c r="G56" s="48"/>
      <c r="I56" s="6"/>
      <c r="J56" s="6"/>
      <c r="K56" s="3"/>
      <c r="L56" s="6"/>
    </row>
    <row r="57" spans="1:14" ht="12.75">
      <c r="A57" s="7" t="s">
        <v>328</v>
      </c>
      <c r="E57" s="3"/>
      <c r="F57" s="3"/>
      <c r="G57" s="48"/>
      <c r="H57" s="7"/>
      <c r="I57" s="6"/>
      <c r="J57" s="6"/>
      <c r="K57" s="3"/>
      <c r="L57" s="6"/>
    </row>
    <row r="58" spans="1:14" ht="12.75">
      <c r="A58" s="8" t="s">
        <v>169</v>
      </c>
      <c r="B58" s="8" t="s">
        <v>0</v>
      </c>
      <c r="C58" s="8" t="s">
        <v>1</v>
      </c>
      <c r="D58" s="8" t="s">
        <v>45</v>
      </c>
      <c r="G58" s="48"/>
      <c r="H58" s="25"/>
      <c r="I58" s="25"/>
      <c r="J58" s="25"/>
      <c r="K58" s="3"/>
      <c r="L58" s="25"/>
      <c r="M58" s="25"/>
    </row>
    <row r="59" spans="1:14" ht="12.75">
      <c r="A59" s="16" t="s">
        <v>30</v>
      </c>
      <c r="B59" s="4">
        <v>29278232</v>
      </c>
      <c r="C59" s="4">
        <v>3608754</v>
      </c>
      <c r="D59" s="5">
        <v>32886986</v>
      </c>
      <c r="G59" s="48"/>
      <c r="H59" s="24"/>
      <c r="I59" s="12"/>
      <c r="J59" s="12"/>
      <c r="K59" s="3"/>
      <c r="L59" s="12"/>
      <c r="M59" s="12"/>
    </row>
    <row r="60" spans="1:14" ht="12.75">
      <c r="A60" s="16" t="s">
        <v>29</v>
      </c>
      <c r="B60" s="5">
        <v>38233485</v>
      </c>
      <c r="C60" s="5">
        <v>15646903</v>
      </c>
      <c r="D60" s="5">
        <v>53880388</v>
      </c>
      <c r="G60" s="48"/>
      <c r="H60" s="24"/>
      <c r="I60" s="12"/>
      <c r="J60" s="12"/>
      <c r="K60" s="3"/>
      <c r="L60" s="12"/>
      <c r="M60" s="12"/>
    </row>
    <row r="61" spans="1:14" ht="12.75">
      <c r="A61" s="16" t="s">
        <v>4</v>
      </c>
      <c r="B61" s="5">
        <v>6225676</v>
      </c>
      <c r="C61" s="5">
        <v>300489</v>
      </c>
      <c r="D61" s="5">
        <v>6526165</v>
      </c>
      <c r="G61" s="48"/>
      <c r="H61" s="24"/>
      <c r="I61" s="12"/>
      <c r="J61" s="12"/>
      <c r="K61" s="3"/>
      <c r="L61" s="12"/>
      <c r="M61" s="12"/>
    </row>
    <row r="62" spans="1:14" ht="12.75">
      <c r="A62" s="16" t="s">
        <v>216</v>
      </c>
      <c r="B62" s="5">
        <v>261</v>
      </c>
      <c r="C62" s="5">
        <v>31422</v>
      </c>
      <c r="D62" s="5">
        <v>31683</v>
      </c>
      <c r="G62" s="48"/>
      <c r="H62" s="24"/>
      <c r="I62" s="12"/>
      <c r="J62" s="12"/>
      <c r="K62" s="3"/>
      <c r="L62" s="12"/>
      <c r="M62" s="12"/>
    </row>
    <row r="63" spans="1:14" ht="12.75">
      <c r="A63" s="20" t="s">
        <v>46</v>
      </c>
      <c r="B63" s="36">
        <v>73737654</v>
      </c>
      <c r="C63" s="36">
        <v>19587568</v>
      </c>
      <c r="D63" s="36">
        <v>93325222</v>
      </c>
      <c r="G63" s="48"/>
      <c r="H63" s="27"/>
      <c r="I63" s="12"/>
      <c r="J63" s="12"/>
      <c r="K63" s="3"/>
      <c r="L63" s="12"/>
      <c r="M63" s="12"/>
    </row>
    <row r="64" spans="1:14" ht="12.75">
      <c r="B64" s="46"/>
      <c r="C64" s="46"/>
      <c r="D64" s="46"/>
      <c r="G64" s="48"/>
      <c r="I64" s="6"/>
      <c r="J64" s="6"/>
      <c r="K64" s="3"/>
      <c r="L64" s="6"/>
    </row>
    <row r="65" spans="1:14" ht="12.75">
      <c r="E65" s="3"/>
      <c r="F65" s="3"/>
      <c r="G65" s="48"/>
      <c r="I65" s="6"/>
      <c r="J65" s="6"/>
      <c r="K65" s="3"/>
      <c r="L65" s="6"/>
      <c r="M65" s="3"/>
    </row>
    <row r="66" spans="1:14" ht="12.75">
      <c r="A66" s="7" t="s">
        <v>207</v>
      </c>
      <c r="E66" s="3"/>
      <c r="F66" s="3"/>
      <c r="G66" s="48"/>
      <c r="H66" s="7" t="s">
        <v>208</v>
      </c>
      <c r="I66" s="6"/>
      <c r="J66" s="6"/>
      <c r="K66" s="3"/>
      <c r="L66" s="6"/>
      <c r="M66" s="3"/>
    </row>
    <row r="67" spans="1:14" ht="12.75">
      <c r="A67" s="7" t="s">
        <v>429</v>
      </c>
      <c r="E67" s="3"/>
      <c r="F67" s="3"/>
      <c r="G67" s="48"/>
      <c r="H67" s="7" t="s">
        <v>329</v>
      </c>
      <c r="I67" s="6"/>
      <c r="J67" s="6"/>
      <c r="K67" s="3"/>
      <c r="L67" s="6"/>
      <c r="M67" s="3"/>
    </row>
    <row r="68" spans="1:14" ht="25.5">
      <c r="A68" s="26" t="s">
        <v>50</v>
      </c>
      <c r="B68" s="26" t="s">
        <v>422</v>
      </c>
      <c r="C68" s="26" t="s">
        <v>423</v>
      </c>
      <c r="D68" s="26" t="s">
        <v>221</v>
      </c>
      <c r="E68" s="26" t="s">
        <v>240</v>
      </c>
      <c r="F68" s="26" t="s">
        <v>48</v>
      </c>
      <c r="G68" s="48"/>
      <c r="H68" s="26" t="s">
        <v>50</v>
      </c>
      <c r="I68" s="26" t="s">
        <v>422</v>
      </c>
      <c r="J68" s="26" t="s">
        <v>423</v>
      </c>
      <c r="K68" s="26" t="s">
        <v>221</v>
      </c>
      <c r="L68" s="26" t="s">
        <v>217</v>
      </c>
      <c r="M68" s="26" t="s">
        <v>48</v>
      </c>
    </row>
    <row r="69" spans="1:14" ht="12.75">
      <c r="A69" s="13" t="s">
        <v>5</v>
      </c>
      <c r="B69" s="4">
        <v>13516141</v>
      </c>
      <c r="C69" s="4">
        <v>15196592</v>
      </c>
      <c r="D69" s="4">
        <v>2208433</v>
      </c>
      <c r="E69" s="5">
        <v>51</v>
      </c>
      <c r="F69" s="5">
        <v>30921217</v>
      </c>
      <c r="G69" s="49"/>
      <c r="H69" s="13" t="s">
        <v>5</v>
      </c>
      <c r="I69" s="4">
        <v>1108754</v>
      </c>
      <c r="J69" s="4">
        <v>8621494</v>
      </c>
      <c r="K69" s="4">
        <v>122667</v>
      </c>
      <c r="L69" s="4">
        <v>19062</v>
      </c>
      <c r="M69" s="14">
        <v>9871977</v>
      </c>
      <c r="N69" s="49"/>
    </row>
    <row r="70" spans="1:14" ht="12.75">
      <c r="A70" s="16" t="s">
        <v>6</v>
      </c>
      <c r="B70" s="5">
        <v>15762091</v>
      </c>
      <c r="C70" s="5">
        <v>23036893</v>
      </c>
      <c r="D70" s="5">
        <v>4017243</v>
      </c>
      <c r="E70" s="5">
        <v>210</v>
      </c>
      <c r="F70" s="5">
        <v>42816437</v>
      </c>
      <c r="G70" s="49"/>
      <c r="H70" s="16" t="s">
        <v>6</v>
      </c>
      <c r="I70" s="5">
        <v>2499933</v>
      </c>
      <c r="J70" s="5">
        <v>7025058</v>
      </c>
      <c r="K70" s="5">
        <v>177822</v>
      </c>
      <c r="L70" s="5">
        <v>12360</v>
      </c>
      <c r="M70" s="10">
        <v>9715173</v>
      </c>
      <c r="N70" s="49"/>
    </row>
    <row r="71" spans="1:14" ht="12.75">
      <c r="A71" s="22" t="s">
        <v>216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49"/>
      <c r="H71" s="22" t="s">
        <v>216</v>
      </c>
      <c r="I71" s="5">
        <v>67</v>
      </c>
      <c r="J71" s="5">
        <v>351</v>
      </c>
      <c r="K71" s="5">
        <v>0</v>
      </c>
      <c r="L71" s="5">
        <v>0</v>
      </c>
      <c r="M71" s="10">
        <v>418</v>
      </c>
      <c r="N71" s="49"/>
    </row>
    <row r="72" spans="1:14" ht="12.75">
      <c r="A72" s="20" t="s">
        <v>46</v>
      </c>
      <c r="B72" s="36">
        <v>29278232</v>
      </c>
      <c r="C72" s="36">
        <v>38233485</v>
      </c>
      <c r="D72" s="36">
        <v>6225676</v>
      </c>
      <c r="E72" s="36">
        <v>261</v>
      </c>
      <c r="F72" s="36">
        <v>73737654</v>
      </c>
      <c r="G72" s="49"/>
      <c r="H72" s="20" t="s">
        <v>46</v>
      </c>
      <c r="I72" s="36">
        <v>3608754</v>
      </c>
      <c r="J72" s="36">
        <v>15646903</v>
      </c>
      <c r="K72" s="36">
        <v>300489</v>
      </c>
      <c r="L72" s="36">
        <v>31422</v>
      </c>
      <c r="M72" s="36">
        <v>19587568</v>
      </c>
      <c r="N72" s="49"/>
    </row>
    <row r="73" spans="1:14" ht="12.75">
      <c r="B73" s="46"/>
      <c r="C73" s="46"/>
      <c r="D73" s="46"/>
      <c r="E73" s="46"/>
      <c r="F73" s="46"/>
      <c r="G73" s="48"/>
      <c r="I73" s="52"/>
      <c r="J73" s="52"/>
      <c r="K73" s="52"/>
      <c r="L73" s="52"/>
      <c r="M73" s="49"/>
    </row>
    <row r="74" spans="1:14" ht="12.75">
      <c r="D74" s="3"/>
      <c r="F74" s="3"/>
      <c r="G74" s="48"/>
      <c r="I74" s="6"/>
      <c r="J74" s="6"/>
      <c r="K74" s="3"/>
      <c r="L74" s="6"/>
      <c r="M74" s="3"/>
    </row>
    <row r="75" spans="1:14" ht="12.75">
      <c r="A75" s="7" t="s">
        <v>209</v>
      </c>
      <c r="D75" s="3"/>
      <c r="F75" s="3"/>
      <c r="G75" s="48"/>
      <c r="H75" s="7" t="s">
        <v>210</v>
      </c>
      <c r="I75" s="6"/>
      <c r="J75" s="6"/>
      <c r="K75" s="3"/>
      <c r="L75" s="6"/>
      <c r="M75" s="3"/>
    </row>
    <row r="76" spans="1:14" ht="12.75">
      <c r="A76" s="7" t="s">
        <v>430</v>
      </c>
      <c r="D76" s="3"/>
      <c r="F76" s="3"/>
      <c r="G76" s="48"/>
      <c r="H76" s="7" t="s">
        <v>330</v>
      </c>
      <c r="I76" s="6"/>
      <c r="J76" s="6"/>
      <c r="K76" s="3"/>
      <c r="L76" s="6"/>
      <c r="M76" s="3"/>
    </row>
    <row r="77" spans="1:14" ht="25.5">
      <c r="A77" s="15" t="s">
        <v>51</v>
      </c>
      <c r="B77" s="26" t="s">
        <v>422</v>
      </c>
      <c r="C77" s="26" t="s">
        <v>423</v>
      </c>
      <c r="D77" s="26" t="s">
        <v>221</v>
      </c>
      <c r="E77" s="26" t="s">
        <v>240</v>
      </c>
      <c r="F77" s="26" t="s">
        <v>48</v>
      </c>
      <c r="G77" s="48"/>
      <c r="H77" s="15" t="s">
        <v>51</v>
      </c>
      <c r="I77" s="26" t="s">
        <v>422</v>
      </c>
      <c r="J77" s="26" t="s">
        <v>423</v>
      </c>
      <c r="K77" s="26" t="s">
        <v>221</v>
      </c>
      <c r="L77" s="26" t="s">
        <v>217</v>
      </c>
      <c r="M77" s="26" t="s">
        <v>48</v>
      </c>
    </row>
    <row r="78" spans="1:14" ht="12.75">
      <c r="A78" s="13" t="s">
        <v>40</v>
      </c>
      <c r="B78" s="4">
        <v>126612</v>
      </c>
      <c r="C78" s="4">
        <v>124745</v>
      </c>
      <c r="D78" s="4">
        <v>16105</v>
      </c>
      <c r="E78" s="4">
        <v>7</v>
      </c>
      <c r="F78" s="4">
        <v>267469</v>
      </c>
      <c r="G78" s="49"/>
      <c r="H78" s="13" t="s">
        <v>40</v>
      </c>
      <c r="I78" s="4">
        <v>81</v>
      </c>
      <c r="J78" s="4">
        <v>9010</v>
      </c>
      <c r="K78" s="4">
        <v>4</v>
      </c>
      <c r="L78" s="4">
        <v>46</v>
      </c>
      <c r="M78" s="4">
        <v>9141</v>
      </c>
      <c r="N78" s="49"/>
    </row>
    <row r="79" spans="1:14" ht="12.75">
      <c r="A79" s="16" t="s">
        <v>2</v>
      </c>
      <c r="B79" s="5">
        <v>1587670</v>
      </c>
      <c r="C79" s="5">
        <v>2201508</v>
      </c>
      <c r="D79" s="5">
        <v>366103</v>
      </c>
      <c r="E79" s="5">
        <v>30</v>
      </c>
      <c r="F79" s="5">
        <v>4155311</v>
      </c>
      <c r="G79" s="49"/>
      <c r="H79" s="16" t="s">
        <v>2</v>
      </c>
      <c r="I79" s="5">
        <v>12299</v>
      </c>
      <c r="J79" s="5">
        <v>389357</v>
      </c>
      <c r="K79" s="5">
        <v>1235</v>
      </c>
      <c r="L79" s="5">
        <v>939</v>
      </c>
      <c r="M79" s="5">
        <v>403830</v>
      </c>
      <c r="N79" s="49"/>
    </row>
    <row r="80" spans="1:14" ht="12.75">
      <c r="A80" s="16" t="s">
        <v>41</v>
      </c>
      <c r="B80" s="5">
        <v>6892715</v>
      </c>
      <c r="C80" s="5">
        <v>10696468</v>
      </c>
      <c r="D80" s="5">
        <v>2039557</v>
      </c>
      <c r="E80" s="5">
        <v>134</v>
      </c>
      <c r="F80" s="5">
        <v>19628874</v>
      </c>
      <c r="G80" s="49"/>
      <c r="H80" s="16" t="s">
        <v>41</v>
      </c>
      <c r="I80" s="5">
        <v>986575</v>
      </c>
      <c r="J80" s="5">
        <v>4789059</v>
      </c>
      <c r="K80" s="5">
        <v>76675</v>
      </c>
      <c r="L80" s="5">
        <v>8781</v>
      </c>
      <c r="M80" s="5">
        <v>5861090</v>
      </c>
      <c r="N80" s="49"/>
    </row>
    <row r="81" spans="1:14" ht="12.75">
      <c r="A81" s="16" t="s">
        <v>42</v>
      </c>
      <c r="B81" s="5">
        <v>5842712</v>
      </c>
      <c r="C81" s="5">
        <v>8867734</v>
      </c>
      <c r="D81" s="5">
        <v>1628999</v>
      </c>
      <c r="E81" s="5">
        <v>60</v>
      </c>
      <c r="F81" s="5">
        <v>16339505</v>
      </c>
      <c r="G81" s="49"/>
      <c r="H81" s="16" t="s">
        <v>42</v>
      </c>
      <c r="I81" s="5">
        <v>1177338</v>
      </c>
      <c r="J81" s="5">
        <v>4651830</v>
      </c>
      <c r="K81" s="5">
        <v>102252</v>
      </c>
      <c r="L81" s="5">
        <v>8664</v>
      </c>
      <c r="M81" s="5">
        <v>5940084</v>
      </c>
      <c r="N81" s="49"/>
    </row>
    <row r="82" spans="1:14" ht="12.75">
      <c r="A82" s="16" t="s">
        <v>43</v>
      </c>
      <c r="B82" s="5">
        <v>6064868</v>
      </c>
      <c r="C82" s="5">
        <v>7615463</v>
      </c>
      <c r="D82" s="5">
        <v>1091282</v>
      </c>
      <c r="E82" s="5">
        <v>30</v>
      </c>
      <c r="F82" s="5">
        <v>14771643</v>
      </c>
      <c r="G82" s="49"/>
      <c r="H82" s="16" t="s">
        <v>43</v>
      </c>
      <c r="I82" s="5">
        <v>631349</v>
      </c>
      <c r="J82" s="5">
        <v>3075144</v>
      </c>
      <c r="K82" s="5">
        <v>55547</v>
      </c>
      <c r="L82" s="5">
        <v>6035</v>
      </c>
      <c r="M82" s="5">
        <v>3768075</v>
      </c>
      <c r="N82" s="49"/>
    </row>
    <row r="83" spans="1:14" ht="12.75">
      <c r="A83" s="16" t="s">
        <v>44</v>
      </c>
      <c r="B83" s="5">
        <v>6228115</v>
      </c>
      <c r="C83" s="5">
        <v>6467509</v>
      </c>
      <c r="D83" s="5">
        <v>828695</v>
      </c>
      <c r="E83" s="5">
        <v>0</v>
      </c>
      <c r="F83" s="5">
        <v>13524319</v>
      </c>
      <c r="G83" s="49"/>
      <c r="H83" s="16" t="s">
        <v>44</v>
      </c>
      <c r="I83" s="5">
        <v>643288</v>
      </c>
      <c r="J83" s="5">
        <v>2177316</v>
      </c>
      <c r="K83" s="5">
        <v>50399</v>
      </c>
      <c r="L83" s="5">
        <v>5092</v>
      </c>
      <c r="M83" s="5">
        <v>2876095</v>
      </c>
      <c r="N83" s="49"/>
    </row>
    <row r="84" spans="1:14" ht="12.75">
      <c r="A84" s="16" t="s">
        <v>3</v>
      </c>
      <c r="B84" s="5">
        <v>2535540</v>
      </c>
      <c r="C84" s="5">
        <v>2260058</v>
      </c>
      <c r="D84" s="5">
        <v>254935</v>
      </c>
      <c r="E84" s="5">
        <v>0</v>
      </c>
      <c r="F84" s="5">
        <v>5050533</v>
      </c>
      <c r="G84" s="49"/>
      <c r="H84" s="16" t="s">
        <v>3</v>
      </c>
      <c r="I84" s="5">
        <v>157823</v>
      </c>
      <c r="J84" s="5">
        <v>555127</v>
      </c>
      <c r="K84" s="5">
        <v>14377</v>
      </c>
      <c r="L84" s="5">
        <v>1865</v>
      </c>
      <c r="M84" s="5">
        <v>729192</v>
      </c>
      <c r="N84" s="49"/>
    </row>
    <row r="85" spans="1:14" ht="12.75">
      <c r="A85" s="22" t="s">
        <v>216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49"/>
      <c r="H85" s="22" t="s">
        <v>216</v>
      </c>
      <c r="I85" s="5">
        <v>1</v>
      </c>
      <c r="J85" s="5">
        <v>60</v>
      </c>
      <c r="K85" s="5">
        <v>0</v>
      </c>
      <c r="L85" s="5">
        <v>0</v>
      </c>
      <c r="M85" s="5">
        <v>61</v>
      </c>
      <c r="N85" s="49"/>
    </row>
    <row r="86" spans="1:14" ht="12.75">
      <c r="A86" s="20" t="s">
        <v>46</v>
      </c>
      <c r="B86" s="36">
        <v>29278232</v>
      </c>
      <c r="C86" s="36">
        <v>38233485</v>
      </c>
      <c r="D86" s="36">
        <v>6225676</v>
      </c>
      <c r="E86" s="36">
        <v>261</v>
      </c>
      <c r="F86" s="36">
        <v>73737654</v>
      </c>
      <c r="G86" s="49"/>
      <c r="H86" s="20" t="s">
        <v>46</v>
      </c>
      <c r="I86" s="36">
        <v>3608754</v>
      </c>
      <c r="J86" s="36">
        <v>15646903</v>
      </c>
      <c r="K86" s="36">
        <v>300489</v>
      </c>
      <c r="L86" s="36">
        <v>31422</v>
      </c>
      <c r="M86" s="36">
        <v>19587568</v>
      </c>
      <c r="N86" s="49"/>
    </row>
    <row r="87" spans="1:14" ht="12.75">
      <c r="B87" s="46"/>
      <c r="C87" s="46"/>
      <c r="D87" s="46"/>
      <c r="E87" s="46"/>
      <c r="F87" s="46"/>
      <c r="G87" s="48"/>
      <c r="I87" s="46"/>
      <c r="J87" s="46"/>
      <c r="K87" s="46"/>
      <c r="L87" s="46"/>
      <c r="M87" s="46"/>
    </row>
    <row r="88" spans="1:14" ht="12.75">
      <c r="D88" s="3"/>
      <c r="F88" s="3"/>
      <c r="G88" s="48"/>
      <c r="I88" s="6"/>
      <c r="J88" s="6"/>
      <c r="K88" s="3"/>
      <c r="L88" s="6"/>
      <c r="M88" s="3"/>
    </row>
    <row r="89" spans="1:14" ht="12.75">
      <c r="A89" s="7" t="s">
        <v>211</v>
      </c>
      <c r="D89" s="3"/>
      <c r="F89" s="3"/>
      <c r="G89" s="48"/>
      <c r="H89" s="7" t="s">
        <v>212</v>
      </c>
      <c r="I89" s="6"/>
      <c r="J89" s="6"/>
      <c r="K89" s="3"/>
      <c r="L89" s="6"/>
      <c r="M89" s="3"/>
    </row>
    <row r="90" spans="1:14" ht="12.75">
      <c r="A90" s="7" t="s">
        <v>431</v>
      </c>
      <c r="D90" s="3"/>
      <c r="F90" s="3"/>
      <c r="G90" s="48"/>
      <c r="H90" s="7" t="s">
        <v>331</v>
      </c>
      <c r="I90" s="6"/>
      <c r="J90" s="6"/>
      <c r="K90" s="3"/>
      <c r="L90" s="6"/>
      <c r="M90" s="3"/>
    </row>
    <row r="91" spans="1:14" ht="25.5">
      <c r="A91" s="8" t="s">
        <v>144</v>
      </c>
      <c r="B91" s="26" t="s">
        <v>422</v>
      </c>
      <c r="C91" s="26" t="s">
        <v>423</v>
      </c>
      <c r="D91" s="26" t="s">
        <v>221</v>
      </c>
      <c r="E91" s="26" t="s">
        <v>240</v>
      </c>
      <c r="F91" s="26" t="s">
        <v>48</v>
      </c>
      <c r="G91" s="48"/>
      <c r="H91" s="8" t="s">
        <v>144</v>
      </c>
      <c r="I91" s="26" t="s">
        <v>422</v>
      </c>
      <c r="J91" s="26" t="s">
        <v>423</v>
      </c>
      <c r="K91" s="26" t="s">
        <v>221</v>
      </c>
      <c r="L91" s="26" t="s">
        <v>217</v>
      </c>
      <c r="M91" s="26" t="s">
        <v>48</v>
      </c>
    </row>
    <row r="92" spans="1:14" ht="12.75">
      <c r="A92" s="22" t="s">
        <v>9</v>
      </c>
      <c r="B92" s="4">
        <v>4370001</v>
      </c>
      <c r="C92" s="4">
        <v>17576521</v>
      </c>
      <c r="D92" s="4">
        <v>4548942</v>
      </c>
      <c r="E92" s="5">
        <v>0</v>
      </c>
      <c r="F92" s="4">
        <v>26495464</v>
      </c>
      <c r="G92" s="49"/>
      <c r="H92" s="22" t="s">
        <v>9</v>
      </c>
      <c r="I92" s="4">
        <v>1338539</v>
      </c>
      <c r="J92" s="4">
        <v>5870502</v>
      </c>
      <c r="K92" s="4">
        <v>87003</v>
      </c>
      <c r="L92" s="4">
        <v>10082</v>
      </c>
      <c r="M92" s="4">
        <v>7306126</v>
      </c>
      <c r="N92" s="49"/>
    </row>
    <row r="93" spans="1:14" ht="12.75">
      <c r="A93" s="22" t="s">
        <v>10</v>
      </c>
      <c r="B93" s="5">
        <v>4939813</v>
      </c>
      <c r="C93" s="5">
        <v>8117025</v>
      </c>
      <c r="D93" s="5">
        <v>757027</v>
      </c>
      <c r="E93" s="5">
        <v>30</v>
      </c>
      <c r="F93" s="5">
        <v>13813895</v>
      </c>
      <c r="G93" s="49"/>
      <c r="H93" s="22" t="s">
        <v>10</v>
      </c>
      <c r="I93" s="5">
        <v>435264</v>
      </c>
      <c r="J93" s="5">
        <v>2294554</v>
      </c>
      <c r="K93" s="5">
        <v>38103</v>
      </c>
      <c r="L93" s="5">
        <v>4311</v>
      </c>
      <c r="M93" s="5">
        <v>2772232</v>
      </c>
      <c r="N93" s="49"/>
    </row>
    <row r="94" spans="1:14" ht="15" customHeight="1">
      <c r="A94" s="22" t="s">
        <v>453</v>
      </c>
      <c r="B94" s="5">
        <v>4322648</v>
      </c>
      <c r="C94" s="5">
        <v>1279939</v>
      </c>
      <c r="D94" s="5">
        <v>25109</v>
      </c>
      <c r="E94" s="5">
        <v>14</v>
      </c>
      <c r="F94" s="5">
        <v>5627710</v>
      </c>
      <c r="G94" s="49"/>
      <c r="H94" s="22" t="s">
        <v>453</v>
      </c>
      <c r="I94" s="5">
        <v>315513</v>
      </c>
      <c r="J94" s="5">
        <v>1384493</v>
      </c>
      <c r="K94" s="5">
        <v>18783</v>
      </c>
      <c r="L94" s="5">
        <v>4211</v>
      </c>
      <c r="M94" s="5">
        <v>1723000</v>
      </c>
      <c r="N94" s="49"/>
    </row>
    <row r="95" spans="1:14" ht="15" customHeight="1">
      <c r="A95" s="22" t="s">
        <v>11</v>
      </c>
      <c r="B95" s="5">
        <v>760037</v>
      </c>
      <c r="C95" s="5">
        <v>1275544</v>
      </c>
      <c r="D95" s="5">
        <v>119265</v>
      </c>
      <c r="E95" s="5">
        <v>7</v>
      </c>
      <c r="F95" s="5">
        <v>2154853</v>
      </c>
      <c r="G95" s="49"/>
      <c r="H95" s="22" t="s">
        <v>11</v>
      </c>
      <c r="I95" s="5">
        <v>139054</v>
      </c>
      <c r="J95" s="5">
        <v>455990</v>
      </c>
      <c r="K95" s="5">
        <v>5164</v>
      </c>
      <c r="L95" s="5">
        <v>965</v>
      </c>
      <c r="M95" s="5">
        <v>601173</v>
      </c>
      <c r="N95" s="49"/>
    </row>
    <row r="96" spans="1:14" ht="15" customHeight="1">
      <c r="A96" s="22" t="s">
        <v>12</v>
      </c>
      <c r="B96" s="5">
        <v>3111608</v>
      </c>
      <c r="C96" s="5">
        <v>2224270</v>
      </c>
      <c r="D96" s="5">
        <v>142642</v>
      </c>
      <c r="E96" s="5">
        <v>0</v>
      </c>
      <c r="F96" s="5">
        <v>5478520</v>
      </c>
      <c r="G96" s="49"/>
      <c r="H96" s="22" t="s">
        <v>12</v>
      </c>
      <c r="I96" s="5">
        <v>242405</v>
      </c>
      <c r="J96" s="5">
        <v>1273767</v>
      </c>
      <c r="K96" s="5">
        <v>27223</v>
      </c>
      <c r="L96" s="5">
        <v>2771</v>
      </c>
      <c r="M96" s="5">
        <v>1546166</v>
      </c>
      <c r="N96" s="49"/>
    </row>
    <row r="97" spans="1:14" ht="15" customHeight="1">
      <c r="A97" s="22" t="s">
        <v>13</v>
      </c>
      <c r="B97" s="5">
        <v>362024</v>
      </c>
      <c r="C97" s="5">
        <v>472672</v>
      </c>
      <c r="D97" s="5">
        <v>40979</v>
      </c>
      <c r="E97" s="5">
        <v>0</v>
      </c>
      <c r="F97" s="5">
        <v>875675</v>
      </c>
      <c r="G97" s="49"/>
      <c r="H97" s="22" t="s">
        <v>13</v>
      </c>
      <c r="I97" s="5">
        <v>63960</v>
      </c>
      <c r="J97" s="5">
        <v>184950</v>
      </c>
      <c r="K97" s="5">
        <v>2368</v>
      </c>
      <c r="L97" s="5">
        <v>504</v>
      </c>
      <c r="M97" s="5">
        <v>251782</v>
      </c>
      <c r="N97" s="49"/>
    </row>
    <row r="98" spans="1:14" ht="15" customHeight="1">
      <c r="A98" s="22" t="s">
        <v>159</v>
      </c>
      <c r="B98" s="5">
        <v>860208</v>
      </c>
      <c r="C98" s="5">
        <v>727462</v>
      </c>
      <c r="D98" s="5">
        <v>48736</v>
      </c>
      <c r="E98" s="5">
        <v>0</v>
      </c>
      <c r="F98" s="5">
        <v>1636406</v>
      </c>
      <c r="G98" s="49"/>
      <c r="H98" s="22" t="s">
        <v>159</v>
      </c>
      <c r="I98" s="5">
        <v>110453</v>
      </c>
      <c r="J98" s="5">
        <v>393748</v>
      </c>
      <c r="K98" s="5">
        <v>6874</v>
      </c>
      <c r="L98" s="5">
        <v>1150</v>
      </c>
      <c r="M98" s="5">
        <v>512225</v>
      </c>
      <c r="N98" s="49"/>
    </row>
    <row r="99" spans="1:14" ht="15" customHeight="1">
      <c r="A99" s="22" t="s">
        <v>349</v>
      </c>
      <c r="B99" s="5">
        <v>2857344</v>
      </c>
      <c r="C99" s="5">
        <v>2128</v>
      </c>
      <c r="D99" s="5">
        <v>0</v>
      </c>
      <c r="E99" s="5">
        <v>210</v>
      </c>
      <c r="F99" s="5">
        <v>2859682</v>
      </c>
      <c r="G99" s="49"/>
      <c r="H99" s="22" t="s">
        <v>349</v>
      </c>
      <c r="I99" s="5">
        <v>236280</v>
      </c>
      <c r="J99" s="5">
        <v>858300</v>
      </c>
      <c r="K99" s="5">
        <v>47760</v>
      </c>
      <c r="L99" s="5">
        <v>3180</v>
      </c>
      <c r="M99" s="5">
        <v>1145520</v>
      </c>
      <c r="N99" s="49"/>
    </row>
    <row r="100" spans="1:14" ht="15" customHeight="1">
      <c r="A100" s="22" t="s">
        <v>197</v>
      </c>
      <c r="B100" s="5">
        <v>1688512</v>
      </c>
      <c r="C100" s="5">
        <v>818723</v>
      </c>
      <c r="D100" s="5">
        <v>68657</v>
      </c>
      <c r="E100" s="5">
        <v>0</v>
      </c>
      <c r="F100" s="5">
        <v>2575892</v>
      </c>
      <c r="G100" s="49"/>
      <c r="H100" s="22" t="s">
        <v>197</v>
      </c>
      <c r="I100" s="5">
        <v>80506</v>
      </c>
      <c r="J100" s="5">
        <v>384330</v>
      </c>
      <c r="K100" s="5">
        <v>7258</v>
      </c>
      <c r="L100" s="5">
        <v>701</v>
      </c>
      <c r="M100" s="5">
        <v>472795</v>
      </c>
      <c r="N100" s="49"/>
    </row>
    <row r="101" spans="1:14" ht="15" customHeight="1">
      <c r="A101" s="22" t="s">
        <v>162</v>
      </c>
      <c r="B101" s="5">
        <v>2373592</v>
      </c>
      <c r="C101" s="5">
        <v>697219</v>
      </c>
      <c r="D101" s="5">
        <v>27327</v>
      </c>
      <c r="E101" s="5">
        <v>0</v>
      </c>
      <c r="F101" s="5">
        <v>3098138</v>
      </c>
      <c r="G101" s="49"/>
      <c r="H101" s="22" t="s">
        <v>162</v>
      </c>
      <c r="I101" s="5">
        <v>197268</v>
      </c>
      <c r="J101" s="5">
        <v>809716</v>
      </c>
      <c r="K101" s="5">
        <v>22144</v>
      </c>
      <c r="L101" s="5">
        <v>1126</v>
      </c>
      <c r="M101" s="5">
        <v>1030254</v>
      </c>
      <c r="N101" s="49"/>
    </row>
    <row r="102" spans="1:14" ht="15" customHeight="1">
      <c r="A102" s="22" t="s">
        <v>161</v>
      </c>
      <c r="B102" s="5">
        <v>603970</v>
      </c>
      <c r="C102" s="5">
        <v>696874</v>
      </c>
      <c r="D102" s="5">
        <v>39161</v>
      </c>
      <c r="E102" s="5">
        <v>0</v>
      </c>
      <c r="F102" s="5">
        <v>1340005</v>
      </c>
      <c r="G102" s="49"/>
      <c r="H102" s="22" t="s">
        <v>161</v>
      </c>
      <c r="I102" s="5">
        <v>74352</v>
      </c>
      <c r="J102" s="5">
        <v>242337</v>
      </c>
      <c r="K102" s="5">
        <v>5309</v>
      </c>
      <c r="L102" s="5">
        <v>432</v>
      </c>
      <c r="M102" s="5">
        <v>322430</v>
      </c>
      <c r="N102" s="49"/>
    </row>
    <row r="103" spans="1:14" ht="15" customHeight="1">
      <c r="A103" s="22" t="s">
        <v>160</v>
      </c>
      <c r="B103" s="5">
        <v>344418</v>
      </c>
      <c r="C103" s="5">
        <v>1116209</v>
      </c>
      <c r="D103" s="5">
        <v>126738</v>
      </c>
      <c r="E103" s="5">
        <v>0</v>
      </c>
      <c r="F103" s="5">
        <v>1587365</v>
      </c>
      <c r="G103" s="49"/>
      <c r="H103" s="22" t="s">
        <v>160</v>
      </c>
      <c r="I103" s="5">
        <v>91776</v>
      </c>
      <c r="J103" s="5">
        <v>322513</v>
      </c>
      <c r="K103" s="5">
        <v>11829</v>
      </c>
      <c r="L103" s="5">
        <v>358</v>
      </c>
      <c r="M103" s="5">
        <v>426476</v>
      </c>
      <c r="N103" s="49"/>
    </row>
    <row r="104" spans="1:14" ht="15" customHeight="1">
      <c r="A104" s="22" t="s">
        <v>31</v>
      </c>
      <c r="B104" s="5">
        <v>2683726</v>
      </c>
      <c r="C104" s="5">
        <v>3227768</v>
      </c>
      <c r="D104" s="5">
        <v>281093</v>
      </c>
      <c r="E104" s="5">
        <v>0</v>
      </c>
      <c r="F104" s="5">
        <v>6192587</v>
      </c>
      <c r="G104" s="49"/>
      <c r="H104" s="22" t="s">
        <v>31</v>
      </c>
      <c r="I104" s="5">
        <v>283143</v>
      </c>
      <c r="J104" s="5">
        <v>1171364</v>
      </c>
      <c r="K104" s="5">
        <v>20671</v>
      </c>
      <c r="L104" s="5">
        <v>1631</v>
      </c>
      <c r="M104" s="5">
        <v>1476809</v>
      </c>
      <c r="N104" s="49"/>
    </row>
    <row r="105" spans="1:14" ht="15" customHeight="1">
      <c r="A105" s="22" t="s">
        <v>216</v>
      </c>
      <c r="B105" s="5">
        <v>331</v>
      </c>
      <c r="C105" s="5">
        <v>1131</v>
      </c>
      <c r="D105" s="5">
        <v>0</v>
      </c>
      <c r="E105" s="5">
        <v>0</v>
      </c>
      <c r="F105" s="5">
        <v>1462</v>
      </c>
      <c r="G105" s="49"/>
      <c r="H105" s="22" t="s">
        <v>216</v>
      </c>
      <c r="I105" s="5">
        <v>241</v>
      </c>
      <c r="J105" s="5">
        <v>339</v>
      </c>
      <c r="K105" s="5">
        <v>0</v>
      </c>
      <c r="L105" s="5">
        <v>0</v>
      </c>
      <c r="M105" s="5">
        <v>580</v>
      </c>
      <c r="N105" s="49"/>
    </row>
    <row r="106" spans="1:14" ht="15" customHeight="1">
      <c r="A106" s="20" t="s">
        <v>46</v>
      </c>
      <c r="B106" s="36">
        <v>29278232</v>
      </c>
      <c r="C106" s="36">
        <v>38233485</v>
      </c>
      <c r="D106" s="36">
        <v>6225676</v>
      </c>
      <c r="E106" s="36">
        <v>261</v>
      </c>
      <c r="F106" s="36">
        <v>73737654</v>
      </c>
      <c r="G106" s="48"/>
      <c r="H106" s="20" t="s">
        <v>46</v>
      </c>
      <c r="I106" s="36">
        <v>3608754</v>
      </c>
      <c r="J106" s="36">
        <v>15646903</v>
      </c>
      <c r="K106" s="36">
        <v>300489</v>
      </c>
      <c r="L106" s="36">
        <v>31422</v>
      </c>
      <c r="M106" s="36">
        <v>19587568</v>
      </c>
    </row>
    <row r="107" spans="1:14" ht="15" customHeight="1">
      <c r="A107" s="131" t="s">
        <v>402</v>
      </c>
      <c r="B107" s="131"/>
      <c r="C107" s="131"/>
      <c r="D107" s="131"/>
      <c r="E107" s="131"/>
      <c r="F107" s="131"/>
      <c r="H107" s="131" t="s">
        <v>402</v>
      </c>
      <c r="I107" s="131"/>
      <c r="J107" s="131"/>
      <c r="K107" s="131"/>
      <c r="L107" s="131"/>
      <c r="M107" s="131"/>
    </row>
    <row r="108" spans="1:14" ht="15" customHeight="1">
      <c r="A108" s="130"/>
      <c r="B108" s="130"/>
      <c r="C108" s="130"/>
      <c r="D108" s="130"/>
      <c r="E108" s="130"/>
      <c r="F108" s="130"/>
      <c r="H108" s="130"/>
      <c r="I108" s="130"/>
      <c r="J108" s="130"/>
      <c r="K108" s="130"/>
      <c r="L108" s="130"/>
      <c r="M108" s="130"/>
    </row>
    <row r="109" spans="1:14" ht="15" customHeight="1">
      <c r="K109" s="3"/>
    </row>
    <row r="110" spans="1:14" ht="15" customHeight="1">
      <c r="K110" s="3"/>
    </row>
    <row r="111" spans="1:14" ht="15" customHeight="1">
      <c r="K111" s="3"/>
    </row>
    <row r="112" spans="1:14" ht="15" customHeight="1">
      <c r="K112" s="3"/>
    </row>
    <row r="113" spans="2:13" ht="15" customHeight="1">
      <c r="K113" s="3"/>
    </row>
    <row r="114" spans="2:13" ht="15" customHeight="1">
      <c r="K114" s="3"/>
    </row>
    <row r="115" spans="2:13" ht="15" customHeight="1">
      <c r="K115" s="3"/>
    </row>
    <row r="116" spans="2:13" ht="15" customHeight="1">
      <c r="K116" s="3"/>
    </row>
    <row r="117" spans="2:13" ht="15" customHeight="1">
      <c r="K117" s="3"/>
    </row>
    <row r="118" spans="2:13" ht="15" customHeight="1">
      <c r="K118" s="3"/>
    </row>
    <row r="119" spans="2:13" ht="15" customHeight="1">
      <c r="B119" s="3"/>
      <c r="C119" s="3"/>
      <c r="D119" s="3"/>
      <c r="E119" s="3"/>
      <c r="F119" s="3"/>
      <c r="G119" s="48"/>
      <c r="K119" s="3"/>
      <c r="M119" s="3"/>
    </row>
    <row r="120" spans="2:13" ht="15" customHeight="1">
      <c r="B120" s="3"/>
      <c r="C120" s="3"/>
      <c r="D120" s="3"/>
      <c r="E120" s="3"/>
      <c r="F120" s="3"/>
      <c r="G120" s="48"/>
      <c r="K120" s="3"/>
      <c r="M120" s="3"/>
    </row>
    <row r="121" spans="2:13" ht="15" customHeight="1">
      <c r="B121" s="3"/>
      <c r="C121" s="3"/>
      <c r="D121" s="3"/>
      <c r="E121" s="3"/>
      <c r="F121" s="3"/>
      <c r="G121" s="48"/>
      <c r="K121" s="3"/>
      <c r="M121" s="3"/>
    </row>
    <row r="122" spans="2:13" ht="15" customHeight="1">
      <c r="B122" s="3"/>
      <c r="C122" s="3"/>
      <c r="D122" s="3"/>
      <c r="E122" s="3"/>
      <c r="F122" s="3"/>
      <c r="G122" s="48"/>
      <c r="K122" s="3"/>
      <c r="M122" s="3"/>
    </row>
    <row r="123" spans="2:13" ht="15" customHeight="1">
      <c r="B123" s="3"/>
      <c r="C123" s="3"/>
      <c r="D123" s="3"/>
      <c r="E123" s="3"/>
      <c r="F123" s="3"/>
      <c r="G123" s="48"/>
      <c r="K123" s="3"/>
      <c r="M123" s="3"/>
    </row>
    <row r="124" spans="2:13" ht="15" customHeight="1">
      <c r="B124" s="3"/>
      <c r="C124" s="3"/>
      <c r="D124" s="3"/>
      <c r="E124" s="3"/>
      <c r="F124" s="3"/>
      <c r="G124" s="48"/>
      <c r="K124" s="3"/>
      <c r="M124" s="3"/>
    </row>
    <row r="125" spans="2:13" ht="15" customHeight="1">
      <c r="B125" s="3"/>
      <c r="C125" s="3"/>
      <c r="D125" s="3"/>
      <c r="E125" s="3"/>
      <c r="F125" s="3"/>
      <c r="G125" s="48"/>
      <c r="K125" s="3"/>
      <c r="M125" s="3"/>
    </row>
    <row r="126" spans="2:13" ht="15" customHeight="1">
      <c r="B126" s="3"/>
      <c r="C126" s="3"/>
      <c r="D126" s="3"/>
      <c r="E126" s="3"/>
      <c r="F126" s="3"/>
      <c r="G126" s="48"/>
      <c r="K126" s="3"/>
      <c r="M126" s="3"/>
    </row>
    <row r="127" spans="2:13" ht="15" customHeight="1">
      <c r="B127" s="3"/>
      <c r="C127" s="3"/>
      <c r="D127" s="3"/>
      <c r="E127" s="3"/>
      <c r="F127" s="3"/>
      <c r="G127" s="48"/>
      <c r="K127" s="3"/>
      <c r="M127" s="3"/>
    </row>
    <row r="128" spans="2:13" ht="15" customHeight="1">
      <c r="B128" s="3"/>
      <c r="C128" s="3"/>
      <c r="D128" s="3"/>
      <c r="E128" s="3"/>
      <c r="F128" s="3"/>
      <c r="G128" s="48"/>
      <c r="K128" s="3"/>
      <c r="M128" s="3"/>
    </row>
    <row r="129" spans="2:13" ht="15" customHeight="1">
      <c r="B129" s="3"/>
      <c r="C129" s="3"/>
      <c r="D129" s="3"/>
      <c r="E129" s="3"/>
      <c r="F129" s="3"/>
      <c r="G129" s="48"/>
      <c r="K129" s="3"/>
      <c r="M129" s="3"/>
    </row>
    <row r="130" spans="2:13" ht="15" customHeight="1">
      <c r="B130" s="3"/>
      <c r="C130" s="3"/>
      <c r="D130" s="3"/>
      <c r="E130" s="3"/>
      <c r="F130" s="3"/>
      <c r="G130" s="48"/>
      <c r="K130" s="3"/>
      <c r="M130" s="3"/>
    </row>
    <row r="131" spans="2:13" ht="15" customHeight="1">
      <c r="B131" s="3"/>
      <c r="C131" s="3"/>
      <c r="D131" s="3"/>
      <c r="E131" s="3"/>
      <c r="F131" s="3"/>
      <c r="G131" s="48"/>
      <c r="K131" s="3"/>
      <c r="M131" s="3"/>
    </row>
    <row r="132" spans="2:13" ht="15" customHeight="1">
      <c r="B132" s="3"/>
      <c r="C132" s="3"/>
      <c r="D132" s="3"/>
      <c r="E132" s="3"/>
      <c r="F132" s="3"/>
      <c r="G132" s="48"/>
      <c r="K132" s="3"/>
      <c r="M132" s="3"/>
    </row>
    <row r="133" spans="2:13" ht="15" customHeight="1">
      <c r="B133" s="3"/>
      <c r="C133" s="3"/>
      <c r="D133" s="3"/>
      <c r="E133" s="3"/>
      <c r="F133" s="3"/>
      <c r="G133" s="48"/>
      <c r="K133" s="3"/>
      <c r="M133" s="3"/>
    </row>
    <row r="134" spans="2:13" ht="15" customHeight="1">
      <c r="B134" s="3"/>
      <c r="C134" s="3"/>
      <c r="D134" s="3"/>
      <c r="E134" s="3"/>
      <c r="F134" s="3"/>
      <c r="G134" s="48"/>
      <c r="K134" s="3"/>
      <c r="M134" s="3"/>
    </row>
    <row r="135" spans="2:13" ht="15" customHeight="1">
      <c r="B135" s="3"/>
      <c r="C135" s="3"/>
      <c r="D135" s="3"/>
      <c r="E135" s="3"/>
      <c r="F135" s="3"/>
      <c r="G135" s="48"/>
      <c r="K135" s="3"/>
      <c r="M135" s="3"/>
    </row>
    <row r="136" spans="2:13" ht="15" customHeight="1">
      <c r="B136" s="3"/>
      <c r="C136" s="3"/>
      <c r="D136" s="3"/>
      <c r="E136" s="3"/>
      <c r="F136" s="3"/>
      <c r="G136" s="48"/>
      <c r="K136" s="3"/>
      <c r="M136" s="3"/>
    </row>
    <row r="137" spans="2:13" ht="15" customHeight="1">
      <c r="B137" s="3"/>
      <c r="C137" s="3"/>
      <c r="D137" s="3"/>
      <c r="E137" s="3"/>
      <c r="F137" s="3"/>
      <c r="G137" s="48"/>
      <c r="K137" s="3"/>
      <c r="M137" s="3"/>
    </row>
    <row r="138" spans="2:13" ht="15" customHeight="1">
      <c r="B138" s="3"/>
      <c r="C138" s="3"/>
      <c r="D138" s="3"/>
      <c r="E138" s="3"/>
      <c r="F138" s="3"/>
      <c r="G138" s="48"/>
      <c r="K138" s="3"/>
      <c r="M138" s="3"/>
    </row>
    <row r="139" spans="2:13" ht="15" customHeight="1">
      <c r="B139" s="3"/>
      <c r="C139" s="3"/>
      <c r="D139" s="3"/>
      <c r="E139" s="3"/>
      <c r="F139" s="3"/>
      <c r="G139" s="48"/>
      <c r="K139" s="3"/>
      <c r="M139" s="3"/>
    </row>
    <row r="140" spans="2:13" ht="15" customHeight="1">
      <c r="B140" s="3"/>
      <c r="C140" s="3"/>
      <c r="D140" s="3"/>
      <c r="E140" s="3"/>
      <c r="F140" s="3"/>
      <c r="G140" s="48"/>
      <c r="K140" s="3"/>
      <c r="M140" s="3"/>
    </row>
    <row r="141" spans="2:13" ht="15" customHeight="1">
      <c r="B141" s="3"/>
      <c r="C141" s="3"/>
      <c r="D141" s="3"/>
      <c r="E141" s="3"/>
      <c r="F141" s="3"/>
      <c r="G141" s="48"/>
      <c r="K141" s="3"/>
      <c r="M141" s="3"/>
    </row>
    <row r="142" spans="2:13" ht="15" customHeight="1">
      <c r="B142" s="3"/>
      <c r="C142" s="3"/>
      <c r="D142" s="3"/>
      <c r="E142" s="3"/>
      <c r="F142" s="3"/>
      <c r="G142" s="48"/>
      <c r="K142" s="3"/>
      <c r="M142" s="3"/>
    </row>
    <row r="143" spans="2:13" ht="15" customHeight="1">
      <c r="B143" s="3"/>
      <c r="C143" s="3"/>
      <c r="D143" s="3"/>
      <c r="E143" s="3"/>
      <c r="F143" s="3"/>
      <c r="G143" s="48"/>
      <c r="K143" s="3"/>
      <c r="M143" s="3"/>
    </row>
    <row r="144" spans="2:13" ht="15" customHeight="1">
      <c r="B144" s="3"/>
      <c r="C144" s="3"/>
      <c r="D144" s="3"/>
      <c r="E144" s="3"/>
      <c r="F144" s="3"/>
      <c r="G144" s="48"/>
      <c r="K144" s="3"/>
      <c r="M144" s="3"/>
    </row>
    <row r="145" spans="2:13" ht="15" customHeight="1">
      <c r="B145" s="3"/>
      <c r="C145" s="3"/>
      <c r="D145" s="3"/>
      <c r="E145" s="3"/>
      <c r="F145" s="3"/>
      <c r="G145" s="48"/>
      <c r="K145" s="3"/>
      <c r="M145" s="3"/>
    </row>
    <row r="146" spans="2:13" ht="15" customHeight="1">
      <c r="B146" s="3"/>
      <c r="C146" s="3"/>
      <c r="D146" s="3"/>
      <c r="E146" s="3"/>
      <c r="F146" s="3"/>
      <c r="G146" s="48"/>
      <c r="K146" s="3"/>
      <c r="M146" s="3"/>
    </row>
    <row r="147" spans="2:13" ht="15" customHeight="1">
      <c r="B147" s="3"/>
      <c r="C147" s="3"/>
      <c r="D147" s="3"/>
      <c r="E147" s="3"/>
      <c r="F147" s="3"/>
      <c r="G147" s="48"/>
      <c r="K147" s="3"/>
      <c r="M147" s="3"/>
    </row>
    <row r="148" spans="2:13" ht="15" customHeight="1">
      <c r="B148" s="3"/>
      <c r="C148" s="3"/>
      <c r="D148" s="3"/>
      <c r="E148" s="3"/>
      <c r="F148" s="3"/>
      <c r="G148" s="48"/>
      <c r="K148" s="3"/>
      <c r="M148" s="3"/>
    </row>
    <row r="149" spans="2:13" ht="15" customHeight="1">
      <c r="B149" s="3"/>
      <c r="C149" s="3"/>
      <c r="D149" s="3"/>
      <c r="E149" s="3"/>
      <c r="F149" s="3"/>
      <c r="G149" s="48"/>
      <c r="K149" s="3"/>
      <c r="M149" s="3"/>
    </row>
    <row r="150" spans="2:13" ht="15" customHeight="1">
      <c r="B150" s="3"/>
      <c r="C150" s="3"/>
      <c r="D150" s="3"/>
      <c r="E150" s="3"/>
      <c r="F150" s="3"/>
      <c r="G150" s="48"/>
      <c r="K150" s="3"/>
      <c r="M150" s="3"/>
    </row>
    <row r="151" spans="2:13" ht="15" customHeight="1">
      <c r="B151" s="3"/>
      <c r="C151" s="3"/>
      <c r="D151" s="3"/>
      <c r="E151" s="3"/>
      <c r="F151" s="3"/>
      <c r="G151" s="48"/>
      <c r="K151" s="3"/>
      <c r="M151" s="3"/>
    </row>
    <row r="152" spans="2:13" ht="15" customHeight="1">
      <c r="B152" s="3"/>
      <c r="C152" s="3"/>
      <c r="D152" s="3"/>
      <c r="E152" s="3"/>
      <c r="F152" s="3"/>
      <c r="G152" s="48"/>
      <c r="K152" s="3"/>
      <c r="M152" s="3"/>
    </row>
    <row r="153" spans="2:13" ht="15" customHeight="1">
      <c r="B153" s="3"/>
      <c r="C153" s="3"/>
      <c r="D153" s="3"/>
      <c r="E153" s="3"/>
      <c r="F153" s="3"/>
      <c r="G153" s="48"/>
      <c r="K153" s="3"/>
      <c r="M153" s="3"/>
    </row>
    <row r="154" spans="2:13" ht="15" customHeight="1">
      <c r="B154" s="3"/>
      <c r="C154" s="3"/>
      <c r="D154" s="3"/>
      <c r="E154" s="3"/>
      <c r="F154" s="3"/>
      <c r="G154" s="48"/>
      <c r="K154" s="3"/>
      <c r="M154" s="3"/>
    </row>
    <row r="155" spans="2:13" ht="15" customHeight="1">
      <c r="B155" s="3"/>
      <c r="C155" s="3"/>
      <c r="D155" s="3"/>
      <c r="E155" s="3"/>
      <c r="F155" s="3"/>
      <c r="G155" s="48"/>
      <c r="K155" s="3"/>
      <c r="M155" s="3"/>
    </row>
    <row r="156" spans="2:13" ht="15" customHeight="1">
      <c r="B156" s="3"/>
      <c r="C156" s="3"/>
      <c r="D156" s="3"/>
      <c r="E156" s="3"/>
      <c r="F156" s="3"/>
      <c r="G156" s="48"/>
      <c r="K156" s="3"/>
      <c r="M156" s="3"/>
    </row>
    <row r="157" spans="2:13" ht="15" customHeight="1">
      <c r="B157" s="3"/>
      <c r="C157" s="3"/>
      <c r="D157" s="3"/>
      <c r="E157" s="3"/>
      <c r="F157" s="3"/>
      <c r="G157" s="48"/>
      <c r="K157" s="3"/>
      <c r="M157" s="3"/>
    </row>
    <row r="158" spans="2:13" ht="15" customHeight="1">
      <c r="B158" s="3"/>
      <c r="C158" s="3"/>
      <c r="D158" s="3"/>
      <c r="E158" s="3"/>
      <c r="F158" s="3"/>
      <c r="G158" s="48"/>
      <c r="K158" s="3"/>
      <c r="M158" s="3"/>
    </row>
    <row r="159" spans="2:13" ht="15" customHeight="1">
      <c r="B159" s="3"/>
      <c r="C159" s="3"/>
      <c r="D159" s="3"/>
      <c r="E159" s="3"/>
      <c r="F159" s="3"/>
      <c r="G159" s="48"/>
      <c r="K159" s="3"/>
      <c r="M159" s="3"/>
    </row>
    <row r="160" spans="2:13" ht="15" customHeight="1">
      <c r="B160" s="3"/>
      <c r="C160" s="3"/>
      <c r="D160" s="3"/>
      <c r="E160" s="3"/>
      <c r="F160" s="3"/>
      <c r="G160" s="48"/>
      <c r="K160" s="3"/>
      <c r="M160" s="3"/>
    </row>
    <row r="161" spans="2:13" ht="15" customHeight="1">
      <c r="B161" s="3"/>
      <c r="C161" s="3"/>
      <c r="D161" s="3"/>
      <c r="E161" s="3"/>
      <c r="F161" s="3"/>
      <c r="G161" s="48"/>
      <c r="K161" s="3"/>
      <c r="M161" s="3"/>
    </row>
    <row r="162" spans="2:13" ht="15" customHeight="1">
      <c r="B162" s="3"/>
      <c r="C162" s="3"/>
      <c r="D162" s="3"/>
      <c r="E162" s="3"/>
      <c r="F162" s="3"/>
      <c r="G162" s="48"/>
      <c r="K162" s="3"/>
      <c r="M162" s="3"/>
    </row>
    <row r="163" spans="2:13" ht="15" customHeight="1">
      <c r="B163" s="3"/>
      <c r="C163" s="3"/>
      <c r="D163" s="3"/>
      <c r="E163" s="3"/>
      <c r="F163" s="3"/>
      <c r="G163" s="48"/>
      <c r="K163" s="3"/>
      <c r="M163" s="3"/>
    </row>
    <row r="164" spans="2:13" ht="15" customHeight="1">
      <c r="B164" s="3"/>
      <c r="C164" s="3"/>
      <c r="D164" s="3"/>
      <c r="E164" s="3"/>
      <c r="F164" s="3"/>
      <c r="G164" s="48"/>
      <c r="K164" s="3"/>
      <c r="M164" s="3"/>
    </row>
    <row r="165" spans="2:13" ht="15" customHeight="1">
      <c r="B165" s="3"/>
      <c r="C165" s="3"/>
      <c r="D165" s="3"/>
      <c r="E165" s="3"/>
      <c r="F165" s="3"/>
      <c r="G165" s="48"/>
      <c r="K165" s="3"/>
      <c r="M165" s="3"/>
    </row>
    <row r="166" spans="2:13" ht="15" customHeight="1">
      <c r="B166" s="3"/>
      <c r="C166" s="3"/>
      <c r="D166" s="3"/>
      <c r="E166" s="3"/>
      <c r="F166" s="3"/>
      <c r="G166" s="48"/>
      <c r="K166" s="3"/>
      <c r="M166" s="3"/>
    </row>
    <row r="801" spans="2:13" ht="12.75">
      <c r="K801" s="3"/>
    </row>
    <row r="802" spans="2:13" ht="12.75">
      <c r="K802" s="3"/>
    </row>
    <row r="812" spans="2:13" ht="15" customHeight="1">
      <c r="B812" s="3"/>
      <c r="C812" s="3"/>
      <c r="D812" s="3"/>
      <c r="E812" s="3"/>
      <c r="F812" s="3"/>
      <c r="G812" s="48"/>
      <c r="K812" s="3"/>
      <c r="M812" s="3"/>
    </row>
    <row r="813" spans="2:13" ht="15" customHeight="1">
      <c r="B813" s="3"/>
      <c r="C813" s="3"/>
      <c r="D813" s="3"/>
      <c r="E813" s="3"/>
      <c r="F813" s="3"/>
      <c r="G813" s="48"/>
      <c r="K813" s="3"/>
      <c r="M813" s="3"/>
    </row>
    <row r="814" spans="2:13" ht="15" customHeight="1">
      <c r="B814" s="3"/>
      <c r="C814" s="3"/>
      <c r="D814" s="3"/>
      <c r="E814" s="3"/>
      <c r="F814" s="3"/>
      <c r="G814" s="48"/>
      <c r="K814" s="3"/>
      <c r="M814" s="3"/>
    </row>
    <row r="815" spans="2:13" ht="15" customHeight="1">
      <c r="B815" s="3"/>
      <c r="C815" s="3"/>
      <c r="D815" s="3"/>
      <c r="E815" s="3"/>
      <c r="F815" s="3"/>
      <c r="G815" s="48"/>
      <c r="K815" s="3"/>
      <c r="M815" s="3"/>
    </row>
    <row r="816" spans="2:13" ht="15" customHeight="1">
      <c r="B816" s="3"/>
      <c r="C816" s="3"/>
      <c r="D816" s="3"/>
      <c r="E816" s="3"/>
      <c r="F816" s="3"/>
      <c r="G816" s="48"/>
      <c r="K816" s="3"/>
      <c r="M816" s="3"/>
    </row>
    <row r="817" spans="2:13" ht="15" customHeight="1">
      <c r="B817" s="3"/>
      <c r="C817" s="3"/>
      <c r="D817" s="3"/>
      <c r="E817" s="3"/>
      <c r="F817" s="3"/>
      <c r="G817" s="48"/>
      <c r="K817" s="3"/>
      <c r="M817" s="3"/>
    </row>
    <row r="818" spans="2:13" ht="15" customHeight="1">
      <c r="B818" s="3"/>
      <c r="C818" s="3"/>
      <c r="D818" s="3"/>
      <c r="E818" s="3"/>
      <c r="F818" s="3"/>
      <c r="G818" s="48"/>
      <c r="K818" s="3"/>
      <c r="M818" s="3"/>
    </row>
    <row r="819" spans="2:13" ht="15" customHeight="1">
      <c r="B819" s="3"/>
      <c r="C819" s="3"/>
      <c r="D819" s="3"/>
      <c r="E819" s="3"/>
      <c r="F819" s="3"/>
      <c r="G819" s="48"/>
      <c r="K819" s="3"/>
      <c r="M819" s="3"/>
    </row>
    <row r="820" spans="2:13" ht="15" customHeight="1">
      <c r="B820" s="3"/>
      <c r="C820" s="3"/>
      <c r="D820" s="3"/>
      <c r="E820" s="3"/>
      <c r="F820" s="3"/>
      <c r="G820" s="48"/>
      <c r="K820" s="3"/>
      <c r="M820" s="3"/>
    </row>
    <row r="821" spans="2:13" ht="15" customHeight="1">
      <c r="B821" s="3"/>
      <c r="C821" s="3"/>
      <c r="D821" s="3"/>
      <c r="E821" s="3"/>
      <c r="F821" s="3"/>
      <c r="G821" s="48"/>
      <c r="K821" s="3"/>
      <c r="M821" s="3"/>
    </row>
    <row r="822" spans="2:13" ht="15" customHeight="1">
      <c r="B822" s="3"/>
      <c r="C822" s="3"/>
      <c r="D822" s="3"/>
      <c r="E822" s="3"/>
      <c r="F822" s="3"/>
      <c r="G822" s="48"/>
      <c r="K822" s="3"/>
      <c r="M822" s="3"/>
    </row>
    <row r="823" spans="2:13" ht="15" customHeight="1">
      <c r="B823" s="3"/>
      <c r="C823" s="3"/>
      <c r="D823" s="3"/>
      <c r="E823" s="3"/>
      <c r="F823" s="3"/>
      <c r="G823" s="48"/>
      <c r="K823" s="3"/>
      <c r="M823" s="3"/>
    </row>
    <row r="824" spans="2:13" ht="15" customHeight="1">
      <c r="B824" s="3"/>
      <c r="C824" s="3"/>
      <c r="D824" s="3"/>
      <c r="E824" s="3"/>
      <c r="F824" s="3"/>
      <c r="G824" s="48"/>
      <c r="K824" s="3"/>
      <c r="M824" s="3"/>
    </row>
  </sheetData>
  <mergeCells count="4">
    <mergeCell ref="A107:F108"/>
    <mergeCell ref="H107:M108"/>
    <mergeCell ref="A54:F54"/>
    <mergeCell ref="H54:M5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840"/>
  <sheetViews>
    <sheetView showGridLines="0" zoomScaleNormal="100" workbookViewId="0"/>
  </sheetViews>
  <sheetFormatPr baseColWidth="10" defaultColWidth="33.140625" defaultRowHeight="12.75"/>
  <cols>
    <col min="1" max="1" width="29.140625" style="3" customWidth="1"/>
    <col min="2" max="6" width="13.140625" style="6" customWidth="1"/>
    <col min="7" max="7" width="8.85546875" style="47" customWidth="1"/>
    <col min="8" max="8" width="30.140625" style="3" customWidth="1"/>
    <col min="9" max="12" width="13.85546875" style="3" customWidth="1"/>
    <col min="13" max="13" width="13.85546875" style="6" customWidth="1"/>
    <col min="14" max="14" width="7.42578125" style="48" customWidth="1"/>
    <col min="15" max="16384" width="33.140625" style="3"/>
  </cols>
  <sheetData>
    <row r="1" spans="1:14" ht="18.75">
      <c r="A1" s="1" t="s">
        <v>214</v>
      </c>
    </row>
    <row r="2" spans="1:14">
      <c r="A2" s="7"/>
    </row>
    <row r="3" spans="1:14">
      <c r="A3" s="7" t="s">
        <v>168</v>
      </c>
    </row>
    <row r="4" spans="1:14">
      <c r="A4" s="7" t="s">
        <v>273</v>
      </c>
    </row>
    <row r="5" spans="1:14" ht="14.25">
      <c r="A5" s="8" t="s">
        <v>169</v>
      </c>
      <c r="B5" s="8" t="s">
        <v>0</v>
      </c>
      <c r="C5" s="8" t="s">
        <v>438</v>
      </c>
      <c r="D5" s="8" t="s">
        <v>45</v>
      </c>
    </row>
    <row r="6" spans="1:14">
      <c r="A6" s="16" t="s">
        <v>30</v>
      </c>
      <c r="B6" s="4">
        <v>1649284</v>
      </c>
      <c r="C6" s="4">
        <v>377508.66</v>
      </c>
      <c r="D6" s="4">
        <v>2026792.66</v>
      </c>
      <c r="E6" s="46"/>
    </row>
    <row r="7" spans="1:14">
      <c r="A7" s="16" t="s">
        <v>29</v>
      </c>
      <c r="B7" s="5">
        <v>2352628</v>
      </c>
      <c r="C7" s="5">
        <v>1207083.3600000001</v>
      </c>
      <c r="D7" s="5">
        <v>3559711.3600000003</v>
      </c>
      <c r="E7" s="46"/>
    </row>
    <row r="8" spans="1:14">
      <c r="A8" s="16" t="s">
        <v>4</v>
      </c>
      <c r="B8" s="5">
        <v>308376</v>
      </c>
      <c r="C8" s="5">
        <v>17983.53</v>
      </c>
      <c r="D8" s="5">
        <v>326359.53000000003</v>
      </c>
      <c r="E8" s="46"/>
    </row>
    <row r="9" spans="1:14">
      <c r="A9" s="16" t="s">
        <v>216</v>
      </c>
      <c r="B9" s="5">
        <v>14</v>
      </c>
      <c r="C9" s="5">
        <v>70.45</v>
      </c>
      <c r="D9" s="5">
        <v>84.45</v>
      </c>
      <c r="E9" s="46"/>
    </row>
    <row r="10" spans="1:14">
      <c r="A10" s="20" t="s">
        <v>46</v>
      </c>
      <c r="B10" s="36">
        <v>4310302</v>
      </c>
      <c r="C10" s="36">
        <v>1602646</v>
      </c>
      <c r="D10" s="36">
        <v>5912948.0000000009</v>
      </c>
      <c r="E10" s="46"/>
    </row>
    <row r="11" spans="1:14">
      <c r="A11" s="3" t="s">
        <v>403</v>
      </c>
      <c r="B11" s="46"/>
      <c r="C11" s="46"/>
      <c r="D11" s="46"/>
      <c r="E11" s="47"/>
    </row>
    <row r="13" spans="1:14">
      <c r="A13" s="7" t="s">
        <v>170</v>
      </c>
      <c r="H13" s="7" t="s">
        <v>171</v>
      </c>
    </row>
    <row r="14" spans="1:14" ht="14.25">
      <c r="A14" s="7" t="s">
        <v>432</v>
      </c>
      <c r="H14" s="7" t="s">
        <v>439</v>
      </c>
    </row>
    <row r="15" spans="1:14" ht="25.5">
      <c r="A15" s="26" t="s">
        <v>50</v>
      </c>
      <c r="B15" s="26" t="s">
        <v>422</v>
      </c>
      <c r="C15" s="26" t="s">
        <v>423</v>
      </c>
      <c r="D15" s="26" t="s">
        <v>221</v>
      </c>
      <c r="E15" s="26" t="s">
        <v>217</v>
      </c>
      <c r="F15" s="26" t="s">
        <v>48</v>
      </c>
      <c r="G15" s="48"/>
      <c r="H15" s="26" t="s">
        <v>50</v>
      </c>
      <c r="I15" s="26" t="s">
        <v>422</v>
      </c>
      <c r="J15" s="26" t="s">
        <v>423</v>
      </c>
      <c r="K15" s="26" t="s">
        <v>221</v>
      </c>
      <c r="L15" s="26" t="s">
        <v>217</v>
      </c>
      <c r="M15" s="26" t="s">
        <v>48</v>
      </c>
    </row>
    <row r="16" spans="1:14">
      <c r="A16" s="13" t="s">
        <v>5</v>
      </c>
      <c r="B16" s="4">
        <v>778192</v>
      </c>
      <c r="C16" s="4">
        <v>959698</v>
      </c>
      <c r="D16" s="4">
        <v>118234</v>
      </c>
      <c r="E16" s="4">
        <v>3</v>
      </c>
      <c r="F16" s="14">
        <v>1856127</v>
      </c>
      <c r="G16" s="49"/>
      <c r="H16" s="13" t="s">
        <v>5</v>
      </c>
      <c r="I16" s="4">
        <v>131619.87</v>
      </c>
      <c r="J16" s="4">
        <v>721396.21</v>
      </c>
      <c r="K16" s="4">
        <v>7474.02</v>
      </c>
      <c r="L16" s="4">
        <v>1.5</v>
      </c>
      <c r="M16" s="14">
        <v>860491.6</v>
      </c>
      <c r="N16" s="49"/>
    </row>
    <row r="17" spans="1:14">
      <c r="A17" s="16" t="s">
        <v>6</v>
      </c>
      <c r="B17" s="5">
        <v>871092</v>
      </c>
      <c r="C17" s="5">
        <v>1392930</v>
      </c>
      <c r="D17" s="5">
        <v>190142</v>
      </c>
      <c r="E17" s="5">
        <v>11</v>
      </c>
      <c r="F17" s="10">
        <v>2454175</v>
      </c>
      <c r="G17" s="49"/>
      <c r="H17" s="16" t="s">
        <v>6</v>
      </c>
      <c r="I17" s="5">
        <v>245879.8</v>
      </c>
      <c r="J17" s="5">
        <v>485660.15999999997</v>
      </c>
      <c r="K17" s="5">
        <v>10509.5</v>
      </c>
      <c r="L17" s="5">
        <v>68.95</v>
      </c>
      <c r="M17" s="10">
        <v>742118.40999999992</v>
      </c>
      <c r="N17" s="49"/>
    </row>
    <row r="18" spans="1:14">
      <c r="A18" s="22" t="s">
        <v>216</v>
      </c>
      <c r="B18" s="5">
        <v>0</v>
      </c>
      <c r="C18" s="5">
        <v>0</v>
      </c>
      <c r="D18" s="5">
        <v>0</v>
      </c>
      <c r="E18" s="5">
        <v>0</v>
      </c>
      <c r="F18" s="10">
        <v>0</v>
      </c>
      <c r="G18" s="49"/>
      <c r="H18" s="22" t="s">
        <v>216</v>
      </c>
      <c r="I18" s="5">
        <v>8.99</v>
      </c>
      <c r="J18" s="5">
        <v>26.98</v>
      </c>
      <c r="K18" s="5">
        <v>0</v>
      </c>
      <c r="L18" s="5">
        <v>0</v>
      </c>
      <c r="M18" s="10">
        <v>35.97</v>
      </c>
      <c r="N18" s="49"/>
    </row>
    <row r="19" spans="1:14">
      <c r="A19" s="20" t="s">
        <v>46</v>
      </c>
      <c r="B19" s="36">
        <v>1649284</v>
      </c>
      <c r="C19" s="36">
        <v>2352628</v>
      </c>
      <c r="D19" s="36">
        <v>308376</v>
      </c>
      <c r="E19" s="36">
        <v>14</v>
      </c>
      <c r="F19" s="36">
        <v>4310302</v>
      </c>
      <c r="G19" s="49"/>
      <c r="H19" s="20" t="s">
        <v>46</v>
      </c>
      <c r="I19" s="36">
        <v>377508.66</v>
      </c>
      <c r="J19" s="36">
        <v>1207083.3499999999</v>
      </c>
      <c r="K19" s="36">
        <v>17983.52</v>
      </c>
      <c r="L19" s="36">
        <v>70.45</v>
      </c>
      <c r="M19" s="36">
        <v>1602645.9799999997</v>
      </c>
      <c r="N19" s="49"/>
    </row>
    <row r="20" spans="1:14">
      <c r="B20" s="46"/>
      <c r="C20" s="46"/>
      <c r="D20" s="46"/>
      <c r="E20" s="46"/>
      <c r="F20" s="49"/>
      <c r="G20" s="48"/>
      <c r="H20" s="3" t="s">
        <v>403</v>
      </c>
      <c r="I20" s="52"/>
      <c r="J20" s="52"/>
      <c r="K20" s="52"/>
      <c r="L20" s="52"/>
      <c r="M20" s="53"/>
    </row>
    <row r="21" spans="1:14">
      <c r="F21" s="3"/>
      <c r="G21" s="48"/>
      <c r="I21" s="6"/>
      <c r="J21" s="6"/>
      <c r="K21" s="6"/>
      <c r="L21" s="6"/>
      <c r="M21" s="3"/>
    </row>
    <row r="22" spans="1:14">
      <c r="A22" s="7" t="s">
        <v>172</v>
      </c>
      <c r="F22" s="3"/>
      <c r="G22" s="48"/>
      <c r="H22" s="7" t="s">
        <v>173</v>
      </c>
      <c r="I22" s="6"/>
      <c r="J22" s="6"/>
      <c r="K22" s="6"/>
      <c r="L22" s="6"/>
      <c r="M22" s="3"/>
    </row>
    <row r="23" spans="1:14" ht="14.25">
      <c r="A23" s="7" t="s">
        <v>433</v>
      </c>
      <c r="F23" s="3"/>
      <c r="G23" s="48"/>
      <c r="H23" s="7" t="s">
        <v>440</v>
      </c>
      <c r="I23" s="6"/>
      <c r="J23" s="6"/>
      <c r="K23" s="6"/>
      <c r="L23" s="6"/>
      <c r="M23" s="3"/>
    </row>
    <row r="24" spans="1:14" ht="25.5">
      <c r="A24" s="15" t="s">
        <v>51</v>
      </c>
      <c r="B24" s="26" t="s">
        <v>422</v>
      </c>
      <c r="C24" s="26" t="s">
        <v>423</v>
      </c>
      <c r="D24" s="26" t="s">
        <v>221</v>
      </c>
      <c r="E24" s="26" t="s">
        <v>217</v>
      </c>
      <c r="F24" s="26" t="s">
        <v>48</v>
      </c>
      <c r="G24" s="48"/>
      <c r="H24" s="15" t="s">
        <v>51</v>
      </c>
      <c r="I24" s="26" t="s">
        <v>422</v>
      </c>
      <c r="J24" s="26" t="s">
        <v>423</v>
      </c>
      <c r="K24" s="26" t="s">
        <v>221</v>
      </c>
      <c r="L24" s="26" t="s">
        <v>217</v>
      </c>
      <c r="M24" s="26" t="s">
        <v>48</v>
      </c>
    </row>
    <row r="25" spans="1:14">
      <c r="A25" s="13" t="s">
        <v>40</v>
      </c>
      <c r="B25" s="4">
        <v>13444</v>
      </c>
      <c r="C25" s="4">
        <v>12504</v>
      </c>
      <c r="D25" s="4">
        <v>1267</v>
      </c>
      <c r="E25" s="4">
        <v>2</v>
      </c>
      <c r="F25" s="4">
        <v>27217</v>
      </c>
      <c r="G25" s="49"/>
      <c r="H25" s="13" t="s">
        <v>40</v>
      </c>
      <c r="I25" s="4">
        <v>20.99</v>
      </c>
      <c r="J25" s="4">
        <v>1161.73</v>
      </c>
      <c r="K25" s="4">
        <v>1.5</v>
      </c>
      <c r="L25" s="5">
        <v>0</v>
      </c>
      <c r="M25" s="4">
        <v>1184.22</v>
      </c>
      <c r="N25" s="49"/>
    </row>
    <row r="26" spans="1:14">
      <c r="A26" s="16" t="s">
        <v>2</v>
      </c>
      <c r="B26" s="5">
        <v>125724</v>
      </c>
      <c r="C26" s="5">
        <v>173925</v>
      </c>
      <c r="D26" s="5">
        <v>21588</v>
      </c>
      <c r="E26" s="5">
        <v>2</v>
      </c>
      <c r="F26" s="5">
        <v>321239</v>
      </c>
      <c r="G26" s="49"/>
      <c r="H26" s="16" t="s">
        <v>2</v>
      </c>
      <c r="I26" s="5">
        <v>1812.29</v>
      </c>
      <c r="J26" s="5">
        <v>42857.97</v>
      </c>
      <c r="K26" s="5">
        <v>71.95</v>
      </c>
      <c r="L26" s="5">
        <v>1.5</v>
      </c>
      <c r="M26" s="5">
        <v>44743.71</v>
      </c>
      <c r="N26" s="49"/>
    </row>
    <row r="27" spans="1:14">
      <c r="A27" s="16" t="s">
        <v>41</v>
      </c>
      <c r="B27" s="5">
        <v>455340</v>
      </c>
      <c r="C27" s="5">
        <v>711781</v>
      </c>
      <c r="D27" s="5">
        <v>100549</v>
      </c>
      <c r="E27" s="5">
        <v>7</v>
      </c>
      <c r="F27" s="5">
        <v>1267677</v>
      </c>
      <c r="G27" s="49"/>
      <c r="H27" s="16" t="s">
        <v>41</v>
      </c>
      <c r="I27" s="5">
        <v>123370.86</v>
      </c>
      <c r="J27" s="5">
        <v>422696.08</v>
      </c>
      <c r="K27" s="5">
        <v>5137.08</v>
      </c>
      <c r="L27" s="5">
        <v>41.97</v>
      </c>
      <c r="M27" s="5">
        <v>551245.99</v>
      </c>
      <c r="N27" s="49"/>
    </row>
    <row r="28" spans="1:14">
      <c r="A28" s="16" t="s">
        <v>42</v>
      </c>
      <c r="B28" s="5">
        <v>357951</v>
      </c>
      <c r="C28" s="5">
        <v>549797</v>
      </c>
      <c r="D28" s="5">
        <v>78857</v>
      </c>
      <c r="E28" s="5">
        <v>2</v>
      </c>
      <c r="F28" s="5">
        <v>986607</v>
      </c>
      <c r="G28" s="49"/>
      <c r="H28" s="16" t="s">
        <v>42</v>
      </c>
      <c r="I28" s="5">
        <v>124450.14</v>
      </c>
      <c r="J28" s="5">
        <v>348772.8</v>
      </c>
      <c r="K28" s="5">
        <v>6145.91</v>
      </c>
      <c r="L28" s="5">
        <v>25.48</v>
      </c>
      <c r="M28" s="5">
        <v>479394.32999999996</v>
      </c>
      <c r="N28" s="49"/>
    </row>
    <row r="29" spans="1:14">
      <c r="A29" s="16" t="s">
        <v>43</v>
      </c>
      <c r="B29" s="5">
        <v>330649</v>
      </c>
      <c r="C29" s="5">
        <v>458684</v>
      </c>
      <c r="D29" s="5">
        <v>56123</v>
      </c>
      <c r="E29" s="5">
        <v>1</v>
      </c>
      <c r="F29" s="5">
        <v>845457</v>
      </c>
      <c r="G29" s="49"/>
      <c r="H29" s="16" t="s">
        <v>43</v>
      </c>
      <c r="I29" s="5">
        <v>65704.259999999995</v>
      </c>
      <c r="J29" s="5">
        <v>224716.89</v>
      </c>
      <c r="K29" s="5">
        <v>3225.85</v>
      </c>
      <c r="L29" s="5">
        <v>1.5</v>
      </c>
      <c r="M29" s="5">
        <v>293648.5</v>
      </c>
      <c r="N29" s="49"/>
    </row>
    <row r="30" spans="1:14">
      <c r="A30" s="16" t="s">
        <v>44</v>
      </c>
      <c r="B30" s="5">
        <v>276094</v>
      </c>
      <c r="C30" s="5">
        <v>343862</v>
      </c>
      <c r="D30" s="5">
        <v>39000</v>
      </c>
      <c r="E30" s="5">
        <v>0</v>
      </c>
      <c r="F30" s="5">
        <v>658956</v>
      </c>
      <c r="G30" s="49"/>
      <c r="H30" s="16" t="s">
        <v>44</v>
      </c>
      <c r="I30" s="5">
        <v>51703.58</v>
      </c>
      <c r="J30" s="5">
        <v>138049.09</v>
      </c>
      <c r="K30" s="5">
        <v>2678.72</v>
      </c>
      <c r="L30" s="5">
        <v>0</v>
      </c>
      <c r="M30" s="5">
        <v>192431.38999999998</v>
      </c>
      <c r="N30" s="49"/>
    </row>
    <row r="31" spans="1:14">
      <c r="A31" s="16" t="s">
        <v>3</v>
      </c>
      <c r="B31" s="5">
        <v>90082</v>
      </c>
      <c r="C31" s="5">
        <v>102075</v>
      </c>
      <c r="D31" s="5">
        <v>10992</v>
      </c>
      <c r="E31" s="5">
        <v>0</v>
      </c>
      <c r="F31" s="5">
        <v>203149</v>
      </c>
      <c r="G31" s="49"/>
      <c r="H31" s="16" t="s">
        <v>3</v>
      </c>
      <c r="I31" s="5">
        <v>10445.049999999999</v>
      </c>
      <c r="J31" s="5">
        <v>28822.81</v>
      </c>
      <c r="K31" s="5">
        <v>722.52</v>
      </c>
      <c r="L31" s="5">
        <v>0</v>
      </c>
      <c r="M31" s="5">
        <v>39990.379999999997</v>
      </c>
      <c r="N31" s="49"/>
    </row>
    <row r="32" spans="1:14">
      <c r="A32" s="22" t="s">
        <v>216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49"/>
      <c r="H32" s="22" t="s">
        <v>216</v>
      </c>
      <c r="I32" s="5">
        <v>1.5</v>
      </c>
      <c r="J32" s="5">
        <v>6</v>
      </c>
      <c r="K32" s="5">
        <v>0</v>
      </c>
      <c r="L32" s="5">
        <v>0</v>
      </c>
      <c r="M32" s="5">
        <v>7.5</v>
      </c>
      <c r="N32" s="49"/>
    </row>
    <row r="33" spans="1:14">
      <c r="A33" s="20" t="s">
        <v>46</v>
      </c>
      <c r="B33" s="36">
        <v>1649284</v>
      </c>
      <c r="C33" s="36">
        <v>2352628</v>
      </c>
      <c r="D33" s="36">
        <v>308376</v>
      </c>
      <c r="E33" s="36">
        <v>14</v>
      </c>
      <c r="F33" s="36">
        <v>4310302</v>
      </c>
      <c r="G33" s="49"/>
      <c r="H33" s="20" t="s">
        <v>46</v>
      </c>
      <c r="I33" s="36">
        <v>377508.67</v>
      </c>
      <c r="J33" s="36">
        <v>1207083.3700000001</v>
      </c>
      <c r="K33" s="36">
        <v>17983.53</v>
      </c>
      <c r="L33" s="36">
        <v>70.45</v>
      </c>
      <c r="M33" s="36">
        <v>1602646.0199999998</v>
      </c>
      <c r="N33" s="49"/>
    </row>
    <row r="34" spans="1:14">
      <c r="B34" s="46"/>
      <c r="C34" s="47"/>
      <c r="D34" s="47"/>
      <c r="E34" s="47"/>
      <c r="F34" s="48"/>
      <c r="G34" s="48"/>
      <c r="H34" s="3" t="s">
        <v>403</v>
      </c>
      <c r="I34" s="46"/>
      <c r="J34" s="46"/>
      <c r="K34" s="46"/>
      <c r="L34" s="46"/>
      <c r="M34" s="49"/>
    </row>
    <row r="35" spans="1:14">
      <c r="F35" s="3"/>
      <c r="G35" s="48"/>
      <c r="I35" s="6"/>
      <c r="J35" s="6"/>
      <c r="K35" s="6"/>
      <c r="L35" s="6"/>
      <c r="M35" s="3"/>
    </row>
    <row r="36" spans="1:14">
      <c r="A36" s="7" t="s">
        <v>174</v>
      </c>
      <c r="F36" s="3"/>
      <c r="G36" s="48"/>
      <c r="H36" s="7" t="s">
        <v>175</v>
      </c>
      <c r="I36" s="6"/>
      <c r="J36" s="6"/>
      <c r="K36" s="6"/>
      <c r="L36" s="6"/>
      <c r="M36" s="3"/>
    </row>
    <row r="37" spans="1:14" ht="14.25">
      <c r="A37" s="7" t="s">
        <v>434</v>
      </c>
      <c r="F37" s="3"/>
      <c r="G37" s="48"/>
      <c r="H37" s="7" t="s">
        <v>441</v>
      </c>
      <c r="I37" s="6"/>
      <c r="J37" s="6"/>
      <c r="K37" s="6"/>
      <c r="L37" s="6"/>
      <c r="M37" s="3"/>
    </row>
    <row r="38" spans="1:14" ht="25.5">
      <c r="A38" s="8" t="s">
        <v>144</v>
      </c>
      <c r="B38" s="26" t="s">
        <v>422</v>
      </c>
      <c r="C38" s="26" t="s">
        <v>423</v>
      </c>
      <c r="D38" s="26" t="s">
        <v>221</v>
      </c>
      <c r="E38" s="26" t="s">
        <v>217</v>
      </c>
      <c r="F38" s="26" t="s">
        <v>48</v>
      </c>
      <c r="G38" s="48"/>
      <c r="H38" s="8" t="s">
        <v>144</v>
      </c>
      <c r="I38" s="26" t="s">
        <v>422</v>
      </c>
      <c r="J38" s="26" t="s">
        <v>423</v>
      </c>
      <c r="K38" s="26" t="s">
        <v>221</v>
      </c>
      <c r="L38" s="26" t="s">
        <v>217</v>
      </c>
      <c r="M38" s="26" t="s">
        <v>48</v>
      </c>
    </row>
    <row r="39" spans="1:14">
      <c r="A39" s="22" t="s">
        <v>9</v>
      </c>
      <c r="B39" s="5">
        <v>178544</v>
      </c>
      <c r="C39" s="5">
        <v>763850</v>
      </c>
      <c r="D39" s="5">
        <v>179586</v>
      </c>
      <c r="E39" s="5">
        <v>0</v>
      </c>
      <c r="F39" s="4">
        <v>1121980</v>
      </c>
      <c r="G39" s="49"/>
      <c r="H39" s="22" t="s">
        <v>9</v>
      </c>
      <c r="I39" s="4">
        <v>68492.399999999994</v>
      </c>
      <c r="J39" s="4">
        <v>240990.06</v>
      </c>
      <c r="K39" s="4">
        <v>3909.4</v>
      </c>
      <c r="L39" s="5">
        <v>0</v>
      </c>
      <c r="M39" s="4">
        <v>313391.86</v>
      </c>
      <c r="N39" s="49"/>
    </row>
    <row r="40" spans="1:14">
      <c r="A40" s="22" t="s">
        <v>10</v>
      </c>
      <c r="B40" s="5">
        <v>210240</v>
      </c>
      <c r="C40" s="5">
        <v>519163</v>
      </c>
      <c r="D40" s="5">
        <v>52937</v>
      </c>
      <c r="E40" s="5">
        <v>2</v>
      </c>
      <c r="F40" s="5">
        <v>782342</v>
      </c>
      <c r="G40" s="49"/>
      <c r="H40" s="22" t="s">
        <v>10</v>
      </c>
      <c r="I40" s="5">
        <v>48425.26</v>
      </c>
      <c r="J40" s="5">
        <v>175323.27</v>
      </c>
      <c r="K40" s="5">
        <v>2157.06</v>
      </c>
      <c r="L40" s="5">
        <v>0</v>
      </c>
      <c r="M40" s="5">
        <v>225905.59</v>
      </c>
      <c r="N40" s="49"/>
    </row>
    <row r="41" spans="1:14" ht="14.25">
      <c r="A41" s="22" t="s">
        <v>453</v>
      </c>
      <c r="B41" s="5">
        <v>510284</v>
      </c>
      <c r="C41" s="5">
        <v>160037</v>
      </c>
      <c r="D41" s="5">
        <v>2694</v>
      </c>
      <c r="E41" s="5">
        <v>1</v>
      </c>
      <c r="F41" s="5">
        <v>673016</v>
      </c>
      <c r="G41" s="49"/>
      <c r="H41" s="22" t="s">
        <v>455</v>
      </c>
      <c r="I41" s="5">
        <v>51751.55</v>
      </c>
      <c r="J41" s="5">
        <v>215931.24</v>
      </c>
      <c r="K41" s="5">
        <v>2206.5300000000002</v>
      </c>
      <c r="L41" s="5">
        <v>3</v>
      </c>
      <c r="M41" s="5">
        <v>269892.32</v>
      </c>
      <c r="N41" s="49"/>
    </row>
    <row r="42" spans="1:14">
      <c r="A42" s="22" t="s">
        <v>11</v>
      </c>
      <c r="B42" s="5">
        <v>95165</v>
      </c>
      <c r="C42" s="5">
        <v>187272</v>
      </c>
      <c r="D42" s="5">
        <v>15067</v>
      </c>
      <c r="E42" s="5">
        <v>3</v>
      </c>
      <c r="F42" s="5">
        <v>297507</v>
      </c>
      <c r="G42" s="49"/>
      <c r="H42" s="22" t="s">
        <v>11</v>
      </c>
      <c r="I42" s="5">
        <v>37824.32</v>
      </c>
      <c r="J42" s="5">
        <v>92705.78</v>
      </c>
      <c r="K42" s="5">
        <v>623.58000000000004</v>
      </c>
      <c r="L42" s="5">
        <v>0</v>
      </c>
      <c r="M42" s="5">
        <v>131153.68</v>
      </c>
      <c r="N42" s="49"/>
    </row>
    <row r="43" spans="1:14">
      <c r="A43" s="22" t="s">
        <v>12</v>
      </c>
      <c r="B43" s="5">
        <v>136295</v>
      </c>
      <c r="C43" s="5">
        <v>129202</v>
      </c>
      <c r="D43" s="5">
        <v>9482</v>
      </c>
      <c r="E43" s="5">
        <v>0</v>
      </c>
      <c r="F43" s="5">
        <v>274979</v>
      </c>
      <c r="G43" s="49"/>
      <c r="H43" s="22" t="s">
        <v>12</v>
      </c>
      <c r="I43" s="5">
        <v>21934.9</v>
      </c>
      <c r="J43" s="5">
        <v>91491.59</v>
      </c>
      <c r="K43" s="5">
        <v>1675.88</v>
      </c>
      <c r="L43" s="5">
        <v>0</v>
      </c>
      <c r="M43" s="5">
        <v>115102.37</v>
      </c>
      <c r="N43" s="49"/>
    </row>
    <row r="44" spans="1:14">
      <c r="A44" s="22" t="s">
        <v>13</v>
      </c>
      <c r="B44" s="5">
        <v>48755</v>
      </c>
      <c r="C44" s="5">
        <v>104143</v>
      </c>
      <c r="D44" s="5">
        <v>8054</v>
      </c>
      <c r="E44" s="5">
        <v>0</v>
      </c>
      <c r="F44" s="5">
        <v>160952</v>
      </c>
      <c r="G44" s="49"/>
      <c r="H44" s="22" t="s">
        <v>13</v>
      </c>
      <c r="I44" s="5">
        <v>28313.15</v>
      </c>
      <c r="J44" s="5">
        <v>53054.18</v>
      </c>
      <c r="K44" s="5">
        <v>256.33</v>
      </c>
      <c r="L44" s="5">
        <v>0</v>
      </c>
      <c r="M44" s="5">
        <v>81623.66</v>
      </c>
      <c r="N44" s="49"/>
    </row>
    <row r="45" spans="1:14">
      <c r="A45" s="22" t="s">
        <v>159</v>
      </c>
      <c r="B45" s="5">
        <v>63056</v>
      </c>
      <c r="C45" s="5">
        <v>79699</v>
      </c>
      <c r="D45" s="5">
        <v>5605</v>
      </c>
      <c r="E45" s="5">
        <v>0</v>
      </c>
      <c r="F45" s="5">
        <v>148360</v>
      </c>
      <c r="G45" s="49"/>
      <c r="H45" s="22" t="s">
        <v>159</v>
      </c>
      <c r="I45" s="5">
        <v>28388.1</v>
      </c>
      <c r="J45" s="5">
        <v>60714.080000000002</v>
      </c>
      <c r="K45" s="5">
        <v>626.58000000000004</v>
      </c>
      <c r="L45" s="5">
        <v>0</v>
      </c>
      <c r="M45" s="5">
        <v>89728.76</v>
      </c>
      <c r="N45" s="49"/>
    </row>
    <row r="46" spans="1:14">
      <c r="A46" s="22" t="s">
        <v>349</v>
      </c>
      <c r="B46" s="5">
        <v>94987</v>
      </c>
      <c r="C46" s="5">
        <v>50</v>
      </c>
      <c r="D46" s="5">
        <v>0</v>
      </c>
      <c r="E46" s="5">
        <v>7</v>
      </c>
      <c r="F46" s="5">
        <v>95044</v>
      </c>
      <c r="G46" s="49"/>
      <c r="H46" s="22" t="s">
        <v>349</v>
      </c>
      <c r="I46" s="5">
        <v>11755.17</v>
      </c>
      <c r="J46" s="5">
        <v>42676.59</v>
      </c>
      <c r="K46" s="5">
        <v>2374.42</v>
      </c>
      <c r="L46" s="5">
        <v>67.459999999999994</v>
      </c>
      <c r="M46" s="5">
        <v>56873.639999999992</v>
      </c>
      <c r="N46" s="49"/>
    </row>
    <row r="47" spans="1:14">
      <c r="A47" s="22" t="s">
        <v>197</v>
      </c>
      <c r="B47" s="5">
        <v>55515</v>
      </c>
      <c r="C47" s="5">
        <v>40694</v>
      </c>
      <c r="D47" s="5">
        <v>4038</v>
      </c>
      <c r="E47" s="5">
        <v>0</v>
      </c>
      <c r="F47" s="5">
        <v>100247</v>
      </c>
      <c r="G47" s="49"/>
      <c r="H47" s="22" t="s">
        <v>197</v>
      </c>
      <c r="I47" s="5">
        <v>5978.02</v>
      </c>
      <c r="J47" s="5">
        <v>24246.36</v>
      </c>
      <c r="K47" s="5">
        <v>346.27</v>
      </c>
      <c r="L47" s="5">
        <v>0</v>
      </c>
      <c r="M47" s="5">
        <v>30570.65</v>
      </c>
      <c r="N47" s="49"/>
    </row>
    <row r="48" spans="1:14">
      <c r="A48" s="22" t="s">
        <v>162</v>
      </c>
      <c r="B48" s="5">
        <v>62484</v>
      </c>
      <c r="C48" s="5">
        <v>25360</v>
      </c>
      <c r="D48" s="5">
        <v>1230</v>
      </c>
      <c r="E48" s="5">
        <v>0</v>
      </c>
      <c r="F48" s="5">
        <v>89074</v>
      </c>
      <c r="G48" s="49"/>
      <c r="H48" s="22" t="s">
        <v>162</v>
      </c>
      <c r="I48" s="5">
        <v>10698.38</v>
      </c>
      <c r="J48" s="5">
        <v>38212.559999999998</v>
      </c>
      <c r="K48" s="5">
        <v>977.35</v>
      </c>
      <c r="L48" s="5">
        <v>0</v>
      </c>
      <c r="M48" s="5">
        <v>49888.289999999994</v>
      </c>
      <c r="N48" s="49"/>
    </row>
    <row r="49" spans="1:14">
      <c r="A49" s="22" t="s">
        <v>161</v>
      </c>
      <c r="B49" s="5">
        <v>36498</v>
      </c>
      <c r="C49" s="5">
        <v>51753</v>
      </c>
      <c r="D49" s="5">
        <v>3469</v>
      </c>
      <c r="E49" s="5">
        <v>1</v>
      </c>
      <c r="F49" s="5">
        <v>91721</v>
      </c>
      <c r="G49" s="49"/>
      <c r="H49" s="22" t="s">
        <v>161</v>
      </c>
      <c r="I49" s="5">
        <v>13362.1</v>
      </c>
      <c r="J49" s="5">
        <v>29498.86</v>
      </c>
      <c r="K49" s="5">
        <v>424.22</v>
      </c>
      <c r="L49" s="5">
        <v>0</v>
      </c>
      <c r="M49" s="5">
        <v>43285.18</v>
      </c>
      <c r="N49" s="49"/>
    </row>
    <row r="50" spans="1:14">
      <c r="A50" s="22" t="s">
        <v>160</v>
      </c>
      <c r="B50" s="5">
        <v>20133</v>
      </c>
      <c r="C50" s="5">
        <v>62472</v>
      </c>
      <c r="D50" s="5">
        <v>6747</v>
      </c>
      <c r="E50" s="5">
        <v>0</v>
      </c>
      <c r="F50" s="5">
        <v>89352</v>
      </c>
      <c r="G50" s="49"/>
      <c r="H50" s="22" t="s">
        <v>160</v>
      </c>
      <c r="I50" s="5">
        <v>8036.15</v>
      </c>
      <c r="J50" s="5">
        <v>28287.67</v>
      </c>
      <c r="K50" s="5">
        <v>929.38</v>
      </c>
      <c r="L50" s="5">
        <v>0</v>
      </c>
      <c r="M50" s="5">
        <v>37253.199999999997</v>
      </c>
      <c r="N50" s="49"/>
    </row>
    <row r="51" spans="1:14">
      <c r="A51" s="22" t="s">
        <v>31</v>
      </c>
      <c r="B51" s="5">
        <v>137328</v>
      </c>
      <c r="C51" s="5">
        <v>228932</v>
      </c>
      <c r="D51" s="5">
        <v>19467</v>
      </c>
      <c r="E51" s="5">
        <v>0</v>
      </c>
      <c r="F51" s="5">
        <v>385727</v>
      </c>
      <c r="G51" s="49"/>
      <c r="H51" s="22" t="s">
        <v>31</v>
      </c>
      <c r="I51" s="5">
        <v>42409.760000000002</v>
      </c>
      <c r="J51" s="5">
        <v>113837.21</v>
      </c>
      <c r="K51" s="5">
        <v>1476.52</v>
      </c>
      <c r="L51" s="5">
        <v>0</v>
      </c>
      <c r="M51" s="5">
        <v>157723.49</v>
      </c>
      <c r="N51" s="49"/>
    </row>
    <row r="52" spans="1:14">
      <c r="A52" s="22" t="s">
        <v>216</v>
      </c>
      <c r="B52" s="5">
        <v>0</v>
      </c>
      <c r="C52" s="5">
        <v>1</v>
      </c>
      <c r="D52" s="5">
        <v>0</v>
      </c>
      <c r="E52" s="5">
        <v>0</v>
      </c>
      <c r="F52" s="5">
        <v>1</v>
      </c>
      <c r="G52" s="49"/>
      <c r="H52" s="22" t="s">
        <v>216</v>
      </c>
      <c r="I52" s="5">
        <v>139.41</v>
      </c>
      <c r="J52" s="5">
        <v>113.92</v>
      </c>
      <c r="K52" s="5">
        <v>0</v>
      </c>
      <c r="L52" s="5">
        <v>0</v>
      </c>
      <c r="M52" s="5">
        <v>253.32999999999998</v>
      </c>
      <c r="N52" s="49"/>
    </row>
    <row r="53" spans="1:14">
      <c r="A53" s="20" t="s">
        <v>46</v>
      </c>
      <c r="B53" s="36">
        <v>1649284</v>
      </c>
      <c r="C53" s="36">
        <v>2352628</v>
      </c>
      <c r="D53" s="36">
        <v>308376</v>
      </c>
      <c r="E53" s="36">
        <v>14</v>
      </c>
      <c r="F53" s="36">
        <v>4310302</v>
      </c>
      <c r="G53" s="49"/>
      <c r="H53" s="20" t="s">
        <v>46</v>
      </c>
      <c r="I53" s="36">
        <v>377508.67</v>
      </c>
      <c r="J53" s="36">
        <v>1207083.3699999999</v>
      </c>
      <c r="K53" s="36">
        <v>17983.52</v>
      </c>
      <c r="L53" s="36">
        <v>70.459999999999994</v>
      </c>
      <c r="M53" s="36">
        <v>1602646.0199999996</v>
      </c>
      <c r="N53" s="49"/>
    </row>
    <row r="54" spans="1:14" ht="15.95" customHeight="1">
      <c r="A54" s="131" t="s">
        <v>402</v>
      </c>
      <c r="B54" s="131"/>
      <c r="C54" s="131"/>
      <c r="D54" s="131"/>
      <c r="E54" s="131"/>
      <c r="F54" s="131"/>
      <c r="G54" s="48"/>
      <c r="H54" s="96" t="s">
        <v>403</v>
      </c>
      <c r="I54" s="46"/>
      <c r="J54" s="46"/>
      <c r="K54" s="46"/>
      <c r="L54" s="46"/>
      <c r="M54" s="49"/>
    </row>
    <row r="55" spans="1:14" ht="27" customHeight="1">
      <c r="A55" s="130"/>
      <c r="B55" s="130"/>
      <c r="C55" s="130"/>
      <c r="D55" s="130"/>
      <c r="E55" s="130"/>
      <c r="F55" s="130"/>
      <c r="G55" s="48"/>
      <c r="H55" s="130" t="s">
        <v>404</v>
      </c>
      <c r="I55" s="130"/>
      <c r="J55" s="130"/>
      <c r="K55" s="130"/>
      <c r="L55" s="130"/>
      <c r="M55" s="130"/>
    </row>
    <row r="56" spans="1:14">
      <c r="A56" s="7" t="s">
        <v>176</v>
      </c>
      <c r="C56" s="32"/>
      <c r="D56" s="32"/>
      <c r="E56" s="32"/>
      <c r="F56" s="3"/>
      <c r="G56" s="48"/>
      <c r="I56" s="6"/>
      <c r="J56" s="6"/>
      <c r="K56" s="6"/>
      <c r="L56" s="6"/>
    </row>
    <row r="57" spans="1:14">
      <c r="A57" s="7" t="s">
        <v>332</v>
      </c>
      <c r="F57" s="3"/>
      <c r="G57" s="48"/>
      <c r="H57" s="7"/>
      <c r="I57" s="6"/>
      <c r="J57" s="6"/>
      <c r="K57" s="6"/>
      <c r="L57" s="6"/>
    </row>
    <row r="58" spans="1:14" ht="14.25">
      <c r="A58" s="8" t="s">
        <v>169</v>
      </c>
      <c r="B58" s="8" t="s">
        <v>0</v>
      </c>
      <c r="C58" s="8" t="s">
        <v>438</v>
      </c>
      <c r="D58" s="8" t="s">
        <v>45</v>
      </c>
      <c r="E58" s="48"/>
      <c r="F58" s="3"/>
      <c r="G58" s="48"/>
      <c r="H58" s="25"/>
      <c r="I58" s="25"/>
      <c r="J58" s="25"/>
      <c r="K58" s="25"/>
      <c r="L58" s="25"/>
      <c r="M58" s="25"/>
    </row>
    <row r="59" spans="1:14">
      <c r="A59" s="16" t="s">
        <v>30</v>
      </c>
      <c r="B59" s="4">
        <v>23756127</v>
      </c>
      <c r="C59" s="4">
        <v>2682827.31</v>
      </c>
      <c r="D59" s="4">
        <v>26438954.309999999</v>
      </c>
      <c r="E59" s="49"/>
      <c r="F59" s="3"/>
      <c r="G59" s="48"/>
      <c r="H59" s="24"/>
      <c r="I59" s="12"/>
      <c r="J59" s="12"/>
      <c r="K59" s="12"/>
      <c r="L59" s="12"/>
      <c r="M59" s="12"/>
    </row>
    <row r="60" spans="1:14">
      <c r="A60" s="16" t="s">
        <v>29</v>
      </c>
      <c r="B60" s="5">
        <v>30495123</v>
      </c>
      <c r="C60" s="5">
        <v>14439419.619999999</v>
      </c>
      <c r="D60" s="5">
        <v>44934542.619999997</v>
      </c>
      <c r="E60" s="49"/>
      <c r="F60" s="3"/>
      <c r="G60" s="48"/>
      <c r="H60" s="24"/>
      <c r="I60" s="12"/>
      <c r="J60" s="12"/>
      <c r="K60" s="12"/>
      <c r="L60" s="12"/>
      <c r="M60" s="12"/>
    </row>
    <row r="61" spans="1:14">
      <c r="A61" s="16" t="s">
        <v>4</v>
      </c>
      <c r="B61" s="5">
        <v>4896100</v>
      </c>
      <c r="C61" s="5">
        <v>269220.07</v>
      </c>
      <c r="D61" s="5">
        <v>5165320.07</v>
      </c>
      <c r="E61" s="49"/>
      <c r="F61" s="3"/>
      <c r="G61" s="48"/>
      <c r="H61" s="24"/>
      <c r="I61" s="12"/>
      <c r="J61" s="12"/>
      <c r="K61" s="12"/>
      <c r="L61" s="12"/>
      <c r="M61" s="12"/>
    </row>
    <row r="62" spans="1:14">
      <c r="A62" s="16" t="s">
        <v>216</v>
      </c>
      <c r="B62" s="5">
        <v>264</v>
      </c>
      <c r="C62" s="5">
        <v>0</v>
      </c>
      <c r="D62" s="5">
        <v>264</v>
      </c>
      <c r="E62" s="49"/>
      <c r="F62" s="3"/>
      <c r="G62" s="48"/>
      <c r="H62" s="24"/>
      <c r="I62" s="12"/>
      <c r="J62" s="12"/>
      <c r="K62" s="12"/>
      <c r="L62" s="12"/>
      <c r="M62" s="12"/>
    </row>
    <row r="63" spans="1:14">
      <c r="A63" s="20" t="s">
        <v>46</v>
      </c>
      <c r="B63" s="36">
        <v>59147614</v>
      </c>
      <c r="C63" s="36">
        <v>17391467</v>
      </c>
      <c r="D63" s="36">
        <v>76539081</v>
      </c>
      <c r="E63" s="49"/>
      <c r="F63" s="3"/>
      <c r="G63" s="48"/>
      <c r="H63" s="27"/>
      <c r="I63" s="12"/>
      <c r="J63" s="12"/>
      <c r="K63" s="12"/>
      <c r="L63" s="12"/>
      <c r="M63" s="12"/>
    </row>
    <row r="64" spans="1:14">
      <c r="A64" s="3" t="s">
        <v>405</v>
      </c>
      <c r="B64" s="46"/>
      <c r="C64" s="46"/>
      <c r="D64" s="46"/>
      <c r="E64" s="47"/>
      <c r="F64" s="3"/>
      <c r="G64" s="48"/>
      <c r="I64" s="6"/>
      <c r="J64" s="6"/>
      <c r="K64" s="6"/>
      <c r="L64" s="6"/>
    </row>
    <row r="65" spans="1:14">
      <c r="F65" s="3"/>
      <c r="G65" s="48"/>
      <c r="I65" s="6"/>
      <c r="J65" s="6"/>
      <c r="K65" s="6"/>
      <c r="L65" s="6"/>
      <c r="M65" s="3"/>
    </row>
    <row r="66" spans="1:14">
      <c r="A66" s="7" t="s">
        <v>177</v>
      </c>
      <c r="F66" s="3"/>
      <c r="G66" s="48"/>
      <c r="H66" s="7" t="s">
        <v>178</v>
      </c>
      <c r="I66" s="6"/>
      <c r="J66" s="6"/>
      <c r="K66" s="6"/>
      <c r="L66" s="6"/>
      <c r="M66" s="3"/>
    </row>
    <row r="67" spans="1:14" ht="14.25">
      <c r="A67" s="7" t="s">
        <v>435</v>
      </c>
      <c r="F67" s="3"/>
      <c r="G67" s="48"/>
      <c r="H67" s="7" t="s">
        <v>442</v>
      </c>
      <c r="I67" s="6"/>
      <c r="J67" s="6"/>
      <c r="K67" s="6"/>
      <c r="L67" s="6"/>
      <c r="M67" s="3"/>
    </row>
    <row r="68" spans="1:14" ht="25.5">
      <c r="A68" s="26" t="s">
        <v>50</v>
      </c>
      <c r="B68" s="26" t="s">
        <v>422</v>
      </c>
      <c r="C68" s="26" t="s">
        <v>423</v>
      </c>
      <c r="D68" s="26" t="s">
        <v>221</v>
      </c>
      <c r="E68" s="26" t="s">
        <v>217</v>
      </c>
      <c r="F68" s="26" t="s">
        <v>48</v>
      </c>
      <c r="G68" s="48"/>
      <c r="H68" s="26" t="s">
        <v>50</v>
      </c>
      <c r="I68" s="26" t="s">
        <v>422</v>
      </c>
      <c r="J68" s="26" t="s">
        <v>423</v>
      </c>
      <c r="K68" s="26" t="s">
        <v>221</v>
      </c>
      <c r="L68" s="26" t="s">
        <v>217</v>
      </c>
      <c r="M68" s="26" t="s">
        <v>48</v>
      </c>
    </row>
    <row r="69" spans="1:14">
      <c r="A69" s="13" t="s">
        <v>5</v>
      </c>
      <c r="B69" s="4">
        <v>10938520</v>
      </c>
      <c r="C69" s="4">
        <v>12369344</v>
      </c>
      <c r="D69" s="4">
        <v>1796047</v>
      </c>
      <c r="E69" s="4">
        <v>48</v>
      </c>
      <c r="F69" s="14">
        <v>25103959</v>
      </c>
      <c r="G69" s="49"/>
      <c r="H69" s="13" t="s">
        <v>5</v>
      </c>
      <c r="I69" s="4">
        <v>835641.28</v>
      </c>
      <c r="J69" s="4">
        <v>7969267.4100000001</v>
      </c>
      <c r="K69" s="4">
        <v>102272.88</v>
      </c>
      <c r="L69" s="4">
        <v>0</v>
      </c>
      <c r="M69" s="14">
        <v>8907181.5700000003</v>
      </c>
      <c r="N69" s="49"/>
    </row>
    <row r="70" spans="1:14">
      <c r="A70" s="16" t="s">
        <v>6</v>
      </c>
      <c r="B70" s="5">
        <v>12817607</v>
      </c>
      <c r="C70" s="5">
        <v>18125779</v>
      </c>
      <c r="D70" s="5">
        <v>3100053</v>
      </c>
      <c r="E70" s="5">
        <v>216</v>
      </c>
      <c r="F70" s="10">
        <v>34043655</v>
      </c>
      <c r="G70" s="49"/>
      <c r="H70" s="16" t="s">
        <v>6</v>
      </c>
      <c r="I70" s="5">
        <v>1847163.39</v>
      </c>
      <c r="J70" s="5">
        <v>6469654.29</v>
      </c>
      <c r="K70" s="5">
        <v>166947.19</v>
      </c>
      <c r="L70" s="5">
        <v>0</v>
      </c>
      <c r="M70" s="10">
        <v>8483764.8699999992</v>
      </c>
      <c r="N70" s="49"/>
    </row>
    <row r="71" spans="1:14">
      <c r="A71" s="22" t="s">
        <v>216</v>
      </c>
      <c r="B71" s="5">
        <v>0</v>
      </c>
      <c r="C71" s="5">
        <v>0</v>
      </c>
      <c r="D71" s="5">
        <v>0</v>
      </c>
      <c r="E71" s="5">
        <v>0</v>
      </c>
      <c r="F71" s="10">
        <v>0</v>
      </c>
      <c r="G71" s="49"/>
      <c r="H71" s="22" t="s">
        <v>216</v>
      </c>
      <c r="I71" s="5">
        <v>22.63</v>
      </c>
      <c r="J71" s="5">
        <v>497.93</v>
      </c>
      <c r="K71" s="5">
        <v>0</v>
      </c>
      <c r="L71" s="5">
        <v>0</v>
      </c>
      <c r="M71" s="10">
        <v>520.56000000000006</v>
      </c>
      <c r="N71" s="49"/>
    </row>
    <row r="72" spans="1:14">
      <c r="A72" s="20" t="s">
        <v>46</v>
      </c>
      <c r="B72" s="36">
        <v>23756127</v>
      </c>
      <c r="C72" s="36">
        <v>30495123</v>
      </c>
      <c r="D72" s="36">
        <v>4896100</v>
      </c>
      <c r="E72" s="36">
        <v>264</v>
      </c>
      <c r="F72" s="36">
        <v>59147614</v>
      </c>
      <c r="G72" s="49"/>
      <c r="H72" s="20" t="s">
        <v>46</v>
      </c>
      <c r="I72" s="36">
        <v>2682827.2999999998</v>
      </c>
      <c r="J72" s="36">
        <v>14439419.629999999</v>
      </c>
      <c r="K72" s="36">
        <v>269220.07</v>
      </c>
      <c r="L72" s="36">
        <v>0</v>
      </c>
      <c r="M72" s="36">
        <v>17391466.999999996</v>
      </c>
      <c r="N72" s="49"/>
    </row>
    <row r="73" spans="1:14" ht="14.1" customHeight="1">
      <c r="B73" s="46"/>
      <c r="C73" s="46"/>
      <c r="D73" s="46"/>
      <c r="E73" s="46"/>
      <c r="F73" s="49"/>
      <c r="G73" s="48"/>
      <c r="H73" s="3" t="s">
        <v>405</v>
      </c>
      <c r="I73" s="54"/>
      <c r="J73" s="54"/>
      <c r="K73" s="54"/>
      <c r="L73" s="54"/>
      <c r="M73" s="53"/>
    </row>
    <row r="74" spans="1:14">
      <c r="F74" s="3"/>
      <c r="G74" s="48"/>
      <c r="I74" s="6"/>
      <c r="J74" s="6"/>
      <c r="K74" s="6"/>
      <c r="M74" s="3"/>
    </row>
    <row r="75" spans="1:14">
      <c r="A75" s="7" t="s">
        <v>179</v>
      </c>
      <c r="F75" s="3"/>
      <c r="G75" s="48"/>
      <c r="H75" s="7" t="s">
        <v>180</v>
      </c>
      <c r="I75" s="6"/>
      <c r="J75" s="6"/>
      <c r="K75" s="6"/>
      <c r="L75" s="6"/>
      <c r="M75" s="3"/>
    </row>
    <row r="76" spans="1:14" ht="14.25">
      <c r="A76" s="7" t="s">
        <v>436</v>
      </c>
      <c r="F76" s="3"/>
      <c r="G76" s="48"/>
      <c r="H76" s="7" t="s">
        <v>443</v>
      </c>
      <c r="I76" s="6"/>
      <c r="J76" s="6"/>
      <c r="K76" s="6"/>
      <c r="L76" s="6"/>
      <c r="M76" s="3"/>
    </row>
    <row r="77" spans="1:14" ht="25.5">
      <c r="A77" s="15" t="s">
        <v>51</v>
      </c>
      <c r="B77" s="26" t="s">
        <v>422</v>
      </c>
      <c r="C77" s="26" t="s">
        <v>423</v>
      </c>
      <c r="D77" s="26" t="s">
        <v>221</v>
      </c>
      <c r="E77" s="26" t="s">
        <v>217</v>
      </c>
      <c r="F77" s="26" t="s">
        <v>48</v>
      </c>
      <c r="G77" s="48"/>
      <c r="H77" s="15" t="s">
        <v>51</v>
      </c>
      <c r="I77" s="26" t="s">
        <v>422</v>
      </c>
      <c r="J77" s="26" t="s">
        <v>423</v>
      </c>
      <c r="K77" s="26" t="s">
        <v>221</v>
      </c>
      <c r="L77" s="26" t="s">
        <v>217</v>
      </c>
      <c r="M77" s="26" t="s">
        <v>48</v>
      </c>
    </row>
    <row r="78" spans="1:14">
      <c r="A78" s="13" t="s">
        <v>40</v>
      </c>
      <c r="B78" s="4">
        <v>88794</v>
      </c>
      <c r="C78" s="4">
        <v>95362</v>
      </c>
      <c r="D78" s="4">
        <v>13082</v>
      </c>
      <c r="E78" s="4">
        <v>4</v>
      </c>
      <c r="F78" s="4">
        <v>197242</v>
      </c>
      <c r="G78" s="49"/>
      <c r="H78" s="13" t="s">
        <v>40</v>
      </c>
      <c r="I78" s="4">
        <v>74.37</v>
      </c>
      <c r="J78" s="4">
        <v>7659.72</v>
      </c>
      <c r="K78" s="4">
        <v>0</v>
      </c>
      <c r="L78" s="5">
        <v>0</v>
      </c>
      <c r="M78" s="4">
        <v>7734.09</v>
      </c>
      <c r="N78" s="49"/>
    </row>
    <row r="79" spans="1:14">
      <c r="A79" s="16" t="s">
        <v>2</v>
      </c>
      <c r="B79" s="5">
        <v>1276446</v>
      </c>
      <c r="C79" s="5">
        <v>1754029</v>
      </c>
      <c r="D79" s="5">
        <v>298758</v>
      </c>
      <c r="E79" s="5">
        <v>32</v>
      </c>
      <c r="F79" s="5">
        <v>3329265</v>
      </c>
      <c r="G79" s="49"/>
      <c r="H79" s="16" t="s">
        <v>2</v>
      </c>
      <c r="I79" s="5">
        <v>8497.14</v>
      </c>
      <c r="J79" s="5">
        <v>334033.40999999997</v>
      </c>
      <c r="K79" s="5">
        <v>759.83</v>
      </c>
      <c r="L79" s="5">
        <v>0</v>
      </c>
      <c r="M79" s="5">
        <v>343290.38</v>
      </c>
      <c r="N79" s="49"/>
    </row>
    <row r="80" spans="1:14">
      <c r="A80" s="16" t="s">
        <v>41</v>
      </c>
      <c r="B80" s="5">
        <v>5768110</v>
      </c>
      <c r="C80" s="5">
        <v>8507473</v>
      </c>
      <c r="D80" s="5">
        <v>1623709</v>
      </c>
      <c r="E80" s="5">
        <v>138</v>
      </c>
      <c r="F80" s="5">
        <v>15899430</v>
      </c>
      <c r="G80" s="49"/>
      <c r="H80" s="16" t="s">
        <v>41</v>
      </c>
      <c r="I80" s="5">
        <v>698120.46</v>
      </c>
      <c r="J80" s="5">
        <v>4409834.38</v>
      </c>
      <c r="K80" s="5">
        <v>74338.679999999993</v>
      </c>
      <c r="L80" s="5">
        <v>0</v>
      </c>
      <c r="M80" s="5">
        <v>5182293.5199999996</v>
      </c>
      <c r="N80" s="49"/>
    </row>
    <row r="81" spans="1:14">
      <c r="A81" s="16" t="s">
        <v>42</v>
      </c>
      <c r="B81" s="5">
        <v>4797346</v>
      </c>
      <c r="C81" s="5">
        <v>7021713</v>
      </c>
      <c r="D81" s="5">
        <v>1269361</v>
      </c>
      <c r="E81" s="5">
        <v>60</v>
      </c>
      <c r="F81" s="5">
        <v>13088480</v>
      </c>
      <c r="G81" s="49"/>
      <c r="H81" s="16" t="s">
        <v>42</v>
      </c>
      <c r="I81" s="5">
        <v>857044.19</v>
      </c>
      <c r="J81" s="5">
        <v>4195608.09</v>
      </c>
      <c r="K81" s="5">
        <v>93263.25</v>
      </c>
      <c r="L81" s="5">
        <v>0</v>
      </c>
      <c r="M81" s="5">
        <v>5145915.5299999993</v>
      </c>
      <c r="N81" s="49"/>
    </row>
    <row r="82" spans="1:14">
      <c r="A82" s="16" t="s">
        <v>43</v>
      </c>
      <c r="B82" s="5">
        <v>4842757</v>
      </c>
      <c r="C82" s="5">
        <v>6129968</v>
      </c>
      <c r="D82" s="5">
        <v>865093</v>
      </c>
      <c r="E82" s="5">
        <v>30</v>
      </c>
      <c r="F82" s="5">
        <v>11837848</v>
      </c>
      <c r="G82" s="49"/>
      <c r="H82" s="16" t="s">
        <v>43</v>
      </c>
      <c r="I82" s="5">
        <v>484742.91</v>
      </c>
      <c r="J82" s="5">
        <v>2837738.5</v>
      </c>
      <c r="K82" s="5">
        <v>45730.34</v>
      </c>
      <c r="L82" s="5">
        <v>0</v>
      </c>
      <c r="M82" s="5">
        <v>3368211.75</v>
      </c>
      <c r="N82" s="49"/>
    </row>
    <row r="83" spans="1:14">
      <c r="A83" s="16" t="s">
        <v>44</v>
      </c>
      <c r="B83" s="5">
        <v>4987820</v>
      </c>
      <c r="C83" s="5">
        <v>5181701</v>
      </c>
      <c r="D83" s="5">
        <v>630885</v>
      </c>
      <c r="E83" s="5">
        <v>0</v>
      </c>
      <c r="F83" s="5">
        <v>10800406</v>
      </c>
      <c r="G83" s="49"/>
      <c r="H83" s="16" t="s">
        <v>44</v>
      </c>
      <c r="I83" s="5">
        <v>508312.14</v>
      </c>
      <c r="J83" s="5">
        <v>2102354.12</v>
      </c>
      <c r="K83" s="5">
        <v>43633.54</v>
      </c>
      <c r="L83" s="5">
        <v>0</v>
      </c>
      <c r="M83" s="5">
        <v>2654299.8000000003</v>
      </c>
      <c r="N83" s="49"/>
    </row>
    <row r="84" spans="1:14">
      <c r="A84" s="16" t="s">
        <v>3</v>
      </c>
      <c r="B84" s="5">
        <v>1994854</v>
      </c>
      <c r="C84" s="5">
        <v>1804877</v>
      </c>
      <c r="D84" s="5">
        <v>195212</v>
      </c>
      <c r="E84" s="5">
        <v>0</v>
      </c>
      <c r="F84" s="5">
        <v>3994943</v>
      </c>
      <c r="G84" s="49"/>
      <c r="H84" s="16" t="s">
        <v>3</v>
      </c>
      <c r="I84" s="5">
        <v>126036.1</v>
      </c>
      <c r="J84" s="5">
        <v>552099.26</v>
      </c>
      <c r="K84" s="5">
        <v>11494.42</v>
      </c>
      <c r="L84" s="5">
        <v>0</v>
      </c>
      <c r="M84" s="5">
        <v>689629.78</v>
      </c>
      <c r="N84" s="49"/>
    </row>
    <row r="85" spans="1:14">
      <c r="A85" s="22" t="s">
        <v>216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49"/>
      <c r="H85" s="22" t="s">
        <v>216</v>
      </c>
      <c r="I85" s="5">
        <v>0</v>
      </c>
      <c r="J85" s="5">
        <v>92.15</v>
      </c>
      <c r="K85" s="5">
        <v>0</v>
      </c>
      <c r="L85" s="5">
        <v>0</v>
      </c>
      <c r="M85" s="5">
        <v>92.15</v>
      </c>
      <c r="N85" s="49"/>
    </row>
    <row r="86" spans="1:14">
      <c r="A86" s="20" t="s">
        <v>46</v>
      </c>
      <c r="B86" s="36">
        <v>23756127</v>
      </c>
      <c r="C86" s="36">
        <v>30495123</v>
      </c>
      <c r="D86" s="36">
        <v>4896100</v>
      </c>
      <c r="E86" s="36">
        <v>264</v>
      </c>
      <c r="F86" s="36">
        <v>59147614</v>
      </c>
      <c r="G86" s="49"/>
      <c r="H86" s="20" t="s">
        <v>46</v>
      </c>
      <c r="I86" s="36">
        <v>2682827.31</v>
      </c>
      <c r="J86" s="36">
        <v>14439419.629999999</v>
      </c>
      <c r="K86" s="36">
        <v>269220.06</v>
      </c>
      <c r="L86" s="36">
        <v>0</v>
      </c>
      <c r="M86" s="36">
        <v>17391467</v>
      </c>
      <c r="N86" s="49"/>
    </row>
    <row r="87" spans="1:14">
      <c r="B87" s="46"/>
      <c r="C87" s="47"/>
      <c r="D87" s="47"/>
      <c r="E87" s="47"/>
      <c r="F87" s="48"/>
      <c r="G87" s="48"/>
      <c r="H87" s="3" t="s">
        <v>405</v>
      </c>
      <c r="I87" s="46"/>
      <c r="J87" s="47"/>
      <c r="K87" s="69"/>
      <c r="L87" s="47"/>
      <c r="M87" s="48"/>
    </row>
    <row r="88" spans="1:14">
      <c r="F88" s="3"/>
      <c r="G88" s="48"/>
      <c r="I88" s="6"/>
      <c r="J88" s="6"/>
      <c r="K88" s="6"/>
      <c r="L88" s="6"/>
      <c r="M88" s="3"/>
    </row>
    <row r="89" spans="1:14">
      <c r="A89" s="7" t="s">
        <v>181</v>
      </c>
      <c r="F89" s="3"/>
      <c r="G89" s="48"/>
      <c r="H89" s="7" t="s">
        <v>182</v>
      </c>
      <c r="I89" s="6"/>
      <c r="J89" s="6"/>
      <c r="K89" s="6"/>
      <c r="L89" s="6"/>
      <c r="M89" s="3"/>
    </row>
    <row r="90" spans="1:14" ht="14.25">
      <c r="A90" s="7" t="s">
        <v>437</v>
      </c>
      <c r="F90" s="3"/>
      <c r="G90" s="48"/>
      <c r="H90" s="7" t="s">
        <v>444</v>
      </c>
      <c r="I90" s="6"/>
      <c r="J90" s="6"/>
      <c r="K90" s="6"/>
      <c r="L90" s="6"/>
      <c r="M90" s="3"/>
    </row>
    <row r="91" spans="1:14" ht="25.5">
      <c r="A91" s="8" t="s">
        <v>144</v>
      </c>
      <c r="B91" s="26" t="s">
        <v>422</v>
      </c>
      <c r="C91" s="26" t="s">
        <v>423</v>
      </c>
      <c r="D91" s="26" t="s">
        <v>221</v>
      </c>
      <c r="E91" s="26" t="s">
        <v>217</v>
      </c>
      <c r="F91" s="26" t="s">
        <v>48</v>
      </c>
      <c r="G91" s="48"/>
      <c r="H91" s="8" t="s">
        <v>144</v>
      </c>
      <c r="I91" s="26" t="s">
        <v>422</v>
      </c>
      <c r="J91" s="26" t="s">
        <v>423</v>
      </c>
      <c r="K91" s="26" t="s">
        <v>221</v>
      </c>
      <c r="L91" s="26" t="s">
        <v>217</v>
      </c>
      <c r="M91" s="26" t="s">
        <v>48</v>
      </c>
    </row>
    <row r="92" spans="1:14">
      <c r="A92" s="22" t="s">
        <v>9</v>
      </c>
      <c r="B92" s="5">
        <v>3411208</v>
      </c>
      <c r="C92" s="4">
        <v>14056010</v>
      </c>
      <c r="D92" s="4">
        <v>3570306</v>
      </c>
      <c r="E92" s="5">
        <v>0</v>
      </c>
      <c r="F92" s="4">
        <v>21037524</v>
      </c>
      <c r="G92" s="49"/>
      <c r="H92" s="22" t="s">
        <v>9</v>
      </c>
      <c r="I92" s="4">
        <v>673772.01</v>
      </c>
      <c r="J92" s="4">
        <v>3269655.57</v>
      </c>
      <c r="K92" s="4">
        <v>47290.41</v>
      </c>
      <c r="L92" s="5">
        <v>0</v>
      </c>
      <c r="M92" s="4">
        <v>3990717.99</v>
      </c>
      <c r="N92" s="49"/>
    </row>
    <row r="93" spans="1:14">
      <c r="A93" s="22" t="s">
        <v>10</v>
      </c>
      <c r="B93" s="5">
        <v>3657659</v>
      </c>
      <c r="C93" s="5">
        <v>6522288</v>
      </c>
      <c r="D93" s="5">
        <v>594414</v>
      </c>
      <c r="E93" s="5">
        <v>32</v>
      </c>
      <c r="F93" s="5">
        <v>10774393</v>
      </c>
      <c r="G93" s="49"/>
      <c r="H93" s="22" t="s">
        <v>10</v>
      </c>
      <c r="I93" s="5">
        <v>325157.96999999997</v>
      </c>
      <c r="J93" s="5">
        <v>2179979.4700000002</v>
      </c>
      <c r="K93" s="5">
        <v>30388.28</v>
      </c>
      <c r="L93" s="5">
        <v>0</v>
      </c>
      <c r="M93" s="5">
        <v>2535525.7200000002</v>
      </c>
      <c r="N93" s="49"/>
    </row>
    <row r="94" spans="1:14" ht="15" customHeight="1">
      <c r="A94" s="22" t="s">
        <v>453</v>
      </c>
      <c r="B94" s="5">
        <v>3134707</v>
      </c>
      <c r="C94" s="5">
        <v>904115</v>
      </c>
      <c r="D94" s="5">
        <v>20071</v>
      </c>
      <c r="E94" s="5">
        <v>14</v>
      </c>
      <c r="F94" s="5">
        <v>4058907</v>
      </c>
      <c r="G94" s="49"/>
      <c r="H94" s="22" t="s">
        <v>455</v>
      </c>
      <c r="I94" s="5">
        <v>272611.81</v>
      </c>
      <c r="J94" s="5">
        <v>1647897.64</v>
      </c>
      <c r="K94" s="5">
        <v>14905.57</v>
      </c>
      <c r="L94" s="5">
        <v>0</v>
      </c>
      <c r="M94" s="5">
        <v>1935415.02</v>
      </c>
      <c r="N94" s="49"/>
    </row>
    <row r="95" spans="1:14" ht="15" customHeight="1">
      <c r="A95" s="22" t="s">
        <v>11</v>
      </c>
      <c r="B95" s="5">
        <v>496975</v>
      </c>
      <c r="C95" s="5">
        <v>781122</v>
      </c>
      <c r="D95" s="5">
        <v>78596</v>
      </c>
      <c r="E95" s="5">
        <v>6</v>
      </c>
      <c r="F95" s="5">
        <v>1356699</v>
      </c>
      <c r="G95" s="49"/>
      <c r="H95" s="22" t="s">
        <v>11</v>
      </c>
      <c r="I95" s="5">
        <v>76108.92</v>
      </c>
      <c r="J95" s="5">
        <v>383614.63</v>
      </c>
      <c r="K95" s="5">
        <v>3474.19</v>
      </c>
      <c r="L95" s="5">
        <v>0</v>
      </c>
      <c r="M95" s="5">
        <v>463197.74</v>
      </c>
      <c r="N95" s="49"/>
    </row>
    <row r="96" spans="1:14" ht="15" customHeight="1">
      <c r="A96" s="22" t="s">
        <v>12</v>
      </c>
      <c r="B96" s="5">
        <v>2706228</v>
      </c>
      <c r="C96" s="5">
        <v>1942010</v>
      </c>
      <c r="D96" s="5">
        <v>122520</v>
      </c>
      <c r="E96" s="5">
        <v>0</v>
      </c>
      <c r="F96" s="5">
        <v>4770758</v>
      </c>
      <c r="G96" s="49"/>
      <c r="H96" s="22" t="s">
        <v>12</v>
      </c>
      <c r="I96" s="5">
        <v>243586.37</v>
      </c>
      <c r="J96" s="5">
        <v>1571686.87</v>
      </c>
      <c r="K96" s="5">
        <v>26893.07</v>
      </c>
      <c r="L96" s="5">
        <v>0</v>
      </c>
      <c r="M96" s="5">
        <v>1842166.3100000003</v>
      </c>
      <c r="N96" s="49"/>
    </row>
    <row r="97" spans="1:14" ht="15" customHeight="1">
      <c r="A97" s="22" t="s">
        <v>13</v>
      </c>
      <c r="B97" s="5">
        <v>247024</v>
      </c>
      <c r="C97" s="5">
        <v>220921</v>
      </c>
      <c r="D97" s="5">
        <v>20470</v>
      </c>
      <c r="E97" s="5">
        <v>0</v>
      </c>
      <c r="F97" s="5">
        <v>488415</v>
      </c>
      <c r="G97" s="49"/>
      <c r="H97" s="22" t="s">
        <v>13</v>
      </c>
      <c r="I97" s="5">
        <v>24510.12</v>
      </c>
      <c r="J97" s="5">
        <v>139231.24</v>
      </c>
      <c r="K97" s="5">
        <v>2437.92</v>
      </c>
      <c r="L97" s="5">
        <v>0</v>
      </c>
      <c r="M97" s="5">
        <v>166179.28</v>
      </c>
      <c r="N97" s="49"/>
    </row>
    <row r="98" spans="1:14" ht="15" customHeight="1">
      <c r="A98" s="22" t="s">
        <v>159</v>
      </c>
      <c r="B98" s="5">
        <v>721909</v>
      </c>
      <c r="C98" s="5">
        <v>553606</v>
      </c>
      <c r="D98" s="5">
        <v>35218</v>
      </c>
      <c r="E98" s="5">
        <v>0</v>
      </c>
      <c r="F98" s="5">
        <v>1310733</v>
      </c>
      <c r="G98" s="49"/>
      <c r="H98" s="22" t="s">
        <v>159</v>
      </c>
      <c r="I98" s="5">
        <v>87680.94</v>
      </c>
      <c r="J98" s="5">
        <v>458709.91</v>
      </c>
      <c r="K98" s="5">
        <v>6534.52</v>
      </c>
      <c r="L98" s="5">
        <v>0</v>
      </c>
      <c r="M98" s="5">
        <v>552925.37</v>
      </c>
      <c r="N98" s="49"/>
    </row>
    <row r="99" spans="1:14" ht="15" customHeight="1">
      <c r="A99" s="22" t="s">
        <v>349</v>
      </c>
      <c r="B99" s="5">
        <v>2791788</v>
      </c>
      <c r="C99" s="5">
        <v>1440</v>
      </c>
      <c r="D99" s="5">
        <v>0</v>
      </c>
      <c r="E99" s="5">
        <v>210</v>
      </c>
      <c r="F99" s="5">
        <v>2793438</v>
      </c>
      <c r="G99" s="49"/>
      <c r="H99" s="22" t="s">
        <v>349</v>
      </c>
      <c r="I99" s="5">
        <v>283053.78999999998</v>
      </c>
      <c r="J99" s="5">
        <v>1249029.8600000001</v>
      </c>
      <c r="K99" s="5">
        <v>69278.55</v>
      </c>
      <c r="L99" s="5">
        <v>0</v>
      </c>
      <c r="M99" s="5">
        <v>1601362.2000000002</v>
      </c>
      <c r="N99" s="49"/>
    </row>
    <row r="100" spans="1:14" ht="15" customHeight="1">
      <c r="A100" s="22" t="s">
        <v>197</v>
      </c>
      <c r="B100" s="5">
        <v>1431972</v>
      </c>
      <c r="C100" s="5">
        <v>689861</v>
      </c>
      <c r="D100" s="5">
        <v>57585</v>
      </c>
      <c r="E100" s="5">
        <v>0</v>
      </c>
      <c r="F100" s="5">
        <v>2179418</v>
      </c>
      <c r="G100" s="49"/>
      <c r="H100" s="22" t="s">
        <v>197</v>
      </c>
      <c r="I100" s="5">
        <v>74377.48</v>
      </c>
      <c r="J100" s="5">
        <v>470642.44</v>
      </c>
      <c r="K100" s="5">
        <v>5638.9</v>
      </c>
      <c r="L100" s="5">
        <v>0</v>
      </c>
      <c r="M100" s="5">
        <v>550658.82000000007</v>
      </c>
      <c r="N100" s="49"/>
    </row>
    <row r="101" spans="1:14" ht="15" customHeight="1">
      <c r="A101" s="22" t="s">
        <v>162</v>
      </c>
      <c r="B101" s="5">
        <v>2170743</v>
      </c>
      <c r="C101" s="5">
        <v>646701</v>
      </c>
      <c r="D101" s="5">
        <v>24229</v>
      </c>
      <c r="E101" s="5">
        <v>0</v>
      </c>
      <c r="F101" s="5">
        <v>2841673</v>
      </c>
      <c r="G101" s="49"/>
      <c r="H101" s="22" t="s">
        <v>162</v>
      </c>
      <c r="I101" s="5">
        <v>229781.75</v>
      </c>
      <c r="J101" s="5">
        <v>1127607.7</v>
      </c>
      <c r="K101" s="5">
        <v>25236</v>
      </c>
      <c r="L101" s="5">
        <v>0</v>
      </c>
      <c r="M101" s="5">
        <v>1382625.45</v>
      </c>
      <c r="N101" s="49"/>
    </row>
    <row r="102" spans="1:14" ht="15" customHeight="1">
      <c r="A102" s="22" t="s">
        <v>161</v>
      </c>
      <c r="B102" s="5">
        <v>509695</v>
      </c>
      <c r="C102" s="5">
        <v>543313</v>
      </c>
      <c r="D102" s="5">
        <v>30063</v>
      </c>
      <c r="E102" s="5">
        <v>2</v>
      </c>
      <c r="F102" s="5">
        <v>1083073</v>
      </c>
      <c r="G102" s="49"/>
      <c r="H102" s="22" t="s">
        <v>161</v>
      </c>
      <c r="I102" s="5">
        <v>63232.26</v>
      </c>
      <c r="J102" s="5">
        <v>280481.69</v>
      </c>
      <c r="K102" s="5">
        <v>5168.45</v>
      </c>
      <c r="L102" s="5">
        <v>0</v>
      </c>
      <c r="M102" s="5">
        <v>348882.4</v>
      </c>
      <c r="N102" s="49"/>
    </row>
    <row r="103" spans="1:14" ht="15" customHeight="1">
      <c r="A103" s="22" t="s">
        <v>160</v>
      </c>
      <c r="B103" s="5">
        <v>315733</v>
      </c>
      <c r="C103" s="5">
        <v>1064284</v>
      </c>
      <c r="D103" s="5">
        <v>121099</v>
      </c>
      <c r="E103" s="5">
        <v>0</v>
      </c>
      <c r="F103" s="5">
        <v>1501116</v>
      </c>
      <c r="G103" s="49"/>
      <c r="H103" s="22" t="s">
        <v>160</v>
      </c>
      <c r="I103" s="5">
        <v>88990.43</v>
      </c>
      <c r="J103" s="5">
        <v>440170.1</v>
      </c>
      <c r="K103" s="5">
        <v>12823.31</v>
      </c>
      <c r="L103" s="5">
        <v>0</v>
      </c>
      <c r="M103" s="5">
        <v>541983.84000000008</v>
      </c>
      <c r="N103" s="49"/>
    </row>
    <row r="104" spans="1:14" ht="15" customHeight="1">
      <c r="A104" s="22" t="s">
        <v>31</v>
      </c>
      <c r="B104" s="5">
        <v>2160486</v>
      </c>
      <c r="C104" s="5">
        <v>2569438</v>
      </c>
      <c r="D104" s="5">
        <v>221529</v>
      </c>
      <c r="E104" s="5">
        <v>0</v>
      </c>
      <c r="F104" s="5">
        <v>4951453</v>
      </c>
      <c r="G104" s="49"/>
      <c r="H104" s="22" t="s">
        <v>31</v>
      </c>
      <c r="I104" s="5">
        <v>239935.97</v>
      </c>
      <c r="J104" s="5">
        <v>1220625.22</v>
      </c>
      <c r="K104" s="5">
        <v>19150.900000000001</v>
      </c>
      <c r="L104" s="5">
        <v>0</v>
      </c>
      <c r="M104" s="5">
        <v>1479712.0899999999</v>
      </c>
      <c r="N104" s="49"/>
    </row>
    <row r="105" spans="1:14" ht="15" customHeight="1">
      <c r="A105" s="22" t="s">
        <v>216</v>
      </c>
      <c r="B105" s="5">
        <v>0</v>
      </c>
      <c r="C105" s="5">
        <v>14</v>
      </c>
      <c r="D105" s="5">
        <v>0</v>
      </c>
      <c r="E105" s="5">
        <v>0</v>
      </c>
      <c r="F105" s="5">
        <v>14</v>
      </c>
      <c r="G105" s="49"/>
      <c r="H105" s="22" t="s">
        <v>216</v>
      </c>
      <c r="I105" s="5">
        <v>27.48</v>
      </c>
      <c r="J105" s="5">
        <v>87.3</v>
      </c>
      <c r="K105" s="5">
        <v>0</v>
      </c>
      <c r="L105" s="5">
        <v>0</v>
      </c>
      <c r="M105" s="5">
        <v>114.78</v>
      </c>
      <c r="N105" s="49"/>
    </row>
    <row r="106" spans="1:14" ht="15" customHeight="1">
      <c r="A106" s="20" t="s">
        <v>46</v>
      </c>
      <c r="B106" s="36">
        <v>23756127</v>
      </c>
      <c r="C106" s="36">
        <v>30495123</v>
      </c>
      <c r="D106" s="36">
        <v>4896100</v>
      </c>
      <c r="E106" s="36">
        <v>264</v>
      </c>
      <c r="F106" s="36">
        <v>59147614</v>
      </c>
      <c r="G106" s="49"/>
      <c r="H106" s="20" t="s">
        <v>46</v>
      </c>
      <c r="I106" s="36">
        <v>2682827.3000000003</v>
      </c>
      <c r="J106" s="36">
        <v>14439419.639999999</v>
      </c>
      <c r="K106" s="36">
        <v>269220.07</v>
      </c>
      <c r="L106" s="36">
        <v>0</v>
      </c>
      <c r="M106" s="36">
        <v>17391467.009999998</v>
      </c>
      <c r="N106" s="49"/>
    </row>
    <row r="107" spans="1:14" ht="15" customHeight="1">
      <c r="A107" s="131" t="s">
        <v>402</v>
      </c>
      <c r="B107" s="131"/>
      <c r="C107" s="131"/>
      <c r="D107" s="131"/>
      <c r="E107" s="131"/>
      <c r="F107" s="131"/>
      <c r="H107" s="3" t="s">
        <v>405</v>
      </c>
      <c r="I107" s="46"/>
      <c r="J107" s="46"/>
      <c r="K107" s="46"/>
      <c r="L107" s="46"/>
      <c r="M107" s="46"/>
    </row>
    <row r="108" spans="1:14" ht="30.95" customHeight="1">
      <c r="A108" s="130"/>
      <c r="B108" s="130"/>
      <c r="C108" s="130"/>
      <c r="D108" s="130"/>
      <c r="E108" s="130"/>
      <c r="F108" s="130"/>
      <c r="H108" s="130" t="s">
        <v>404</v>
      </c>
      <c r="I108" s="130"/>
      <c r="J108" s="130"/>
      <c r="K108" s="130"/>
      <c r="L108" s="130"/>
      <c r="M108" s="130"/>
    </row>
    <row r="109" spans="1:14" ht="15" customHeight="1"/>
    <row r="110" spans="1:14" ht="15" customHeight="1"/>
    <row r="111" spans="1:14" ht="15" customHeight="1"/>
    <row r="112" spans="1:14" ht="15" customHeight="1"/>
    <row r="113" spans="2:13" ht="15" customHeight="1"/>
    <row r="114" spans="2:13" ht="15" customHeight="1"/>
    <row r="115" spans="2:13" ht="15" customHeight="1"/>
    <row r="116" spans="2:13" ht="15" customHeight="1"/>
    <row r="117" spans="2:13" ht="15" customHeight="1"/>
    <row r="118" spans="2:13" ht="15" customHeight="1"/>
    <row r="119" spans="2:13" ht="15" customHeight="1">
      <c r="B119" s="3"/>
      <c r="C119" s="3"/>
      <c r="D119" s="3"/>
      <c r="E119" s="3"/>
      <c r="F119" s="3"/>
      <c r="G119" s="48"/>
      <c r="M119" s="3"/>
    </row>
    <row r="120" spans="2:13" ht="15" customHeight="1">
      <c r="B120" s="3"/>
      <c r="C120" s="3"/>
      <c r="D120" s="3"/>
      <c r="E120" s="3"/>
      <c r="F120" s="3"/>
      <c r="G120" s="48"/>
      <c r="M120" s="3"/>
    </row>
    <row r="121" spans="2:13" ht="15" customHeight="1">
      <c r="B121" s="3"/>
      <c r="C121" s="3"/>
      <c r="D121" s="3"/>
      <c r="E121" s="3"/>
      <c r="F121" s="3"/>
      <c r="G121" s="48"/>
      <c r="M121" s="3"/>
    </row>
    <row r="122" spans="2:13" ht="15" customHeight="1">
      <c r="B122" s="3"/>
      <c r="C122" s="3"/>
      <c r="D122" s="3"/>
      <c r="E122" s="3"/>
      <c r="F122" s="3"/>
      <c r="G122" s="48"/>
      <c r="M122" s="3"/>
    </row>
    <row r="123" spans="2:13" ht="15" customHeight="1">
      <c r="B123" s="3"/>
      <c r="C123" s="3"/>
      <c r="D123" s="3"/>
      <c r="E123" s="3"/>
      <c r="F123" s="3"/>
      <c r="G123" s="48"/>
      <c r="M123" s="3"/>
    </row>
    <row r="124" spans="2:13" ht="15" customHeight="1">
      <c r="B124" s="3"/>
      <c r="C124" s="3"/>
      <c r="D124" s="3"/>
      <c r="E124" s="3"/>
      <c r="F124" s="3"/>
      <c r="G124" s="48"/>
      <c r="M124" s="3"/>
    </row>
    <row r="125" spans="2:13" ht="15" customHeight="1">
      <c r="B125" s="3"/>
      <c r="C125" s="3"/>
      <c r="D125" s="3"/>
      <c r="E125" s="3"/>
      <c r="F125" s="3"/>
      <c r="G125" s="48"/>
      <c r="M125" s="3"/>
    </row>
    <row r="126" spans="2:13" ht="15" customHeight="1">
      <c r="B126" s="3"/>
      <c r="C126" s="3"/>
      <c r="D126" s="3"/>
      <c r="E126" s="3"/>
      <c r="F126" s="3"/>
      <c r="G126" s="48"/>
      <c r="M126" s="3"/>
    </row>
    <row r="127" spans="2:13" ht="15" customHeight="1">
      <c r="B127" s="3"/>
      <c r="C127" s="3"/>
      <c r="D127" s="3"/>
      <c r="E127" s="3"/>
      <c r="F127" s="3"/>
      <c r="G127" s="48"/>
      <c r="M127" s="3"/>
    </row>
    <row r="128" spans="2:13" ht="15" customHeight="1">
      <c r="B128" s="3"/>
      <c r="C128" s="3"/>
      <c r="D128" s="3"/>
      <c r="E128" s="3"/>
      <c r="F128" s="3"/>
      <c r="G128" s="48"/>
      <c r="M128" s="3"/>
    </row>
    <row r="129" spans="2:13" ht="15" customHeight="1">
      <c r="B129" s="3"/>
      <c r="C129" s="3"/>
      <c r="D129" s="3"/>
      <c r="E129" s="3"/>
      <c r="F129" s="3"/>
      <c r="G129" s="48"/>
      <c r="M129" s="3"/>
    </row>
    <row r="130" spans="2:13" ht="15" customHeight="1">
      <c r="B130" s="3"/>
      <c r="C130" s="3"/>
      <c r="D130" s="3"/>
      <c r="E130" s="3"/>
      <c r="F130" s="3"/>
      <c r="G130" s="48"/>
      <c r="M130" s="3"/>
    </row>
    <row r="131" spans="2:13" ht="15" customHeight="1">
      <c r="B131" s="3"/>
      <c r="C131" s="3"/>
      <c r="D131" s="3"/>
      <c r="E131" s="3"/>
      <c r="F131" s="3"/>
      <c r="G131" s="48"/>
      <c r="M131" s="3"/>
    </row>
    <row r="132" spans="2:13" ht="15" customHeight="1">
      <c r="B132" s="3"/>
      <c r="C132" s="3"/>
      <c r="D132" s="3"/>
      <c r="E132" s="3"/>
      <c r="F132" s="3"/>
      <c r="G132" s="48"/>
      <c r="M132" s="3"/>
    </row>
    <row r="133" spans="2:13" ht="15" customHeight="1">
      <c r="B133" s="3"/>
      <c r="C133" s="3"/>
      <c r="D133" s="3"/>
      <c r="E133" s="3"/>
      <c r="F133" s="3"/>
      <c r="G133" s="48"/>
      <c r="M133" s="3"/>
    </row>
    <row r="134" spans="2:13" ht="15" customHeight="1">
      <c r="B134" s="3"/>
      <c r="C134" s="3"/>
      <c r="D134" s="3"/>
      <c r="E134" s="3"/>
      <c r="F134" s="3"/>
      <c r="G134" s="48"/>
      <c r="M134" s="3"/>
    </row>
    <row r="135" spans="2:13" ht="15" customHeight="1">
      <c r="B135" s="3"/>
      <c r="C135" s="3"/>
      <c r="D135" s="3"/>
      <c r="E135" s="3"/>
      <c r="F135" s="3"/>
      <c r="G135" s="48"/>
      <c r="M135" s="3"/>
    </row>
    <row r="136" spans="2:13" ht="15" customHeight="1">
      <c r="B136" s="3"/>
      <c r="C136" s="3"/>
      <c r="D136" s="3"/>
      <c r="E136" s="3"/>
      <c r="F136" s="3"/>
      <c r="G136" s="48"/>
      <c r="M136" s="3"/>
    </row>
    <row r="137" spans="2:13" ht="15" customHeight="1">
      <c r="B137" s="3"/>
      <c r="C137" s="3"/>
      <c r="D137" s="3"/>
      <c r="E137" s="3"/>
      <c r="F137" s="3"/>
      <c r="G137" s="48"/>
      <c r="M137" s="3"/>
    </row>
    <row r="138" spans="2:13" ht="15" customHeight="1">
      <c r="B138" s="3"/>
      <c r="C138" s="3"/>
      <c r="D138" s="3"/>
      <c r="E138" s="3"/>
      <c r="F138" s="3"/>
      <c r="G138" s="48"/>
      <c r="M138" s="3"/>
    </row>
    <row r="139" spans="2:13" ht="15" customHeight="1">
      <c r="B139" s="3"/>
      <c r="C139" s="3"/>
      <c r="D139" s="3"/>
      <c r="E139" s="3"/>
      <c r="F139" s="3"/>
      <c r="G139" s="48"/>
      <c r="M139" s="3"/>
    </row>
    <row r="140" spans="2:13" ht="15" customHeight="1">
      <c r="B140" s="3"/>
      <c r="C140" s="3"/>
      <c r="D140" s="3"/>
      <c r="E140" s="3"/>
      <c r="F140" s="3"/>
      <c r="G140" s="48"/>
      <c r="M140" s="3"/>
    </row>
    <row r="141" spans="2:13" ht="15" customHeight="1">
      <c r="B141" s="3"/>
      <c r="C141" s="3"/>
      <c r="D141" s="3"/>
      <c r="E141" s="3"/>
      <c r="F141" s="3"/>
      <c r="G141" s="48"/>
      <c r="M141" s="3"/>
    </row>
    <row r="142" spans="2:13" ht="15" customHeight="1">
      <c r="B142" s="3"/>
      <c r="C142" s="3"/>
      <c r="D142" s="3"/>
      <c r="E142" s="3"/>
      <c r="F142" s="3"/>
      <c r="G142" s="48"/>
      <c r="M142" s="3"/>
    </row>
    <row r="143" spans="2:13" ht="15" customHeight="1">
      <c r="B143" s="3"/>
      <c r="C143" s="3"/>
      <c r="D143" s="3"/>
      <c r="E143" s="3"/>
      <c r="F143" s="3"/>
      <c r="G143" s="48"/>
      <c r="M143" s="3"/>
    </row>
    <row r="144" spans="2:13" ht="15" customHeight="1">
      <c r="B144" s="3"/>
      <c r="C144" s="3"/>
      <c r="D144" s="3"/>
      <c r="E144" s="3"/>
      <c r="F144" s="3"/>
      <c r="G144" s="48"/>
      <c r="M144" s="3"/>
    </row>
    <row r="145" spans="2:13" ht="15" customHeight="1">
      <c r="B145" s="3"/>
      <c r="C145" s="3"/>
      <c r="D145" s="3"/>
      <c r="E145" s="3"/>
      <c r="F145" s="3"/>
      <c r="G145" s="48"/>
      <c r="M145" s="3"/>
    </row>
    <row r="146" spans="2:13" ht="15" customHeight="1">
      <c r="B146" s="3"/>
      <c r="C146" s="3"/>
      <c r="D146" s="3"/>
      <c r="E146" s="3"/>
      <c r="F146" s="3"/>
      <c r="G146" s="48"/>
      <c r="M146" s="3"/>
    </row>
    <row r="147" spans="2:13" ht="15" customHeight="1">
      <c r="B147" s="3"/>
      <c r="C147" s="3"/>
      <c r="D147" s="3"/>
      <c r="E147" s="3"/>
      <c r="F147" s="3"/>
      <c r="G147" s="48"/>
      <c r="M147" s="3"/>
    </row>
    <row r="148" spans="2:13" ht="15" customHeight="1">
      <c r="B148" s="3"/>
      <c r="C148" s="3"/>
      <c r="D148" s="3"/>
      <c r="E148" s="3"/>
      <c r="F148" s="3"/>
      <c r="G148" s="48"/>
      <c r="M148" s="3"/>
    </row>
    <row r="149" spans="2:13" ht="15" customHeight="1">
      <c r="B149" s="3"/>
      <c r="C149" s="3"/>
      <c r="D149" s="3"/>
      <c r="E149" s="3"/>
      <c r="F149" s="3"/>
      <c r="G149" s="48"/>
      <c r="M149" s="3"/>
    </row>
    <row r="150" spans="2:13" ht="15" customHeight="1">
      <c r="B150" s="3"/>
      <c r="C150" s="3"/>
      <c r="D150" s="3"/>
      <c r="E150" s="3"/>
      <c r="F150" s="3"/>
      <c r="G150" s="48"/>
      <c r="M150" s="3"/>
    </row>
    <row r="151" spans="2:13" ht="15" customHeight="1">
      <c r="B151" s="3"/>
      <c r="C151" s="3"/>
      <c r="D151" s="3"/>
      <c r="E151" s="3"/>
      <c r="F151" s="3"/>
      <c r="G151" s="48"/>
      <c r="M151" s="3"/>
    </row>
    <row r="152" spans="2:13" ht="15" customHeight="1">
      <c r="B152" s="3"/>
      <c r="C152" s="3"/>
      <c r="D152" s="3"/>
      <c r="E152" s="3"/>
      <c r="F152" s="3"/>
      <c r="G152" s="48"/>
      <c r="M152" s="3"/>
    </row>
    <row r="153" spans="2:13" ht="15" customHeight="1">
      <c r="B153" s="3"/>
      <c r="C153" s="3"/>
      <c r="D153" s="3"/>
      <c r="E153" s="3"/>
      <c r="F153" s="3"/>
      <c r="G153" s="48"/>
      <c r="M153" s="3"/>
    </row>
    <row r="154" spans="2:13" ht="15" customHeight="1">
      <c r="B154" s="3"/>
      <c r="C154" s="3"/>
      <c r="D154" s="3"/>
      <c r="E154" s="3"/>
      <c r="F154" s="3"/>
      <c r="G154" s="48"/>
      <c r="M154" s="3"/>
    </row>
    <row r="155" spans="2:13" ht="15" customHeight="1">
      <c r="B155" s="3"/>
      <c r="C155" s="3"/>
      <c r="D155" s="3"/>
      <c r="E155" s="3"/>
      <c r="F155" s="3"/>
      <c r="G155" s="48"/>
      <c r="M155" s="3"/>
    </row>
    <row r="156" spans="2:13" ht="15" customHeight="1">
      <c r="B156" s="3"/>
      <c r="C156" s="3"/>
      <c r="D156" s="3"/>
      <c r="E156" s="3"/>
      <c r="F156" s="3"/>
      <c r="G156" s="48"/>
      <c r="M156" s="3"/>
    </row>
    <row r="157" spans="2:13" ht="15" customHeight="1">
      <c r="B157" s="3"/>
      <c r="C157" s="3"/>
      <c r="D157" s="3"/>
      <c r="E157" s="3"/>
      <c r="F157" s="3"/>
      <c r="G157" s="48"/>
      <c r="M157" s="3"/>
    </row>
    <row r="158" spans="2:13" ht="15" customHeight="1">
      <c r="B158" s="3"/>
      <c r="C158" s="3"/>
      <c r="D158" s="3"/>
      <c r="E158" s="3"/>
      <c r="F158" s="3"/>
      <c r="G158" s="48"/>
      <c r="M158" s="3"/>
    </row>
    <row r="159" spans="2:13" ht="15" customHeight="1">
      <c r="B159" s="3"/>
      <c r="C159" s="3"/>
      <c r="D159" s="3"/>
      <c r="E159" s="3"/>
      <c r="F159" s="3"/>
      <c r="G159" s="48"/>
      <c r="M159" s="3"/>
    </row>
    <row r="160" spans="2:13" ht="15" customHeight="1">
      <c r="B160" s="3"/>
      <c r="C160" s="3"/>
      <c r="D160" s="3"/>
      <c r="E160" s="3"/>
      <c r="F160" s="3"/>
      <c r="G160" s="48"/>
      <c r="M160" s="3"/>
    </row>
    <row r="161" spans="2:13" ht="15" customHeight="1">
      <c r="B161" s="3"/>
      <c r="C161" s="3"/>
      <c r="D161" s="3"/>
      <c r="E161" s="3"/>
      <c r="F161" s="3"/>
      <c r="G161" s="48"/>
      <c r="M161" s="3"/>
    </row>
    <row r="162" spans="2:13" ht="15" customHeight="1">
      <c r="B162" s="3"/>
      <c r="C162" s="3"/>
      <c r="D162" s="3"/>
      <c r="E162" s="3"/>
      <c r="F162" s="3"/>
      <c r="G162" s="48"/>
      <c r="M162" s="3"/>
    </row>
    <row r="163" spans="2:13" ht="15" customHeight="1">
      <c r="B163" s="3"/>
      <c r="C163" s="3"/>
      <c r="D163" s="3"/>
      <c r="E163" s="3"/>
      <c r="F163" s="3"/>
      <c r="G163" s="48"/>
      <c r="M163" s="3"/>
    </row>
    <row r="164" spans="2:13" ht="15" customHeight="1">
      <c r="B164" s="3"/>
      <c r="C164" s="3"/>
      <c r="D164" s="3"/>
      <c r="E164" s="3"/>
      <c r="F164" s="3"/>
      <c r="G164" s="48"/>
      <c r="M164" s="3"/>
    </row>
    <row r="165" spans="2:13" ht="15" customHeight="1">
      <c r="B165" s="3"/>
      <c r="C165" s="3"/>
      <c r="D165" s="3"/>
      <c r="E165" s="3"/>
      <c r="F165" s="3"/>
      <c r="G165" s="48"/>
      <c r="M165" s="3"/>
    </row>
    <row r="166" spans="2:13" ht="15" customHeight="1">
      <c r="B166" s="3"/>
      <c r="C166" s="3"/>
      <c r="D166" s="3"/>
      <c r="E166" s="3"/>
      <c r="F166" s="3"/>
      <c r="G166" s="48"/>
      <c r="M166" s="3"/>
    </row>
    <row r="167" spans="2:13" ht="15" customHeight="1">
      <c r="B167" s="3"/>
      <c r="C167" s="3"/>
      <c r="D167" s="3"/>
      <c r="E167" s="3"/>
      <c r="F167" s="3"/>
      <c r="G167" s="48"/>
      <c r="M167" s="3"/>
    </row>
    <row r="168" spans="2:13" ht="15" customHeight="1">
      <c r="B168" s="3"/>
      <c r="C168" s="3"/>
      <c r="D168" s="3"/>
      <c r="E168" s="3"/>
      <c r="F168" s="3"/>
      <c r="G168" s="48"/>
      <c r="M168" s="3"/>
    </row>
    <row r="169" spans="2:13" ht="15" customHeight="1">
      <c r="B169" s="3"/>
      <c r="C169" s="3"/>
      <c r="D169" s="3"/>
      <c r="E169" s="3"/>
      <c r="F169" s="3"/>
      <c r="G169" s="48"/>
      <c r="M169" s="3"/>
    </row>
    <row r="170" spans="2:13" ht="15" customHeight="1">
      <c r="B170" s="3"/>
      <c r="C170" s="3"/>
      <c r="D170" s="3"/>
      <c r="E170" s="3"/>
      <c r="F170" s="3"/>
      <c r="G170" s="48"/>
      <c r="M170" s="3"/>
    </row>
    <row r="171" spans="2:13" ht="15" customHeight="1">
      <c r="B171" s="3"/>
      <c r="C171" s="3"/>
      <c r="D171" s="3"/>
      <c r="E171" s="3"/>
      <c r="F171" s="3"/>
      <c r="G171" s="48"/>
      <c r="M171" s="3"/>
    </row>
    <row r="172" spans="2:13" ht="15" customHeight="1">
      <c r="B172" s="3"/>
      <c r="C172" s="3"/>
      <c r="D172" s="3"/>
      <c r="E172" s="3"/>
      <c r="F172" s="3"/>
      <c r="G172" s="48"/>
      <c r="M172" s="3"/>
    </row>
    <row r="173" spans="2:13" ht="15" customHeight="1">
      <c r="B173" s="3"/>
      <c r="C173" s="3"/>
      <c r="D173" s="3"/>
      <c r="E173" s="3"/>
      <c r="F173" s="3"/>
      <c r="G173" s="48"/>
      <c r="M173" s="3"/>
    </row>
    <row r="174" spans="2:13" ht="15" customHeight="1">
      <c r="B174" s="3"/>
      <c r="C174" s="3"/>
      <c r="D174" s="3"/>
      <c r="E174" s="3"/>
      <c r="F174" s="3"/>
      <c r="G174" s="48"/>
      <c r="M174" s="3"/>
    </row>
    <row r="175" spans="2:13" ht="15" customHeight="1">
      <c r="B175" s="3"/>
      <c r="C175" s="3"/>
      <c r="D175" s="3"/>
      <c r="E175" s="3"/>
      <c r="F175" s="3"/>
      <c r="G175" s="48"/>
      <c r="M175" s="3"/>
    </row>
    <row r="176" spans="2:13" ht="15" customHeight="1">
      <c r="B176" s="3"/>
      <c r="C176" s="3"/>
      <c r="D176" s="3"/>
      <c r="E176" s="3"/>
      <c r="F176" s="3"/>
      <c r="G176" s="48"/>
      <c r="M176" s="3"/>
    </row>
    <row r="177" spans="2:13" ht="15" customHeight="1">
      <c r="B177" s="3"/>
      <c r="C177" s="3"/>
      <c r="D177" s="3"/>
      <c r="E177" s="3"/>
      <c r="F177" s="3"/>
      <c r="G177" s="48"/>
      <c r="M177" s="3"/>
    </row>
    <row r="178" spans="2:13" ht="15" customHeight="1">
      <c r="B178" s="3"/>
      <c r="C178" s="3"/>
      <c r="D178" s="3"/>
      <c r="E178" s="3"/>
      <c r="F178" s="3"/>
      <c r="G178" s="48"/>
      <c r="M178" s="3"/>
    </row>
    <row r="179" spans="2:13" ht="15" customHeight="1">
      <c r="B179" s="3"/>
      <c r="C179" s="3"/>
      <c r="D179" s="3"/>
      <c r="E179" s="3"/>
      <c r="F179" s="3"/>
      <c r="G179" s="48"/>
      <c r="M179" s="3"/>
    </row>
    <row r="180" spans="2:13" ht="15" customHeight="1">
      <c r="B180" s="3"/>
      <c r="C180" s="3"/>
      <c r="D180" s="3"/>
      <c r="E180" s="3"/>
      <c r="F180" s="3"/>
      <c r="G180" s="48"/>
      <c r="M180" s="3"/>
    </row>
    <row r="181" spans="2:13" ht="15" customHeight="1">
      <c r="B181" s="3"/>
      <c r="C181" s="3"/>
      <c r="D181" s="3"/>
      <c r="E181" s="3"/>
      <c r="F181" s="3"/>
      <c r="G181" s="48"/>
      <c r="M181" s="3"/>
    </row>
    <row r="182" spans="2:13" ht="15" customHeight="1">
      <c r="B182" s="3"/>
      <c r="C182" s="3"/>
      <c r="D182" s="3"/>
      <c r="E182" s="3"/>
      <c r="F182" s="3"/>
      <c r="G182" s="48"/>
      <c r="M182" s="3"/>
    </row>
    <row r="828" spans="2:13" ht="15" customHeight="1">
      <c r="B828" s="3"/>
      <c r="C828" s="3"/>
      <c r="D828" s="3"/>
      <c r="E828" s="3"/>
      <c r="F828" s="3"/>
      <c r="G828" s="48"/>
      <c r="M828" s="3"/>
    </row>
    <row r="829" spans="2:13" ht="15" customHeight="1">
      <c r="B829" s="3"/>
      <c r="C829" s="3"/>
      <c r="D829" s="3"/>
      <c r="E829" s="3"/>
      <c r="F829" s="3"/>
      <c r="G829" s="48"/>
      <c r="M829" s="3"/>
    </row>
    <row r="830" spans="2:13" ht="15" customHeight="1">
      <c r="B830" s="3"/>
      <c r="C830" s="3"/>
      <c r="D830" s="3"/>
      <c r="E830" s="3"/>
      <c r="F830" s="3"/>
      <c r="G830" s="48"/>
      <c r="M830" s="3"/>
    </row>
    <row r="831" spans="2:13" ht="15" customHeight="1">
      <c r="B831" s="3"/>
      <c r="C831" s="3"/>
      <c r="D831" s="3"/>
      <c r="E831" s="3"/>
      <c r="F831" s="3"/>
      <c r="G831" s="48"/>
      <c r="M831" s="3"/>
    </row>
    <row r="832" spans="2:13" ht="15" customHeight="1">
      <c r="B832" s="3"/>
      <c r="C832" s="3"/>
      <c r="D832" s="3"/>
      <c r="E832" s="3"/>
      <c r="F832" s="3"/>
      <c r="G832" s="48"/>
      <c r="M832" s="3"/>
    </row>
    <row r="833" spans="2:13" ht="15" customHeight="1">
      <c r="B833" s="3"/>
      <c r="C833" s="3"/>
      <c r="D833" s="3"/>
      <c r="E833" s="3"/>
      <c r="F833" s="3"/>
      <c r="G833" s="48"/>
      <c r="M833" s="3"/>
    </row>
    <row r="834" spans="2:13" ht="15" customHeight="1">
      <c r="B834" s="3"/>
      <c r="C834" s="3"/>
      <c r="D834" s="3"/>
      <c r="E834" s="3"/>
      <c r="F834" s="3"/>
      <c r="G834" s="48"/>
      <c r="M834" s="3"/>
    </row>
    <row r="835" spans="2:13" ht="15" customHeight="1">
      <c r="B835" s="3"/>
      <c r="C835" s="3"/>
      <c r="D835" s="3"/>
      <c r="E835" s="3"/>
      <c r="F835" s="3"/>
      <c r="G835" s="48"/>
      <c r="M835" s="3"/>
    </row>
    <row r="836" spans="2:13" ht="15" customHeight="1">
      <c r="B836" s="3"/>
      <c r="C836" s="3"/>
      <c r="D836" s="3"/>
      <c r="E836" s="3"/>
      <c r="F836" s="3"/>
      <c r="G836" s="48"/>
      <c r="M836" s="3"/>
    </row>
    <row r="837" spans="2:13" ht="15" customHeight="1">
      <c r="B837" s="3"/>
      <c r="C837" s="3"/>
      <c r="D837" s="3"/>
      <c r="E837" s="3"/>
      <c r="F837" s="3"/>
      <c r="G837" s="48"/>
      <c r="M837" s="3"/>
    </row>
    <row r="838" spans="2:13" ht="15" customHeight="1">
      <c r="B838" s="3"/>
      <c r="C838" s="3"/>
      <c r="D838" s="3"/>
      <c r="E838" s="3"/>
      <c r="F838" s="3"/>
      <c r="G838" s="48"/>
      <c r="M838" s="3"/>
    </row>
    <row r="839" spans="2:13" ht="15" customHeight="1">
      <c r="B839" s="3"/>
      <c r="C839" s="3"/>
      <c r="D839" s="3"/>
      <c r="E839" s="3"/>
      <c r="F839" s="3"/>
      <c r="G839" s="48"/>
      <c r="M839" s="3"/>
    </row>
    <row r="840" spans="2:13" ht="15" customHeight="1">
      <c r="B840" s="3"/>
      <c r="C840" s="3"/>
      <c r="D840" s="3"/>
      <c r="E840" s="3"/>
      <c r="F840" s="3"/>
      <c r="G840" s="48"/>
      <c r="M840" s="3"/>
    </row>
  </sheetData>
  <mergeCells count="4">
    <mergeCell ref="H55:M55"/>
    <mergeCell ref="A107:F108"/>
    <mergeCell ref="H108:M108"/>
    <mergeCell ref="A54:F5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840"/>
  <sheetViews>
    <sheetView showGridLines="0" zoomScaleNormal="100" workbookViewId="0"/>
  </sheetViews>
  <sheetFormatPr baseColWidth="10" defaultColWidth="33.140625" defaultRowHeight="12.75"/>
  <cols>
    <col min="1" max="1" width="31.140625" style="3" customWidth="1"/>
    <col min="2" max="6" width="12.85546875" style="6" customWidth="1"/>
    <col min="7" max="7" width="7.42578125" style="47" customWidth="1"/>
    <col min="8" max="8" width="31.140625" style="3" customWidth="1"/>
    <col min="9" max="12" width="12.85546875" style="3" customWidth="1"/>
    <col min="13" max="13" width="12.85546875" style="6" customWidth="1"/>
    <col min="14" max="14" width="7.140625" style="48" customWidth="1"/>
    <col min="15" max="18" width="13.85546875" style="3" customWidth="1"/>
    <col min="19" max="19" width="7.42578125" style="3" customWidth="1"/>
    <col min="20" max="16384" width="33.140625" style="3"/>
  </cols>
  <sheetData>
    <row r="1" spans="1:22" ht="18.75">
      <c r="A1" s="1" t="s">
        <v>215</v>
      </c>
    </row>
    <row r="2" spans="1:22">
      <c r="A2" s="7"/>
    </row>
    <row r="3" spans="1:22">
      <c r="A3" s="7" t="s">
        <v>183</v>
      </c>
      <c r="O3" s="43"/>
      <c r="P3" s="43"/>
      <c r="Q3" s="43"/>
      <c r="R3" s="43"/>
      <c r="S3" s="43"/>
    </row>
    <row r="4" spans="1:22">
      <c r="A4" s="7" t="s">
        <v>333</v>
      </c>
      <c r="O4" s="43"/>
      <c r="P4" s="43"/>
      <c r="Q4" s="43"/>
      <c r="R4" s="43"/>
      <c r="S4" s="43"/>
    </row>
    <row r="5" spans="1:22">
      <c r="A5" s="8" t="s">
        <v>169</v>
      </c>
      <c r="B5" s="8" t="s">
        <v>0</v>
      </c>
      <c r="C5" s="8" t="s">
        <v>1</v>
      </c>
      <c r="D5" s="8" t="s">
        <v>45</v>
      </c>
      <c r="F5" s="3"/>
      <c r="O5" s="43"/>
      <c r="P5" s="43"/>
      <c r="Q5" s="43"/>
      <c r="R5" s="43"/>
      <c r="S5" s="43"/>
    </row>
    <row r="6" spans="1:22">
      <c r="A6" s="16" t="s">
        <v>30</v>
      </c>
      <c r="B6" s="4">
        <v>105414</v>
      </c>
      <c r="C6" s="4">
        <v>44265</v>
      </c>
      <c r="D6" s="4">
        <v>149679</v>
      </c>
      <c r="E6" s="46"/>
      <c r="F6" s="12"/>
      <c r="O6" s="43"/>
      <c r="P6" s="43"/>
      <c r="Q6" s="43"/>
      <c r="R6" s="43"/>
      <c r="S6" s="43"/>
      <c r="T6" s="43"/>
      <c r="U6" s="43"/>
      <c r="V6" s="43"/>
    </row>
    <row r="7" spans="1:22">
      <c r="A7" s="16" t="s">
        <v>29</v>
      </c>
      <c r="B7" s="5">
        <v>223188</v>
      </c>
      <c r="C7" s="5">
        <v>220321</v>
      </c>
      <c r="D7" s="5">
        <v>443509</v>
      </c>
      <c r="E7" s="46"/>
      <c r="F7" s="12"/>
      <c r="O7" s="43"/>
      <c r="P7" s="43"/>
      <c r="Q7" s="43"/>
      <c r="R7" s="43"/>
      <c r="S7" s="43"/>
      <c r="T7" s="43"/>
      <c r="U7" s="43"/>
      <c r="V7" s="43"/>
    </row>
    <row r="8" spans="1:22">
      <c r="A8" s="16" t="s">
        <v>4</v>
      </c>
      <c r="B8" s="5">
        <v>50118</v>
      </c>
      <c r="C8" s="5">
        <v>2558</v>
      </c>
      <c r="D8" s="5">
        <v>52676</v>
      </c>
      <c r="E8" s="46"/>
      <c r="F8" s="12"/>
      <c r="O8" s="43"/>
      <c r="P8" s="43"/>
      <c r="Q8" s="43"/>
      <c r="R8" s="43"/>
      <c r="S8" s="43"/>
      <c r="T8" s="43"/>
      <c r="U8" s="43"/>
      <c r="V8" s="43"/>
    </row>
    <row r="9" spans="1:22">
      <c r="A9" s="16" t="s">
        <v>216</v>
      </c>
      <c r="B9" s="5">
        <v>0</v>
      </c>
      <c r="C9" s="5">
        <v>2380</v>
      </c>
      <c r="D9" s="5">
        <v>2380</v>
      </c>
      <c r="E9" s="46"/>
      <c r="F9" s="12"/>
      <c r="O9" s="43"/>
      <c r="P9" s="43"/>
      <c r="Q9" s="43"/>
      <c r="R9" s="43"/>
      <c r="S9" s="43"/>
      <c r="T9" s="43"/>
      <c r="U9" s="43"/>
      <c r="V9" s="43"/>
    </row>
    <row r="10" spans="1:22">
      <c r="A10" s="20" t="s">
        <v>46</v>
      </c>
      <c r="B10" s="36">
        <v>378720</v>
      </c>
      <c r="C10" s="36">
        <v>269524</v>
      </c>
      <c r="D10" s="36">
        <v>648244</v>
      </c>
      <c r="E10" s="46"/>
      <c r="F10" s="67"/>
      <c r="O10" s="43"/>
      <c r="P10" s="43"/>
      <c r="Q10" s="43"/>
      <c r="R10" s="43"/>
      <c r="S10" s="43"/>
    </row>
    <row r="11" spans="1:22">
      <c r="B11" s="46"/>
      <c r="C11" s="46"/>
      <c r="D11" s="46"/>
      <c r="F11" s="46"/>
      <c r="O11" s="43"/>
      <c r="P11" s="43"/>
      <c r="Q11" s="43"/>
      <c r="R11" s="43"/>
      <c r="S11" s="43"/>
    </row>
    <row r="12" spans="1:22">
      <c r="O12" s="43"/>
      <c r="P12" s="43"/>
      <c r="Q12" s="43"/>
      <c r="R12" s="43"/>
      <c r="S12" s="43"/>
    </row>
    <row r="13" spans="1:22">
      <c r="A13" s="7" t="s">
        <v>184</v>
      </c>
      <c r="H13" s="7" t="s">
        <v>185</v>
      </c>
    </row>
    <row r="14" spans="1:22">
      <c r="A14" s="7" t="s">
        <v>445</v>
      </c>
      <c r="H14" s="7" t="s">
        <v>334</v>
      </c>
    </row>
    <row r="15" spans="1:22" ht="25.5">
      <c r="A15" s="26" t="s">
        <v>50</v>
      </c>
      <c r="B15" s="26" t="s">
        <v>422</v>
      </c>
      <c r="C15" s="26" t="s">
        <v>423</v>
      </c>
      <c r="D15" s="26" t="s">
        <v>221</v>
      </c>
      <c r="E15" s="26" t="s">
        <v>217</v>
      </c>
      <c r="F15" s="26" t="s">
        <v>48</v>
      </c>
      <c r="G15" s="48"/>
      <c r="H15" s="26" t="s">
        <v>50</v>
      </c>
      <c r="I15" s="26" t="s">
        <v>422</v>
      </c>
      <c r="J15" s="26" t="s">
        <v>423</v>
      </c>
      <c r="K15" s="26" t="s">
        <v>221</v>
      </c>
      <c r="L15" s="26" t="s">
        <v>217</v>
      </c>
      <c r="M15" s="26" t="s">
        <v>48</v>
      </c>
    </row>
    <row r="16" spans="1:22">
      <c r="A16" s="13" t="s">
        <v>5</v>
      </c>
      <c r="B16" s="4">
        <v>43092</v>
      </c>
      <c r="C16" s="4">
        <v>71079</v>
      </c>
      <c r="D16" s="4">
        <v>14289</v>
      </c>
      <c r="E16" s="5">
        <v>0</v>
      </c>
      <c r="F16" s="14">
        <v>128460</v>
      </c>
      <c r="G16" s="49"/>
      <c r="H16" s="13" t="s">
        <v>5</v>
      </c>
      <c r="I16" s="4">
        <v>12920</v>
      </c>
      <c r="J16" s="4">
        <v>120768</v>
      </c>
      <c r="K16" s="4">
        <v>1010</v>
      </c>
      <c r="L16" s="4">
        <v>1588</v>
      </c>
      <c r="M16" s="14">
        <v>136286</v>
      </c>
      <c r="N16" s="49"/>
    </row>
    <row r="17" spans="1:14">
      <c r="A17" s="16" t="s">
        <v>6</v>
      </c>
      <c r="B17" s="5">
        <v>62322</v>
      </c>
      <c r="C17" s="5">
        <v>152109</v>
      </c>
      <c r="D17" s="5">
        <v>35829</v>
      </c>
      <c r="E17" s="5">
        <v>0</v>
      </c>
      <c r="F17" s="10">
        <v>250260</v>
      </c>
      <c r="G17" s="49"/>
      <c r="H17" s="16" t="s">
        <v>6</v>
      </c>
      <c r="I17" s="5">
        <v>31345</v>
      </c>
      <c r="J17" s="5">
        <v>99553</v>
      </c>
      <c r="K17" s="5">
        <v>1548</v>
      </c>
      <c r="L17" s="5">
        <v>792</v>
      </c>
      <c r="M17" s="10">
        <v>133238</v>
      </c>
      <c r="N17" s="49"/>
    </row>
    <row r="18" spans="1:14">
      <c r="A18" s="16" t="s">
        <v>216</v>
      </c>
      <c r="B18" s="5">
        <v>0</v>
      </c>
      <c r="C18" s="5">
        <v>0</v>
      </c>
      <c r="D18" s="5">
        <v>0</v>
      </c>
      <c r="E18" s="5">
        <v>0</v>
      </c>
      <c r="F18" s="10">
        <v>0</v>
      </c>
      <c r="G18" s="49"/>
      <c r="H18" s="16" t="s">
        <v>216</v>
      </c>
      <c r="I18" s="5">
        <v>0</v>
      </c>
      <c r="J18" s="5">
        <v>0</v>
      </c>
      <c r="K18" s="5">
        <v>0</v>
      </c>
      <c r="L18" s="5">
        <v>0</v>
      </c>
      <c r="M18" s="10">
        <v>0</v>
      </c>
      <c r="N18" s="49"/>
    </row>
    <row r="19" spans="1:14">
      <c r="A19" s="20" t="s">
        <v>46</v>
      </c>
      <c r="B19" s="36">
        <v>105414</v>
      </c>
      <c r="C19" s="36">
        <v>223188</v>
      </c>
      <c r="D19" s="36">
        <v>50118</v>
      </c>
      <c r="E19" s="36">
        <v>0</v>
      </c>
      <c r="F19" s="36">
        <v>378720</v>
      </c>
      <c r="G19" s="49"/>
      <c r="H19" s="20" t="s">
        <v>46</v>
      </c>
      <c r="I19" s="36">
        <v>44265</v>
      </c>
      <c r="J19" s="36">
        <v>220321</v>
      </c>
      <c r="K19" s="36">
        <v>2558</v>
      </c>
      <c r="L19" s="36">
        <v>2380</v>
      </c>
      <c r="M19" s="36">
        <v>269524</v>
      </c>
      <c r="N19" s="49"/>
    </row>
    <row r="20" spans="1:14">
      <c r="B20" s="46"/>
      <c r="C20" s="46"/>
      <c r="D20" s="46"/>
      <c r="E20" s="46"/>
      <c r="F20" s="46"/>
      <c r="G20" s="48"/>
      <c r="I20" s="52"/>
      <c r="J20" s="52"/>
      <c r="K20" s="52"/>
      <c r="L20" s="52"/>
      <c r="M20" s="53"/>
    </row>
    <row r="21" spans="1:14">
      <c r="G21" s="48"/>
      <c r="I21" s="6"/>
      <c r="J21" s="6"/>
      <c r="K21" s="6"/>
      <c r="L21" s="6"/>
      <c r="M21" s="3"/>
    </row>
    <row r="22" spans="1:14">
      <c r="A22" s="7" t="s">
        <v>186</v>
      </c>
      <c r="G22" s="48"/>
      <c r="H22" s="7" t="s">
        <v>187</v>
      </c>
      <c r="I22" s="6"/>
      <c r="J22" s="6"/>
      <c r="K22" s="6"/>
      <c r="L22" s="6"/>
      <c r="M22" s="3"/>
    </row>
    <row r="23" spans="1:14">
      <c r="A23" s="7" t="s">
        <v>446</v>
      </c>
      <c r="G23" s="48"/>
      <c r="H23" s="7" t="s">
        <v>335</v>
      </c>
      <c r="I23" s="6"/>
      <c r="J23" s="6"/>
      <c r="K23" s="6"/>
      <c r="L23" s="6"/>
      <c r="M23" s="3"/>
    </row>
    <row r="24" spans="1:14" ht="25.5">
      <c r="A24" s="15" t="s">
        <v>51</v>
      </c>
      <c r="B24" s="26" t="s">
        <v>422</v>
      </c>
      <c r="C24" s="26" t="s">
        <v>423</v>
      </c>
      <c r="D24" s="26" t="s">
        <v>221</v>
      </c>
      <c r="E24" s="26" t="s">
        <v>217</v>
      </c>
      <c r="F24" s="26" t="s">
        <v>48</v>
      </c>
      <c r="G24" s="48"/>
      <c r="H24" s="15" t="s">
        <v>51</v>
      </c>
      <c r="I24" s="26" t="s">
        <v>422</v>
      </c>
      <c r="J24" s="26" t="s">
        <v>423</v>
      </c>
      <c r="K24" s="26" t="s">
        <v>221</v>
      </c>
      <c r="L24" s="26" t="s">
        <v>217</v>
      </c>
      <c r="M24" s="26" t="s">
        <v>48</v>
      </c>
    </row>
    <row r="25" spans="1:14">
      <c r="A25" s="13" t="s">
        <v>40</v>
      </c>
      <c r="B25" s="4">
        <v>167</v>
      </c>
      <c r="C25" s="4">
        <v>288</v>
      </c>
      <c r="D25" s="4">
        <v>43</v>
      </c>
      <c r="E25" s="5">
        <v>0</v>
      </c>
      <c r="F25" s="4">
        <v>498</v>
      </c>
      <c r="G25" s="49"/>
      <c r="H25" s="13" t="s">
        <v>40</v>
      </c>
      <c r="I25" s="5">
        <v>0</v>
      </c>
      <c r="J25" s="4">
        <v>125</v>
      </c>
      <c r="K25" s="5">
        <v>0</v>
      </c>
      <c r="L25" s="4">
        <v>7</v>
      </c>
      <c r="M25" s="4">
        <v>132</v>
      </c>
      <c r="N25" s="49"/>
    </row>
    <row r="26" spans="1:14">
      <c r="A26" s="16" t="s">
        <v>2</v>
      </c>
      <c r="B26" s="5">
        <v>2760</v>
      </c>
      <c r="C26" s="5">
        <v>9594</v>
      </c>
      <c r="D26" s="5">
        <v>2268</v>
      </c>
      <c r="E26" s="5">
        <v>0</v>
      </c>
      <c r="F26" s="5">
        <v>14622</v>
      </c>
      <c r="G26" s="49"/>
      <c r="H26" s="16" t="s">
        <v>2</v>
      </c>
      <c r="I26" s="5">
        <v>128</v>
      </c>
      <c r="J26" s="5">
        <v>5924</v>
      </c>
      <c r="K26" s="5">
        <v>23</v>
      </c>
      <c r="L26" s="5">
        <v>91</v>
      </c>
      <c r="M26" s="5">
        <v>6166</v>
      </c>
      <c r="N26" s="49"/>
    </row>
    <row r="27" spans="1:14">
      <c r="A27" s="16" t="s">
        <v>41</v>
      </c>
      <c r="B27" s="5">
        <v>16270</v>
      </c>
      <c r="C27" s="5">
        <v>62467</v>
      </c>
      <c r="D27" s="5">
        <v>15763</v>
      </c>
      <c r="E27" s="5">
        <v>0</v>
      </c>
      <c r="F27" s="5">
        <v>94500</v>
      </c>
      <c r="G27" s="49"/>
      <c r="H27" s="16" t="s">
        <v>41</v>
      </c>
      <c r="I27" s="5">
        <v>12022</v>
      </c>
      <c r="J27" s="5">
        <v>66573</v>
      </c>
      <c r="K27" s="5">
        <v>582</v>
      </c>
      <c r="L27" s="5">
        <v>799</v>
      </c>
      <c r="M27" s="5">
        <v>79976</v>
      </c>
      <c r="N27" s="49"/>
    </row>
    <row r="28" spans="1:14">
      <c r="A28" s="16" t="s">
        <v>42</v>
      </c>
      <c r="B28" s="5">
        <v>19401</v>
      </c>
      <c r="C28" s="5">
        <v>55238</v>
      </c>
      <c r="D28" s="5">
        <v>13753</v>
      </c>
      <c r="E28" s="5">
        <v>0</v>
      </c>
      <c r="F28" s="5">
        <v>88392</v>
      </c>
      <c r="G28" s="49"/>
      <c r="H28" s="16" t="s">
        <v>42</v>
      </c>
      <c r="I28" s="5">
        <v>14988</v>
      </c>
      <c r="J28" s="5">
        <v>68888</v>
      </c>
      <c r="K28" s="5">
        <v>932</v>
      </c>
      <c r="L28" s="5">
        <v>661</v>
      </c>
      <c r="M28" s="5">
        <v>85469</v>
      </c>
      <c r="N28" s="49"/>
    </row>
    <row r="29" spans="1:14">
      <c r="A29" s="16" t="s">
        <v>43</v>
      </c>
      <c r="B29" s="5">
        <v>25969</v>
      </c>
      <c r="C29" s="5">
        <v>42922</v>
      </c>
      <c r="D29" s="5">
        <v>8449</v>
      </c>
      <c r="E29" s="5">
        <v>0</v>
      </c>
      <c r="F29" s="5">
        <v>77340</v>
      </c>
      <c r="G29" s="49"/>
      <c r="H29" s="16" t="s">
        <v>43</v>
      </c>
      <c r="I29" s="5">
        <v>7791</v>
      </c>
      <c r="J29" s="5">
        <v>43873</v>
      </c>
      <c r="K29" s="5">
        <v>505</v>
      </c>
      <c r="L29" s="5">
        <v>450</v>
      </c>
      <c r="M29" s="5">
        <v>52619</v>
      </c>
      <c r="N29" s="49"/>
    </row>
    <row r="30" spans="1:14">
      <c r="A30" s="16" t="s">
        <v>44</v>
      </c>
      <c r="B30" s="5">
        <v>28636</v>
      </c>
      <c r="C30" s="5">
        <v>38363</v>
      </c>
      <c r="D30" s="5">
        <v>7469</v>
      </c>
      <c r="E30" s="5">
        <v>0</v>
      </c>
      <c r="F30" s="5">
        <v>74468</v>
      </c>
      <c r="G30" s="49"/>
      <c r="H30" s="16" t="s">
        <v>44</v>
      </c>
      <c r="I30" s="5">
        <v>7701</v>
      </c>
      <c r="J30" s="5">
        <v>28174</v>
      </c>
      <c r="K30" s="5">
        <v>402</v>
      </c>
      <c r="L30" s="5">
        <v>271</v>
      </c>
      <c r="M30" s="5">
        <v>36548</v>
      </c>
      <c r="N30" s="49"/>
    </row>
    <row r="31" spans="1:14">
      <c r="A31" s="16" t="s">
        <v>3</v>
      </c>
      <c r="B31" s="5">
        <v>12211</v>
      </c>
      <c r="C31" s="5">
        <v>14316</v>
      </c>
      <c r="D31" s="5">
        <v>2373</v>
      </c>
      <c r="E31" s="5">
        <v>0</v>
      </c>
      <c r="F31" s="5">
        <v>28900</v>
      </c>
      <c r="G31" s="49"/>
      <c r="H31" s="16" t="s">
        <v>3</v>
      </c>
      <c r="I31" s="5">
        <v>1635</v>
      </c>
      <c r="J31" s="5">
        <v>6764</v>
      </c>
      <c r="K31" s="5">
        <v>114</v>
      </c>
      <c r="L31" s="5">
        <v>101</v>
      </c>
      <c r="M31" s="5">
        <v>8614</v>
      </c>
      <c r="N31" s="49"/>
    </row>
    <row r="32" spans="1:14">
      <c r="A32" s="16" t="s">
        <v>216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49"/>
      <c r="H32" s="16" t="s">
        <v>216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49"/>
    </row>
    <row r="33" spans="1:14">
      <c r="A33" s="20" t="s">
        <v>46</v>
      </c>
      <c r="B33" s="36">
        <v>105414</v>
      </c>
      <c r="C33" s="36">
        <v>223188</v>
      </c>
      <c r="D33" s="36">
        <v>50118</v>
      </c>
      <c r="E33" s="36">
        <v>0</v>
      </c>
      <c r="F33" s="36">
        <v>378720</v>
      </c>
      <c r="G33" s="49"/>
      <c r="H33" s="20" t="s">
        <v>46</v>
      </c>
      <c r="I33" s="36">
        <v>44265</v>
      </c>
      <c r="J33" s="36">
        <v>220321</v>
      </c>
      <c r="K33" s="36">
        <v>2558</v>
      </c>
      <c r="L33" s="36">
        <v>2380</v>
      </c>
      <c r="M33" s="36">
        <v>269524</v>
      </c>
      <c r="N33" s="49"/>
    </row>
    <row r="34" spans="1:14">
      <c r="B34" s="46"/>
      <c r="C34" s="47"/>
      <c r="D34" s="47"/>
      <c r="E34" s="47"/>
      <c r="F34" s="47"/>
      <c r="G34" s="48"/>
      <c r="I34" s="46"/>
      <c r="J34" s="47"/>
      <c r="K34" s="47"/>
      <c r="L34" s="47"/>
      <c r="M34" s="47"/>
    </row>
    <row r="35" spans="1:14">
      <c r="E35" s="3"/>
      <c r="G35" s="48"/>
      <c r="I35" s="6"/>
      <c r="J35" s="6"/>
      <c r="K35" s="6"/>
      <c r="L35" s="6"/>
      <c r="M35" s="3"/>
    </row>
    <row r="36" spans="1:14">
      <c r="A36" s="7" t="s">
        <v>188</v>
      </c>
      <c r="E36" s="3"/>
      <c r="G36" s="48"/>
      <c r="H36" s="7" t="s">
        <v>189</v>
      </c>
      <c r="I36" s="6"/>
      <c r="J36" s="6"/>
      <c r="K36" s="6"/>
      <c r="L36" s="6"/>
      <c r="M36" s="3"/>
    </row>
    <row r="37" spans="1:14">
      <c r="A37" s="7" t="s">
        <v>447</v>
      </c>
      <c r="E37" s="3"/>
      <c r="G37" s="48"/>
      <c r="H37" s="7" t="s">
        <v>336</v>
      </c>
      <c r="I37" s="6"/>
      <c r="J37" s="6"/>
      <c r="K37" s="6"/>
      <c r="L37" s="6"/>
      <c r="M37" s="3"/>
    </row>
    <row r="38" spans="1:14" ht="25.5">
      <c r="A38" s="8" t="s">
        <v>144</v>
      </c>
      <c r="B38" s="26" t="s">
        <v>422</v>
      </c>
      <c r="C38" s="26" t="s">
        <v>423</v>
      </c>
      <c r="D38" s="26" t="s">
        <v>221</v>
      </c>
      <c r="E38" s="26" t="s">
        <v>217</v>
      </c>
      <c r="F38" s="26" t="s">
        <v>48</v>
      </c>
      <c r="G38" s="48"/>
      <c r="H38" s="8" t="s">
        <v>144</v>
      </c>
      <c r="I38" s="26" t="s">
        <v>422</v>
      </c>
      <c r="J38" s="26" t="s">
        <v>423</v>
      </c>
      <c r="K38" s="26" t="s">
        <v>221</v>
      </c>
      <c r="L38" s="26" t="s">
        <v>217</v>
      </c>
      <c r="M38" s="26" t="s">
        <v>48</v>
      </c>
    </row>
    <row r="39" spans="1:14">
      <c r="A39" s="22" t="s">
        <v>9</v>
      </c>
      <c r="B39" s="38">
        <v>34474</v>
      </c>
      <c r="C39" s="38">
        <v>145174</v>
      </c>
      <c r="D39" s="38">
        <v>41593</v>
      </c>
      <c r="E39" s="5">
        <v>0</v>
      </c>
      <c r="F39" s="4">
        <v>221241</v>
      </c>
      <c r="G39" s="49"/>
      <c r="H39" s="22" t="s">
        <v>9</v>
      </c>
      <c r="I39" s="4">
        <v>28781</v>
      </c>
      <c r="J39" s="4">
        <v>145829</v>
      </c>
      <c r="K39" s="4">
        <v>1597</v>
      </c>
      <c r="L39" s="4">
        <v>545</v>
      </c>
      <c r="M39" s="4">
        <v>176752</v>
      </c>
      <c r="N39" s="49"/>
    </row>
    <row r="40" spans="1:14">
      <c r="A40" s="22" t="s">
        <v>10</v>
      </c>
      <c r="B40" s="39">
        <v>33836</v>
      </c>
      <c r="C40" s="39">
        <v>42772</v>
      </c>
      <c r="D40" s="39">
        <v>4901</v>
      </c>
      <c r="E40" s="5">
        <v>0</v>
      </c>
      <c r="F40" s="5">
        <v>81509</v>
      </c>
      <c r="G40" s="49"/>
      <c r="H40" s="22" t="s">
        <v>10</v>
      </c>
      <c r="I40" s="5">
        <v>4257</v>
      </c>
      <c r="J40" s="5">
        <v>28534</v>
      </c>
      <c r="K40" s="5">
        <v>346</v>
      </c>
      <c r="L40" s="5">
        <v>288</v>
      </c>
      <c r="M40" s="5">
        <v>33425</v>
      </c>
      <c r="N40" s="49"/>
    </row>
    <row r="41" spans="1:14" ht="14.25">
      <c r="A41" s="22" t="s">
        <v>453</v>
      </c>
      <c r="B41" s="39">
        <v>4393</v>
      </c>
      <c r="C41" s="39">
        <v>643</v>
      </c>
      <c r="D41" s="39">
        <v>2</v>
      </c>
      <c r="E41" s="5">
        <v>0</v>
      </c>
      <c r="F41" s="5">
        <v>5038</v>
      </c>
      <c r="G41" s="49"/>
      <c r="H41" s="22" t="s">
        <v>453</v>
      </c>
      <c r="I41" s="5">
        <v>3982</v>
      </c>
      <c r="J41" s="5">
        <v>10820</v>
      </c>
      <c r="K41" s="5">
        <v>122</v>
      </c>
      <c r="L41" s="5">
        <v>516</v>
      </c>
      <c r="M41" s="5">
        <v>15440</v>
      </c>
      <c r="N41" s="49"/>
    </row>
    <row r="42" spans="1:14">
      <c r="A42" s="22" t="s">
        <v>11</v>
      </c>
      <c r="B42" s="39">
        <v>1671</v>
      </c>
      <c r="C42" s="39">
        <v>3169</v>
      </c>
      <c r="D42" s="39">
        <v>387</v>
      </c>
      <c r="E42" s="5">
        <v>0</v>
      </c>
      <c r="F42" s="5">
        <v>5227</v>
      </c>
      <c r="G42" s="49"/>
      <c r="H42" s="22" t="s">
        <v>11</v>
      </c>
      <c r="I42" s="5">
        <v>1011</v>
      </c>
      <c r="J42" s="5">
        <v>4093</v>
      </c>
      <c r="K42" s="5">
        <v>28</v>
      </c>
      <c r="L42" s="5">
        <v>188</v>
      </c>
      <c r="M42" s="5">
        <v>5320</v>
      </c>
      <c r="N42" s="49"/>
    </row>
    <row r="43" spans="1:14">
      <c r="A43" s="22" t="s">
        <v>12</v>
      </c>
      <c r="B43" s="39">
        <v>7091</v>
      </c>
      <c r="C43" s="39">
        <v>5711</v>
      </c>
      <c r="D43" s="39">
        <v>456</v>
      </c>
      <c r="E43" s="5">
        <v>0</v>
      </c>
      <c r="F43" s="5">
        <v>13258</v>
      </c>
      <c r="G43" s="49"/>
      <c r="H43" s="22" t="s">
        <v>12</v>
      </c>
      <c r="I43" s="5">
        <v>1146</v>
      </c>
      <c r="J43" s="5">
        <v>7690</v>
      </c>
      <c r="K43" s="5">
        <v>96</v>
      </c>
      <c r="L43" s="5">
        <v>175</v>
      </c>
      <c r="M43" s="5">
        <v>9107</v>
      </c>
      <c r="N43" s="49"/>
    </row>
    <row r="44" spans="1:14">
      <c r="A44" s="22" t="s">
        <v>13</v>
      </c>
      <c r="B44" s="39">
        <v>586</v>
      </c>
      <c r="C44" s="39">
        <v>854</v>
      </c>
      <c r="D44" s="39">
        <v>91</v>
      </c>
      <c r="E44" s="5">
        <v>0</v>
      </c>
      <c r="F44" s="5">
        <v>1531</v>
      </c>
      <c r="G44" s="49"/>
      <c r="H44" s="22" t="s">
        <v>13</v>
      </c>
      <c r="I44" s="5">
        <v>544</v>
      </c>
      <c r="J44" s="5">
        <v>2035</v>
      </c>
      <c r="K44" s="5">
        <v>10</v>
      </c>
      <c r="L44" s="5">
        <v>129</v>
      </c>
      <c r="M44" s="5">
        <v>2718</v>
      </c>
      <c r="N44" s="49"/>
    </row>
    <row r="45" spans="1:14">
      <c r="A45" s="22" t="s">
        <v>159</v>
      </c>
      <c r="B45" s="39">
        <v>1581</v>
      </c>
      <c r="C45" s="39">
        <v>1842</v>
      </c>
      <c r="D45" s="39">
        <v>209</v>
      </c>
      <c r="E45" s="5">
        <v>0</v>
      </c>
      <c r="F45" s="5">
        <v>3632</v>
      </c>
      <c r="G45" s="49"/>
      <c r="H45" s="22" t="s">
        <v>159</v>
      </c>
      <c r="I45" s="5">
        <v>529</v>
      </c>
      <c r="J45" s="5">
        <v>2068</v>
      </c>
      <c r="K45" s="5">
        <v>21</v>
      </c>
      <c r="L45" s="5">
        <v>146</v>
      </c>
      <c r="M45" s="5">
        <v>2764</v>
      </c>
      <c r="N45" s="49"/>
    </row>
    <row r="46" spans="1:14">
      <c r="A46" s="22" t="s">
        <v>349</v>
      </c>
      <c r="B46" s="39">
        <v>255</v>
      </c>
      <c r="C46" s="39">
        <v>21</v>
      </c>
      <c r="D46" s="5">
        <v>0</v>
      </c>
      <c r="E46" s="5">
        <v>0</v>
      </c>
      <c r="F46" s="5">
        <v>276</v>
      </c>
      <c r="G46" s="49"/>
      <c r="H46" s="22" t="s">
        <v>349</v>
      </c>
      <c r="I46" s="5">
        <v>34</v>
      </c>
      <c r="J46" s="5">
        <v>140</v>
      </c>
      <c r="K46" s="5">
        <v>8</v>
      </c>
      <c r="L46" s="5">
        <v>61</v>
      </c>
      <c r="M46" s="5">
        <v>243</v>
      </c>
      <c r="N46" s="49"/>
    </row>
    <row r="47" spans="1:14">
      <c r="A47" s="22" t="s">
        <v>197</v>
      </c>
      <c r="B47" s="39">
        <v>5731</v>
      </c>
      <c r="C47" s="39">
        <v>3444</v>
      </c>
      <c r="D47" s="39">
        <v>343</v>
      </c>
      <c r="E47" s="5">
        <v>0</v>
      </c>
      <c r="F47" s="5">
        <v>9518</v>
      </c>
      <c r="G47" s="49"/>
      <c r="H47" s="22" t="s">
        <v>197</v>
      </c>
      <c r="I47" s="5">
        <v>519</v>
      </c>
      <c r="J47" s="5">
        <v>2379</v>
      </c>
      <c r="K47" s="5">
        <v>53</v>
      </c>
      <c r="L47" s="5">
        <v>31</v>
      </c>
      <c r="M47" s="5">
        <v>2982</v>
      </c>
      <c r="N47" s="49"/>
    </row>
    <row r="48" spans="1:14">
      <c r="A48" s="22" t="s">
        <v>162</v>
      </c>
      <c r="B48" s="39">
        <v>3486</v>
      </c>
      <c r="C48" s="39">
        <v>1082</v>
      </c>
      <c r="D48" s="39">
        <v>103</v>
      </c>
      <c r="E48" s="5">
        <v>0</v>
      </c>
      <c r="F48" s="5">
        <v>4671</v>
      </c>
      <c r="G48" s="49"/>
      <c r="H48" s="22" t="s">
        <v>162</v>
      </c>
      <c r="I48" s="5">
        <v>410</v>
      </c>
      <c r="J48" s="5">
        <v>2456</v>
      </c>
      <c r="K48" s="5">
        <v>63</v>
      </c>
      <c r="L48" s="5">
        <v>43</v>
      </c>
      <c r="M48" s="5">
        <v>2972</v>
      </c>
      <c r="N48" s="49"/>
    </row>
    <row r="49" spans="1:14">
      <c r="A49" s="22" t="s">
        <v>161</v>
      </c>
      <c r="B49" s="39">
        <v>1179</v>
      </c>
      <c r="C49" s="39">
        <v>2479</v>
      </c>
      <c r="D49" s="39">
        <v>162</v>
      </c>
      <c r="E49" s="5">
        <v>0</v>
      </c>
      <c r="F49" s="5">
        <v>3820</v>
      </c>
      <c r="G49" s="49"/>
      <c r="H49" s="22" t="s">
        <v>161</v>
      </c>
      <c r="I49" s="5">
        <v>337</v>
      </c>
      <c r="J49" s="5">
        <v>1390</v>
      </c>
      <c r="K49" s="5">
        <v>19</v>
      </c>
      <c r="L49" s="5">
        <v>56</v>
      </c>
      <c r="M49" s="5">
        <v>1802</v>
      </c>
      <c r="N49" s="49"/>
    </row>
    <row r="50" spans="1:14">
      <c r="A50" s="22" t="s">
        <v>160</v>
      </c>
      <c r="B50" s="39">
        <v>252</v>
      </c>
      <c r="C50" s="39">
        <v>773</v>
      </c>
      <c r="D50" s="39">
        <v>102</v>
      </c>
      <c r="E50" s="5">
        <v>0</v>
      </c>
      <c r="F50" s="5">
        <v>1127</v>
      </c>
      <c r="G50" s="49"/>
      <c r="H50" s="22" t="s">
        <v>160</v>
      </c>
      <c r="I50" s="5">
        <v>423</v>
      </c>
      <c r="J50" s="5">
        <v>1252</v>
      </c>
      <c r="K50" s="5">
        <v>51</v>
      </c>
      <c r="L50" s="5">
        <v>24</v>
      </c>
      <c r="M50" s="5">
        <v>1750</v>
      </c>
      <c r="N50" s="49"/>
    </row>
    <row r="51" spans="1:14">
      <c r="A51" s="22" t="s">
        <v>31</v>
      </c>
      <c r="B51" s="39">
        <v>10878</v>
      </c>
      <c r="C51" s="39">
        <v>15224</v>
      </c>
      <c r="D51" s="39">
        <v>1769</v>
      </c>
      <c r="E51" s="5">
        <v>0</v>
      </c>
      <c r="F51" s="5">
        <v>27871</v>
      </c>
      <c r="G51" s="49"/>
      <c r="H51" s="22" t="s">
        <v>31</v>
      </c>
      <c r="I51" s="5">
        <v>2292</v>
      </c>
      <c r="J51" s="5">
        <v>11632</v>
      </c>
      <c r="K51" s="5">
        <v>144</v>
      </c>
      <c r="L51" s="5">
        <v>178</v>
      </c>
      <c r="M51" s="5">
        <v>14246</v>
      </c>
      <c r="N51" s="49"/>
    </row>
    <row r="52" spans="1:14">
      <c r="A52" s="16" t="s">
        <v>216</v>
      </c>
      <c r="B52" s="39">
        <v>1</v>
      </c>
      <c r="C52" s="5">
        <v>0</v>
      </c>
      <c r="D52" s="5">
        <v>0</v>
      </c>
      <c r="E52" s="5">
        <v>0</v>
      </c>
      <c r="F52" s="5">
        <v>1</v>
      </c>
      <c r="G52" s="49"/>
      <c r="H52" s="16" t="s">
        <v>216</v>
      </c>
      <c r="I52" s="5">
        <v>0</v>
      </c>
      <c r="J52" s="5">
        <v>3</v>
      </c>
      <c r="K52" s="5">
        <v>0</v>
      </c>
      <c r="L52" s="5">
        <v>0</v>
      </c>
      <c r="M52" s="5">
        <v>3</v>
      </c>
      <c r="N52" s="49"/>
    </row>
    <row r="53" spans="1:14">
      <c r="A53" s="20" t="s">
        <v>46</v>
      </c>
      <c r="B53" s="40">
        <v>105414</v>
      </c>
      <c r="C53" s="40">
        <v>223188</v>
      </c>
      <c r="D53" s="40">
        <v>50118</v>
      </c>
      <c r="E53" s="40">
        <v>0</v>
      </c>
      <c r="F53" s="36">
        <v>378720</v>
      </c>
      <c r="G53" s="49"/>
      <c r="H53" s="20" t="s">
        <v>46</v>
      </c>
      <c r="I53" s="36">
        <v>44265</v>
      </c>
      <c r="J53" s="36">
        <v>220321</v>
      </c>
      <c r="K53" s="36">
        <v>2558</v>
      </c>
      <c r="L53" s="36">
        <v>2380</v>
      </c>
      <c r="M53" s="36">
        <v>269524</v>
      </c>
      <c r="N53" s="49"/>
    </row>
    <row r="54" spans="1:14" ht="29.1" customHeight="1">
      <c r="A54" s="131" t="s">
        <v>402</v>
      </c>
      <c r="B54" s="131"/>
      <c r="C54" s="131"/>
      <c r="D54" s="131"/>
      <c r="E54" s="131"/>
      <c r="F54" s="131"/>
      <c r="G54" s="48"/>
      <c r="H54" s="131" t="s">
        <v>402</v>
      </c>
      <c r="I54" s="131"/>
      <c r="J54" s="131"/>
      <c r="K54" s="131"/>
      <c r="L54" s="131"/>
      <c r="M54" s="131"/>
    </row>
    <row r="55" spans="1:14">
      <c r="G55" s="48"/>
      <c r="I55" s="6"/>
      <c r="J55" s="6"/>
      <c r="K55" s="6"/>
      <c r="L55" s="6"/>
      <c r="M55" s="3"/>
    </row>
    <row r="56" spans="1:14">
      <c r="A56" s="7" t="s">
        <v>190</v>
      </c>
      <c r="G56" s="48"/>
      <c r="I56" s="6"/>
      <c r="J56" s="6"/>
      <c r="K56" s="6"/>
      <c r="L56" s="6"/>
    </row>
    <row r="57" spans="1:14">
      <c r="A57" s="7" t="s">
        <v>337</v>
      </c>
      <c r="G57" s="48"/>
      <c r="H57" s="7"/>
      <c r="I57" s="6"/>
      <c r="J57" s="6"/>
      <c r="K57" s="6"/>
      <c r="L57" s="6"/>
    </row>
    <row r="58" spans="1:14">
      <c r="A58" s="8" t="s">
        <v>169</v>
      </c>
      <c r="B58" s="8" t="s">
        <v>448</v>
      </c>
      <c r="C58" s="8" t="s">
        <v>1</v>
      </c>
      <c r="D58" s="8" t="s">
        <v>45</v>
      </c>
      <c r="E58" s="7"/>
      <c r="G58" s="48"/>
      <c r="H58" s="25"/>
      <c r="I58" s="25"/>
      <c r="J58" s="25"/>
      <c r="K58" s="25"/>
      <c r="L58" s="25"/>
      <c r="M58" s="25"/>
    </row>
    <row r="59" spans="1:14">
      <c r="A59" s="16" t="s">
        <v>30</v>
      </c>
      <c r="B59" s="4">
        <v>2865254</v>
      </c>
      <c r="C59" s="4">
        <v>851546</v>
      </c>
      <c r="D59" s="4">
        <v>3716800</v>
      </c>
      <c r="E59" s="49"/>
      <c r="G59" s="3"/>
      <c r="H59" s="24"/>
      <c r="I59" s="12"/>
      <c r="J59" s="12"/>
      <c r="K59" s="12"/>
      <c r="L59" s="12"/>
      <c r="M59" s="12"/>
    </row>
    <row r="60" spans="1:14">
      <c r="A60" s="16" t="s">
        <v>29</v>
      </c>
      <c r="B60" s="5">
        <v>4866860</v>
      </c>
      <c r="C60" s="5">
        <v>4409176</v>
      </c>
      <c r="D60" s="5">
        <v>9276036</v>
      </c>
      <c r="E60" s="49"/>
      <c r="G60" s="3"/>
      <c r="H60" s="24"/>
      <c r="I60" s="12"/>
      <c r="J60" s="12"/>
      <c r="K60" s="12"/>
      <c r="L60" s="12"/>
      <c r="M60" s="12"/>
    </row>
    <row r="61" spans="1:14">
      <c r="A61" s="16" t="s">
        <v>4</v>
      </c>
      <c r="B61" s="5">
        <v>1088519</v>
      </c>
      <c r="C61" s="5">
        <v>57604</v>
      </c>
      <c r="D61" s="5">
        <v>1146123</v>
      </c>
      <c r="E61" s="49"/>
      <c r="G61" s="3"/>
      <c r="H61" s="24"/>
      <c r="I61" s="12"/>
      <c r="J61" s="12"/>
      <c r="K61" s="12"/>
      <c r="L61" s="12"/>
      <c r="M61" s="12"/>
    </row>
    <row r="62" spans="1:14">
      <c r="A62" s="16" t="s">
        <v>216</v>
      </c>
      <c r="B62" s="5">
        <v>0</v>
      </c>
      <c r="C62" s="5">
        <v>30058</v>
      </c>
      <c r="D62" s="5">
        <v>30058</v>
      </c>
      <c r="E62" s="49"/>
      <c r="G62" s="3"/>
      <c r="H62" s="24"/>
      <c r="I62" s="12"/>
      <c r="J62" s="12"/>
      <c r="K62" s="12"/>
      <c r="L62" s="12"/>
      <c r="M62" s="12"/>
    </row>
    <row r="63" spans="1:14">
      <c r="A63" s="20" t="s">
        <v>46</v>
      </c>
      <c r="B63" s="36">
        <v>8820633</v>
      </c>
      <c r="C63" s="36">
        <v>5348384</v>
      </c>
      <c r="D63" s="36">
        <v>14169017</v>
      </c>
      <c r="E63" s="49"/>
      <c r="G63" s="3"/>
      <c r="H63" s="27"/>
      <c r="I63" s="12"/>
      <c r="J63" s="12"/>
      <c r="K63" s="12"/>
      <c r="L63" s="12"/>
      <c r="M63" s="12"/>
    </row>
    <row r="64" spans="1:14">
      <c r="B64" s="46"/>
      <c r="C64" s="46"/>
      <c r="D64" s="46"/>
      <c r="E64" s="46"/>
      <c r="G64" s="48"/>
      <c r="I64" s="6"/>
      <c r="J64" s="6"/>
      <c r="K64" s="6"/>
      <c r="L64" s="6"/>
    </row>
    <row r="65" spans="1:14">
      <c r="G65" s="48"/>
      <c r="I65" s="6"/>
      <c r="J65" s="6"/>
      <c r="K65" s="6"/>
      <c r="L65" s="6"/>
      <c r="M65" s="3"/>
    </row>
    <row r="66" spans="1:14">
      <c r="A66" s="7" t="s">
        <v>191</v>
      </c>
      <c r="G66" s="48"/>
      <c r="H66" s="7" t="s">
        <v>192</v>
      </c>
      <c r="I66" s="6"/>
      <c r="J66" s="6"/>
      <c r="K66" s="6"/>
      <c r="L66" s="6"/>
      <c r="M66" s="3"/>
    </row>
    <row r="67" spans="1:14">
      <c r="A67" s="7" t="s">
        <v>449</v>
      </c>
      <c r="G67" s="48"/>
      <c r="H67" s="7" t="s">
        <v>338</v>
      </c>
      <c r="I67" s="6"/>
      <c r="J67" s="6"/>
      <c r="K67" s="6"/>
      <c r="L67" s="6"/>
      <c r="M67" s="3"/>
    </row>
    <row r="68" spans="1:14" ht="25.5">
      <c r="A68" s="26" t="s">
        <v>50</v>
      </c>
      <c r="B68" s="26" t="s">
        <v>422</v>
      </c>
      <c r="C68" s="26" t="s">
        <v>423</v>
      </c>
      <c r="D68" s="26" t="s">
        <v>221</v>
      </c>
      <c r="E68" s="26" t="s">
        <v>217</v>
      </c>
      <c r="F68" s="26" t="s">
        <v>48</v>
      </c>
      <c r="H68" s="26" t="s">
        <v>50</v>
      </c>
      <c r="I68" s="26" t="s">
        <v>422</v>
      </c>
      <c r="J68" s="26" t="s">
        <v>423</v>
      </c>
      <c r="K68" s="26" t="s">
        <v>221</v>
      </c>
      <c r="L68" s="26" t="s">
        <v>217</v>
      </c>
      <c r="M68" s="26" t="s">
        <v>48</v>
      </c>
    </row>
    <row r="69" spans="1:14">
      <c r="A69" s="13" t="s">
        <v>5</v>
      </c>
      <c r="B69" s="4">
        <v>1219458</v>
      </c>
      <c r="C69" s="4">
        <v>1573946</v>
      </c>
      <c r="D69" s="4">
        <v>310599</v>
      </c>
      <c r="E69" s="5">
        <v>0</v>
      </c>
      <c r="F69" s="14">
        <v>3104003</v>
      </c>
      <c r="G69" s="46"/>
      <c r="H69" s="13" t="s">
        <v>5</v>
      </c>
      <c r="I69" s="4">
        <v>237679</v>
      </c>
      <c r="J69" s="4">
        <v>2346837</v>
      </c>
      <c r="K69" s="4">
        <v>23771</v>
      </c>
      <c r="L69" s="4">
        <v>19058</v>
      </c>
      <c r="M69" s="14">
        <v>2627345</v>
      </c>
      <c r="N69" s="49"/>
    </row>
    <row r="70" spans="1:14">
      <c r="A70" s="16" t="s">
        <v>6</v>
      </c>
      <c r="B70" s="5">
        <v>1645796</v>
      </c>
      <c r="C70" s="5">
        <v>3292914</v>
      </c>
      <c r="D70" s="5">
        <v>777920</v>
      </c>
      <c r="E70" s="5">
        <v>0</v>
      </c>
      <c r="F70" s="10">
        <v>5716630</v>
      </c>
      <c r="G70" s="46"/>
      <c r="H70" s="16" t="s">
        <v>6</v>
      </c>
      <c r="I70" s="5">
        <v>613867</v>
      </c>
      <c r="J70" s="5">
        <v>2062339</v>
      </c>
      <c r="K70" s="5">
        <v>33833</v>
      </c>
      <c r="L70" s="5">
        <v>11000</v>
      </c>
      <c r="M70" s="10">
        <v>2721039</v>
      </c>
      <c r="N70" s="49"/>
    </row>
    <row r="71" spans="1:14">
      <c r="A71" s="16" t="s">
        <v>216</v>
      </c>
      <c r="B71" s="5">
        <v>0</v>
      </c>
      <c r="C71" s="5">
        <v>0</v>
      </c>
      <c r="D71" s="5">
        <v>0</v>
      </c>
      <c r="E71" s="5">
        <v>0</v>
      </c>
      <c r="F71" s="10">
        <v>0</v>
      </c>
      <c r="G71" s="46"/>
      <c r="H71" s="16" t="s">
        <v>216</v>
      </c>
      <c r="I71" s="5">
        <v>0</v>
      </c>
      <c r="J71" s="5">
        <v>0</v>
      </c>
      <c r="K71" s="5">
        <v>0</v>
      </c>
      <c r="L71" s="5">
        <v>0</v>
      </c>
      <c r="M71" s="10">
        <v>0</v>
      </c>
      <c r="N71" s="49"/>
    </row>
    <row r="72" spans="1:14">
      <c r="A72" s="20" t="s">
        <v>46</v>
      </c>
      <c r="B72" s="36">
        <v>2865254</v>
      </c>
      <c r="C72" s="36">
        <v>4866860</v>
      </c>
      <c r="D72" s="36">
        <v>1088519</v>
      </c>
      <c r="E72" s="36">
        <v>0</v>
      </c>
      <c r="F72" s="36">
        <v>8820633</v>
      </c>
      <c r="G72" s="46"/>
      <c r="H72" s="20" t="s">
        <v>46</v>
      </c>
      <c r="I72" s="36">
        <v>851546</v>
      </c>
      <c r="J72" s="36">
        <v>4409176</v>
      </c>
      <c r="K72" s="36">
        <v>57604</v>
      </c>
      <c r="L72" s="36">
        <v>30058</v>
      </c>
      <c r="M72" s="36">
        <v>5348384</v>
      </c>
      <c r="N72" s="49"/>
    </row>
    <row r="73" spans="1:14">
      <c r="B73" s="46"/>
      <c r="C73" s="46"/>
      <c r="D73" s="46"/>
      <c r="E73" s="49"/>
      <c r="F73" s="49"/>
      <c r="G73" s="48"/>
      <c r="H73" s="6"/>
      <c r="I73" s="52"/>
      <c r="J73" s="52"/>
      <c r="K73" s="52"/>
      <c r="L73" s="52"/>
      <c r="M73" s="53"/>
    </row>
    <row r="74" spans="1:14">
      <c r="E74" s="3"/>
      <c r="F74" s="3"/>
      <c r="G74" s="48"/>
      <c r="H74" s="6"/>
      <c r="I74" s="6"/>
      <c r="J74" s="6"/>
      <c r="K74" s="6"/>
      <c r="L74" s="6"/>
      <c r="M74" s="3"/>
    </row>
    <row r="75" spans="1:14">
      <c r="A75" s="7" t="s">
        <v>193</v>
      </c>
      <c r="E75" s="3"/>
      <c r="F75" s="3"/>
      <c r="H75" s="7" t="s">
        <v>194</v>
      </c>
      <c r="I75" s="6"/>
      <c r="J75" s="6"/>
      <c r="K75" s="6"/>
      <c r="L75" s="6"/>
      <c r="M75" s="3"/>
    </row>
    <row r="76" spans="1:14">
      <c r="A76" s="7" t="s">
        <v>450</v>
      </c>
      <c r="E76" s="3"/>
      <c r="F76" s="3"/>
      <c r="H76" s="7" t="s">
        <v>339</v>
      </c>
      <c r="I76" s="6"/>
      <c r="J76" s="6"/>
      <c r="K76" s="6"/>
      <c r="L76" s="6"/>
      <c r="M76" s="3"/>
    </row>
    <row r="77" spans="1:14" ht="25.5">
      <c r="A77" s="15" t="s">
        <v>51</v>
      </c>
      <c r="B77" s="26" t="s">
        <v>422</v>
      </c>
      <c r="C77" s="26" t="s">
        <v>423</v>
      </c>
      <c r="D77" s="26" t="s">
        <v>221</v>
      </c>
      <c r="E77" s="26" t="s">
        <v>217</v>
      </c>
      <c r="F77" s="26" t="s">
        <v>48</v>
      </c>
      <c r="H77" s="15" t="s">
        <v>51</v>
      </c>
      <c r="I77" s="26" t="s">
        <v>422</v>
      </c>
      <c r="J77" s="26" t="s">
        <v>423</v>
      </c>
      <c r="K77" s="26" t="s">
        <v>221</v>
      </c>
      <c r="L77" s="26" t="s">
        <v>217</v>
      </c>
      <c r="M77" s="26" t="s">
        <v>48</v>
      </c>
    </row>
    <row r="78" spans="1:14">
      <c r="A78" s="13" t="s">
        <v>40</v>
      </c>
      <c r="B78" s="4">
        <v>2161</v>
      </c>
      <c r="C78" s="4">
        <v>4166</v>
      </c>
      <c r="D78" s="4">
        <v>844</v>
      </c>
      <c r="E78" s="5">
        <v>0</v>
      </c>
      <c r="F78" s="4">
        <v>7171</v>
      </c>
      <c r="G78" s="46"/>
      <c r="H78" s="13" t="s">
        <v>40</v>
      </c>
      <c r="I78" s="5">
        <v>0</v>
      </c>
      <c r="J78" s="4">
        <v>1726</v>
      </c>
      <c r="K78" s="5">
        <v>0</v>
      </c>
      <c r="L78" s="4">
        <v>46</v>
      </c>
      <c r="M78" s="4">
        <v>1772</v>
      </c>
      <c r="N78" s="49"/>
    </row>
    <row r="79" spans="1:14">
      <c r="A79" s="16" t="s">
        <v>2</v>
      </c>
      <c r="B79" s="5">
        <v>53447</v>
      </c>
      <c r="C79" s="5">
        <v>182082</v>
      </c>
      <c r="D79" s="5">
        <v>46306</v>
      </c>
      <c r="E79" s="5">
        <v>0</v>
      </c>
      <c r="F79" s="5">
        <v>281835</v>
      </c>
      <c r="G79" s="46"/>
      <c r="H79" s="16" t="s">
        <v>2</v>
      </c>
      <c r="I79" s="5">
        <v>1950</v>
      </c>
      <c r="J79" s="5">
        <v>95583</v>
      </c>
      <c r="K79" s="5">
        <v>498</v>
      </c>
      <c r="L79" s="5">
        <v>909</v>
      </c>
      <c r="M79" s="5">
        <v>98940</v>
      </c>
      <c r="N79" s="49"/>
    </row>
    <row r="80" spans="1:14">
      <c r="A80" s="16" t="s">
        <v>41</v>
      </c>
      <c r="B80" s="5">
        <v>359850</v>
      </c>
      <c r="C80" s="5">
        <v>1274962</v>
      </c>
      <c r="D80" s="5">
        <v>340018</v>
      </c>
      <c r="E80" s="5">
        <v>0</v>
      </c>
      <c r="F80" s="5">
        <v>1974830</v>
      </c>
      <c r="G80" s="46"/>
      <c r="H80" s="16" t="s">
        <v>41</v>
      </c>
      <c r="I80" s="5">
        <v>203669</v>
      </c>
      <c r="J80" s="5">
        <v>1231007</v>
      </c>
      <c r="K80" s="5">
        <v>11766</v>
      </c>
      <c r="L80" s="5">
        <v>7967</v>
      </c>
      <c r="M80" s="5">
        <v>1454409</v>
      </c>
      <c r="N80" s="49"/>
    </row>
    <row r="81" spans="1:14">
      <c r="A81" s="16" t="s">
        <v>42</v>
      </c>
      <c r="B81" s="5">
        <v>485038</v>
      </c>
      <c r="C81" s="5">
        <v>1183812</v>
      </c>
      <c r="D81" s="5">
        <v>299801</v>
      </c>
      <c r="E81" s="5">
        <v>0</v>
      </c>
      <c r="F81" s="5">
        <v>1968651</v>
      </c>
      <c r="G81" s="46"/>
      <c r="H81" s="16" t="s">
        <v>42</v>
      </c>
      <c r="I81" s="5">
        <v>283811</v>
      </c>
      <c r="J81" s="5">
        <v>1369578</v>
      </c>
      <c r="K81" s="5">
        <v>19923</v>
      </c>
      <c r="L81" s="5">
        <v>8154</v>
      </c>
      <c r="M81" s="5">
        <v>1681466</v>
      </c>
      <c r="N81" s="49"/>
    </row>
    <row r="82" spans="1:14">
      <c r="A82" s="16" t="s">
        <v>43</v>
      </c>
      <c r="B82" s="5">
        <v>727477</v>
      </c>
      <c r="C82" s="5">
        <v>951796</v>
      </c>
      <c r="D82" s="5">
        <v>181321</v>
      </c>
      <c r="E82" s="5">
        <v>0</v>
      </c>
      <c r="F82" s="5">
        <v>1860594</v>
      </c>
      <c r="G82" s="46"/>
      <c r="H82" s="16" t="s">
        <v>43</v>
      </c>
      <c r="I82" s="5">
        <v>149095</v>
      </c>
      <c r="J82" s="5">
        <v>908592</v>
      </c>
      <c r="K82" s="5">
        <v>12145</v>
      </c>
      <c r="L82" s="5">
        <v>6025</v>
      </c>
      <c r="M82" s="5">
        <v>1075857</v>
      </c>
      <c r="N82" s="49"/>
    </row>
    <row r="83" spans="1:14">
      <c r="A83" s="16" t="s">
        <v>44</v>
      </c>
      <c r="B83" s="5">
        <v>858997</v>
      </c>
      <c r="C83" s="5">
        <v>919847</v>
      </c>
      <c r="D83" s="5">
        <v>167807</v>
      </c>
      <c r="E83" s="5">
        <v>0</v>
      </c>
      <c r="F83" s="5">
        <v>1946651</v>
      </c>
      <c r="G83" s="46"/>
      <c r="H83" s="16" t="s">
        <v>44</v>
      </c>
      <c r="I83" s="5">
        <v>172745</v>
      </c>
      <c r="J83" s="5">
        <v>641024</v>
      </c>
      <c r="K83" s="5">
        <v>10293</v>
      </c>
      <c r="L83" s="5">
        <v>5092</v>
      </c>
      <c r="M83" s="5">
        <v>829154</v>
      </c>
      <c r="N83" s="49"/>
    </row>
    <row r="84" spans="1:14">
      <c r="A84" s="16" t="s">
        <v>3</v>
      </c>
      <c r="B84" s="5">
        <v>378284</v>
      </c>
      <c r="C84" s="5">
        <v>350195</v>
      </c>
      <c r="D84" s="5">
        <v>52422</v>
      </c>
      <c r="E84" s="5">
        <v>0</v>
      </c>
      <c r="F84" s="5">
        <v>780901</v>
      </c>
      <c r="G84" s="46"/>
      <c r="H84" s="16" t="s">
        <v>3</v>
      </c>
      <c r="I84" s="5">
        <v>40276</v>
      </c>
      <c r="J84" s="5">
        <v>161666</v>
      </c>
      <c r="K84" s="5">
        <v>2979</v>
      </c>
      <c r="L84" s="5">
        <v>1865</v>
      </c>
      <c r="M84" s="5">
        <v>206786</v>
      </c>
      <c r="N84" s="49"/>
    </row>
    <row r="85" spans="1:14">
      <c r="A85" s="16" t="s">
        <v>216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46"/>
      <c r="H85" s="16" t="s">
        <v>216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49"/>
    </row>
    <row r="86" spans="1:14">
      <c r="A86" s="20" t="s">
        <v>46</v>
      </c>
      <c r="B86" s="36">
        <v>2865254</v>
      </c>
      <c r="C86" s="36">
        <v>4866860</v>
      </c>
      <c r="D86" s="36">
        <v>1088519</v>
      </c>
      <c r="E86" s="36">
        <v>0</v>
      </c>
      <c r="F86" s="36">
        <v>8820633</v>
      </c>
      <c r="G86" s="46"/>
      <c r="H86" s="20" t="s">
        <v>46</v>
      </c>
      <c r="I86" s="36">
        <v>851546</v>
      </c>
      <c r="J86" s="36">
        <v>4409176</v>
      </c>
      <c r="K86" s="36">
        <v>57604</v>
      </c>
      <c r="L86" s="36">
        <v>30058</v>
      </c>
      <c r="M86" s="36">
        <v>5348384</v>
      </c>
      <c r="N86" s="49"/>
    </row>
    <row r="87" spans="1:14">
      <c r="B87" s="46"/>
      <c r="C87" s="47"/>
      <c r="D87" s="47"/>
      <c r="E87" s="47"/>
      <c r="F87" s="47"/>
      <c r="G87" s="48"/>
      <c r="H87" s="6"/>
      <c r="I87" s="46"/>
      <c r="J87" s="47"/>
      <c r="K87" s="47"/>
      <c r="L87" s="47"/>
      <c r="M87" s="48"/>
    </row>
    <row r="88" spans="1:14">
      <c r="E88" s="3"/>
      <c r="F88" s="3"/>
      <c r="G88" s="48"/>
      <c r="H88" s="6"/>
      <c r="I88" s="6"/>
      <c r="J88" s="6"/>
      <c r="K88" s="6"/>
      <c r="L88" s="6"/>
      <c r="M88" s="3"/>
    </row>
    <row r="89" spans="1:14">
      <c r="A89" s="7" t="s">
        <v>195</v>
      </c>
      <c r="E89" s="3"/>
      <c r="F89" s="3"/>
      <c r="H89" s="7" t="s">
        <v>196</v>
      </c>
      <c r="I89" s="6"/>
      <c r="J89" s="6"/>
      <c r="K89" s="6"/>
      <c r="L89" s="6"/>
      <c r="M89" s="3"/>
    </row>
    <row r="90" spans="1:14">
      <c r="A90" s="7" t="s">
        <v>451</v>
      </c>
      <c r="E90" s="3"/>
      <c r="F90" s="3"/>
      <c r="H90" s="7" t="s">
        <v>340</v>
      </c>
      <c r="I90" s="6"/>
      <c r="J90" s="6"/>
      <c r="K90" s="6"/>
      <c r="L90" s="6"/>
      <c r="M90" s="3"/>
    </row>
    <row r="91" spans="1:14" ht="25.5">
      <c r="A91" s="8" t="s">
        <v>144</v>
      </c>
      <c r="B91" s="26" t="s">
        <v>422</v>
      </c>
      <c r="C91" s="26" t="s">
        <v>423</v>
      </c>
      <c r="D91" s="26" t="s">
        <v>221</v>
      </c>
      <c r="E91" s="26" t="s">
        <v>217</v>
      </c>
      <c r="F91" s="26" t="s">
        <v>48</v>
      </c>
      <c r="H91" s="8" t="s">
        <v>144</v>
      </c>
      <c r="I91" s="26" t="s">
        <v>422</v>
      </c>
      <c r="J91" s="26" t="s">
        <v>423</v>
      </c>
      <c r="K91" s="26" t="s">
        <v>221</v>
      </c>
      <c r="L91" s="26" t="s">
        <v>217</v>
      </c>
      <c r="M91" s="26" t="s">
        <v>48</v>
      </c>
    </row>
    <row r="92" spans="1:14">
      <c r="A92" s="22" t="s">
        <v>9</v>
      </c>
      <c r="B92" s="4">
        <v>843914</v>
      </c>
      <c r="C92" s="4">
        <v>3161248</v>
      </c>
      <c r="D92" s="4">
        <v>921257</v>
      </c>
      <c r="E92" s="5">
        <v>0</v>
      </c>
      <c r="F92" s="4">
        <v>4926419</v>
      </c>
      <c r="G92" s="46"/>
      <c r="H92" s="22" t="s">
        <v>9</v>
      </c>
      <c r="I92" s="4">
        <v>605989</v>
      </c>
      <c r="J92" s="4">
        <v>3052855</v>
      </c>
      <c r="K92" s="4">
        <v>35079</v>
      </c>
      <c r="L92" s="4">
        <v>10082</v>
      </c>
      <c r="M92" s="4">
        <v>3704005</v>
      </c>
      <c r="N92" s="49"/>
    </row>
    <row r="93" spans="1:14">
      <c r="A93" s="22" t="s">
        <v>10</v>
      </c>
      <c r="B93" s="5">
        <v>1001021</v>
      </c>
      <c r="C93" s="5">
        <v>949567</v>
      </c>
      <c r="D93" s="5">
        <v>97345</v>
      </c>
      <c r="E93" s="5">
        <v>0</v>
      </c>
      <c r="F93" s="5">
        <v>2047933</v>
      </c>
      <c r="G93" s="46"/>
      <c r="H93" s="22" t="s">
        <v>10</v>
      </c>
      <c r="I93" s="5">
        <v>84300</v>
      </c>
      <c r="J93" s="5">
        <v>580941</v>
      </c>
      <c r="K93" s="5">
        <v>8764</v>
      </c>
      <c r="L93" s="5">
        <v>4311</v>
      </c>
      <c r="M93" s="5">
        <v>678316</v>
      </c>
      <c r="N93" s="49"/>
    </row>
    <row r="94" spans="1:14" ht="15" customHeight="1">
      <c r="A94" s="22" t="s">
        <v>453</v>
      </c>
      <c r="B94" s="5">
        <v>44180</v>
      </c>
      <c r="C94" s="5">
        <v>7124</v>
      </c>
      <c r="D94" s="5">
        <v>18</v>
      </c>
      <c r="E94" s="5">
        <v>0</v>
      </c>
      <c r="F94" s="5">
        <v>51322</v>
      </c>
      <c r="G94" s="46"/>
      <c r="H94" s="22" t="s">
        <v>453</v>
      </c>
      <c r="I94" s="5">
        <v>41206</v>
      </c>
      <c r="J94" s="5">
        <v>109750</v>
      </c>
      <c r="K94" s="5">
        <v>1476</v>
      </c>
      <c r="L94" s="5">
        <v>4197</v>
      </c>
      <c r="M94" s="5">
        <v>156629</v>
      </c>
      <c r="N94" s="49"/>
    </row>
    <row r="95" spans="1:14" ht="15" customHeight="1">
      <c r="A95" s="22" t="s">
        <v>11</v>
      </c>
      <c r="B95" s="5">
        <v>31548</v>
      </c>
      <c r="C95" s="5">
        <v>46785</v>
      </c>
      <c r="D95" s="5">
        <v>6239</v>
      </c>
      <c r="E95" s="5">
        <v>0</v>
      </c>
      <c r="F95" s="5">
        <v>84572</v>
      </c>
      <c r="G95" s="46"/>
      <c r="H95" s="22" t="s">
        <v>11</v>
      </c>
      <c r="I95" s="5">
        <v>9456</v>
      </c>
      <c r="J95" s="5">
        <v>40568</v>
      </c>
      <c r="K95" s="5">
        <v>361</v>
      </c>
      <c r="L95" s="5">
        <v>965</v>
      </c>
      <c r="M95" s="5">
        <v>51350</v>
      </c>
      <c r="N95" s="49"/>
    </row>
    <row r="96" spans="1:14" ht="15" customHeight="1">
      <c r="A96" s="22" t="s">
        <v>12</v>
      </c>
      <c r="B96" s="5">
        <v>216647</v>
      </c>
      <c r="C96" s="5">
        <v>132058</v>
      </c>
      <c r="D96" s="5">
        <v>9050</v>
      </c>
      <c r="E96" s="5">
        <v>0</v>
      </c>
      <c r="F96" s="5">
        <v>357755</v>
      </c>
      <c r="G96" s="46"/>
      <c r="H96" s="22" t="s">
        <v>12</v>
      </c>
      <c r="I96" s="5">
        <v>23227</v>
      </c>
      <c r="J96" s="5">
        <v>165749</v>
      </c>
      <c r="K96" s="5">
        <v>2465</v>
      </c>
      <c r="L96" s="5">
        <v>2771</v>
      </c>
      <c r="M96" s="5">
        <v>194212</v>
      </c>
      <c r="N96" s="49"/>
    </row>
    <row r="97" spans="1:14" ht="15" customHeight="1">
      <c r="A97" s="22" t="s">
        <v>13</v>
      </c>
      <c r="B97" s="5">
        <v>10005</v>
      </c>
      <c r="C97" s="5">
        <v>7714</v>
      </c>
      <c r="D97" s="5">
        <v>1072</v>
      </c>
      <c r="E97" s="5">
        <v>0</v>
      </c>
      <c r="F97" s="5">
        <v>18791</v>
      </c>
      <c r="G97" s="46"/>
      <c r="H97" s="22" t="s">
        <v>13</v>
      </c>
      <c r="I97" s="5">
        <v>2647</v>
      </c>
      <c r="J97" s="5">
        <v>13247</v>
      </c>
      <c r="K97" s="5">
        <v>124</v>
      </c>
      <c r="L97" s="5">
        <v>504</v>
      </c>
      <c r="M97" s="5">
        <v>16522</v>
      </c>
      <c r="N97" s="49"/>
    </row>
    <row r="98" spans="1:14" ht="15" customHeight="1">
      <c r="A98" s="22" t="s">
        <v>159</v>
      </c>
      <c r="B98" s="5">
        <v>37246</v>
      </c>
      <c r="C98" s="5">
        <v>29908</v>
      </c>
      <c r="D98" s="5">
        <v>3311</v>
      </c>
      <c r="E98" s="5">
        <v>0</v>
      </c>
      <c r="F98" s="5">
        <v>70465</v>
      </c>
      <c r="G98" s="46"/>
      <c r="H98" s="22" t="s">
        <v>159</v>
      </c>
      <c r="I98" s="5">
        <v>5499</v>
      </c>
      <c r="J98" s="5">
        <v>25215</v>
      </c>
      <c r="K98" s="5">
        <v>356</v>
      </c>
      <c r="L98" s="5">
        <v>1150</v>
      </c>
      <c r="M98" s="5">
        <v>32220</v>
      </c>
      <c r="N98" s="49"/>
    </row>
    <row r="99" spans="1:14" ht="15" customHeight="1">
      <c r="A99" s="22" t="s">
        <v>349</v>
      </c>
      <c r="B99" s="5">
        <v>7621</v>
      </c>
      <c r="C99" s="5">
        <v>588</v>
      </c>
      <c r="D99" s="5">
        <v>0</v>
      </c>
      <c r="E99" s="5">
        <v>0</v>
      </c>
      <c r="F99" s="5">
        <v>8209</v>
      </c>
      <c r="G99" s="46"/>
      <c r="H99" s="22" t="s">
        <v>349</v>
      </c>
      <c r="I99" s="5">
        <v>1020</v>
      </c>
      <c r="J99" s="5">
        <v>4200</v>
      </c>
      <c r="K99" s="5">
        <v>240</v>
      </c>
      <c r="L99" s="5">
        <v>1830</v>
      </c>
      <c r="M99" s="5">
        <v>7290</v>
      </c>
      <c r="N99" s="49"/>
    </row>
    <row r="100" spans="1:14" ht="15" customHeight="1">
      <c r="A100" s="22" t="s">
        <v>197</v>
      </c>
      <c r="B100" s="5">
        <v>190193</v>
      </c>
      <c r="C100" s="5">
        <v>85691</v>
      </c>
      <c r="D100" s="5">
        <v>7406</v>
      </c>
      <c r="E100" s="5">
        <v>0</v>
      </c>
      <c r="F100" s="5">
        <v>283290</v>
      </c>
      <c r="G100" s="46"/>
      <c r="H100" s="22" t="s">
        <v>197</v>
      </c>
      <c r="I100" s="5">
        <v>13626</v>
      </c>
      <c r="J100" s="5">
        <v>60383</v>
      </c>
      <c r="K100" s="5">
        <v>1717</v>
      </c>
      <c r="L100" s="5">
        <v>701</v>
      </c>
      <c r="M100" s="5">
        <v>76427</v>
      </c>
      <c r="N100" s="49"/>
    </row>
    <row r="101" spans="1:14" ht="15" customHeight="1">
      <c r="A101" s="22" t="s">
        <v>162</v>
      </c>
      <c r="B101" s="5">
        <v>130847</v>
      </c>
      <c r="C101" s="5">
        <v>32158</v>
      </c>
      <c r="D101" s="5">
        <v>2495</v>
      </c>
      <c r="E101" s="5">
        <v>0</v>
      </c>
      <c r="F101" s="5">
        <v>165500</v>
      </c>
      <c r="G101" s="46"/>
      <c r="H101" s="22" t="s">
        <v>162</v>
      </c>
      <c r="I101" s="5">
        <v>12285</v>
      </c>
      <c r="J101" s="5">
        <v>78783</v>
      </c>
      <c r="K101" s="5">
        <v>2041</v>
      </c>
      <c r="L101" s="5">
        <v>1126</v>
      </c>
      <c r="M101" s="5">
        <v>94235</v>
      </c>
      <c r="N101" s="49"/>
    </row>
    <row r="102" spans="1:14" ht="15" customHeight="1">
      <c r="A102" s="22" t="s">
        <v>161</v>
      </c>
      <c r="B102" s="5">
        <v>33541</v>
      </c>
      <c r="C102" s="5">
        <v>66274</v>
      </c>
      <c r="D102" s="5">
        <v>3164</v>
      </c>
      <c r="E102" s="5">
        <v>0</v>
      </c>
      <c r="F102" s="5">
        <v>102979</v>
      </c>
      <c r="G102" s="46"/>
      <c r="H102" s="22" t="s">
        <v>161</v>
      </c>
      <c r="I102" s="5">
        <v>4807</v>
      </c>
      <c r="J102" s="5">
        <v>23498</v>
      </c>
      <c r="K102" s="5">
        <v>605</v>
      </c>
      <c r="L102" s="5">
        <v>432</v>
      </c>
      <c r="M102" s="5">
        <v>29342</v>
      </c>
      <c r="N102" s="49"/>
    </row>
    <row r="103" spans="1:14" ht="15" customHeight="1">
      <c r="A103" s="22" t="s">
        <v>160</v>
      </c>
      <c r="B103" s="5">
        <v>4789</v>
      </c>
      <c r="C103" s="5">
        <v>14851</v>
      </c>
      <c r="D103" s="5">
        <v>1853</v>
      </c>
      <c r="E103" s="5">
        <v>0</v>
      </c>
      <c r="F103" s="5">
        <v>21493</v>
      </c>
      <c r="G103" s="46"/>
      <c r="H103" s="22" t="s">
        <v>160</v>
      </c>
      <c r="I103" s="5">
        <v>7725</v>
      </c>
      <c r="J103" s="5">
        <v>21561</v>
      </c>
      <c r="K103" s="5">
        <v>942</v>
      </c>
      <c r="L103" s="5">
        <v>358</v>
      </c>
      <c r="M103" s="5">
        <v>30586</v>
      </c>
      <c r="N103" s="49"/>
    </row>
    <row r="104" spans="1:14" ht="15" customHeight="1">
      <c r="A104" s="22" t="s">
        <v>31</v>
      </c>
      <c r="B104" s="5">
        <v>313698</v>
      </c>
      <c r="C104" s="5">
        <v>332894</v>
      </c>
      <c r="D104" s="5">
        <v>35309</v>
      </c>
      <c r="E104" s="5">
        <v>0</v>
      </c>
      <c r="F104" s="5">
        <v>681901</v>
      </c>
      <c r="G104" s="46"/>
      <c r="H104" s="22" t="s">
        <v>31</v>
      </c>
      <c r="I104" s="5">
        <v>39759</v>
      </c>
      <c r="J104" s="5">
        <v>232375</v>
      </c>
      <c r="K104" s="5">
        <v>3434</v>
      </c>
      <c r="L104" s="5">
        <v>1631</v>
      </c>
      <c r="M104" s="5">
        <v>277199</v>
      </c>
      <c r="N104" s="49"/>
    </row>
    <row r="105" spans="1:14" ht="15" customHeight="1">
      <c r="A105" s="16" t="s">
        <v>216</v>
      </c>
      <c r="B105" s="5">
        <v>4</v>
      </c>
      <c r="C105" s="5">
        <v>0</v>
      </c>
      <c r="D105" s="5">
        <v>0</v>
      </c>
      <c r="E105" s="5">
        <v>0</v>
      </c>
      <c r="F105" s="5">
        <v>4</v>
      </c>
      <c r="G105" s="46"/>
      <c r="H105" s="16" t="s">
        <v>216</v>
      </c>
      <c r="I105" s="70">
        <v>0</v>
      </c>
      <c r="J105" s="5">
        <v>51</v>
      </c>
      <c r="K105" s="5">
        <v>0</v>
      </c>
      <c r="L105" s="5">
        <v>0</v>
      </c>
      <c r="M105" s="5">
        <v>51</v>
      </c>
      <c r="N105" s="49"/>
    </row>
    <row r="106" spans="1:14" ht="15" customHeight="1">
      <c r="A106" s="20" t="s">
        <v>46</v>
      </c>
      <c r="B106" s="36">
        <v>2865254</v>
      </c>
      <c r="C106" s="36">
        <v>4866860</v>
      </c>
      <c r="D106" s="36">
        <v>1088519</v>
      </c>
      <c r="E106" s="36">
        <v>0</v>
      </c>
      <c r="F106" s="36">
        <v>8820633</v>
      </c>
      <c r="G106" s="46"/>
      <c r="H106" s="20" t="s">
        <v>46</v>
      </c>
      <c r="I106" s="36">
        <v>851546</v>
      </c>
      <c r="J106" s="36">
        <v>4409176</v>
      </c>
      <c r="K106" s="36">
        <v>57604</v>
      </c>
      <c r="L106" s="36">
        <v>30058</v>
      </c>
      <c r="M106" s="36">
        <v>5348384</v>
      </c>
      <c r="N106" s="49"/>
    </row>
    <row r="107" spans="1:14" ht="30" customHeight="1">
      <c r="A107" s="131" t="s">
        <v>402</v>
      </c>
      <c r="B107" s="131"/>
      <c r="C107" s="131"/>
      <c r="D107" s="131"/>
      <c r="E107" s="131"/>
      <c r="F107" s="131"/>
      <c r="H107" s="131" t="s">
        <v>402</v>
      </c>
      <c r="I107" s="131"/>
      <c r="J107" s="131"/>
      <c r="K107" s="131"/>
      <c r="L107" s="131"/>
      <c r="M107" s="131"/>
    </row>
    <row r="108" spans="1:14" ht="15" customHeight="1"/>
    <row r="109" spans="1:14" ht="15" customHeight="1"/>
    <row r="110" spans="1:14" ht="15" customHeight="1"/>
    <row r="111" spans="1:14" ht="15" customHeight="1"/>
    <row r="112" spans="1:14" ht="15" customHeight="1"/>
    <row r="113" spans="2:13" ht="15" customHeight="1"/>
    <row r="114" spans="2:13" ht="15" customHeight="1"/>
    <row r="115" spans="2:13" ht="15" customHeight="1"/>
    <row r="116" spans="2:13" ht="15" customHeight="1"/>
    <row r="117" spans="2:13" ht="15" customHeight="1"/>
    <row r="118" spans="2:13" ht="15" customHeight="1"/>
    <row r="119" spans="2:13" ht="15" customHeight="1">
      <c r="B119" s="3"/>
      <c r="C119" s="3"/>
      <c r="D119" s="3"/>
      <c r="E119" s="3"/>
      <c r="F119" s="3"/>
      <c r="G119" s="48"/>
      <c r="M119" s="3"/>
    </row>
    <row r="120" spans="2:13" ht="15" customHeight="1">
      <c r="B120" s="3"/>
      <c r="C120" s="3"/>
      <c r="D120" s="3"/>
      <c r="E120" s="3"/>
      <c r="F120" s="3"/>
      <c r="G120" s="48"/>
      <c r="M120" s="3"/>
    </row>
    <row r="121" spans="2:13" ht="15" customHeight="1">
      <c r="B121" s="3"/>
      <c r="C121" s="3"/>
      <c r="D121" s="3"/>
      <c r="E121" s="3"/>
      <c r="F121" s="3"/>
      <c r="G121" s="48"/>
      <c r="M121" s="3"/>
    </row>
    <row r="122" spans="2:13" ht="15" customHeight="1">
      <c r="B122" s="3"/>
      <c r="C122" s="3"/>
      <c r="D122" s="3"/>
      <c r="E122" s="3"/>
      <c r="F122" s="3"/>
      <c r="G122" s="48"/>
      <c r="M122" s="3"/>
    </row>
    <row r="123" spans="2:13" ht="15" customHeight="1">
      <c r="B123" s="3"/>
      <c r="C123" s="3"/>
      <c r="D123" s="3"/>
      <c r="E123" s="3"/>
      <c r="F123" s="3"/>
      <c r="G123" s="48"/>
      <c r="M123" s="3"/>
    </row>
    <row r="124" spans="2:13" ht="15" customHeight="1">
      <c r="B124" s="3"/>
      <c r="C124" s="3"/>
      <c r="D124" s="3"/>
      <c r="E124" s="3"/>
      <c r="F124" s="3"/>
      <c r="G124" s="48"/>
      <c r="M124" s="3"/>
    </row>
    <row r="125" spans="2:13" ht="15" customHeight="1">
      <c r="B125" s="3"/>
      <c r="C125" s="3"/>
      <c r="D125" s="3"/>
      <c r="E125" s="3"/>
      <c r="F125" s="3"/>
      <c r="G125" s="48"/>
      <c r="M125" s="3"/>
    </row>
    <row r="126" spans="2:13" ht="15" customHeight="1">
      <c r="B126" s="3"/>
      <c r="C126" s="3"/>
      <c r="D126" s="3"/>
      <c r="E126" s="3"/>
      <c r="F126" s="3"/>
      <c r="G126" s="48"/>
      <c r="M126" s="3"/>
    </row>
    <row r="127" spans="2:13" ht="15" customHeight="1">
      <c r="B127" s="3"/>
      <c r="C127" s="3"/>
      <c r="D127" s="3"/>
      <c r="E127" s="3"/>
      <c r="F127" s="3"/>
      <c r="G127" s="48"/>
      <c r="M127" s="3"/>
    </row>
    <row r="128" spans="2:13" ht="15" customHeight="1">
      <c r="B128" s="3"/>
      <c r="C128" s="3"/>
      <c r="D128" s="3"/>
      <c r="E128" s="3"/>
      <c r="F128" s="3"/>
      <c r="G128" s="48"/>
      <c r="M128" s="3"/>
    </row>
    <row r="129" spans="2:13" ht="15" customHeight="1">
      <c r="B129" s="3"/>
      <c r="C129" s="3"/>
      <c r="D129" s="3"/>
      <c r="E129" s="3"/>
      <c r="F129" s="3"/>
      <c r="G129" s="48"/>
      <c r="M129" s="3"/>
    </row>
    <row r="130" spans="2:13" ht="15" customHeight="1">
      <c r="B130" s="3"/>
      <c r="C130" s="3"/>
      <c r="D130" s="3"/>
      <c r="E130" s="3"/>
      <c r="F130" s="3"/>
      <c r="G130" s="48"/>
      <c r="M130" s="3"/>
    </row>
    <row r="131" spans="2:13" ht="15" customHeight="1">
      <c r="B131" s="3"/>
      <c r="C131" s="3"/>
      <c r="D131" s="3"/>
      <c r="E131" s="3"/>
      <c r="F131" s="3"/>
      <c r="G131" s="48"/>
      <c r="M131" s="3"/>
    </row>
    <row r="132" spans="2:13" ht="15" customHeight="1">
      <c r="B132" s="3"/>
      <c r="C132" s="3"/>
      <c r="D132" s="3"/>
      <c r="E132" s="3"/>
      <c r="F132" s="3"/>
      <c r="G132" s="48"/>
      <c r="M132" s="3"/>
    </row>
    <row r="133" spans="2:13" ht="15" customHeight="1">
      <c r="B133" s="3"/>
      <c r="C133" s="3"/>
      <c r="D133" s="3"/>
      <c r="E133" s="3"/>
      <c r="F133" s="3"/>
      <c r="G133" s="48"/>
      <c r="M133" s="3"/>
    </row>
    <row r="134" spans="2:13" ht="15" customHeight="1">
      <c r="B134" s="3"/>
      <c r="C134" s="3"/>
      <c r="D134" s="3"/>
      <c r="E134" s="3"/>
      <c r="F134" s="3"/>
      <c r="G134" s="48"/>
      <c r="M134" s="3"/>
    </row>
    <row r="135" spans="2:13" ht="15" customHeight="1">
      <c r="B135" s="3"/>
      <c r="C135" s="3"/>
      <c r="D135" s="3"/>
      <c r="E135" s="3"/>
      <c r="F135" s="3"/>
      <c r="G135" s="48"/>
      <c r="M135" s="3"/>
    </row>
    <row r="136" spans="2:13" ht="15" customHeight="1">
      <c r="B136" s="3"/>
      <c r="C136" s="3"/>
      <c r="D136" s="3"/>
      <c r="E136" s="3"/>
      <c r="F136" s="3"/>
      <c r="G136" s="48"/>
      <c r="M136" s="3"/>
    </row>
    <row r="137" spans="2:13" ht="15" customHeight="1">
      <c r="B137" s="3"/>
      <c r="C137" s="3"/>
      <c r="D137" s="3"/>
      <c r="E137" s="3"/>
      <c r="F137" s="3"/>
      <c r="G137" s="48"/>
      <c r="M137" s="3"/>
    </row>
    <row r="138" spans="2:13" ht="15" customHeight="1">
      <c r="B138" s="3"/>
      <c r="C138" s="3"/>
      <c r="D138" s="3"/>
      <c r="E138" s="3"/>
      <c r="F138" s="3"/>
      <c r="G138" s="48"/>
      <c r="M138" s="3"/>
    </row>
    <row r="139" spans="2:13" ht="15" customHeight="1">
      <c r="B139" s="3"/>
      <c r="C139" s="3"/>
      <c r="D139" s="3"/>
      <c r="E139" s="3"/>
      <c r="F139" s="3"/>
      <c r="G139" s="48"/>
      <c r="M139" s="3"/>
    </row>
    <row r="140" spans="2:13" ht="15" customHeight="1">
      <c r="B140" s="3"/>
      <c r="C140" s="3"/>
      <c r="D140" s="3"/>
      <c r="E140" s="3"/>
      <c r="F140" s="3"/>
      <c r="G140" s="48"/>
      <c r="M140" s="3"/>
    </row>
    <row r="141" spans="2:13" ht="15" customHeight="1">
      <c r="B141" s="3"/>
      <c r="C141" s="3"/>
      <c r="D141" s="3"/>
      <c r="E141" s="3"/>
      <c r="F141" s="3"/>
      <c r="G141" s="48"/>
      <c r="M141" s="3"/>
    </row>
    <row r="142" spans="2:13" ht="15" customHeight="1">
      <c r="B142" s="3"/>
      <c r="C142" s="3"/>
      <c r="D142" s="3"/>
      <c r="E142" s="3"/>
      <c r="F142" s="3"/>
      <c r="G142" s="48"/>
      <c r="M142" s="3"/>
    </row>
    <row r="143" spans="2:13" ht="15" customHeight="1">
      <c r="B143" s="3"/>
      <c r="C143" s="3"/>
      <c r="D143" s="3"/>
      <c r="E143" s="3"/>
      <c r="F143" s="3"/>
      <c r="G143" s="48"/>
      <c r="M143" s="3"/>
    </row>
    <row r="144" spans="2:13" ht="15" customHeight="1">
      <c r="B144" s="3"/>
      <c r="C144" s="3"/>
      <c r="D144" s="3"/>
      <c r="E144" s="3"/>
      <c r="F144" s="3"/>
      <c r="G144" s="48"/>
      <c r="M144" s="3"/>
    </row>
    <row r="145" spans="2:13" ht="15" customHeight="1">
      <c r="B145" s="3"/>
      <c r="C145" s="3"/>
      <c r="D145" s="3"/>
      <c r="E145" s="3"/>
      <c r="F145" s="3"/>
      <c r="G145" s="48"/>
      <c r="M145" s="3"/>
    </row>
    <row r="146" spans="2:13" ht="15" customHeight="1">
      <c r="B146" s="3"/>
      <c r="C146" s="3"/>
      <c r="D146" s="3"/>
      <c r="E146" s="3"/>
      <c r="F146" s="3"/>
      <c r="G146" s="48"/>
      <c r="M146" s="3"/>
    </row>
    <row r="147" spans="2:13" ht="15" customHeight="1">
      <c r="B147" s="3"/>
      <c r="C147" s="3"/>
      <c r="D147" s="3"/>
      <c r="E147" s="3"/>
      <c r="F147" s="3"/>
      <c r="G147" s="48"/>
      <c r="M147" s="3"/>
    </row>
    <row r="148" spans="2:13" ht="15" customHeight="1">
      <c r="B148" s="3"/>
      <c r="C148" s="3"/>
      <c r="D148" s="3"/>
      <c r="E148" s="3"/>
      <c r="F148" s="3"/>
      <c r="G148" s="48"/>
      <c r="M148" s="3"/>
    </row>
    <row r="149" spans="2:13" ht="15" customHeight="1">
      <c r="B149" s="3"/>
      <c r="C149" s="3"/>
      <c r="D149" s="3"/>
      <c r="E149" s="3"/>
      <c r="F149" s="3"/>
      <c r="G149" s="48"/>
      <c r="M149" s="3"/>
    </row>
    <row r="150" spans="2:13" ht="15" customHeight="1">
      <c r="B150" s="3"/>
      <c r="C150" s="3"/>
      <c r="D150" s="3"/>
      <c r="E150" s="3"/>
      <c r="F150" s="3"/>
      <c r="G150" s="48"/>
      <c r="M150" s="3"/>
    </row>
    <row r="151" spans="2:13" ht="15" customHeight="1">
      <c r="B151" s="3"/>
      <c r="C151" s="3"/>
      <c r="D151" s="3"/>
      <c r="E151" s="3"/>
      <c r="F151" s="3"/>
      <c r="G151" s="48"/>
      <c r="M151" s="3"/>
    </row>
    <row r="152" spans="2:13" ht="15" customHeight="1">
      <c r="B152" s="3"/>
      <c r="C152" s="3"/>
      <c r="D152" s="3"/>
      <c r="E152" s="3"/>
      <c r="F152" s="3"/>
      <c r="G152" s="48"/>
      <c r="M152" s="3"/>
    </row>
    <row r="153" spans="2:13" ht="15" customHeight="1">
      <c r="B153" s="3"/>
      <c r="C153" s="3"/>
      <c r="D153" s="3"/>
      <c r="E153" s="3"/>
      <c r="F153" s="3"/>
      <c r="G153" s="48"/>
      <c r="M153" s="3"/>
    </row>
    <row r="154" spans="2:13" ht="15" customHeight="1">
      <c r="B154" s="3"/>
      <c r="C154" s="3"/>
      <c r="D154" s="3"/>
      <c r="E154" s="3"/>
      <c r="F154" s="3"/>
      <c r="G154" s="48"/>
      <c r="M154" s="3"/>
    </row>
    <row r="155" spans="2:13" ht="15" customHeight="1">
      <c r="B155" s="3"/>
      <c r="C155" s="3"/>
      <c r="D155" s="3"/>
      <c r="E155" s="3"/>
      <c r="F155" s="3"/>
      <c r="G155" s="48"/>
      <c r="M155" s="3"/>
    </row>
    <row r="156" spans="2:13" ht="15" customHeight="1">
      <c r="B156" s="3"/>
      <c r="C156" s="3"/>
      <c r="D156" s="3"/>
      <c r="E156" s="3"/>
      <c r="F156" s="3"/>
      <c r="G156" s="48"/>
      <c r="M156" s="3"/>
    </row>
    <row r="157" spans="2:13" ht="15" customHeight="1">
      <c r="B157" s="3"/>
      <c r="C157" s="3"/>
      <c r="D157" s="3"/>
      <c r="E157" s="3"/>
      <c r="F157" s="3"/>
      <c r="G157" s="48"/>
      <c r="M157" s="3"/>
    </row>
    <row r="158" spans="2:13" ht="15" customHeight="1">
      <c r="B158" s="3"/>
      <c r="C158" s="3"/>
      <c r="D158" s="3"/>
      <c r="E158" s="3"/>
      <c r="F158" s="3"/>
      <c r="G158" s="48"/>
      <c r="M158" s="3"/>
    </row>
    <row r="159" spans="2:13" ht="15" customHeight="1">
      <c r="B159" s="3"/>
      <c r="C159" s="3"/>
      <c r="D159" s="3"/>
      <c r="E159" s="3"/>
      <c r="F159" s="3"/>
      <c r="G159" s="48"/>
      <c r="M159" s="3"/>
    </row>
    <row r="160" spans="2:13" ht="15" customHeight="1">
      <c r="B160" s="3"/>
      <c r="C160" s="3"/>
      <c r="D160" s="3"/>
      <c r="E160" s="3"/>
      <c r="F160" s="3"/>
      <c r="G160" s="48"/>
      <c r="M160" s="3"/>
    </row>
    <row r="161" spans="2:13" ht="15" customHeight="1">
      <c r="B161" s="3"/>
      <c r="C161" s="3"/>
      <c r="D161" s="3"/>
      <c r="E161" s="3"/>
      <c r="F161" s="3"/>
      <c r="G161" s="48"/>
      <c r="M161" s="3"/>
    </row>
    <row r="162" spans="2:13" ht="15" customHeight="1">
      <c r="B162" s="3"/>
      <c r="C162" s="3"/>
      <c r="D162" s="3"/>
      <c r="E162" s="3"/>
      <c r="F162" s="3"/>
      <c r="G162" s="48"/>
      <c r="M162" s="3"/>
    </row>
    <row r="163" spans="2:13" ht="15" customHeight="1">
      <c r="B163" s="3"/>
      <c r="C163" s="3"/>
      <c r="D163" s="3"/>
      <c r="E163" s="3"/>
      <c r="F163" s="3"/>
      <c r="G163" s="48"/>
      <c r="M163" s="3"/>
    </row>
    <row r="164" spans="2:13" ht="15" customHeight="1">
      <c r="B164" s="3"/>
      <c r="C164" s="3"/>
      <c r="D164" s="3"/>
      <c r="E164" s="3"/>
      <c r="F164" s="3"/>
      <c r="G164" s="48"/>
      <c r="M164" s="3"/>
    </row>
    <row r="165" spans="2:13" ht="15" customHeight="1">
      <c r="B165" s="3"/>
      <c r="C165" s="3"/>
      <c r="D165" s="3"/>
      <c r="E165" s="3"/>
      <c r="F165" s="3"/>
      <c r="G165" s="48"/>
      <c r="M165" s="3"/>
    </row>
    <row r="166" spans="2:13" ht="15" customHeight="1">
      <c r="B166" s="3"/>
      <c r="C166" s="3"/>
      <c r="D166" s="3"/>
      <c r="E166" s="3"/>
      <c r="F166" s="3"/>
      <c r="G166" s="48"/>
      <c r="M166" s="3"/>
    </row>
    <row r="167" spans="2:13" ht="15" customHeight="1">
      <c r="B167" s="3"/>
      <c r="C167" s="3"/>
      <c r="D167" s="3"/>
      <c r="E167" s="3"/>
      <c r="F167" s="3"/>
      <c r="G167" s="48"/>
      <c r="M167" s="3"/>
    </row>
    <row r="168" spans="2:13" ht="15" customHeight="1">
      <c r="B168" s="3"/>
      <c r="C168" s="3"/>
      <c r="D168" s="3"/>
      <c r="E168" s="3"/>
      <c r="F168" s="3"/>
      <c r="G168" s="48"/>
      <c r="M168" s="3"/>
    </row>
    <row r="169" spans="2:13" ht="15" customHeight="1">
      <c r="B169" s="3"/>
      <c r="C169" s="3"/>
      <c r="D169" s="3"/>
      <c r="E169" s="3"/>
      <c r="F169" s="3"/>
      <c r="G169" s="48"/>
      <c r="M169" s="3"/>
    </row>
    <row r="170" spans="2:13" ht="15" customHeight="1">
      <c r="B170" s="3"/>
      <c r="C170" s="3"/>
      <c r="D170" s="3"/>
      <c r="E170" s="3"/>
      <c r="F170" s="3"/>
      <c r="G170" s="48"/>
      <c r="M170" s="3"/>
    </row>
    <row r="171" spans="2:13" ht="15" customHeight="1">
      <c r="B171" s="3"/>
      <c r="C171" s="3"/>
      <c r="D171" s="3"/>
      <c r="E171" s="3"/>
      <c r="F171" s="3"/>
      <c r="G171" s="48"/>
      <c r="M171" s="3"/>
    </row>
    <row r="172" spans="2:13" ht="15" customHeight="1">
      <c r="B172" s="3"/>
      <c r="C172" s="3"/>
      <c r="D172" s="3"/>
      <c r="E172" s="3"/>
      <c r="F172" s="3"/>
      <c r="G172" s="48"/>
      <c r="M172" s="3"/>
    </row>
    <row r="173" spans="2:13" ht="15" customHeight="1">
      <c r="B173" s="3"/>
      <c r="C173" s="3"/>
      <c r="D173" s="3"/>
      <c r="E173" s="3"/>
      <c r="F173" s="3"/>
      <c r="G173" s="48"/>
      <c r="M173" s="3"/>
    </row>
    <row r="174" spans="2:13" ht="15" customHeight="1">
      <c r="B174" s="3"/>
      <c r="C174" s="3"/>
      <c r="D174" s="3"/>
      <c r="E174" s="3"/>
      <c r="F174" s="3"/>
      <c r="G174" s="48"/>
      <c r="M174" s="3"/>
    </row>
    <row r="175" spans="2:13" ht="15" customHeight="1">
      <c r="B175" s="3"/>
      <c r="C175" s="3"/>
      <c r="D175" s="3"/>
      <c r="E175" s="3"/>
      <c r="F175" s="3"/>
      <c r="G175" s="48"/>
      <c r="M175" s="3"/>
    </row>
    <row r="176" spans="2:13" ht="15" customHeight="1">
      <c r="B176" s="3"/>
      <c r="C176" s="3"/>
      <c r="D176" s="3"/>
      <c r="E176" s="3"/>
      <c r="F176" s="3"/>
      <c r="G176" s="48"/>
      <c r="M176" s="3"/>
    </row>
    <row r="177" spans="2:13" ht="15" customHeight="1">
      <c r="B177" s="3"/>
      <c r="C177" s="3"/>
      <c r="D177" s="3"/>
      <c r="E177" s="3"/>
      <c r="F177" s="3"/>
      <c r="G177" s="48"/>
      <c r="M177" s="3"/>
    </row>
    <row r="178" spans="2:13" ht="15" customHeight="1">
      <c r="B178" s="3"/>
      <c r="C178" s="3"/>
      <c r="D178" s="3"/>
      <c r="E178" s="3"/>
      <c r="F178" s="3"/>
      <c r="G178" s="48"/>
      <c r="M178" s="3"/>
    </row>
    <row r="179" spans="2:13" ht="15" customHeight="1">
      <c r="B179" s="3"/>
      <c r="C179" s="3"/>
      <c r="D179" s="3"/>
      <c r="E179" s="3"/>
      <c r="F179" s="3"/>
      <c r="G179" s="48"/>
      <c r="M179" s="3"/>
    </row>
    <row r="180" spans="2:13" ht="15" customHeight="1">
      <c r="B180" s="3"/>
      <c r="C180" s="3"/>
      <c r="D180" s="3"/>
      <c r="E180" s="3"/>
      <c r="F180" s="3"/>
      <c r="G180" s="48"/>
      <c r="M180" s="3"/>
    </row>
    <row r="181" spans="2:13" ht="15" customHeight="1">
      <c r="B181" s="3"/>
      <c r="C181" s="3"/>
      <c r="D181" s="3"/>
      <c r="E181" s="3"/>
      <c r="F181" s="3"/>
      <c r="G181" s="48"/>
      <c r="M181" s="3"/>
    </row>
    <row r="182" spans="2:13" ht="15" customHeight="1">
      <c r="B182" s="3"/>
      <c r="C182" s="3"/>
      <c r="D182" s="3"/>
      <c r="E182" s="3"/>
      <c r="F182" s="3"/>
      <c r="G182" s="48"/>
      <c r="M182" s="3"/>
    </row>
    <row r="828" spans="2:13" ht="15" customHeight="1">
      <c r="B828" s="3"/>
      <c r="C828" s="3"/>
      <c r="D828" s="3"/>
      <c r="E828" s="3"/>
      <c r="F828" s="3"/>
      <c r="G828" s="48"/>
      <c r="M828" s="3"/>
    </row>
    <row r="829" spans="2:13" ht="15" customHeight="1">
      <c r="B829" s="3"/>
      <c r="C829" s="3"/>
      <c r="D829" s="3"/>
      <c r="E829" s="3"/>
      <c r="F829" s="3"/>
      <c r="G829" s="48"/>
      <c r="M829" s="3"/>
    </row>
    <row r="830" spans="2:13" ht="15" customHeight="1">
      <c r="B830" s="3"/>
      <c r="C830" s="3"/>
      <c r="D830" s="3"/>
      <c r="E830" s="3"/>
      <c r="F830" s="3"/>
      <c r="G830" s="48"/>
      <c r="M830" s="3"/>
    </row>
    <row r="831" spans="2:13" ht="15" customHeight="1">
      <c r="B831" s="3"/>
      <c r="C831" s="3"/>
      <c r="D831" s="3"/>
      <c r="E831" s="3"/>
      <c r="F831" s="3"/>
      <c r="G831" s="48"/>
      <c r="M831" s="3"/>
    </row>
    <row r="832" spans="2:13" ht="15" customHeight="1">
      <c r="B832" s="3"/>
      <c r="C832" s="3"/>
      <c r="D832" s="3"/>
      <c r="E832" s="3"/>
      <c r="F832" s="3"/>
      <c r="G832" s="48"/>
      <c r="M832" s="3"/>
    </row>
    <row r="833" spans="2:13" ht="15" customHeight="1">
      <c r="B833" s="3"/>
      <c r="C833" s="3"/>
      <c r="D833" s="3"/>
      <c r="E833" s="3"/>
      <c r="F833" s="3"/>
      <c r="G833" s="48"/>
      <c r="M833" s="3"/>
    </row>
    <row r="834" spans="2:13" ht="15" customHeight="1">
      <c r="B834" s="3"/>
      <c r="C834" s="3"/>
      <c r="D834" s="3"/>
      <c r="E834" s="3"/>
      <c r="F834" s="3"/>
      <c r="G834" s="48"/>
      <c r="M834" s="3"/>
    </row>
    <row r="835" spans="2:13" ht="15" customHeight="1">
      <c r="B835" s="3"/>
      <c r="C835" s="3"/>
      <c r="D835" s="3"/>
      <c r="E835" s="3"/>
      <c r="F835" s="3"/>
      <c r="G835" s="48"/>
      <c r="M835" s="3"/>
    </row>
    <row r="836" spans="2:13" ht="15" customHeight="1">
      <c r="B836" s="3"/>
      <c r="C836" s="3"/>
      <c r="D836" s="3"/>
      <c r="E836" s="3"/>
      <c r="F836" s="3"/>
      <c r="G836" s="48"/>
      <c r="M836" s="3"/>
    </row>
    <row r="837" spans="2:13" ht="15" customHeight="1">
      <c r="B837" s="3"/>
      <c r="C837" s="3"/>
      <c r="D837" s="3"/>
      <c r="E837" s="3"/>
      <c r="F837" s="3"/>
      <c r="G837" s="48"/>
      <c r="M837" s="3"/>
    </row>
    <row r="838" spans="2:13" ht="15" customHeight="1">
      <c r="B838" s="3"/>
      <c r="C838" s="3"/>
      <c r="D838" s="3"/>
      <c r="E838" s="3"/>
      <c r="F838" s="3"/>
      <c r="G838" s="48"/>
      <c r="M838" s="3"/>
    </row>
    <row r="839" spans="2:13" ht="15" customHeight="1">
      <c r="B839" s="3"/>
      <c r="C839" s="3"/>
      <c r="D839" s="3"/>
      <c r="E839" s="3"/>
      <c r="F839" s="3"/>
      <c r="G839" s="48"/>
      <c r="M839" s="3"/>
    </row>
    <row r="840" spans="2:13" ht="15" customHeight="1">
      <c r="B840" s="3"/>
      <c r="C840" s="3"/>
      <c r="D840" s="3"/>
      <c r="E840" s="3"/>
      <c r="F840" s="3"/>
      <c r="G840" s="48"/>
      <c r="M840" s="3"/>
    </row>
  </sheetData>
  <mergeCells count="4">
    <mergeCell ref="A54:F54"/>
    <mergeCell ref="H54:M54"/>
    <mergeCell ref="A107:F107"/>
    <mergeCell ref="H107:M107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Introducción</vt:lpstr>
      <vt:lpstr>Índice</vt:lpstr>
      <vt:lpstr>Glosario</vt:lpstr>
      <vt:lpstr>C1_COT</vt:lpstr>
      <vt:lpstr>C2_LMT</vt:lpstr>
      <vt:lpstr>C3_LMA</vt:lpstr>
      <vt:lpstr>C4_LMR</vt:lpstr>
      <vt:lpstr>C5_LMT_DIAG</vt:lpstr>
      <vt:lpstr>C6_LMA_DIAG</vt:lpstr>
      <vt:lpstr>C7_LMR_DIAG</vt:lpstr>
      <vt:lpstr>C8_GTO_SIL</vt:lpstr>
      <vt:lpstr>C9_IND_SIL</vt:lpstr>
      <vt:lpstr>C10_LMT_SECTOR</vt:lpstr>
      <vt:lpstr>C11_LMA_SECTOR</vt:lpstr>
      <vt:lpstr>C12_LMR_SECTOR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2026-01-26T23:56:57Z</dcterms:modified>
</cp:coreProperties>
</file>