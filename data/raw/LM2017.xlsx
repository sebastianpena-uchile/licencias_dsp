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filterPrivacy="1" defaultThemeVersion="124226"/>
  <xr:revisionPtr revIDLastSave="0" documentId="13_ncr:1_{01B58CFD-0D0A-43D0-B932-272E17080C15}" xr6:coauthVersionLast="47" xr6:coauthVersionMax="47" xr10:uidLastSave="{00000000-0000-0000-0000-000000000000}"/>
  <bookViews>
    <workbookView xWindow="-108" yWindow="-108" windowWidth="23256" windowHeight="14856" tabRatio="913" activeTab="8" xr2:uid="{00000000-000D-0000-FFFF-FFFF00000000}"/>
  </bookViews>
  <sheets>
    <sheet name="Introducción" sheetId="41" r:id="rId1"/>
    <sheet name="Índice" sheetId="21" r:id="rId2"/>
    <sheet name="Glosario" sheetId="22" r:id="rId3"/>
    <sheet name="C1_COT" sheetId="15" r:id="rId4"/>
    <sheet name="C2_LMT" sheetId="25" r:id="rId5"/>
    <sheet name="C3_LMA" sheetId="10" r:id="rId6"/>
    <sheet name="C4_LMR" sheetId="23" r:id="rId7"/>
    <sheet name="C5_LMT_DIAG" sheetId="26" r:id="rId8"/>
    <sheet name="C6_LMA_DIAG" sheetId="35" r:id="rId9"/>
    <sheet name="C7_LMR_DIAG" sheetId="36" r:id="rId10"/>
    <sheet name="C8_GTO_SIL" sheetId="29" r:id="rId11"/>
    <sheet name="C9_IND_SIL" sheetId="8" r:id="rId12"/>
    <sheet name="C10_LMT_SECTOR" sheetId="38" r:id="rId13"/>
    <sheet name="C11_LMA_SECTOR" sheetId="39" r:id="rId14"/>
    <sheet name="C12_LMR_SECTOR" sheetId="4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35" l="1" a="1"/>
  <c r="B23" i="3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<sst xmlns="http://schemas.openxmlformats.org/spreadsheetml/2006/main" count="2579" uniqueCount="577">
  <si>
    <t>FONASA</t>
  </si>
  <si>
    <t>ISAPRE</t>
  </si>
  <si>
    <t>20-24</t>
  </si>
  <si>
    <t>65 y más</t>
  </si>
  <si>
    <t>Independiente</t>
  </si>
  <si>
    <t>Hombre</t>
  </si>
  <si>
    <t>Mujer</t>
  </si>
  <si>
    <t>Rechazadas</t>
  </si>
  <si>
    <t>Pendientes</t>
  </si>
  <si>
    <t>Trastornos mentales</t>
  </si>
  <si>
    <t>Enf. osteomusculares</t>
  </si>
  <si>
    <t>Enf. respiratorias</t>
  </si>
  <si>
    <t>Traumatismos, env. y otros</t>
  </si>
  <si>
    <t>Enf. infecciosas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</si>
  <si>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</si>
  <si>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</si>
  <si>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</si>
  <si>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</si>
  <si>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</si>
  <si>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</si>
  <si>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</si>
  <si>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</si>
  <si>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</si>
  <si>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Biobío (VIII)</t>
  </si>
  <si>
    <t>La Araucanía (IX)</t>
  </si>
  <si>
    <t>Los Ríos (XIV)</t>
  </si>
  <si>
    <t>Los Lagos (X)</t>
  </si>
  <si>
    <t>Aysén (XI)</t>
  </si>
  <si>
    <t>Magallanes (XII)</t>
  </si>
  <si>
    <t>Dependiente privado</t>
  </si>
  <si>
    <t>Dependiente público</t>
  </si>
  <si>
    <t>Otros diagnósticos</t>
  </si>
  <si>
    <t>Dependiente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</si>
  <si>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</si>
  <si>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</si>
  <si>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</si>
  <si>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</si>
  <si>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</si>
  <si>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</si>
  <si>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</si>
  <si>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COT</t>
  </si>
  <si>
    <t>LMT</t>
  </si>
  <si>
    <t>LMA</t>
  </si>
  <si>
    <t>LMR</t>
  </si>
  <si>
    <t>SIL</t>
  </si>
  <si>
    <t>DIAG</t>
  </si>
  <si>
    <t>Licencia Médica Tramitada</t>
  </si>
  <si>
    <t>Licencia Médica Autorizada</t>
  </si>
  <si>
    <t>Licencia Médica Rechazada</t>
  </si>
  <si>
    <t>Subsidio por Incapacidad Laboral</t>
  </si>
  <si>
    <t>GLOSARIO</t>
  </si>
  <si>
    <t>Abreviatura</t>
  </si>
  <si>
    <t>Glosa</t>
  </si>
  <si>
    <t>19 y menos</t>
  </si>
  <si>
    <t>25-34</t>
  </si>
  <si>
    <t>35-44</t>
  </si>
  <si>
    <t>45-54</t>
  </si>
  <si>
    <t>55-64</t>
  </si>
  <si>
    <t>&lt;250</t>
  </si>
  <si>
    <t>SISTEMA</t>
  </si>
  <si>
    <t>Total</t>
  </si>
  <si>
    <t>Autorizadas sin modificación</t>
  </si>
  <si>
    <t>Autorizadas con modificación</t>
  </si>
  <si>
    <t>Servicios</t>
  </si>
  <si>
    <t>TOTAL</t>
  </si>
  <si>
    <t>AÑOS</t>
  </si>
  <si>
    <t>SEXO</t>
  </si>
  <si>
    <t>TRAMO ETARIO</t>
  </si>
  <si>
    <t>TIPO DE COTIZANTE</t>
  </si>
  <si>
    <t>TRAMO DE REMUNERACIONES            (EN MILES DE $)</t>
  </si>
  <si>
    <t>250 - 350</t>
  </si>
  <si>
    <t>350 - 500</t>
  </si>
  <si>
    <t>500 - 750</t>
  </si>
  <si>
    <t>750 - 1.000</t>
  </si>
  <si>
    <t>1.000 - 1.250</t>
  </si>
  <si>
    <t>1.250 - 1.500</t>
  </si>
  <si>
    <t>1.500 - 1.800</t>
  </si>
  <si>
    <t>&gt;1.800</t>
  </si>
  <si>
    <t>(*) incluye los días pagados por las LM reclamadas y acogidas total o parcialmente en las instancias de apelación.</t>
  </si>
  <si>
    <t>(*) incluye LM reclamadas y acogidas total o parcialmente en las instancias de apelación.</t>
  </si>
  <si>
    <t>Cuadro N° 1.1:</t>
  </si>
  <si>
    <t>Cuadro N° 1.2:</t>
  </si>
  <si>
    <t>Cuadro N° 1.3:</t>
  </si>
  <si>
    <t xml:space="preserve">Cuadro N° 1.4: </t>
  </si>
  <si>
    <t>Cuadro N° 1.5:</t>
  </si>
  <si>
    <t xml:space="preserve">Cuadro N° 1.6: </t>
  </si>
  <si>
    <t>Cuadro N° 1.7:</t>
  </si>
  <si>
    <t>Cuadro N° 8.1:</t>
  </si>
  <si>
    <t>Cuadro N° 8.2:</t>
  </si>
  <si>
    <t>Cuadro N° 8.3:</t>
  </si>
  <si>
    <t>Cuadro N° 9.1:</t>
  </si>
  <si>
    <t>Cuadro N° 9.2:</t>
  </si>
  <si>
    <t>Cuadro N° 9.3:</t>
  </si>
  <si>
    <t>Cuadro N° 9.4:</t>
  </si>
  <si>
    <t>Cuadro N° 9.5:</t>
  </si>
  <si>
    <t>Cuadro N° 9.6:</t>
  </si>
  <si>
    <t>Cuadro N° 2.1.1:</t>
  </si>
  <si>
    <t>Cuadro N° 2.1.2:</t>
  </si>
  <si>
    <t>Cuadro N° 2.2.1:</t>
  </si>
  <si>
    <t>Cuadro N° 2.2.2:</t>
  </si>
  <si>
    <t>Cuadro N° 3.1.2:</t>
  </si>
  <si>
    <t>Cuadro N° 3.2.2:</t>
  </si>
  <si>
    <t>Cuadro N° 4.1.1:</t>
  </si>
  <si>
    <t>Cuadro N° 4.1.2:</t>
  </si>
  <si>
    <t>Cuadro N° 4.2.1:</t>
  </si>
  <si>
    <t>Cuadro N° 4.2.2:</t>
  </si>
  <si>
    <t>Cuadro N° 1.8: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</si>
  <si>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</si>
  <si>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</si>
  <si>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</si>
  <si>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</si>
  <si>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</si>
  <si>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</si>
  <si>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</si>
  <si>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</si>
  <si>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</si>
  <si>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ÍNDICE DE CUADROS</t>
  </si>
  <si>
    <t>CUADROS N° 1: COTIZANTES CON DERECHO A LICENCIA MÉDICA</t>
  </si>
  <si>
    <t>IND</t>
  </si>
  <si>
    <t>Indicadores</t>
  </si>
  <si>
    <t>Cuadro N° 2.1.3:</t>
  </si>
  <si>
    <t>Cuadro N° 2.1.4:</t>
  </si>
  <si>
    <t>Cuadro N° 2.1.5:</t>
  </si>
  <si>
    <t>Cuadro N° 2.2.3:</t>
  </si>
  <si>
    <t>Cuadro N° 2.2.4:</t>
  </si>
  <si>
    <t>Cuadro N° 2.2.5:</t>
  </si>
  <si>
    <t>GTO</t>
  </si>
  <si>
    <t>Gasto</t>
  </si>
  <si>
    <t>Cuadro N° 3.1.3:</t>
  </si>
  <si>
    <t>Cuadro N° 3.1.4:</t>
  </si>
  <si>
    <t>Cuadro N° 3.2.3:</t>
  </si>
  <si>
    <t>Cuadro N° 3.1.1:</t>
  </si>
  <si>
    <t>Cuadro N° 4.1.3:</t>
  </si>
  <si>
    <t>Cuadro N° 4.2.3:</t>
  </si>
  <si>
    <t>Cuadro N° 2.1.6:</t>
  </si>
  <si>
    <t>Cuadro N° 2.2.6:</t>
  </si>
  <si>
    <t>Cuadro N° 3.1.5:</t>
  </si>
  <si>
    <t>Cuadro N° 3.2.1:</t>
  </si>
  <si>
    <t>Cuadro N° 3.2.5:</t>
  </si>
  <si>
    <t>Cuadro N° 3.2.4:</t>
  </si>
  <si>
    <t>Cuadro N° 4.1.4:</t>
  </si>
  <si>
    <t>Cuadro N° 4.2.4:</t>
  </si>
  <si>
    <t>Cuadro N° 5.1.1.1:</t>
  </si>
  <si>
    <t>Cuadro N° 5.1.2.1:</t>
  </si>
  <si>
    <t>Cuadro N° 5.1.2.2:</t>
  </si>
  <si>
    <t>Cuadro N° 5.1.3.1:</t>
  </si>
  <si>
    <t>Cuadro N° 5.1.4.1:</t>
  </si>
  <si>
    <t>Cuadro N° 5.1.3.2:</t>
  </si>
  <si>
    <t>Cuadro N° 5.1.4.2:</t>
  </si>
  <si>
    <t>Cuadro N° 5.2.1.1:</t>
  </si>
  <si>
    <t>Cuadro N° 5.2.2.1:</t>
  </si>
  <si>
    <t>Cuadro N° 5.2.3.1:</t>
  </si>
  <si>
    <t>Cuadro N° 5.2.4.1:</t>
  </si>
  <si>
    <t>Cuadro N° 5.2.2.2:</t>
  </si>
  <si>
    <t>Cuadro N° 5.2.3.2:</t>
  </si>
  <si>
    <t>Cuadro N° 5.2.4.2:</t>
  </si>
  <si>
    <t>Cuadro N° 6.1.1.1:</t>
  </si>
  <si>
    <t>Cuadro N° 6.1.2.1:</t>
  </si>
  <si>
    <t>Cuadro N° 6.1.3.1:</t>
  </si>
  <si>
    <t>Cuadro N° 6.1.4.1:</t>
  </si>
  <si>
    <t>Cuadro N° 6.1.2.2:</t>
  </si>
  <si>
    <t>Cuadro N° 6.1.3.2:</t>
  </si>
  <si>
    <t>Cuadro N° 6.1.4.2:</t>
  </si>
  <si>
    <t>Cuadro N° 6.2.1.1:</t>
  </si>
  <si>
    <t>Cuadro N° 6.2.2.1:</t>
  </si>
  <si>
    <t>Cuadro N° 6.2.3.1:</t>
  </si>
  <si>
    <t>Cuadro N° 6.2.4.1:</t>
  </si>
  <si>
    <t>Cuadro N° 6.2.2.2:</t>
  </si>
  <si>
    <t>Cuadro N° 6.2.3.2:</t>
  </si>
  <si>
    <t>Cuadro N° 6.2.4.2:</t>
  </si>
  <si>
    <t>Cuadro N° 7.1.1.1:</t>
  </si>
  <si>
    <t>Cuadro N° 7.1.2.1:</t>
  </si>
  <si>
    <t>Cuadro N° 7.1.3.1:</t>
  </si>
  <si>
    <t>Cuadro N° 7.1.4.1:</t>
  </si>
  <si>
    <t>Cuadro N° 7.1.2.2:</t>
  </si>
  <si>
    <t>Cuadro N° 7.1.3.2:</t>
  </si>
  <si>
    <t>Cuadro N° 7.1.4.2:</t>
  </si>
  <si>
    <t>Cuadro N° 7.2.1.1:</t>
  </si>
  <si>
    <t>Cuadro N° 7.2.2.1:</t>
  </si>
  <si>
    <t>Cuadro N° 7.2.3.1:</t>
  </si>
  <si>
    <t>Cuadro N° 7.2.4.1:</t>
  </si>
  <si>
    <t>Cuadro N° 7.2.2.2:</t>
  </si>
  <si>
    <t>Cuadro N° 7.2.3.2:</t>
  </si>
  <si>
    <t>Cuadro N° 7.2.4.2:</t>
  </si>
  <si>
    <t>Cotizantes con Derecho a Licencia Médica</t>
  </si>
  <si>
    <t>Cuadros N° 1</t>
  </si>
  <si>
    <t>Cuadros N° 2</t>
  </si>
  <si>
    <t>Cuadros N° 3</t>
  </si>
  <si>
    <t>Cuadros N° 4</t>
  </si>
  <si>
    <t>Cuadros N° 5</t>
  </si>
  <si>
    <t>Cuadros N° 6</t>
  </si>
  <si>
    <t>Cuadros N° 7</t>
  </si>
  <si>
    <t>Cuadros N° 8</t>
  </si>
  <si>
    <t>Cuadros N° 9</t>
  </si>
  <si>
    <t>Diagnósticos (CIE-10)</t>
  </si>
  <si>
    <t>CUADROS N° 2: LICENCIAS MÉDICAS TRAMITADAS Y DÍAS OTORGADOS</t>
  </si>
  <si>
    <t>CUADROS N° 3: LICENCIAS MÉDICAS AUTORIZADAS Y DÍAS PAGADOS</t>
  </si>
  <si>
    <t>CUADROS N° 4: LICENCIAS MÉDICAS RECHAZADAS Y DÍAS RECHAZADOS</t>
  </si>
  <si>
    <t>CUADROS N° 5: LICENCIAS MÉDICAS TRAMITADAS Y DÍAS OTORGADOS POR PRINCIPALES GRUPOS DIAGNÓSTICO (CIE-10)</t>
  </si>
  <si>
    <t>CUADROS N° 6: LICENCIAS MÉDICAS AUTORIZADAS Y DÍAS PAGADOS POR PRINCIPALES GRUPOS DIAGNÓSTICO (CIE-10)</t>
  </si>
  <si>
    <t>CUADROS N° 7: LICENCIAS MÉDICAS RECHAZADAS Y DÍAS RECHAZADOS POR PRINCIPALES GRUPOS DIAGNÓSTICO (CIE-10)</t>
  </si>
  <si>
    <t>CUADROS N° 8: GASTO POR SUBSIDIO POR INCAPACIDAD LABORAL</t>
  </si>
  <si>
    <t>CUADROS N° 9: INDICADORES DE GASTO POR SUBSIDIO POR INCAPACIDAD LABORAL</t>
  </si>
  <si>
    <t>CUADROS N° 5: LICENCIAS MÉDICAS TRAMITADAS Y DÍAS OTORGADOS POR PRINCIPALES GRUPOS DIAGNÓSTICOS (CIE-10)</t>
  </si>
  <si>
    <t>CUADROS N° 6: LICENCIAS MÉDICAS AUTORIZADAS Y DÍAS PAGADOS POR PRINCIPALES GRUPOS DIAGNÓSTICOS (CIE-10)</t>
  </si>
  <si>
    <t>CUADROS N° 7: LICENCIAS MÉDICAS RECHAZADAS Y DÍAS RECHAZADOS POR PRINCIPALES GRUPOS DIAGNÓSTICOS (CIE-10)</t>
  </si>
  <si>
    <t>CUADROS N° 8: GASTO EN SUBSIDIOS POR INCAPACIDAD LABORAL</t>
  </si>
  <si>
    <t>CUADROS N° 9: INDICADORES DE GASTO EN SUBSIDIOS POR INCAPACIDAD LABORAL</t>
  </si>
  <si>
    <t>TIPO DE DIAGNÓSTICO</t>
  </si>
  <si>
    <t>REGIÓN</t>
  </si>
  <si>
    <t>ACTIVIDAD ECONÓMICA</t>
  </si>
  <si>
    <t>TIPO DE RESOLUCIÓN</t>
  </si>
  <si>
    <t xml:space="preserve">Cuadro N° 1.9.1: </t>
  </si>
  <si>
    <t xml:space="preserve">Cuadro N° 1.9.2: </t>
  </si>
  <si>
    <t>HOMBRE</t>
  </si>
  <si>
    <t>MUJER</t>
  </si>
  <si>
    <t xml:space="preserve">Cuadro N° 1.10.1: </t>
  </si>
  <si>
    <t xml:space="preserve">Cuadro N° 1.10.2: </t>
  </si>
  <si>
    <t>VALORES PROMEDIOS</t>
  </si>
  <si>
    <t>Remuneración</t>
  </si>
  <si>
    <t>Reumeración dependientes</t>
  </si>
  <si>
    <t>Remuneración independientes</t>
  </si>
  <si>
    <t>Edad</t>
  </si>
  <si>
    <t>Enf. del Sistema Digestivo</t>
  </si>
  <si>
    <t>Afecciones del embarazo, Parto y Puerperio</t>
  </si>
  <si>
    <t>Enfermedades del Sist Genito urinario</t>
  </si>
  <si>
    <t>Tumores y Cánceres</t>
  </si>
  <si>
    <t>Otros Diagnósticos</t>
  </si>
  <si>
    <t>Cuadro 8.4.1:</t>
  </si>
  <si>
    <t>PÚBLICO</t>
  </si>
  <si>
    <t>PRIVADO</t>
  </si>
  <si>
    <t>Cuadro 8.4.2:</t>
  </si>
  <si>
    <t>Cuadro N° 11.1.1.1:</t>
  </si>
  <si>
    <t>TIPO DE SECTOR</t>
  </si>
  <si>
    <t>Público</t>
  </si>
  <si>
    <t>Privado</t>
  </si>
  <si>
    <t>Cuadro N° 11.1.2.1:</t>
  </si>
  <si>
    <t>Cuadro N° 11.1.2.2:</t>
  </si>
  <si>
    <t>Cuadro N° 11.1.3.1:</t>
  </si>
  <si>
    <t>Cuadro N° 11.1.3.2:</t>
  </si>
  <si>
    <t>Cuadro N° 11.1.4.1:</t>
  </si>
  <si>
    <t>Cuadro N° 11.1.4.2:</t>
  </si>
  <si>
    <t>Cuadro N° 11.2.1.1:</t>
  </si>
  <si>
    <t>Cuadro N° 11.2.2.1:</t>
  </si>
  <si>
    <t>Cuadro N° 11.2.2.2:</t>
  </si>
  <si>
    <t>Cuadro N° 11.2.3.1:</t>
  </si>
  <si>
    <t>Cuadro N° 11.2.3.2:</t>
  </si>
  <si>
    <t>Cuadro N° 11.2.4.1:</t>
  </si>
  <si>
    <t>Cuadro N° 11.2.4.2:</t>
  </si>
  <si>
    <t>Cuadro N° 12.1.1.1:</t>
  </si>
  <si>
    <t>Cuadro N° 12.1.2.1:</t>
  </si>
  <si>
    <t>Cuadro N° 12.1.2.2:</t>
  </si>
  <si>
    <t>Cuadro N° 12.1.3.1:</t>
  </si>
  <si>
    <t>Cuadro N° 12.1.3.2:</t>
  </si>
  <si>
    <t>Cuadro N° 12.1.4.1:</t>
  </si>
  <si>
    <t>Cuadro N° 12.1.4.2:</t>
  </si>
  <si>
    <t>Cuadro N° 12.2.1.1:</t>
  </si>
  <si>
    <t>Cuadro N° 12.2.2.1:</t>
  </si>
  <si>
    <t>Cuadro N° 12.2.2.2:</t>
  </si>
  <si>
    <t>Cuadro N° 12.2.3.1:</t>
  </si>
  <si>
    <t>Cuadro N° 12.2.3.2:</t>
  </si>
  <si>
    <t>Cuadro N° 12.2.4.1:</t>
  </si>
  <si>
    <t>Cuadro N° 12.2.4.2:</t>
  </si>
  <si>
    <t>Enf. cardiovasculares</t>
  </si>
  <si>
    <t>Enf. Cardiovasculares</t>
  </si>
  <si>
    <t>Cuadro N° 1.1: Número de cotizantes, según seguro de salud años 2013-2017</t>
  </si>
  <si>
    <t>Cuadro N° 1.2: Número de cotizantes, según seguro de salud y sexo año 2017</t>
  </si>
  <si>
    <t>Cuadro N° 1.3: Número de cotizantes, según seguro de salud y tramo etario año 2017</t>
  </si>
  <si>
    <t>Cuadro N° 1.4: Número de cotizantes, según seguro de salud y tipo de cotizante año 2017</t>
  </si>
  <si>
    <t>Cuadro N° 1.5: Número de cotizantes, según seguro de salud y región año 2017</t>
  </si>
  <si>
    <t>Cuadro N° 1.6: Número de cotizantes, según seguro de salud y tramo de remuneraciones año 2017</t>
  </si>
  <si>
    <t>Cuadro N° 1.7: Número de cotizantes, según seguro de salud y actividad económica año 2017</t>
  </si>
  <si>
    <t>Cuadro N° 1.8: Renta imponible promedio anual para el universo de cotizantes, según seguro de salud (miles $ de cada año) años 2013-2017</t>
  </si>
  <si>
    <t>Cuadro N° 2.1.1: Número de licencias médicas tramitadas, según seguro de salud años 2013-2017</t>
  </si>
  <si>
    <t>Cuadro N° 2.1.2: Número de licencias médicas tramitadas, según seguro de salud y sexo año 2017</t>
  </si>
  <si>
    <t>Cuadro N° 2.1.3: Número de licencias médicas tramitadas, según seguro de salud y tramo etario año 2017</t>
  </si>
  <si>
    <t>Cuadro N° 2.1.5: Número de licencias médicas tramitadas, según seguro de salud y región año 2017</t>
  </si>
  <si>
    <t>Cuadro N° 2.1.6: Número de licencias médicas tramitadas, según seguro de salud y  tipo de resolución año 2017</t>
  </si>
  <si>
    <t>Cuadro N° 2.2.1: Número de días otorgados, según seguro de salud años 2013-2017</t>
  </si>
  <si>
    <t>Cuadro N° 2.2.2: Número de días otorgados, según seguro de salud y sexo año 2017</t>
  </si>
  <si>
    <t>Cuadro N° 2.2.3: Número de días otorgados, según seguro de salud y tramo etario año 2017</t>
  </si>
  <si>
    <t>Cuadro N° 2.2.5: Número de días otorgados, según seguro de salud y región año 2017</t>
  </si>
  <si>
    <t>Cuadro N° 2.2.6: Número de días otorgados, según seguro de salud y  tipo de resolución año 2017</t>
  </si>
  <si>
    <t>Cuadro N° 3.1.1: Número de licencias médicas autorizadas, según seguro de salud años 2013-2017</t>
  </si>
  <si>
    <t>Cuadro N° 3.1.2: Número de licencias médicas autorizadas, según seguro de salud y sexo año 2017</t>
  </si>
  <si>
    <t>Cuadro N° 3.1.3: Número de licencias médicas autorizadas, según seguro de salud y tramo etario año 2017</t>
  </si>
  <si>
    <t>Cuadro N° 3.1.5: Número de licencias médicas autorizadas, según seguro de salud y región año 2017</t>
  </si>
  <si>
    <t>Cuadro N° 3.2.1: Número de días pagados, según seguro de salud años 2013-2017</t>
  </si>
  <si>
    <t>Cuadro N° 3.2.2: Número de días pagados, según seguro de salud y sexo año 2017</t>
  </si>
  <si>
    <t>Cuadro N° 3.2.3: Número de días pagados, según seguro de salud y tramo etario año 2017</t>
  </si>
  <si>
    <t>Cuadro N° 3.2.5: Número de días pagados, según seguro de salud y región año 2017</t>
  </si>
  <si>
    <t>Cuadro N° 4.1.1: Número de licencias médicas rechazadas, según seguro de salud años 2013-2017</t>
  </si>
  <si>
    <t>Cuadro N° 4.1.2: Número de licencias médicas rechazadas, según seguro de salud y sexo año 2017</t>
  </si>
  <si>
    <t>Cuadro N° 4.1.3: Número de licencias médicas rechazadas, según seguro de salud y tramo etario año 2017</t>
  </si>
  <si>
    <t>Cuadro N° 4.1.4: Número de licencias médicas rechazadas, según seguro de salud y región año 2017</t>
  </si>
  <si>
    <t>Cuadro N° 4.2.1: Número de días rechazados, según seguro de salud años 2013-2017</t>
  </si>
  <si>
    <t>Cuadro N° 4.2.2: Número de días rechazados, según seguro de salud y sexo año 2017</t>
  </si>
  <si>
    <t>Cuadro N° 4.2.3: Número de días rechazados, según seguro de salud y tramo etario año 2017</t>
  </si>
  <si>
    <t>Cuadro N° 4.2.4: Número de días rechazados, según seguro de salud y región año 2017</t>
  </si>
  <si>
    <t>Cuadro N° 5.1.1.1: Número de licencias médicas tramitadas, según seguro de salud y tipo de diagnóstico año 2017</t>
  </si>
  <si>
    <t>Cuadro N° 5.1.2.1: Número de licencias médicas tramitadas FONASA, según tipo de diagnóstico y sexo año 2017</t>
  </si>
  <si>
    <t>Cuadro N° 5.1.2.2: Número de licencias médicas tramitadas ISAPREs, según tipo de diagnóstico y sexo año 2017</t>
  </si>
  <si>
    <t>Cuadro N° 5.1.3.1: Número de licencias médicas tramitadas FONASA, según tipo de diagnóstico y tramo etario año 2017</t>
  </si>
  <si>
    <t>Cuadro N° 5.1.3.2: Número de licencias médicas tramitadas ISAPREs, según tipo de diagnóstico y tramo etario año 2017</t>
  </si>
  <si>
    <t>Cuadro N° 5.1.4.1: Número de licencias médicas tramitadas FONASA, según tipo de diagnóstico y región año 2017</t>
  </si>
  <si>
    <t>Cuadro N° 5.1.4.2: Número de licencias médicas tramitadas ISAPREs, según tipo de diagnóstico y región año 2017</t>
  </si>
  <si>
    <t>Cuadro N° 5.2.1.1: Número de días otorgados, según seguro de salud y tipo de diagnóstico año 2017</t>
  </si>
  <si>
    <t>Cuadro N° 5.2.2.1: Número de días otorgados FONASA, según tipo de diagnóstico y sexo año 2017</t>
  </si>
  <si>
    <t>Cuadro N° 5.2.2.2: Número de días otorgados ISAPREs, según tipo de diagnóstico y sexo año 2017</t>
  </si>
  <si>
    <t>Cuadro N° 5.2.3.1: Número de días otorgados FONASA, según tipo de diagnóstico y tramo etario año 2017</t>
  </si>
  <si>
    <t>Cuadro N° 5.2.3.2: Número de días otorgados ISAPREs, según tipo de diagnóstico y tramo etario año 2017</t>
  </si>
  <si>
    <t>Cuadro N° 5.2.4.1: Número de días otorgados FONASA, según tipo de diagnóstico y región año 2017</t>
  </si>
  <si>
    <t>Cuadro N° 5.2.4.2: Número de días otorgados ISAPREs, según tipo de diagnóstico y región año 2017</t>
  </si>
  <si>
    <t>Cuadro N° 6.1.1.1: Número de licencias médicas autorizadas, según seguro de salud y tipo de diagnóstico año 2017</t>
  </si>
  <si>
    <t>Cuadro N° 6.1.2.1: Número de licencias médicas autorizadas FONASA, según tipo de diagnóstico y sexo año 2017</t>
  </si>
  <si>
    <t>Cuadro N° 6.1.2.2: Número de licencias médicas autorizadas ISAPREs, según tipo de diagnóstico y sexo año 2017</t>
  </si>
  <si>
    <t>Cuadro N° 6.1.3.1: Número de licencias médicas autorizadas FONASA, según tipo de diagnóstico y tramo etario año 2017</t>
  </si>
  <si>
    <t>Cuadro N° 6.1.3.2: Número de licencias médicas autorizadas ISAPREs, según tipo de diagnóstico y tramo etario año 2017</t>
  </si>
  <si>
    <t>Cuadro N° 6.1.4.1: Número de licencias médicas autorizadas FONASA, según tipo de diagnóstico y región año 2017</t>
  </si>
  <si>
    <t>Cuadro N° 6.1.4.2: Número de licencias médicas autorizadas ISAPREs, según tipo de diagnóstico y región año 2017</t>
  </si>
  <si>
    <t>Cuadro N° 6.2.1.1: Número de días pagados, según seguro de salud y tipo de diagnóstico año 2017</t>
  </si>
  <si>
    <t>Cuadro N° 6.2.2.1: Número de días pagados FONASA, según tipo de diagnóstico y sexo año 2017</t>
  </si>
  <si>
    <t>Cuadro N° 6.2.2.2: Número de días pagados ISAPREs, según tipo de diagnóstico y sexo año 2017</t>
  </si>
  <si>
    <t>Cuadro N° 6.2.3.1: Número de días pagados FONASA, según tipo de diagnóstico y tramo etario año 2017</t>
  </si>
  <si>
    <t>Cuadro N° 6.2.3.2: Número de días pagados ISAPREs, según tipo de diagnóstico y tramo etario año 2017</t>
  </si>
  <si>
    <t>Cuadro N° 6.2.4.1: Número de días pagados FONASA, según tipo de diagnóstico y región año 2017</t>
  </si>
  <si>
    <t>Cuadro N° 6.2.4.2: Número de días pagados ISAPREs, según tipo de diagnóstico y región año 2017</t>
  </si>
  <si>
    <t>Cuadro N° 7.1.1.1: Número de licencias médicas rechazadas, según seguro de salud y tipo de diagnóstico año 2017</t>
  </si>
  <si>
    <t>Cuadro N° 7.1.2.1: Número de licencias médicas rechazadas FONASA, según tipo de diagnóstico y sexo año 2017</t>
  </si>
  <si>
    <t>Cuadro N° 7.1.2.2: Número de licencias médicas rechazadas ISAPREs, según tipo de diagnóstico y sexo año 2017</t>
  </si>
  <si>
    <t>Cuadro N° 7.1.3.1: Número de licencias médicas rechazadas FONASA, según tipo de diagnóstico y tramo etario año 2017</t>
  </si>
  <si>
    <t>Cuadro N° 7.1.3.2: Número de licencias médicas rechazadas ISAPREs, según tipo de diagnóstico y tramo etario año 2017</t>
  </si>
  <si>
    <t>Cuadro N° 7.1.4.1: Número de licencias médicas rechazadas FONASA, según tipo de diagnóstico y región año 2017</t>
  </si>
  <si>
    <t>Cuadro N° 7.1.4.2: Número de licencias médicas rechazadas ISAPREs, según tipo de diagnóstico y región año 2017</t>
  </si>
  <si>
    <t>Cuadro N° 7.2.1.1: Número de días rechazados, según seguro de salud y tipo de diagnóstico año 2017</t>
  </si>
  <si>
    <t>Cuadro N° 7.2.2.1: Número de días rechazados FONASA, según tipo de diagnóstico y sexo año 2017</t>
  </si>
  <si>
    <t>Cuadro N° 7.2.2.2: Número de días rechazados ISAPREs, según tipo de diagnóstico y sexo año 2017</t>
  </si>
  <si>
    <t>Cuadro N° 7.2.3.1: Número de días rechazados FONASA, según tipo de diagnóstico y tramo etario año 2017</t>
  </si>
  <si>
    <t>Cuadro N° 7.2.3.2: Número de días rechazados ISAPREs, según tipo de diagnóstico y tramo etario año 2017</t>
  </si>
  <si>
    <t>Cuadro N° 7.2.4.1: Número de días rechazados FONASA, según tipo de diagnóstico y región año 2017</t>
  </si>
  <si>
    <t>Cuadro N° 7.2.4.2: Número de días rechazados ISAPREs, según tipo de diagnóstico y región año 2017</t>
  </si>
  <si>
    <t>Cuadro N° 8.1: Gasto en SIL nominal por licencias médicas, según seguro de salud (miles $ de cada año) años 2013-2017</t>
  </si>
  <si>
    <t>Cuadro N° 8.2: Gasto en SIL por licencias médicas, según seguro de salud (miles $ de diciembre 2017) años 2013-2017</t>
  </si>
  <si>
    <t>Cuadro N° 8.3: Gasto en SIL por licencias médicas, según seguro de salud y tipo de diagnóstico (miles $ de diciembre 2017) año 2017</t>
  </si>
  <si>
    <t>Cuadro N° 9.1: Gasto en SIL por cotizante, según seguro de salud (miles $ de diciembre 2017) años 2013-2017</t>
  </si>
  <si>
    <t>Cuadro N° 9.2: Número de días pagados por cotizante, según seguro de salud años 2013-2017</t>
  </si>
  <si>
    <t>Cuadro N° 9.3: Gasto en SIL por día pagado, según seguro de salud (miles $ de diciembre 2017) años 2013-2017</t>
  </si>
  <si>
    <t>Cuadro N° 9.4: Gasto en SIL por licencia médica autorizada, según seguro de salud (miles $ de diciembre 2017) años 2013-2017</t>
  </si>
  <si>
    <t>Cuadro N° 9.5: Número de días pagados por licencia médica autorizada, según seguro de salud años 2013-2017</t>
  </si>
  <si>
    <t>Cuadro N° 9.6: Porcentaje de cotización necesario para financiar el SIL, según seguro de salud años 2013-2017</t>
  </si>
  <si>
    <t>Número de cotizantes, según seguro de salud años 2013-2017</t>
  </si>
  <si>
    <t>Número de cotizantes, según seguro de salud y sexo año 2017</t>
  </si>
  <si>
    <t>Número de cotizantes, según seguro de salud y tramo etario año 2017</t>
  </si>
  <si>
    <t>Número de cotizantes, según seguro de salud y tipo de cotizante año 2017</t>
  </si>
  <si>
    <t>Número de cotizantes, según seguro de salud y región año 2017</t>
  </si>
  <si>
    <t>Número de cotizantes, según seguro de salud y tramo de remuneraciones año 2017</t>
  </si>
  <si>
    <t>Número de cotizantes, según seguro de salud y actividad económica año 2017</t>
  </si>
  <si>
    <t>Renta imponible promedio anual para el universo de cotizantes, según seguro de salud (miles $ de cada año) años 2013-2017</t>
  </si>
  <si>
    <t>Número de cotizantes FONASA, según sexo y tramo de remuneraciones año 2017</t>
  </si>
  <si>
    <t>Número de cotizantes ISAPREs, según sexo y tramo de remuneraciones año 2017</t>
  </si>
  <si>
    <t>Estadísticas promedio de cotizantes FONASA, según sexo año 2017</t>
  </si>
  <si>
    <t>Estadísticas promedio de cotizantes ISAPREs, según sexo año 2017</t>
  </si>
  <si>
    <t>Número de licencias médicas tramitadas, según seguro de salud y sexo año 2017</t>
  </si>
  <si>
    <t>Número de días otorgados, según seguro de salud y sexo año 2017</t>
  </si>
  <si>
    <t>Número de licencias médicas tramitadas, según seguro de salud y tramo etario año 2017</t>
  </si>
  <si>
    <t>Número de dias otorgados, según seguro de salud y tramo etario año 2017</t>
  </si>
  <si>
    <t>Número de licencias médicas tramitadas, según seguro de salud y región año 2017</t>
  </si>
  <si>
    <t>Número de dias otorgados, según seguro de salud y región año 2017</t>
  </si>
  <si>
    <t>Número de licencias médicas tramitadas, según seguro de salud y  tipo de resolución año 2017</t>
  </si>
  <si>
    <t>Número de dias otorgados, según seguro de salud y  tipo de resolución año 2017</t>
  </si>
  <si>
    <t>Número de licencias médicas tramitadas, según seguro de salud años 2013-2017</t>
  </si>
  <si>
    <t>Número de días otorgados, según seguro de salud años 2013-2017</t>
  </si>
  <si>
    <t>Número de licencias médicas rechazadas, según seguro de salud años 2013-2017</t>
  </si>
  <si>
    <t>Número de días rechazados, según seguro de salud años 2013-2017</t>
  </si>
  <si>
    <t>Número de licencias médicas rechazadas, según seguro de salud y sexo año 2017</t>
  </si>
  <si>
    <t>Número de días rechazados, según seguro de salud y sexo año 2017</t>
  </si>
  <si>
    <t>Número de licencias médicas rechazadas, según seguro de salud y tramo etario año 2017</t>
  </si>
  <si>
    <t>Número de dias rechazados, según seguro de salud y tramo etario año 2017</t>
  </si>
  <si>
    <t>Número de licencias médicas rechazadas, según seguro de salud y región año 2017</t>
  </si>
  <si>
    <t>Número de dias rechazados, según seguro de salud y región año 2017</t>
  </si>
  <si>
    <t>Número de licencias médicas tramitadas FONASA, según tipo de diagnóstico y sexo año 2017</t>
  </si>
  <si>
    <t>Número de licencias médicas tramitadas ISAPREs, según tipo de diagnóstico y sexo año 2017</t>
  </si>
  <si>
    <t>Número de licencias médicas tramitadas FONASA, según tipo de diagnóstico y tramo etario año 2017</t>
  </si>
  <si>
    <t>Número de licencias médicas tramitadas ISAPREs, según tipo de diagnóstico y tramo etario año 2017</t>
  </si>
  <si>
    <t>Número de licencias médicas tramitadas FONASA, según tipo de diagnóstico y región año 2017</t>
  </si>
  <si>
    <t>Número de licencias médicas tramitadas ISAPREs, según tipo de diagnóstico y región año 2017</t>
  </si>
  <si>
    <t>Número de días otorgados, según seguro de salud y tipo de diagnóstico año 2017</t>
  </si>
  <si>
    <t>Número de días otorgados FONASA, según tipo de diagnóstico y sexo año 2017</t>
  </si>
  <si>
    <t>Número de días otorgados ISAPREs, según tipo de diagnóstico y sexo año 2017</t>
  </si>
  <si>
    <t>Número de días otorgados FONASA, según tipo de diagnóstico y tramo etario año 2017</t>
  </si>
  <si>
    <t>Número de días otorgados ISAPREs, según tipo de diagnóstico y tramo etario año 2017</t>
  </si>
  <si>
    <t>Número de días otorgados FONASA, según tipo de diagnóstico y región año 2017</t>
  </si>
  <si>
    <t>Número de días otorgados ISAPREs, según tipo de diagnóstico y región año 2017</t>
  </si>
  <si>
    <t>Número de licencias médicas autorizadas ISAPREs, según tipo de diagnóstico y sexo año 2017 (*)</t>
  </si>
  <si>
    <t>Número de licencias médicas autorizadas ISAPREs, según tipo de diagnóstico y tramo etario año 2017 (*)</t>
  </si>
  <si>
    <t>Número de licencias médicas autorizadas ISAPREs, según tipo de diagnóstico y región año 2017 (*)</t>
  </si>
  <si>
    <t>Número de días pagados ISAPREs, según tipo de diagnóstico y sexo año 2017 (*)</t>
  </si>
  <si>
    <t>Número de días pagados ISAPREs, según tipo de diagnóstico y tramo etario año 2017 (*)</t>
  </si>
  <si>
    <t>Número de días pagados ISAPREs, según tipo de diagnóstico y región año 2017 (*)</t>
  </si>
  <si>
    <t>Número de licencias médicas rechazadas, según seguro de salud y tipo de diagnóstico año 2017</t>
  </si>
  <si>
    <t>Número de licencias médicas rechazadas FONASA, según tipo de diagnóstico y sexo año 2017</t>
  </si>
  <si>
    <t>Número de licencias médicas rechazadas ISAPREs, según tipo de diagnóstico y sexo año 2017</t>
  </si>
  <si>
    <t>Número de licencias médicas rechazadas FONASA, según tipo de diagnóstico y tramo etario año 2017</t>
  </si>
  <si>
    <t>Número de licencias médicas rechazadas ISAPREs, según tipo de diagnóstico y tramo etario año 2017</t>
  </si>
  <si>
    <t>Número de licencias médicas rechazadas FONASA, según tipo de diagnóstico y región año 2017</t>
  </si>
  <si>
    <t>Número de licencias médicas rechazadas ISAPREs, según tipo de diagnóstico y región año 2017</t>
  </si>
  <si>
    <t>Número de días rechazados, según seguro de salud y tipo de diagnóstico año 2017</t>
  </si>
  <si>
    <t>Número de días rechazados FONASA, según tipo de diagnóstico y sexo año 2017</t>
  </si>
  <si>
    <t>Número de días rechazados ISAPREs, según tipo de diagnóstico y sexo año 2017</t>
  </si>
  <si>
    <t>Número de días rechazados FONASA, según tipo de diagnóstico y tramo etario año 2017</t>
  </si>
  <si>
    <t>Número de días rechazados ISAPREs, según tipo de diagnóstico y tramo etario año 2017</t>
  </si>
  <si>
    <t>Número de días rechazados FONASA, según tipo de diagnóstico y región año 2017</t>
  </si>
  <si>
    <t>Número de días rechazados ISAPREs, según tipo de diagnóstico y región año 2017</t>
  </si>
  <si>
    <t>Gasto en SIL por cotizante, según seguro de salud (miles $ de diciembre 2017) años 2013-2017</t>
  </si>
  <si>
    <t>Número de días pagados por cotizante, según seguro de salud años 2013-2017</t>
  </si>
  <si>
    <t>Gasto en SIL por día pagado, según seguro de salud (miles $ de diciembre 2017) años 2013-2017</t>
  </si>
  <si>
    <t>Gasto en SIL por licencia médica autorizada, según seguro de salud (miles $ de diciembre 2017) años 2013-2017</t>
  </si>
  <si>
    <t>Número de días pagados por licencia médica autorizada, según seguro de salud años 2013-2017</t>
  </si>
  <si>
    <t>Porcentaje de cotización necesario para financiar el SIL, según seguro de salud años 2013-2017</t>
  </si>
  <si>
    <t>Cuadro N° 10.1.1.1:</t>
  </si>
  <si>
    <t>Cuadro N° 10.1.2.1:</t>
  </si>
  <si>
    <t>Cuadro N° 10.1.2.2:</t>
  </si>
  <si>
    <t>Cuadro N° 10.1.3.1:</t>
  </si>
  <si>
    <t>Cuadro N° 10.1.3.2:</t>
  </si>
  <si>
    <t>Cuadro N° 10.1.4.1:</t>
  </si>
  <si>
    <t>Cuadro N° 10.1.4.2:</t>
  </si>
  <si>
    <t>Cuadro N° 10.2.1.1:</t>
  </si>
  <si>
    <t>Cuadro N° 10.2.2.1:</t>
  </si>
  <si>
    <t>Cuadro N° 10.2.2.2:</t>
  </si>
  <si>
    <t>Cuadro N° 10.2.3.1:</t>
  </si>
  <si>
    <t>Cuadro N° 10.2.3.2:</t>
  </si>
  <si>
    <t>Cuadro N° 10.2.4.1:</t>
  </si>
  <si>
    <t>Cuadro N° 10.2.4.2:</t>
  </si>
  <si>
    <t>CUADROS N° 10: LICENCIAS MÉDICAS TRAMITADAS Y DÍAS OTORGADOS POR TIPO SECTOR</t>
  </si>
  <si>
    <t>CUADROS N° 11: LICENCIAS MÉDICAS AUTORIZADAS Y DÍAS PAGADOS POR TIPO SECTOR</t>
  </si>
  <si>
    <t>CUADROS N° 12: LICENCIAS MÉDICAS RECHAZADAS Y DÍAS RECHAZADOS POR TIPO SECTOR</t>
  </si>
  <si>
    <t>Cuadro N° 10.1.1.1: Número de licencias médicas tramitadas, según seguro de salud y tipo de sector año 2017</t>
  </si>
  <si>
    <t>Cuadro N° 10.1.2.1: Número de licencias médicas tramitadas FONASA, según tipo de sector y sexo año 2017</t>
  </si>
  <si>
    <t>Cuadro N° 10.1.2.2: Número de licencias médicas tramitadas ISAPREs, según tipo de sector y sexo año 2017</t>
  </si>
  <si>
    <t>Cuadro N° 10.1.3.1: Número de licencias médicas tramitadas FONASA, según tipo de sector y tramo etario año 2017</t>
  </si>
  <si>
    <t>Cuadro N° 10.1.3.2: Número de licencias médicas tramitadas ISAPREs, según tipo de sector y tramo etario año 2017</t>
  </si>
  <si>
    <t>Cuadro N° 10.1.4.1: Número de licencias médicas tramitadas FONASA, según tipo de sector y región año 2017</t>
  </si>
  <si>
    <t>Cuadro N° 10.1.4.2: Número de licencias médicas tramitadas ISAPREs, según tipo de sector y región año 2017</t>
  </si>
  <si>
    <t>Cuadro N° 10.2.1.1: Número de días otorgados, según seguro de salud y tipo de sector año 2017</t>
  </si>
  <si>
    <t>Cuadro N° 10.2.2.1: Número de días otorgados FONASA, según tipo de sector y sexo año 2017</t>
  </si>
  <si>
    <t>Cuadro N° 10.2.2.2: Número de días otorgados ISAPREs, según tipo de sector y sexo año 2017</t>
  </si>
  <si>
    <t>Cuadro N° 10.2.3.1: Número de días otorgados FONASA, según tipo de sector y tramo etario año 2017</t>
  </si>
  <si>
    <t>Cuadro N° 10.2.3.2: Número de días otorgados ISAPREs, según tipo de sector y tramo etario año 2017</t>
  </si>
  <si>
    <t>Cuadro N° 10.2.4.1: Número de días otorgados FONASA, según tipo de sector y región año 2017</t>
  </si>
  <si>
    <t>Cuadro N° 10.2.4.2: Número de días otorgados ISAPREs, según tipo de sector y región año 2017</t>
  </si>
  <si>
    <t>Cuadro N° 11.1.1.1: Número de licencias médicas autorizadas, según seguro de salud y tipo de sector año 2017</t>
  </si>
  <si>
    <t>Cuadro N° 11.1.2.1: Número de licencias médicas autorizadas FONASA, según tipo de sector y sexo año 2017</t>
  </si>
  <si>
    <t>Cuadro N° 11.1.2.2: Número de licencias médicas autorizadas ISAPREs, según tipo de sector y sexo año 2017</t>
  </si>
  <si>
    <t>Cuadro N° 11.1.3.1: Número de licencias médicas autorizadas FONASA, según tipo de sector y tramo etario año 2017</t>
  </si>
  <si>
    <t>Cuadro N° 11.1.3.2: Número de licencias médicas autorizadas ISAPREs, según tipo de sector y tramo etario año 2017</t>
  </si>
  <si>
    <t>Cuadro N° 11.1.4.1: Número de licencias médicas autorizadas FONASA, según tipo de sector y región año 2017</t>
  </si>
  <si>
    <t>Cuadro N° 11.1.4.2: Número de licencias médicas autorizadas ISAPREs, según tipo de sector y región año 2017</t>
  </si>
  <si>
    <t>Cuadro N° 11.2.1.1: Número de días pagados, según seguro de salud y tipo de sector año 2017</t>
  </si>
  <si>
    <t>Cuadro N° 11.2.2.1: Número de días pagados FONASA, según tipo de sector y sexo año 2017</t>
  </si>
  <si>
    <t>Cuadro N° 11.2.2.2: Número de días pagados ISAPREs, según tipo de sector y sexo año 2017</t>
  </si>
  <si>
    <t>Cuadro N° 11.2.3.1: Número de días pagados FONASA, según tipo de sector y tramo etario año 2017</t>
  </si>
  <si>
    <t>Cuadro N° 11.2.3.2: Número de días pagados ISAPREs, según tipo de sector y tramo etario año 2017</t>
  </si>
  <si>
    <t>Cuadro N° 11.2.4.1: Número de días pagados FONASA, según tipo de sector y región año 2017</t>
  </si>
  <si>
    <t>Cuadro N° 11.2.4.2: Número de días pagados ISAPREs, según tipo de sector y región año 2017</t>
  </si>
  <si>
    <t>Cuadro N° 12.1.1.1: Número de licencias médicas rechazadas, según seguro de salud y tipo de sector año 2017</t>
  </si>
  <si>
    <t>Cuadro N° 12.1.2.1: Número de licencias médicas rechazadas FONASA, según tipo de sector y sexo año 2017</t>
  </si>
  <si>
    <t>Cuadro N° 12.1.2.2: Número de licencias médicas rechazadas ISAPREs, según tipo de sector y sexo año 2017</t>
  </si>
  <si>
    <t>Cuadro N° 12.1.3.1: Número de licencias médicas rechazadas FONASA, según tipo de sector y tramo etario año 2017</t>
  </si>
  <si>
    <t>Cuadro N° 12.1.3.2: Número de licencias médicas rechazadas ISAPREs, según tipo de sector y tramo etario año 2017</t>
  </si>
  <si>
    <t>Cuadro N° 12.1.4.1: Número de licencias médicas rechazadas FONASA, según tipo de sector y región año 2017</t>
  </si>
  <si>
    <t>Cuadro N° 12.1.4.2: Número de licencias médicas rechazadas ISAPREs, según tipo de sector y región año 2017</t>
  </si>
  <si>
    <t>Cuadro N° 12.2.1.1: Número de días rechazados, según seguro de salud y tipo de sector año 2017</t>
  </si>
  <si>
    <t>Cuadro N° 12.2.2.1: Número de días rechazados FONASA, según tipo de sector y sexo año 2017</t>
  </si>
  <si>
    <t>Cuadro N° 12.2.2.2: Número de días rechazados ISAPREs, según tipo de sector y sexo año 2017</t>
  </si>
  <si>
    <t>Cuadro N° 12.2.3.1: Número de días rechazados FONASA, según tipo de sector y tramo etario año 2017</t>
  </si>
  <si>
    <t>Cuadro N° 12.2.3.2: Número de días rechazados ISAPREs, según tipo de sector y tramo etario año 2017</t>
  </si>
  <si>
    <t>Cuadro N° 12.2.4.1: Número de días rechazados FONASA, según tipo de sector y región año 2017</t>
  </si>
  <si>
    <t>Cuadro N° 12.2.4.2: Número de días rechazados ISAPREs, según tipo de sector y región año 2017</t>
  </si>
  <si>
    <t>Sin información</t>
  </si>
  <si>
    <t>SIN INFORMACIÓN</t>
  </si>
  <si>
    <t>Traumatismos, envenenamientos y otros</t>
  </si>
  <si>
    <t>Enfermedades del Sist. Genito urinario</t>
  </si>
  <si>
    <t>Sin Información</t>
  </si>
  <si>
    <t>(*) Se incluye en sector privado las LM de los trabajadores independientes</t>
  </si>
  <si>
    <t>Introducción</t>
  </si>
  <si>
    <t>(*)Para una mejor comprensión de la metodología utilizada para elaborar esta información se sugiere revisar el siguiente documento metodológico</t>
  </si>
  <si>
    <t>(*) Incluye LM reclamadas y acogidas total o parcialmente en las instancias de apelación. Se incluye en sector privado las LM de los trabajadores independientes.</t>
  </si>
  <si>
    <t>Gasto en SIL por licencias médicas ISAPRE, según tipo de sector y tipo de diagnóstico (miles $ de diciembre 2017) año 2017 (*)</t>
  </si>
  <si>
    <t>Número de licencias médicas tramitadas ISAPREs, según tipo de sector y sexo año 2017 (*)</t>
  </si>
  <si>
    <t>Número de licencias médicas tramitadas ISAPREs, según tipo de sector y tramo etario año 2017 (*)</t>
  </si>
  <si>
    <t>Número de licencias médicas tramitadas ISAPREs, según tipo de sector y diagnóstico año 2017 (*)</t>
  </si>
  <si>
    <t>Número de días otorgados ISAPREs, según tipo de sector y sexo año 2017 (*)</t>
  </si>
  <si>
    <t>Número de días otorgados ISAPREs, según tipo de sector y tramo etario año 2017 (*)</t>
  </si>
  <si>
    <t>Número de días otorgados ISAPREs, según tipo de sector y diagnóstico año 2017 (*)</t>
  </si>
  <si>
    <t>Número de licencias médicas autorizadas ISAPREs, según tipo de sector y sexo año 2017 (*)</t>
  </si>
  <si>
    <t>Número de licencias médicas autorizadas ISAPREs, según tipo de sector y tramo etario año 2017 (*)</t>
  </si>
  <si>
    <t>Número de licencias médicas autorizadas ISAPREs, según tipo de sector y diagnóstico año 2017 (*)</t>
  </si>
  <si>
    <t>Número de días pagados ISAPREs, según tipo de sector y sexo año 2017 (*)</t>
  </si>
  <si>
    <t>Número de días pagados ISAPREs, según tipo de sector y tramo etario año 2017 (*)</t>
  </si>
  <si>
    <t>Número de días pagados ISAPREs, según tipo de sector y diagnóstico año 2017 (*)</t>
  </si>
  <si>
    <t>Número de licencias médicas rechazadas ISAPREs, según tipo de sector y sexo año 2017 (*)</t>
  </si>
  <si>
    <t>Número de licencias médicas rechazadas ISAPREs, según tipo de sector y tramo etario año 2017 (*)</t>
  </si>
  <si>
    <t>Número de licencias médicas rechazadas ISAPREs, según tipo de sector y diagnóstico año 2017 (*)</t>
  </si>
  <si>
    <t>Número de días rechazados ISAPREs, según tipo de sector y sexo año 2017 (*)</t>
  </si>
  <si>
    <t>Número de días rechazados ISAPREs, según tipo de sector y tramo etario año 2017 (*)</t>
  </si>
  <si>
    <t>Número de días rechazados ISAPREs, según tipo de sector y diagnóstico año 2017 (*)</t>
  </si>
  <si>
    <t>Cuadro N° 1.9: Número de cotizantes, según seguro de salud, sexo y tramo de remuneraciones año 2017</t>
  </si>
  <si>
    <t>Cuadro N° 1.10: Estadísticas promedio de cotizantes de cotizantes, según seguro de salud y sexo año 2017</t>
  </si>
  <si>
    <t>Cuadro N° 8.4.1: Gasto en SIL por licencias médicas FONASA, según  tipo de sector y tipo de diagnóstico (miles $ de diciembre 2017) año 2017</t>
  </si>
  <si>
    <t>Cuadro N° 8.4.2: Gasto en SIL por licencias médicas ISAPREs, según  tipo de sector y tipo de diagnóstico (miles $ de diciembre 2017) año 2017</t>
  </si>
  <si>
    <t>C10</t>
  </si>
  <si>
    <t>Cuadros N° 10</t>
  </si>
  <si>
    <t>C11</t>
  </si>
  <si>
    <t>Cuadros N° 11</t>
  </si>
  <si>
    <t>Cuadros N° 12</t>
  </si>
  <si>
    <t>C12</t>
  </si>
  <si>
    <t xml:space="preserve"> "Metodología LM&amp;SIL año 2017".</t>
  </si>
  <si>
    <t xml:space="preserve">
Anualmente, el Fondo Nacional de Salud (FONASA), la Superintendencia de Salud (SIS) y la Superintendencia de Seguridad Social (SUSESO), se reúnen con el objetivo de presentar en base a una metodología uniforme las cifras oficiales relativas a licencias médicas de origen común (LM) y subsidio por incapacidad laboral (SIL).
Este documento presenta las principales estadísticas de LM y SIL del año 2017, tales como número de cotizantes, número de licencias médicas, principales patologías asociadas a las licencias médicas, gasto en SIL y número de LM por tipo de sector (privado y público)*. Asimismo, se incluye la evolución de indicadores claves del sistema.
</t>
  </si>
  <si>
    <t>Número de licencias médicas tramitadas FONASA, según seguro de salud y tipo de diagnóstico año 2017</t>
  </si>
  <si>
    <t>Cuadro N° 3.1.4: Número de licencias médicas autorizadas, según seguro de salud y tipo de cotizante año 2017</t>
  </si>
  <si>
    <t>Cuadro N° 3.2.4: Número de días pagados, según seguro de salud y tipo de cotizante año 2017</t>
  </si>
  <si>
    <t>Número de licencias médicas tramitadas, según seguro de salud y tipo de cotizante año 2017</t>
  </si>
  <si>
    <t>Cuadro N° 2.1.4: Número de licencias médicas tramitadas, según seguro de salud y tipo de cotizante año 2017</t>
  </si>
  <si>
    <t>Número de dias otorgados, según seguro de salud y tipo de cotizante año 2017</t>
  </si>
  <si>
    <t>Cuadro N° 2.2.4: Número de días otorgados, según seguro de salud y tipo de cotizante año 2017</t>
  </si>
  <si>
    <t>Número de licencias médicas tramitadas FONASA, según tipo de sector y sexo año 2017 (*)</t>
  </si>
  <si>
    <t>Número de licencias médicas tramitadas FONASA, según tipo de sector y tramo etario año 2017 (*)</t>
  </si>
  <si>
    <t>Número de licencias médicas tramitadas FONASA, según tipo de sector y diagnóstico año 2017 (*)</t>
  </si>
  <si>
    <t>Número de días otorgados, según seguro de salud y tipo de sector año 2017 (*)</t>
  </si>
  <si>
    <t>Número de días otorgados FONASA, según tipo de sector y diagnóstico año 2017 (*)</t>
  </si>
  <si>
    <t>Número de días otorgados FONASA, según tipo de sector y tramo etario año 2017 (*)</t>
  </si>
  <si>
    <t>Número de días otorgados FONASA, según tipo de sector y sexo año 2017 (*)</t>
  </si>
  <si>
    <t>Número de licencias médicas tramitadas, según seguro de salud y tipo de sector año 2017  (*)</t>
  </si>
  <si>
    <t>Número de licencias médicas autorizadas, según seguro de salud y tipo de sector año 2017 (*)</t>
  </si>
  <si>
    <t>Número de licencias médicas autorizadas FONASA, según tipo de sector y sexo año 2017 (*)</t>
  </si>
  <si>
    <t>Número de licencias médicas autorizadas FONASA, según tipo de sector y tramo etario año 2017 (*)</t>
  </si>
  <si>
    <t>Número de licencias médicas autorizadas FONASA, según tipo de sector y diagnóstico año 2017 (*)</t>
  </si>
  <si>
    <t>Número de días pagados, según seguro de salud y tipo de sector año 2017 (*)</t>
  </si>
  <si>
    <t>Número de días pagados FONASA, según tipo de sector y sexo año 2017 (*)</t>
  </si>
  <si>
    <t>Número de días pagados FONASA, según tipo de sector y tramo etario año 2017 (*)</t>
  </si>
  <si>
    <t>Número de días pagados FONASA, según tipo de sector y diagnóstico año 2017 (*)</t>
  </si>
  <si>
    <t>Número de licencias médicas rechazadas, según seguro de salud y tipo de sector año 2017 (*)</t>
  </si>
  <si>
    <t>Número de licencias médicas rechazadas FONASA, según tipo de sector y sexo año 2017 (*)</t>
  </si>
  <si>
    <t>Número de licencias médicas rechazadas FONASA, según tipo de sector y tramo etario año 2017 (*)</t>
  </si>
  <si>
    <t>Número de licencias médicas rechazadas FONASA, según tipo de sector y diagnóstico año 2017 (*)</t>
  </si>
  <si>
    <t>Número de días rechazados, según seguro de salud y tipo de sector año 2017 (*)</t>
  </si>
  <si>
    <t>Número de días rechazados FONASA, según tipo de sector y sexo año 2017 (*)</t>
  </si>
  <si>
    <t>Número de días rechazados FONASA, según tipo de sector y tramo etario año 2017 (*)</t>
  </si>
  <si>
    <t>Número de días rechazados FONASA, según tipo de sector y diagnóstico año 2017 (*)</t>
  </si>
  <si>
    <t>Número de licencias médicas autorizadas, según seguro de salud años 2013-2017 (*)</t>
  </si>
  <si>
    <t>Número de licencias médicas autorizadas, según seguro de salud y sexo año 2017 (*)</t>
  </si>
  <si>
    <t>Número de licencias médicas autorizadas, según seguro de salud y tramo etario año 2017 (*)</t>
  </si>
  <si>
    <t>Número de licencias médicas autorizadas, según seguro de salud y tipo de cotizante año 2017 (*)</t>
  </si>
  <si>
    <t>Número de licencias médicas autorizadas, según seguro de salud y región año 2017 (*)</t>
  </si>
  <si>
    <t>Número de días pagados, según seguro de salud años 2013-2017 (*)</t>
  </si>
  <si>
    <t>Número de días pagados, según seguro de salud y sexo año 2017 (*)</t>
  </si>
  <si>
    <t>Número de dias pagados, según seguro de salud y tramo etario año 2017 (*)</t>
  </si>
  <si>
    <t>Número de dias pagados, según seguro de salud y tipo de cotizanteaño 2017 (*)</t>
  </si>
  <si>
    <t>Número de dias pagados, según seguro de salud y región año 2017 (*)</t>
  </si>
  <si>
    <t>Número de licencias médicas autorizadas FONASA, según tipo de diagnóstico y sexo año 2017 (*)</t>
  </si>
  <si>
    <t>Número de licencias médicas autorizadas FONASA, según tipo de diagnóstico y tramo etario año 2017 (*)</t>
  </si>
  <si>
    <t>Número de licencias médicas autorizadas FONASA, según tipo de diagnóstico y región año 2017 (*)</t>
  </si>
  <si>
    <t>Número de días pagados, según seguro de salud y tipo de diagnóstico año 2017 (*)</t>
  </si>
  <si>
    <t>Número de días pagados FONASA, según tipo de diagnóstico y sexo año 2017 (*)</t>
  </si>
  <si>
    <t>Número de días pagados FONASA, según tipo de diagnóstico y tramo etario año 2017 (*)</t>
  </si>
  <si>
    <t>Número de días pagados FONASA, según tipo de diagnóstico y región año 2017 (*)</t>
  </si>
  <si>
    <t>Número de licencias médicas autorizadas, según seguro de salud y tipo de diagnóstico año 2017 (*)</t>
  </si>
  <si>
    <t>Gasto en SIL nominal por licencias médicas, según seguro de salud (miles $ de cada año) años 2013-2017 (*)</t>
  </si>
  <si>
    <t>Gasto en SIL por licencias médicas, según seguro de salud (miles $ de diciembre 2017) años 2013-2017 (*)</t>
  </si>
  <si>
    <t>Gasto en SIL por licencias médicas, según seguro de salud y tipo de diagnóstico (miles $ de diciembre 2017) año 2017 (*)</t>
  </si>
  <si>
    <t>Gasto en SIL por licencias médicas FONASA, según tipo de sector y tipo de diagnóstico (miles $ de diciembre 2017) año 2017 (*)</t>
  </si>
  <si>
    <t>(*) incluye los días pagados por las LM reclamadas y acogidas total o parcialmente en las instancias de apelación. Se incluye en sector privado las LM de los trabajadores independientes.</t>
  </si>
  <si>
    <t>fonasa</t>
  </si>
  <si>
    <t>isapre</t>
  </si>
  <si>
    <t>hombre</t>
  </si>
  <si>
    <t>mujer</t>
  </si>
  <si>
    <t>sin_info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</si>
</sst>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-* #,##0_-;\-* #,##0_-;_-* &quot;-&quot;_-;_-@_-"/>
    <numFmt numFmtId="165" formatCode="_-* #,##0.00_-;\-* #,##0.00_-;_-* &quot;-&quot;??_-;_-@_-"/>
    <numFmt numFmtId="166" formatCode="_-* #,##0.00\ _€_-;\-* #,##0.00\ _€_-;_-* &quot;-&quot;??\ _€_-;_-@_-"/>
    <numFmt numFmtId="167" formatCode="#,##0.0"/>
    <numFmt numFmtId="168" formatCode="0.0%"/>
    <numFmt numFmtId="169" formatCode="_(* #,##0.00_);_(* \(#,##0.00\);_(* &quot;-&quot;??_);_(@_)"/>
    <numFmt numFmtId="170" formatCode="#,##0;[Red]#,##0"/>
    <numFmt numFmtId="171" formatCode="_-* #,##0.00\ _P_t_s_-;\-* #,##0.00\ _P_t_s_-;_-* &quot;-&quot;??\ _P_t_s_-;_-@_-"/>
    <numFmt numFmtId="172" formatCode="&quot;$&quot;#,##0.00_);\(&quot;$&quot;#,##0.00\)"/>
    <numFmt numFmtId="173" formatCode="&quot;$&quot;#,##0_);\(&quot;$&quot;#,##0\)"/>
    <numFmt numFmtId="174" formatCode="_-* #,##0_-;\-* #,##0_-;_-* &quot;-&quot;??_-;_-@_-"/>
    <numFmt numFmtId="175" formatCode="#,##0.000"/>
  </numFmts>
  <fonts count="51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3" tint="0.39997558519241921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8"/>
      <name val="Arial"/>
      <family val="2"/>
    </font>
    <font>
      <b/>
      <sz val="9"/>
      <color theme="1"/>
      <name val="Verdana"/>
      <family val="2"/>
    </font>
    <font>
      <u/>
      <sz val="12"/>
      <color indexed="12"/>
      <name val="Arial"/>
      <family val="2"/>
    </font>
    <font>
      <sz val="10"/>
      <name val="Calibri"/>
      <family val="2"/>
      <scheme val="minor"/>
    </font>
    <font>
      <b/>
      <sz val="12"/>
      <color theme="3" tint="0.3999755851924192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4C4C4A"/>
      <name val="Arial"/>
      <family val="2"/>
    </font>
    <font>
      <b/>
      <sz val="9"/>
      <color rgb="FFF79646"/>
      <name val="Calibri"/>
      <family val="2"/>
      <scheme val="minor"/>
    </font>
    <font>
      <b/>
      <sz val="8"/>
      <color rgb="FFF79646"/>
      <name val="Calibri"/>
      <family val="2"/>
      <scheme val="minor"/>
    </font>
    <font>
      <sz val="8"/>
      <color theme="1"/>
      <name val="Arial"/>
      <family val="2"/>
    </font>
    <font>
      <b/>
      <sz val="20"/>
      <color theme="3" tint="0.3999755851924192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2"/>
      <color rgb="FF558ED5"/>
      <name val="Calibri"/>
      <family val="2"/>
      <scheme val="minor"/>
    </font>
    <font>
      <b/>
      <sz val="11"/>
      <color rgb="FF558ED5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20">
    <xf numFmtId="0" fontId="0" fillId="0" borderId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10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165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0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4" borderId="0" applyNumberFormat="0" applyBorder="0" applyAlignment="0" applyProtection="0"/>
    <xf numFmtId="0" fontId="19" fillId="8" borderId="0" applyNumberFormat="0" applyBorder="0" applyAlignment="0" applyProtection="0"/>
    <xf numFmtId="0" fontId="20" fillId="25" borderId="10" applyNumberFormat="0" applyAlignment="0" applyProtection="0"/>
    <xf numFmtId="0" fontId="21" fillId="26" borderId="11" applyNumberFormat="0" applyAlignment="0" applyProtection="0"/>
    <xf numFmtId="0" fontId="22" fillId="0" borderId="0" applyNumberFormat="0" applyFill="0" applyBorder="0" applyAlignment="0" applyProtection="0"/>
    <xf numFmtId="0" fontId="23" fillId="9" borderId="0" applyNumberFormat="0" applyBorder="0" applyAlignment="0" applyProtection="0"/>
    <xf numFmtId="0" fontId="24" fillId="0" borderId="12" applyNumberFormat="0" applyFill="0" applyAlignment="0" applyProtection="0"/>
    <xf numFmtId="0" fontId="25" fillId="0" borderId="13" applyNumberFormat="0" applyFill="0" applyAlignment="0" applyProtection="0"/>
    <xf numFmtId="0" fontId="26" fillId="0" borderId="14" applyNumberFormat="0" applyFill="0" applyAlignment="0" applyProtection="0"/>
    <xf numFmtId="0" fontId="26" fillId="0" borderId="0" applyNumberFormat="0" applyFill="0" applyBorder="0" applyAlignment="0" applyProtection="0"/>
    <xf numFmtId="0" fontId="27" fillId="12" borderId="10" applyNumberFormat="0" applyAlignment="0" applyProtection="0"/>
    <xf numFmtId="0" fontId="28" fillId="0" borderId="15" applyNumberFormat="0" applyFill="0" applyAlignment="0" applyProtection="0"/>
    <xf numFmtId="0" fontId="29" fillId="27" borderId="0" applyNumberFormat="0" applyBorder="0" applyAlignment="0" applyProtection="0"/>
    <xf numFmtId="0" fontId="14" fillId="0" borderId="0"/>
    <xf numFmtId="0" fontId="17" fillId="28" borderId="16" applyNumberFormat="0" applyFont="0" applyAlignment="0" applyProtection="0"/>
    <xf numFmtId="0" fontId="17" fillId="28" borderId="16" applyNumberFormat="0" applyFont="0" applyAlignment="0" applyProtection="0"/>
    <xf numFmtId="0" fontId="30" fillId="25" borderId="17" applyNumberFormat="0" applyAlignment="0" applyProtection="0"/>
    <xf numFmtId="9" fontId="1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6" fillId="0" borderId="18" applyNumberFormat="0" applyFill="0" applyAlignment="0" applyProtection="0"/>
    <xf numFmtId="0" fontId="32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14" fillId="0" borderId="0"/>
    <xf numFmtId="0" fontId="33" fillId="0" borderId="0" applyNumberFormat="0" applyFont="0" applyFill="0" applyAlignment="0" applyProtection="0"/>
    <xf numFmtId="0" fontId="12" fillId="0" borderId="0" applyNumberFormat="0" applyFont="0" applyFill="0" applyAlignment="0" applyProtection="0"/>
    <xf numFmtId="170" fontId="13" fillId="29" borderId="19"/>
    <xf numFmtId="3" fontId="34" fillId="30" borderId="20">
      <alignment horizontal="center" wrapText="1"/>
    </xf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4" fillId="0" borderId="0" applyFont="0" applyFill="0" applyBorder="0" applyAlignment="0" applyProtection="0"/>
    <xf numFmtId="0" fontId="14" fillId="0" borderId="0" applyFont="0" applyFill="0" applyBorder="0" applyAlignment="0" applyProtection="0"/>
    <xf numFmtId="2" fontId="14" fillId="0" borderId="0" applyFont="0" applyFill="0" applyBorder="0" applyAlignment="0" applyProtection="0"/>
    <xf numFmtId="2" fontId="14" fillId="0" borderId="0" applyFont="0" applyFill="0" applyBorder="0" applyAlignment="0" applyProtection="0"/>
    <xf numFmtId="0" fontId="35" fillId="0" borderId="0" applyNumberFormat="0" applyFill="0" applyBorder="0" applyAlignment="0" applyProtection="0">
      <alignment vertical="top"/>
      <protection locked="0"/>
    </xf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1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0" fontId="1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0" borderId="0">
      <alignment vertical="top"/>
    </xf>
    <xf numFmtId="0" fontId="14" fillId="0" borderId="0">
      <alignment vertical="top"/>
    </xf>
    <xf numFmtId="0" fontId="6" fillId="0" borderId="0"/>
    <xf numFmtId="0" fontId="15" fillId="0" borderId="0">
      <alignment vertical="top"/>
    </xf>
    <xf numFmtId="0" fontId="6" fillId="0" borderId="0"/>
    <xf numFmtId="0" fontId="14" fillId="0" borderId="0"/>
    <xf numFmtId="0" fontId="6" fillId="0" borderId="0"/>
    <xf numFmtId="0" fontId="6" fillId="0" borderId="0"/>
    <xf numFmtId="0" fontId="6" fillId="0" borderId="0"/>
    <xf numFmtId="0" fontId="14" fillId="0" borderId="0">
      <alignment vertical="top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5" fillId="0" borderId="0">
      <alignment vertical="top"/>
    </xf>
    <xf numFmtId="0" fontId="14" fillId="0" borderId="0"/>
    <xf numFmtId="0" fontId="14" fillId="0" borderId="0"/>
    <xf numFmtId="0" fontId="14" fillId="0" borderId="0"/>
    <xf numFmtId="0" fontId="14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0" fontId="14" fillId="0" borderId="0"/>
    <xf numFmtId="0" fontId="14" fillId="0" borderId="0">
      <alignment vertical="top"/>
    </xf>
    <xf numFmtId="165" fontId="6" fillId="0" borderId="0" applyFont="0" applyFill="0" applyBorder="0" applyAlignment="0" applyProtection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3" fontId="3" fillId="0" borderId="6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horizontal="center"/>
    </xf>
    <xf numFmtId="0" fontId="2" fillId="4" borderId="0" xfId="0" applyFont="1" applyFill="1"/>
    <xf numFmtId="0" fontId="0" fillId="0" borderId="8" xfId="0" applyBorder="1" applyAlignment="1">
      <alignment horizontal="left" indent="2"/>
    </xf>
    <xf numFmtId="0" fontId="0" fillId="0" borderId="7" xfId="0" applyBorder="1" applyAlignment="1">
      <alignment horizontal="left" indent="2"/>
    </xf>
    <xf numFmtId="0" fontId="8" fillId="6" borderId="6" xfId="3" applyFont="1" applyFill="1" applyBorder="1" applyAlignment="1">
      <alignment horizontal="center" vertical="center"/>
    </xf>
    <xf numFmtId="0" fontId="0" fillId="0" borderId="6" xfId="0" applyBorder="1"/>
    <xf numFmtId="3" fontId="3" fillId="0" borderId="7" xfId="0" applyNumberFormat="1" applyFont="1" applyBorder="1" applyAlignment="1">
      <alignment horizontal="center"/>
    </xf>
    <xf numFmtId="3" fontId="3" fillId="0" borderId="8" xfId="0" applyNumberFormat="1" applyFont="1" applyBorder="1" applyAlignment="1">
      <alignment horizontal="center" vertical="center"/>
    </xf>
    <xf numFmtId="0" fontId="11" fillId="0" borderId="0" xfId="0" applyFont="1"/>
    <xf numFmtId="3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8" fontId="3" fillId="0" borderId="6" xfId="1" applyNumberFormat="1" applyFont="1" applyBorder="1" applyAlignment="1">
      <alignment horizontal="center" vertical="center"/>
    </xf>
    <xf numFmtId="168" fontId="3" fillId="0" borderId="7" xfId="1" applyNumberFormat="1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3" fontId="3" fillId="0" borderId="8" xfId="0" applyNumberFormat="1" applyFont="1" applyBorder="1" applyAlignment="1">
      <alignment horizontal="center"/>
    </xf>
    <xf numFmtId="0" fontId="3" fillId="3" borderId="8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indent="2"/>
    </xf>
    <xf numFmtId="0" fontId="2" fillId="3" borderId="8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167" fontId="3" fillId="0" borderId="6" xfId="0" applyNumberFormat="1" applyFont="1" applyBorder="1" applyAlignment="1">
      <alignment horizontal="center" vertical="center"/>
    </xf>
    <xf numFmtId="167" fontId="3" fillId="0" borderId="7" xfId="0" applyNumberFormat="1" applyFont="1" applyBorder="1" applyAlignment="1">
      <alignment horizontal="center" vertical="center"/>
    </xf>
    <xf numFmtId="167" fontId="3" fillId="0" borderId="7" xfId="0" applyNumberFormat="1" applyFont="1" applyBorder="1" applyAlignment="1">
      <alignment horizontal="center"/>
    </xf>
    <xf numFmtId="167" fontId="3" fillId="0" borderId="8" xfId="0" applyNumberFormat="1" applyFont="1" applyBorder="1" applyAlignment="1">
      <alignment horizontal="center" vertical="center"/>
    </xf>
    <xf numFmtId="167" fontId="3" fillId="0" borderId="8" xfId="0" applyNumberFormat="1" applyFont="1" applyBorder="1" applyAlignment="1">
      <alignment horizontal="center"/>
    </xf>
    <xf numFmtId="168" fontId="3" fillId="0" borderId="7" xfId="1" applyNumberFormat="1" applyFont="1" applyBorder="1" applyAlignment="1">
      <alignment horizontal="center"/>
    </xf>
    <xf numFmtId="168" fontId="3" fillId="0" borderId="8" xfId="1" applyNumberFormat="1" applyFont="1" applyBorder="1" applyAlignment="1">
      <alignment horizontal="center" vertical="center"/>
    </xf>
    <xf numFmtId="168" fontId="3" fillId="0" borderId="8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3" fontId="36" fillId="0" borderId="6" xfId="0" applyNumberFormat="1" applyFont="1" applyBorder="1" applyAlignment="1">
      <alignment horizontal="center" vertical="center"/>
    </xf>
    <xf numFmtId="3" fontId="36" fillId="0" borderId="6" xfId="0" applyNumberFormat="1" applyFont="1" applyBorder="1" applyAlignment="1">
      <alignment horizontal="center"/>
    </xf>
    <xf numFmtId="3" fontId="36" fillId="0" borderId="7" xfId="0" applyNumberFormat="1" applyFont="1" applyBorder="1" applyAlignment="1">
      <alignment horizontal="center" vertical="center"/>
    </xf>
    <xf numFmtId="3" fontId="36" fillId="0" borderId="7" xfId="0" applyNumberFormat="1" applyFont="1" applyBorder="1" applyAlignment="1">
      <alignment horizontal="center"/>
    </xf>
    <xf numFmtId="0" fontId="37" fillId="6" borderId="1" xfId="3" applyFont="1" applyFill="1" applyBorder="1" applyAlignment="1">
      <alignment horizontal="left" vertical="top" indent="2"/>
    </xf>
    <xf numFmtId="0" fontId="0" fillId="0" borderId="6" xfId="0" applyBorder="1" applyAlignment="1">
      <alignment horizontal="left" indent="3"/>
    </xf>
    <xf numFmtId="0" fontId="10" fillId="0" borderId="7" xfId="4" applyBorder="1" applyAlignment="1">
      <alignment horizontal="left" indent="1"/>
    </xf>
    <xf numFmtId="0" fontId="0" fillId="0" borderId="8" xfId="0" applyBorder="1" applyAlignment="1">
      <alignment horizontal="left" indent="3"/>
    </xf>
    <xf numFmtId="3" fontId="3" fillId="0" borderId="0" xfId="0" applyNumberFormat="1" applyFont="1" applyAlignment="1">
      <alignment vertical="center"/>
    </xf>
    <xf numFmtId="0" fontId="5" fillId="4" borderId="0" xfId="0" applyFont="1" applyFill="1"/>
    <xf numFmtId="0" fontId="3" fillId="4" borderId="0" xfId="0" applyFont="1" applyFill="1" applyAlignment="1">
      <alignment vertical="center"/>
    </xf>
    <xf numFmtId="3" fontId="2" fillId="0" borderId="8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/>
    </xf>
    <xf numFmtId="3" fontId="3" fillId="0" borderId="0" xfId="0" applyNumberFormat="1" applyFont="1"/>
    <xf numFmtId="3" fontId="3" fillId="4" borderId="6" xfId="0" applyNumberFormat="1" applyFont="1" applyFill="1" applyBorder="1" applyAlignment="1">
      <alignment horizontal="center" vertical="center"/>
    </xf>
    <xf numFmtId="3" fontId="3" fillId="4" borderId="7" xfId="0" applyNumberFormat="1" applyFont="1" applyFill="1" applyBorder="1" applyAlignment="1">
      <alignment horizontal="center" vertical="center"/>
    </xf>
    <xf numFmtId="3" fontId="2" fillId="4" borderId="8" xfId="0" applyNumberFormat="1" applyFont="1" applyFill="1" applyBorder="1" applyAlignment="1">
      <alignment horizontal="center" vertical="center"/>
    </xf>
    <xf numFmtId="9" fontId="3" fillId="0" borderId="0" xfId="1" applyFont="1" applyAlignment="1">
      <alignment vertical="center"/>
    </xf>
    <xf numFmtId="168" fontId="3" fillId="0" borderId="0" xfId="1" applyNumberFormat="1" applyFont="1" applyAlignment="1">
      <alignment vertical="center"/>
    </xf>
    <xf numFmtId="168" fontId="3" fillId="0" borderId="0" xfId="1" applyNumberFormat="1" applyFont="1"/>
    <xf numFmtId="168" fontId="3" fillId="0" borderId="0" xfId="0" applyNumberFormat="1" applyFont="1"/>
    <xf numFmtId="9" fontId="3" fillId="0" borderId="0" xfId="1" applyFont="1"/>
    <xf numFmtId="175" fontId="3" fillId="0" borderId="0" xfId="0" applyNumberFormat="1" applyFont="1" applyAlignment="1">
      <alignment vertical="center"/>
    </xf>
    <xf numFmtId="10" fontId="3" fillId="0" borderId="0" xfId="0" applyNumberFormat="1" applyFont="1"/>
    <xf numFmtId="0" fontId="0" fillId="0" borderId="8" xfId="0" applyBorder="1"/>
    <xf numFmtId="174" fontId="3" fillId="0" borderId="0" xfId="119" applyNumberFormat="1" applyFont="1" applyFill="1" applyAlignment="1">
      <alignment vertical="center"/>
    </xf>
    <xf numFmtId="0" fontId="39" fillId="0" borderId="0" xfId="0" applyFont="1"/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0" fontId="40" fillId="0" borderId="0" xfId="0" applyFont="1"/>
    <xf numFmtId="3" fontId="40" fillId="0" borderId="0" xfId="0" applyNumberFormat="1" applyFont="1"/>
    <xf numFmtId="3" fontId="2" fillId="0" borderId="8" xfId="0" applyNumberFormat="1" applyFont="1" applyBorder="1" applyAlignment="1">
      <alignment horizontal="center"/>
    </xf>
    <xf numFmtId="174" fontId="3" fillId="0" borderId="0" xfId="0" applyNumberFormat="1" applyFont="1" applyAlignment="1">
      <alignment vertical="center"/>
    </xf>
    <xf numFmtId="168" fontId="3" fillId="0" borderId="0" xfId="1" applyNumberFormat="1" applyFont="1" applyFill="1" applyAlignment="1">
      <alignment vertical="center"/>
    </xf>
    <xf numFmtId="0" fontId="41" fillId="0" borderId="0" xfId="0" applyFont="1"/>
    <xf numFmtId="4" fontId="3" fillId="0" borderId="0" xfId="0" applyNumberFormat="1" applyFont="1"/>
    <xf numFmtId="4" fontId="3" fillId="0" borderId="7" xfId="0" applyNumberFormat="1" applyFont="1" applyBorder="1" applyAlignment="1">
      <alignment horizontal="center" vertical="center"/>
    </xf>
    <xf numFmtId="4" fontId="3" fillId="0" borderId="8" xfId="0" applyNumberFormat="1" applyFont="1" applyBorder="1" applyAlignment="1">
      <alignment horizontal="center" vertical="center"/>
    </xf>
    <xf numFmtId="0" fontId="42" fillId="0" borderId="0" xfId="0" applyFont="1" applyAlignment="1">
      <alignment horizontal="justify" vertical="center" readingOrder="1"/>
    </xf>
    <xf numFmtId="168" fontId="44" fillId="0" borderId="0" xfId="0" applyNumberFormat="1" applyFont="1" applyAlignment="1">
      <alignment horizontal="left"/>
    </xf>
    <xf numFmtId="0" fontId="43" fillId="0" borderId="0" xfId="0" applyFont="1" applyAlignment="1">
      <alignment vertical="center" readingOrder="1"/>
    </xf>
    <xf numFmtId="3" fontId="2" fillId="0" borderId="0" xfId="0" applyNumberFormat="1" applyFon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39" fillId="0" borderId="0" xfId="0" applyNumberFormat="1" applyFont="1"/>
    <xf numFmtId="0" fontId="0" fillId="0" borderId="0" xfId="0" applyAlignment="1">
      <alignment vertical="top" wrapText="1"/>
    </xf>
    <xf numFmtId="0" fontId="45" fillId="4" borderId="0" xfId="3" applyFont="1" applyFill="1" applyAlignment="1">
      <alignment vertical="center" wrapText="1"/>
    </xf>
    <xf numFmtId="0" fontId="47" fillId="0" borderId="0" xfId="0" applyFont="1" applyAlignment="1">
      <alignment horizontal="left"/>
    </xf>
    <xf numFmtId="0" fontId="48" fillId="0" borderId="0" xfId="0" applyFont="1" applyAlignment="1">
      <alignment wrapText="1"/>
    </xf>
    <xf numFmtId="0" fontId="46" fillId="0" borderId="0" xfId="0" applyFont="1" applyAlignment="1">
      <alignment wrapText="1"/>
    </xf>
    <xf numFmtId="0" fontId="38" fillId="0" borderId="0" xfId="0" applyFont="1" applyAlignment="1">
      <alignment wrapText="1"/>
    </xf>
    <xf numFmtId="0" fontId="46" fillId="0" borderId="0" xfId="0" applyFont="1" applyAlignment="1">
      <alignment vertical="top" wrapText="1"/>
    </xf>
    <xf numFmtId="0" fontId="49" fillId="0" borderId="0" xfId="0" applyFont="1" applyAlignment="1">
      <alignment wrapText="1"/>
    </xf>
    <xf numFmtId="0" fontId="50" fillId="0" borderId="0" xfId="0" applyFont="1" applyAlignment="1">
      <alignment wrapText="1"/>
    </xf>
    <xf numFmtId="0" fontId="46" fillId="0" borderId="0" xfId="0" applyFont="1" applyAlignment="1">
      <alignment vertical="center" wrapText="1"/>
    </xf>
    <xf numFmtId="0" fontId="10" fillId="0" borderId="0" xfId="4" applyFill="1"/>
    <xf numFmtId="0" fontId="10" fillId="4" borderId="0" xfId="4" applyFill="1" applyAlignment="1">
      <alignment horizontal="left"/>
    </xf>
    <xf numFmtId="0" fontId="46" fillId="0" borderId="3" xfId="0" applyFont="1" applyBorder="1" applyAlignment="1">
      <alignment horizontal="left" vertical="center" wrapText="1"/>
    </xf>
    <xf numFmtId="0" fontId="46" fillId="0" borderId="4" xfId="0" applyFont="1" applyBorder="1" applyAlignment="1">
      <alignment horizontal="left" vertical="center" wrapText="1"/>
    </xf>
    <xf numFmtId="0" fontId="46" fillId="0" borderId="2" xfId="0" applyFont="1" applyBorder="1" applyAlignment="1">
      <alignment horizontal="left" vertical="center" wrapText="1"/>
    </xf>
    <xf numFmtId="0" fontId="46" fillId="0" borderId="22" xfId="0" applyFont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 wrapText="1"/>
    </xf>
    <xf numFmtId="0" fontId="46" fillId="0" borderId="9" xfId="0" applyFont="1" applyBorder="1" applyAlignment="1">
      <alignment horizontal="left" vertical="center" wrapText="1"/>
    </xf>
    <xf numFmtId="0" fontId="9" fillId="5" borderId="6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168" fontId="44" fillId="0" borderId="0" xfId="0" applyNumberFormat="1" applyFont="1" applyAlignment="1">
      <alignment horizontal="left" vertical="center"/>
    </xf>
    <xf numFmtId="0" fontId="3" fillId="0" borderId="21" xfId="0" applyFont="1" applyBorder="1" applyAlignment="1">
      <alignment horizontal="left" vertical="center" wrapText="1"/>
    </xf>
    <xf numFmtId="0" fontId="3" fillId="0" borderId="21" xfId="0" applyFont="1" applyBorder="1" applyAlignment="1">
      <alignment horizontal="left" wrapText="1"/>
    </xf>
  </cellXfs>
  <cellStyles count="120">
    <cellStyle name="20% - Accent1" xfId="13" xr:uid="{00000000-0005-0000-0000-000000000000}"/>
    <cellStyle name="20% - Accent2" xfId="14" xr:uid="{00000000-0005-0000-0000-000001000000}"/>
    <cellStyle name="20% - Accent3" xfId="15" xr:uid="{00000000-0005-0000-0000-000002000000}"/>
    <cellStyle name="20% - Accent4" xfId="16" xr:uid="{00000000-0005-0000-0000-000003000000}"/>
    <cellStyle name="20% - Accent5" xfId="17" xr:uid="{00000000-0005-0000-0000-000004000000}"/>
    <cellStyle name="20% - Accent6" xfId="18" xr:uid="{00000000-0005-0000-0000-000005000000}"/>
    <cellStyle name="40% - Accent1" xfId="19" xr:uid="{00000000-0005-0000-0000-000006000000}"/>
    <cellStyle name="40% - Accent2" xfId="20" xr:uid="{00000000-0005-0000-0000-000007000000}"/>
    <cellStyle name="40% - Accent3" xfId="21" xr:uid="{00000000-0005-0000-0000-000008000000}"/>
    <cellStyle name="40% - Accent4" xfId="22" xr:uid="{00000000-0005-0000-0000-000009000000}"/>
    <cellStyle name="40% - Accent5" xfId="23" xr:uid="{00000000-0005-0000-0000-00000A000000}"/>
    <cellStyle name="40% - Accent6" xfId="24" xr:uid="{00000000-0005-0000-0000-00000B000000}"/>
    <cellStyle name="60% - Accent1" xfId="25" xr:uid="{00000000-0005-0000-0000-00000C000000}"/>
    <cellStyle name="60% - Accent2" xfId="26" xr:uid="{00000000-0005-0000-0000-00000D000000}"/>
    <cellStyle name="60% - Accent3" xfId="27" xr:uid="{00000000-0005-0000-0000-00000E000000}"/>
    <cellStyle name="60% - Accent4" xfId="28" xr:uid="{00000000-0005-0000-0000-00000F000000}"/>
    <cellStyle name="60% - Accent5" xfId="29" xr:uid="{00000000-0005-0000-0000-000010000000}"/>
    <cellStyle name="60% - Accent6" xfId="30" xr:uid="{00000000-0005-0000-0000-000011000000}"/>
    <cellStyle name="Accent1" xfId="31" xr:uid="{00000000-0005-0000-0000-000012000000}"/>
    <cellStyle name="Accent2" xfId="32" xr:uid="{00000000-0005-0000-0000-000013000000}"/>
    <cellStyle name="Accent3" xfId="33" xr:uid="{00000000-0005-0000-0000-000014000000}"/>
    <cellStyle name="Accent4" xfId="34" xr:uid="{00000000-0005-0000-0000-000015000000}"/>
    <cellStyle name="Accent5" xfId="35" xr:uid="{00000000-0005-0000-0000-000016000000}"/>
    <cellStyle name="Accent6" xfId="36" xr:uid="{00000000-0005-0000-0000-000017000000}"/>
    <cellStyle name="Bad" xfId="37" xr:uid="{00000000-0005-0000-0000-000018000000}"/>
    <cellStyle name="Cabecera 1" xfId="60" xr:uid="{00000000-0005-0000-0000-000019000000}"/>
    <cellStyle name="Cabecera 2" xfId="61" xr:uid="{00000000-0005-0000-0000-00001A000000}"/>
    <cellStyle name="Calculation" xfId="38" xr:uid="{00000000-0005-0000-0000-00001B000000}"/>
    <cellStyle name="Check Cell" xfId="39" xr:uid="{00000000-0005-0000-0000-00001C000000}"/>
    <cellStyle name="Estilo 1" xfId="62" xr:uid="{00000000-0005-0000-0000-00001D000000}"/>
    <cellStyle name="Estilo 2" xfId="63" xr:uid="{00000000-0005-0000-0000-00001E000000}"/>
    <cellStyle name="Explanatory Text" xfId="40" xr:uid="{00000000-0005-0000-0000-00001F000000}"/>
    <cellStyle name="F2" xfId="64" xr:uid="{00000000-0005-0000-0000-000020000000}"/>
    <cellStyle name="F3" xfId="65" xr:uid="{00000000-0005-0000-0000-000021000000}"/>
    <cellStyle name="F4" xfId="66" xr:uid="{00000000-0005-0000-0000-000022000000}"/>
    <cellStyle name="F5" xfId="67" xr:uid="{00000000-0005-0000-0000-000023000000}"/>
    <cellStyle name="F6" xfId="68" xr:uid="{00000000-0005-0000-0000-000024000000}"/>
    <cellStyle name="F7" xfId="69" xr:uid="{00000000-0005-0000-0000-000025000000}"/>
    <cellStyle name="F8" xfId="70" xr:uid="{00000000-0005-0000-0000-000026000000}"/>
    <cellStyle name="Fecha" xfId="71" xr:uid="{00000000-0005-0000-0000-000027000000}"/>
    <cellStyle name="Fecha 2" xfId="72" xr:uid="{00000000-0005-0000-0000-000028000000}"/>
    <cellStyle name="Fijo" xfId="73" xr:uid="{00000000-0005-0000-0000-000029000000}"/>
    <cellStyle name="Fijo 2" xfId="74" xr:uid="{00000000-0005-0000-0000-00002A000000}"/>
    <cellStyle name="Good" xfId="41" xr:uid="{00000000-0005-0000-0000-00002B000000}"/>
    <cellStyle name="Heading 1" xfId="42" xr:uid="{00000000-0005-0000-0000-00002C000000}"/>
    <cellStyle name="Heading 2" xfId="43" xr:uid="{00000000-0005-0000-0000-00002D000000}"/>
    <cellStyle name="Heading 3" xfId="44" xr:uid="{00000000-0005-0000-0000-00002E000000}"/>
    <cellStyle name="Heading 4" xfId="45" xr:uid="{00000000-0005-0000-0000-00002F000000}"/>
    <cellStyle name="Hipervínculo" xfId="4" builtinId="8"/>
    <cellStyle name="Hipervínculo 2" xfId="75" xr:uid="{00000000-0005-0000-0000-000031000000}"/>
    <cellStyle name="Input" xfId="46" xr:uid="{00000000-0005-0000-0000-000032000000}"/>
    <cellStyle name="Linked Cell" xfId="47" xr:uid="{00000000-0005-0000-0000-000033000000}"/>
    <cellStyle name="Millares" xfId="119" builtinId="3"/>
    <cellStyle name="Millares [0] 2" xfId="2" xr:uid="{00000000-0005-0000-0000-000035000000}"/>
    <cellStyle name="Millares 2" xfId="8" xr:uid="{00000000-0005-0000-0000-000036000000}"/>
    <cellStyle name="Millares 2 2" xfId="58" xr:uid="{00000000-0005-0000-0000-000037000000}"/>
    <cellStyle name="Millares 3" xfId="57" xr:uid="{00000000-0005-0000-0000-000038000000}"/>
    <cellStyle name="Millares 4" xfId="76" xr:uid="{00000000-0005-0000-0000-000039000000}"/>
    <cellStyle name="Millares 4 2" xfId="77" xr:uid="{00000000-0005-0000-0000-00003A000000}"/>
    <cellStyle name="Millares 5" xfId="5" xr:uid="{00000000-0005-0000-0000-00003B000000}"/>
    <cellStyle name="Millares 6" xfId="78" xr:uid="{00000000-0005-0000-0000-00003C000000}"/>
    <cellStyle name="Monetario" xfId="79" xr:uid="{00000000-0005-0000-0000-00003D000000}"/>
    <cellStyle name="Monetario 2" xfId="80" xr:uid="{00000000-0005-0000-0000-00003E000000}"/>
    <cellStyle name="Monetario0" xfId="81" xr:uid="{00000000-0005-0000-0000-00003F000000}"/>
    <cellStyle name="Monetario0 2" xfId="82" xr:uid="{00000000-0005-0000-0000-000040000000}"/>
    <cellStyle name="Neutral 2" xfId="48" xr:uid="{00000000-0005-0000-0000-000041000000}"/>
    <cellStyle name="Normal" xfId="0" builtinId="0"/>
    <cellStyle name="Normal 10" xfId="59" xr:uid="{00000000-0005-0000-0000-000043000000}"/>
    <cellStyle name="Normal 11" xfId="83" xr:uid="{00000000-0005-0000-0000-000044000000}"/>
    <cellStyle name="Normal 12" xfId="84" xr:uid="{00000000-0005-0000-0000-000045000000}"/>
    <cellStyle name="Normal 13" xfId="85" xr:uid="{00000000-0005-0000-0000-000046000000}"/>
    <cellStyle name="Normal 14" xfId="86" xr:uid="{00000000-0005-0000-0000-000047000000}"/>
    <cellStyle name="Normal 15" xfId="87" xr:uid="{00000000-0005-0000-0000-000048000000}"/>
    <cellStyle name="Normal 16" xfId="88" xr:uid="{00000000-0005-0000-0000-000049000000}"/>
    <cellStyle name="Normal 17" xfId="89" xr:uid="{00000000-0005-0000-0000-00004A000000}"/>
    <cellStyle name="Normal 18" xfId="90" xr:uid="{00000000-0005-0000-0000-00004B000000}"/>
    <cellStyle name="Normal 19" xfId="91" xr:uid="{00000000-0005-0000-0000-00004C000000}"/>
    <cellStyle name="Normal 2" xfId="6" xr:uid="{00000000-0005-0000-0000-00004D000000}"/>
    <cellStyle name="Normal 2 2" xfId="11" xr:uid="{00000000-0005-0000-0000-00004E000000}"/>
    <cellStyle name="Normal 2 3" xfId="92" xr:uid="{00000000-0005-0000-0000-00004F000000}"/>
    <cellStyle name="Normal 2 4" xfId="118" xr:uid="{00000000-0005-0000-0000-000050000000}"/>
    <cellStyle name="Normal 2 5" xfId="117" xr:uid="{00000000-0005-0000-0000-000051000000}"/>
    <cellStyle name="Normal 20" xfId="93" xr:uid="{00000000-0005-0000-0000-000052000000}"/>
    <cellStyle name="Normal 20 2" xfId="94" xr:uid="{00000000-0005-0000-0000-000053000000}"/>
    <cellStyle name="Normal 20 3" xfId="95" xr:uid="{00000000-0005-0000-0000-000054000000}"/>
    <cellStyle name="Normal 21" xfId="96" xr:uid="{00000000-0005-0000-0000-000055000000}"/>
    <cellStyle name="Normal 21 2" xfId="97" xr:uid="{00000000-0005-0000-0000-000056000000}"/>
    <cellStyle name="Normal 21 3" xfId="98" xr:uid="{00000000-0005-0000-0000-000057000000}"/>
    <cellStyle name="Normal 22" xfId="3" xr:uid="{00000000-0005-0000-0000-000058000000}"/>
    <cellStyle name="Normal 22 2" xfId="99" xr:uid="{00000000-0005-0000-0000-000059000000}"/>
    <cellStyle name="Normal 23" xfId="100" xr:uid="{00000000-0005-0000-0000-00005A000000}"/>
    <cellStyle name="Normal 24" xfId="101" xr:uid="{00000000-0005-0000-0000-00005B000000}"/>
    <cellStyle name="Normal 3" xfId="7" xr:uid="{00000000-0005-0000-0000-00005C000000}"/>
    <cellStyle name="Normal 3 2" xfId="49" xr:uid="{00000000-0005-0000-0000-00005D000000}"/>
    <cellStyle name="Normal 3 3" xfId="102" xr:uid="{00000000-0005-0000-0000-00005E000000}"/>
    <cellStyle name="Normal 3 4" xfId="103" xr:uid="{00000000-0005-0000-0000-00005F000000}"/>
    <cellStyle name="Normal 4" xfId="10" xr:uid="{00000000-0005-0000-0000-000060000000}"/>
    <cellStyle name="Normal 4 2" xfId="104" xr:uid="{00000000-0005-0000-0000-000061000000}"/>
    <cellStyle name="Normal 4 3" xfId="105" xr:uid="{00000000-0005-0000-0000-000062000000}"/>
    <cellStyle name="Normal 4 4" xfId="106" xr:uid="{00000000-0005-0000-0000-000063000000}"/>
    <cellStyle name="Normal 5" xfId="107" xr:uid="{00000000-0005-0000-0000-000064000000}"/>
    <cellStyle name="Normal 6" xfId="108" xr:uid="{00000000-0005-0000-0000-000065000000}"/>
    <cellStyle name="Normal 6 2" xfId="109" xr:uid="{00000000-0005-0000-0000-000066000000}"/>
    <cellStyle name="Normal 7" xfId="110" xr:uid="{00000000-0005-0000-0000-000067000000}"/>
    <cellStyle name="Normal 8" xfId="111" xr:uid="{00000000-0005-0000-0000-000068000000}"/>
    <cellStyle name="Normal 9" xfId="112" xr:uid="{00000000-0005-0000-0000-000069000000}"/>
    <cellStyle name="Notas 2" xfId="50" xr:uid="{00000000-0005-0000-0000-00006A000000}"/>
    <cellStyle name="Note" xfId="51" xr:uid="{00000000-0005-0000-0000-00006B000000}"/>
    <cellStyle name="Output" xfId="52" xr:uid="{00000000-0005-0000-0000-00006C000000}"/>
    <cellStyle name="Porcentaje" xfId="1" builtinId="5"/>
    <cellStyle name="Porcentaje 2" xfId="9" xr:uid="{00000000-0005-0000-0000-00006E000000}"/>
    <cellStyle name="Porcentaje 3" xfId="113" xr:uid="{00000000-0005-0000-0000-00006F000000}"/>
    <cellStyle name="Porcentaje 3 2" xfId="114" xr:uid="{00000000-0005-0000-0000-000070000000}"/>
    <cellStyle name="Porcentual 2" xfId="53" xr:uid="{00000000-0005-0000-0000-000071000000}"/>
    <cellStyle name="Porcentual 3" xfId="12" xr:uid="{00000000-0005-0000-0000-000072000000}"/>
    <cellStyle name="Punto0" xfId="115" xr:uid="{00000000-0005-0000-0000-000073000000}"/>
    <cellStyle name="Punto0 2" xfId="116" xr:uid="{00000000-0005-0000-0000-000074000000}"/>
    <cellStyle name="Title" xfId="54" xr:uid="{00000000-0005-0000-0000-000075000000}"/>
    <cellStyle name="Total 2" xfId="55" xr:uid="{00000000-0005-0000-0000-000076000000}"/>
    <cellStyle name="Warning Text" xfId="56" xr:uid="{00000000-0005-0000-0000-000077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3541276</xdr:colOff>
      <xdr:row>0</xdr:row>
      <xdr:rowOff>38101</xdr:rowOff>
    </xdr:from>
    <xdr:to>
      <xdr:col>2</xdr:col>
      <xdr:colOff>3542353</xdr:colOff>
      <xdr:row>3</xdr:row>
      <xdr:rowOff>28874</xdr:rowOff>
    </xdr:to>
    <xdr:pic>
      <xdr:nvPicPr>
        <xdr:cNvPr id="8" name="7 Imagen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17526" y="38101"/>
          <a:ext cx="2172777" cy="75277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1643380</xdr:colOff>
      <xdr:row>3</xdr:row>
      <xdr:rowOff>231775</xdr:rowOff>
    </xdr:to>
    <xdr:pic>
      <xdr:nvPicPr>
        <xdr:cNvPr id="7" name="6 Imagen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0"/>
          <a:ext cx="1643380" cy="984250"/>
        </a:xfrm>
        <a:prstGeom prst="rect">
          <a:avLst/>
        </a:prstGeom>
      </xdr:spPr>
    </xdr:pic>
    <xdr:clientData/>
  </xdr:twoCellAnchor>
  <xdr:twoCellAnchor editAs="oneCell">
    <xdr:from>
      <xdr:col>2</xdr:col>
      <xdr:colOff>1726565</xdr:colOff>
      <xdr:row>0</xdr:row>
      <xdr:rowOff>144780</xdr:rowOff>
    </xdr:from>
    <xdr:to>
      <xdr:col>2</xdr:col>
      <xdr:colOff>3524885</xdr:colOff>
      <xdr:row>2</xdr:row>
      <xdr:rowOff>377190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286" t="19359" r="12241" b="47922"/>
        <a:stretch/>
      </xdr:blipFill>
      <xdr:spPr bwMode="auto">
        <a:xfrm>
          <a:off x="2202815" y="144780"/>
          <a:ext cx="1798320" cy="603885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useso.cl/607/articles-577868_archivo_0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E52"/>
  <sheetViews>
    <sheetView showGridLines="0" workbookViewId="0">
      <selection activeCell="C20" sqref="C20"/>
    </sheetView>
  </sheetViews>
  <sheetFormatPr baseColWidth="10" defaultRowHeight="14.4" x14ac:dyDescent="0.3"/>
  <cols>
    <col min="1" max="2" width="3.5546875" customWidth="1"/>
    <col min="3" max="4" width="65.6640625" customWidth="1"/>
  </cols>
  <sheetData>
    <row r="1" spans="3:5" x14ac:dyDescent="0.3">
      <c r="C1" s="90"/>
    </row>
    <row r="3" spans="3:5" ht="30" customHeight="1" x14ac:dyDescent="0.3">
      <c r="C3" s="90"/>
    </row>
    <row r="4" spans="3:5" ht="30" customHeight="1" x14ac:dyDescent="0.3"/>
    <row r="5" spans="3:5" ht="30" customHeight="1" x14ac:dyDescent="0.3">
      <c r="C5" s="91" t="s">
        <v>484</v>
      </c>
    </row>
    <row r="6" spans="3:5" ht="19.5" customHeight="1" x14ac:dyDescent="0.3">
      <c r="C6" s="102" t="s">
        <v>517</v>
      </c>
      <c r="D6" s="103"/>
    </row>
    <row r="7" spans="3:5" ht="19.5" customHeight="1" x14ac:dyDescent="0.3">
      <c r="C7" s="104"/>
      <c r="D7" s="105"/>
    </row>
    <row r="8" spans="3:5" ht="19.5" customHeight="1" x14ac:dyDescent="0.3">
      <c r="C8" s="104"/>
      <c r="D8" s="105"/>
    </row>
    <row r="9" spans="3:5" ht="19.5" customHeight="1" x14ac:dyDescent="0.3">
      <c r="C9" s="104"/>
      <c r="D9" s="105"/>
    </row>
    <row r="10" spans="3:5" ht="19.5" customHeight="1" x14ac:dyDescent="0.3">
      <c r="C10" s="104"/>
      <c r="D10" s="105"/>
    </row>
    <row r="11" spans="3:5" ht="19.5" customHeight="1" x14ac:dyDescent="0.3">
      <c r="C11" s="106"/>
      <c r="D11" s="107"/>
    </row>
    <row r="12" spans="3:5" x14ac:dyDescent="0.3">
      <c r="C12" s="92" t="s">
        <v>485</v>
      </c>
      <c r="D12" s="100"/>
      <c r="E12" s="101" t="s">
        <v>516</v>
      </c>
    </row>
    <row r="13" spans="3:5" ht="15.6" x14ac:dyDescent="0.3">
      <c r="C13" s="93"/>
    </row>
    <row r="14" spans="3:5" x14ac:dyDescent="0.3">
      <c r="C14" s="94"/>
    </row>
    <row r="15" spans="3:5" x14ac:dyDescent="0.3">
      <c r="C15" s="94"/>
    </row>
    <row r="16" spans="3:5" x14ac:dyDescent="0.3">
      <c r="C16" s="94"/>
    </row>
    <row r="17" spans="3:3" x14ac:dyDescent="0.3">
      <c r="C17" s="94"/>
    </row>
    <row r="18" spans="3:3" x14ac:dyDescent="0.3">
      <c r="C18" s="94"/>
    </row>
    <row r="19" spans="3:3" ht="15.6" x14ac:dyDescent="0.3">
      <c r="C19" s="93"/>
    </row>
    <row r="20" spans="3:3" x14ac:dyDescent="0.3">
      <c r="C20" s="94"/>
    </row>
    <row r="22" spans="3:3" x14ac:dyDescent="0.3">
      <c r="C22" s="94"/>
    </row>
    <row r="23" spans="3:3" x14ac:dyDescent="0.3">
      <c r="C23" s="94"/>
    </row>
    <row r="24" spans="3:3" x14ac:dyDescent="0.3">
      <c r="C24" s="94"/>
    </row>
    <row r="25" spans="3:3" x14ac:dyDescent="0.3">
      <c r="C25" s="94"/>
    </row>
    <row r="26" spans="3:3" x14ac:dyDescent="0.3">
      <c r="C26" s="95"/>
    </row>
    <row r="27" spans="3:3" x14ac:dyDescent="0.3">
      <c r="C27" s="94"/>
    </row>
    <row r="28" spans="3:3" ht="15.6" x14ac:dyDescent="0.3">
      <c r="C28" s="93"/>
    </row>
    <row r="29" spans="3:3" x14ac:dyDescent="0.3">
      <c r="C29" s="94"/>
    </row>
    <row r="30" spans="3:3" x14ac:dyDescent="0.3">
      <c r="C30" s="94"/>
    </row>
    <row r="31" spans="3:3" x14ac:dyDescent="0.3">
      <c r="C31" s="94"/>
    </row>
    <row r="32" spans="3:3" ht="15.6" x14ac:dyDescent="0.3">
      <c r="C32" s="93"/>
    </row>
    <row r="33" spans="3:3" x14ac:dyDescent="0.3">
      <c r="C33" s="94"/>
    </row>
    <row r="34" spans="3:3" x14ac:dyDescent="0.3">
      <c r="C34" s="94"/>
    </row>
    <row r="35" spans="3:3" x14ac:dyDescent="0.3">
      <c r="C35" s="94"/>
    </row>
    <row r="36" spans="3:3" x14ac:dyDescent="0.3">
      <c r="C36" s="94"/>
    </row>
    <row r="37" spans="3:3" ht="15.6" x14ac:dyDescent="0.3">
      <c r="C37" s="93"/>
    </row>
    <row r="38" spans="3:3" x14ac:dyDescent="0.3">
      <c r="C38" s="94"/>
    </row>
    <row r="39" spans="3:3" ht="33" customHeight="1" x14ac:dyDescent="0.3">
      <c r="C39" s="96"/>
    </row>
    <row r="40" spans="3:3" ht="27.75" customHeight="1" x14ac:dyDescent="0.3">
      <c r="C40" s="94"/>
    </row>
    <row r="41" spans="3:3" x14ac:dyDescent="0.3">
      <c r="C41" s="97"/>
    </row>
    <row r="42" spans="3:3" ht="15.6" x14ac:dyDescent="0.3">
      <c r="C42" s="93"/>
    </row>
    <row r="43" spans="3:3" x14ac:dyDescent="0.3">
      <c r="C43" s="94"/>
    </row>
    <row r="44" spans="3:3" x14ac:dyDescent="0.3">
      <c r="C44" s="94"/>
    </row>
    <row r="45" spans="3:3" x14ac:dyDescent="0.3">
      <c r="C45" s="98"/>
    </row>
    <row r="46" spans="3:3" ht="15.6" x14ac:dyDescent="0.3">
      <c r="C46" s="93"/>
    </row>
    <row r="47" spans="3:3" x14ac:dyDescent="0.3">
      <c r="C47" s="94"/>
    </row>
    <row r="48" spans="3:3" x14ac:dyDescent="0.3">
      <c r="C48" s="94"/>
    </row>
    <row r="49" spans="3:3" ht="17.25" customHeight="1" x14ac:dyDescent="0.3">
      <c r="C49" s="94"/>
    </row>
    <row r="50" spans="3:3" x14ac:dyDescent="0.3">
      <c r="C50" s="94"/>
    </row>
    <row r="51" spans="3:3" ht="15.6" x14ac:dyDescent="0.3">
      <c r="C51" s="93"/>
    </row>
    <row r="52" spans="3:3" x14ac:dyDescent="0.3">
      <c r="C52" s="99"/>
    </row>
  </sheetData>
  <mergeCells count="1">
    <mergeCell ref="C6:D11"/>
  </mergeCells>
  <hyperlinks>
    <hyperlink ref="E12" r:id="rId1" xr:uid="{00000000-0004-0000-0000-000000000000}"/>
  </hyperlinks>
  <pageMargins left="0.7" right="0.7" top="0.75" bottom="0.75" header="0.3" footer="0.3"/>
  <pageSetup paperSize="14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174"/>
  <sheetViews>
    <sheetView showGridLines="0" zoomScaleNormal="100" workbookViewId="0"/>
  </sheetViews>
  <sheetFormatPr baseColWidth="10" defaultColWidth="11.44140625" defaultRowHeight="14.4" x14ac:dyDescent="0.3"/>
  <cols>
    <col min="2" max="2" width="142.33203125" bestFit="1" customWidth="1"/>
  </cols>
  <sheetData>
    <row r="2" spans="1:2" ht="18.75" customHeight="1" x14ac:dyDescent="0.3">
      <c r="B2" s="108" t="s">
        <v>116</v>
      </c>
    </row>
    <row r="3" spans="1:2" ht="15" customHeight="1" x14ac:dyDescent="0.3">
      <c r="B3" s="109"/>
    </row>
    <row r="4" spans="1:2" ht="15.6" x14ac:dyDescent="0.3">
      <c r="B4" s="50" t="s">
        <v>117</v>
      </c>
    </row>
    <row r="5" spans="1:2" x14ac:dyDescent="0.3">
      <c r="B5" s="51"/>
    </row>
    <row r="6" spans="1:2" x14ac:dyDescent="0.3">
      <c r="B6" s="52" t="s">
        <v>265</v>
      </c>
    </row>
    <row r="7" spans="1:2" x14ac:dyDescent="0.3">
      <c r="B7" s="52" t="s">
        <v>266</v>
      </c>
    </row>
    <row r="8" spans="1:2" x14ac:dyDescent="0.3">
      <c r="B8" s="52" t="s">
        <v>267</v>
      </c>
    </row>
    <row r="9" spans="1:2" x14ac:dyDescent="0.3">
      <c r="B9" s="52" t="s">
        <v>268</v>
      </c>
    </row>
    <row r="10" spans="1:2" x14ac:dyDescent="0.3">
      <c r="B10" s="52" t="s">
        <v>269</v>
      </c>
    </row>
    <row r="11" spans="1:2" x14ac:dyDescent="0.3">
      <c r="B11" s="52" t="s">
        <v>270</v>
      </c>
    </row>
    <row r="12" spans="1:2" x14ac:dyDescent="0.3">
      <c r="B12" s="52" t="s">
        <v>271</v>
      </c>
    </row>
    <row r="13" spans="1:2" x14ac:dyDescent="0.3">
      <c r="A13" s="33"/>
      <c r="B13" s="52" t="s">
        <v>272</v>
      </c>
    </row>
    <row r="14" spans="1:2" x14ac:dyDescent="0.3">
      <c r="A14" s="33"/>
      <c r="B14" s="52" t="s">
        <v>506</v>
      </c>
    </row>
    <row r="15" spans="1:2" x14ac:dyDescent="0.3">
      <c r="A15" s="33"/>
      <c r="B15" s="52" t="s">
        <v>507</v>
      </c>
    </row>
    <row r="16" spans="1:2" x14ac:dyDescent="0.3">
      <c r="B16" s="53"/>
    </row>
    <row r="17" spans="2:2" ht="15.6" x14ac:dyDescent="0.3">
      <c r="B17" s="50" t="s">
        <v>195</v>
      </c>
    </row>
    <row r="18" spans="2:2" x14ac:dyDescent="0.3">
      <c r="B18" s="51"/>
    </row>
    <row r="19" spans="2:2" x14ac:dyDescent="0.3">
      <c r="B19" s="52" t="s">
        <v>273</v>
      </c>
    </row>
    <row r="20" spans="2:2" x14ac:dyDescent="0.3">
      <c r="B20" s="52" t="s">
        <v>274</v>
      </c>
    </row>
    <row r="21" spans="2:2" x14ac:dyDescent="0.3">
      <c r="B21" s="52" t="s">
        <v>275</v>
      </c>
    </row>
    <row r="22" spans="2:2" x14ac:dyDescent="0.3">
      <c r="B22" s="52" t="s">
        <v>522</v>
      </c>
    </row>
    <row r="23" spans="2:2" x14ac:dyDescent="0.3">
      <c r="B23" s="52" t="s">
        <v>276</v>
      </c>
    </row>
    <row r="24" spans="2:2" x14ac:dyDescent="0.3">
      <c r="B24" s="52" t="s">
        <v>277</v>
      </c>
    </row>
    <row r="25" spans="2:2" x14ac:dyDescent="0.3">
      <c r="B25" s="52" t="s">
        <v>278</v>
      </c>
    </row>
    <row r="26" spans="2:2" x14ac:dyDescent="0.3">
      <c r="B26" s="52" t="s">
        <v>279</v>
      </c>
    </row>
    <row r="27" spans="2:2" x14ac:dyDescent="0.3">
      <c r="B27" s="52" t="s">
        <v>280</v>
      </c>
    </row>
    <row r="28" spans="2:2" x14ac:dyDescent="0.3">
      <c r="B28" s="52" t="s">
        <v>524</v>
      </c>
    </row>
    <row r="29" spans="2:2" x14ac:dyDescent="0.3">
      <c r="B29" s="52" t="s">
        <v>281</v>
      </c>
    </row>
    <row r="30" spans="2:2" x14ac:dyDescent="0.3">
      <c r="B30" s="52" t="s">
        <v>282</v>
      </c>
    </row>
    <row r="31" spans="2:2" x14ac:dyDescent="0.3">
      <c r="B31" s="10"/>
    </row>
    <row r="32" spans="2:2" ht="15.6" x14ac:dyDescent="0.3">
      <c r="B32" s="50" t="s">
        <v>196</v>
      </c>
    </row>
    <row r="33" spans="2:2" x14ac:dyDescent="0.3">
      <c r="B33" s="51"/>
    </row>
    <row r="34" spans="2:2" x14ac:dyDescent="0.3">
      <c r="B34" s="52" t="s">
        <v>283</v>
      </c>
    </row>
    <row r="35" spans="2:2" x14ac:dyDescent="0.3">
      <c r="B35" s="52" t="s">
        <v>284</v>
      </c>
    </row>
    <row r="36" spans="2:2" x14ac:dyDescent="0.3">
      <c r="B36" s="52" t="s">
        <v>285</v>
      </c>
    </row>
    <row r="37" spans="2:2" x14ac:dyDescent="0.3">
      <c r="B37" s="52" t="s">
        <v>519</v>
      </c>
    </row>
    <row r="38" spans="2:2" x14ac:dyDescent="0.3">
      <c r="B38" s="52" t="s">
        <v>286</v>
      </c>
    </row>
    <row r="39" spans="2:2" x14ac:dyDescent="0.3">
      <c r="B39" s="52" t="s">
        <v>287</v>
      </c>
    </row>
    <row r="40" spans="2:2" x14ac:dyDescent="0.3">
      <c r="B40" s="52" t="s">
        <v>288</v>
      </c>
    </row>
    <row r="41" spans="2:2" x14ac:dyDescent="0.3">
      <c r="B41" s="52" t="s">
        <v>289</v>
      </c>
    </row>
    <row r="42" spans="2:2" x14ac:dyDescent="0.3">
      <c r="B42" s="52" t="s">
        <v>520</v>
      </c>
    </row>
    <row r="43" spans="2:2" x14ac:dyDescent="0.3">
      <c r="B43" s="52" t="s">
        <v>290</v>
      </c>
    </row>
    <row r="44" spans="2:2" x14ac:dyDescent="0.3">
      <c r="B44" s="10"/>
    </row>
    <row r="45" spans="2:2" ht="15.6" x14ac:dyDescent="0.3">
      <c r="B45" s="50" t="s">
        <v>197</v>
      </c>
    </row>
    <row r="46" spans="2:2" x14ac:dyDescent="0.3">
      <c r="B46" s="51"/>
    </row>
    <row r="47" spans="2:2" x14ac:dyDescent="0.3">
      <c r="B47" s="52" t="s">
        <v>291</v>
      </c>
    </row>
    <row r="48" spans="2:2" x14ac:dyDescent="0.3">
      <c r="B48" s="52" t="s">
        <v>292</v>
      </c>
    </row>
    <row r="49" spans="2:2" x14ac:dyDescent="0.3">
      <c r="B49" s="52" t="s">
        <v>293</v>
      </c>
    </row>
    <row r="50" spans="2:2" x14ac:dyDescent="0.3">
      <c r="B50" s="52" t="s">
        <v>294</v>
      </c>
    </row>
    <row r="51" spans="2:2" x14ac:dyDescent="0.3">
      <c r="B51" s="52" t="s">
        <v>295</v>
      </c>
    </row>
    <row r="52" spans="2:2" x14ac:dyDescent="0.3">
      <c r="B52" s="52" t="s">
        <v>296</v>
      </c>
    </row>
    <row r="53" spans="2:2" x14ac:dyDescent="0.3">
      <c r="B53" s="52" t="s">
        <v>297</v>
      </c>
    </row>
    <row r="54" spans="2:2" x14ac:dyDescent="0.3">
      <c r="B54" s="52" t="s">
        <v>298</v>
      </c>
    </row>
    <row r="55" spans="2:2" x14ac:dyDescent="0.3">
      <c r="B55" s="10"/>
    </row>
    <row r="56" spans="2:2" ht="15.6" x14ac:dyDescent="0.3">
      <c r="B56" s="50" t="s">
        <v>198</v>
      </c>
    </row>
    <row r="57" spans="2:2" x14ac:dyDescent="0.3">
      <c r="B57" s="51"/>
    </row>
    <row r="58" spans="2:2" x14ac:dyDescent="0.3">
      <c r="B58" s="52" t="s">
        <v>299</v>
      </c>
    </row>
    <row r="59" spans="2:2" x14ac:dyDescent="0.3">
      <c r="B59" s="52" t="s">
        <v>300</v>
      </c>
    </row>
    <row r="60" spans="2:2" x14ac:dyDescent="0.3">
      <c r="B60" s="52" t="s">
        <v>301</v>
      </c>
    </row>
    <row r="61" spans="2:2" x14ac:dyDescent="0.3">
      <c r="B61" s="52" t="s">
        <v>302</v>
      </c>
    </row>
    <row r="62" spans="2:2" x14ac:dyDescent="0.3">
      <c r="B62" s="52" t="s">
        <v>303</v>
      </c>
    </row>
    <row r="63" spans="2:2" x14ac:dyDescent="0.3">
      <c r="B63" s="52" t="s">
        <v>304</v>
      </c>
    </row>
    <row r="64" spans="2:2" x14ac:dyDescent="0.3">
      <c r="B64" s="52" t="s">
        <v>305</v>
      </c>
    </row>
    <row r="65" spans="2:2" x14ac:dyDescent="0.3">
      <c r="B65" s="52" t="s">
        <v>306</v>
      </c>
    </row>
    <row r="66" spans="2:2" x14ac:dyDescent="0.3">
      <c r="B66" s="52" t="s">
        <v>307</v>
      </c>
    </row>
    <row r="67" spans="2:2" x14ac:dyDescent="0.3">
      <c r="B67" s="52" t="s">
        <v>308</v>
      </c>
    </row>
    <row r="68" spans="2:2" x14ac:dyDescent="0.3">
      <c r="B68" s="52" t="s">
        <v>309</v>
      </c>
    </row>
    <row r="69" spans="2:2" x14ac:dyDescent="0.3">
      <c r="B69" s="52" t="s">
        <v>310</v>
      </c>
    </row>
    <row r="70" spans="2:2" x14ac:dyDescent="0.3">
      <c r="B70" s="52" t="s">
        <v>311</v>
      </c>
    </row>
    <row r="71" spans="2:2" x14ac:dyDescent="0.3">
      <c r="B71" s="52" t="s">
        <v>312</v>
      </c>
    </row>
    <row r="72" spans="2:2" x14ac:dyDescent="0.3">
      <c r="B72" s="53"/>
    </row>
    <row r="73" spans="2:2" ht="15.6" x14ac:dyDescent="0.3">
      <c r="B73" s="50" t="s">
        <v>199</v>
      </c>
    </row>
    <row r="74" spans="2:2" x14ac:dyDescent="0.3">
      <c r="B74" s="51"/>
    </row>
    <row r="75" spans="2:2" x14ac:dyDescent="0.3">
      <c r="B75" s="52" t="s">
        <v>313</v>
      </c>
    </row>
    <row r="76" spans="2:2" x14ac:dyDescent="0.3">
      <c r="B76" s="52" t="s">
        <v>314</v>
      </c>
    </row>
    <row r="77" spans="2:2" x14ac:dyDescent="0.3">
      <c r="B77" s="52" t="s">
        <v>315</v>
      </c>
    </row>
    <row r="78" spans="2:2" x14ac:dyDescent="0.3">
      <c r="B78" s="52" t="s">
        <v>316</v>
      </c>
    </row>
    <row r="79" spans="2:2" x14ac:dyDescent="0.3">
      <c r="B79" s="52" t="s">
        <v>317</v>
      </c>
    </row>
    <row r="80" spans="2:2" x14ac:dyDescent="0.3">
      <c r="B80" s="52" t="s">
        <v>318</v>
      </c>
    </row>
    <row r="81" spans="2:2" x14ac:dyDescent="0.3">
      <c r="B81" s="52" t="s">
        <v>319</v>
      </c>
    </row>
    <row r="82" spans="2:2" x14ac:dyDescent="0.3">
      <c r="B82" s="52" t="s">
        <v>320</v>
      </c>
    </row>
    <row r="83" spans="2:2" x14ac:dyDescent="0.3">
      <c r="B83" s="52" t="s">
        <v>321</v>
      </c>
    </row>
    <row r="84" spans="2:2" x14ac:dyDescent="0.3">
      <c r="B84" s="52" t="s">
        <v>322</v>
      </c>
    </row>
    <row r="85" spans="2:2" x14ac:dyDescent="0.3">
      <c r="B85" s="52" t="s">
        <v>323</v>
      </c>
    </row>
    <row r="86" spans="2:2" x14ac:dyDescent="0.3">
      <c r="B86" s="52" t="s">
        <v>324</v>
      </c>
    </row>
    <row r="87" spans="2:2" x14ac:dyDescent="0.3">
      <c r="B87" s="52" t="s">
        <v>325</v>
      </c>
    </row>
    <row r="88" spans="2:2" x14ac:dyDescent="0.3">
      <c r="B88" s="52" t="s">
        <v>326</v>
      </c>
    </row>
    <row r="89" spans="2:2" x14ac:dyDescent="0.3">
      <c r="B89" s="53"/>
    </row>
    <row r="90" spans="2:2" ht="15.6" x14ac:dyDescent="0.3">
      <c r="B90" s="50" t="s">
        <v>200</v>
      </c>
    </row>
    <row r="91" spans="2:2" x14ac:dyDescent="0.3">
      <c r="B91" s="51"/>
    </row>
    <row r="92" spans="2:2" x14ac:dyDescent="0.3">
      <c r="B92" s="52" t="s">
        <v>327</v>
      </c>
    </row>
    <row r="93" spans="2:2" x14ac:dyDescent="0.3">
      <c r="B93" s="52" t="s">
        <v>328</v>
      </c>
    </row>
    <row r="94" spans="2:2" x14ac:dyDescent="0.3">
      <c r="B94" s="52" t="s">
        <v>329</v>
      </c>
    </row>
    <row r="95" spans="2:2" x14ac:dyDescent="0.3">
      <c r="B95" s="52" t="s">
        <v>330</v>
      </c>
    </row>
    <row r="96" spans="2:2" x14ac:dyDescent="0.3">
      <c r="B96" s="52" t="s">
        <v>331</v>
      </c>
    </row>
    <row r="97" spans="2:2" x14ac:dyDescent="0.3">
      <c r="B97" s="52" t="s">
        <v>332</v>
      </c>
    </row>
    <row r="98" spans="2:2" x14ac:dyDescent="0.3">
      <c r="B98" s="52" t="s">
        <v>333</v>
      </c>
    </row>
    <row r="99" spans="2:2" x14ac:dyDescent="0.3">
      <c r="B99" s="52" t="s">
        <v>334</v>
      </c>
    </row>
    <row r="100" spans="2:2" x14ac:dyDescent="0.3">
      <c r="B100" s="52" t="s">
        <v>335</v>
      </c>
    </row>
    <row r="101" spans="2:2" x14ac:dyDescent="0.3">
      <c r="B101" s="52" t="s">
        <v>336</v>
      </c>
    </row>
    <row r="102" spans="2:2" x14ac:dyDescent="0.3">
      <c r="B102" s="52" t="s">
        <v>337</v>
      </c>
    </row>
    <row r="103" spans="2:2" x14ac:dyDescent="0.3">
      <c r="B103" s="52" t="s">
        <v>338</v>
      </c>
    </row>
    <row r="104" spans="2:2" x14ac:dyDescent="0.3">
      <c r="B104" s="52" t="s">
        <v>339</v>
      </c>
    </row>
    <row r="105" spans="2:2" x14ac:dyDescent="0.3">
      <c r="B105" s="52" t="s">
        <v>340</v>
      </c>
    </row>
    <row r="106" spans="2:2" x14ac:dyDescent="0.3">
      <c r="B106" s="53"/>
    </row>
    <row r="107" spans="2:2" ht="15.6" x14ac:dyDescent="0.3">
      <c r="B107" s="50" t="s">
        <v>201</v>
      </c>
    </row>
    <row r="108" spans="2:2" x14ac:dyDescent="0.3">
      <c r="B108" s="51"/>
    </row>
    <row r="109" spans="2:2" x14ac:dyDescent="0.3">
      <c r="B109" s="52" t="s">
        <v>341</v>
      </c>
    </row>
    <row r="110" spans="2:2" x14ac:dyDescent="0.3">
      <c r="B110" s="52" t="s">
        <v>342</v>
      </c>
    </row>
    <row r="111" spans="2:2" x14ac:dyDescent="0.3">
      <c r="B111" s="52" t="s">
        <v>343</v>
      </c>
    </row>
    <row r="112" spans="2:2" x14ac:dyDescent="0.3">
      <c r="B112" s="52" t="s">
        <v>508</v>
      </c>
    </row>
    <row r="113" spans="2:2" x14ac:dyDescent="0.3">
      <c r="B113" s="52" t="s">
        <v>509</v>
      </c>
    </row>
    <row r="114" spans="2:2" x14ac:dyDescent="0.3">
      <c r="B114" s="53"/>
    </row>
    <row r="115" spans="2:2" ht="15.6" x14ac:dyDescent="0.3">
      <c r="B115" s="50" t="s">
        <v>202</v>
      </c>
    </row>
    <row r="116" spans="2:2" x14ac:dyDescent="0.3">
      <c r="B116" s="51"/>
    </row>
    <row r="117" spans="2:2" x14ac:dyDescent="0.3">
      <c r="B117" s="52" t="s">
        <v>344</v>
      </c>
    </row>
    <row r="118" spans="2:2" x14ac:dyDescent="0.3">
      <c r="B118" s="52" t="s">
        <v>345</v>
      </c>
    </row>
    <row r="119" spans="2:2" x14ac:dyDescent="0.3">
      <c r="B119" s="52" t="s">
        <v>346</v>
      </c>
    </row>
    <row r="120" spans="2:2" x14ac:dyDescent="0.3">
      <c r="B120" s="52" t="s">
        <v>347</v>
      </c>
    </row>
    <row r="121" spans="2:2" x14ac:dyDescent="0.3">
      <c r="B121" s="52" t="s">
        <v>348</v>
      </c>
    </row>
    <row r="122" spans="2:2" x14ac:dyDescent="0.3">
      <c r="B122" s="52" t="s">
        <v>349</v>
      </c>
    </row>
    <row r="123" spans="2:2" x14ac:dyDescent="0.3">
      <c r="B123" s="53"/>
    </row>
    <row r="124" spans="2:2" ht="15.6" x14ac:dyDescent="0.3">
      <c r="B124" s="50" t="s">
        <v>433</v>
      </c>
    </row>
    <row r="125" spans="2:2" x14ac:dyDescent="0.3">
      <c r="B125" s="51"/>
    </row>
    <row r="126" spans="2:2" x14ac:dyDescent="0.3">
      <c r="B126" s="52" t="s">
        <v>436</v>
      </c>
    </row>
    <row r="127" spans="2:2" x14ac:dyDescent="0.3">
      <c r="B127" s="52" t="s">
        <v>437</v>
      </c>
    </row>
    <row r="128" spans="2:2" x14ac:dyDescent="0.3">
      <c r="B128" s="52" t="s">
        <v>438</v>
      </c>
    </row>
    <row r="129" spans="2:2" x14ac:dyDescent="0.3">
      <c r="B129" s="52" t="s">
        <v>439</v>
      </c>
    </row>
    <row r="130" spans="2:2" x14ac:dyDescent="0.3">
      <c r="B130" s="52" t="s">
        <v>440</v>
      </c>
    </row>
    <row r="131" spans="2:2" x14ac:dyDescent="0.3">
      <c r="B131" s="52" t="s">
        <v>441</v>
      </c>
    </row>
    <row r="132" spans="2:2" x14ac:dyDescent="0.3">
      <c r="B132" s="52" t="s">
        <v>442</v>
      </c>
    </row>
    <row r="133" spans="2:2" x14ac:dyDescent="0.3">
      <c r="B133" s="52" t="s">
        <v>443</v>
      </c>
    </row>
    <row r="134" spans="2:2" x14ac:dyDescent="0.3">
      <c r="B134" s="52" t="s">
        <v>444</v>
      </c>
    </row>
    <row r="135" spans="2:2" x14ac:dyDescent="0.3">
      <c r="B135" s="52" t="s">
        <v>445</v>
      </c>
    </row>
    <row r="136" spans="2:2" x14ac:dyDescent="0.3">
      <c r="B136" s="52" t="s">
        <v>446</v>
      </c>
    </row>
    <row r="137" spans="2:2" x14ac:dyDescent="0.3">
      <c r="B137" s="52" t="s">
        <v>447</v>
      </c>
    </row>
    <row r="138" spans="2:2" x14ac:dyDescent="0.3">
      <c r="B138" s="52" t="s">
        <v>448</v>
      </c>
    </row>
    <row r="139" spans="2:2" x14ac:dyDescent="0.3">
      <c r="B139" s="52" t="s">
        <v>449</v>
      </c>
    </row>
    <row r="140" spans="2:2" x14ac:dyDescent="0.3">
      <c r="B140" s="53"/>
    </row>
    <row r="141" spans="2:2" ht="15.6" x14ac:dyDescent="0.3">
      <c r="B141" s="50" t="s">
        <v>434</v>
      </c>
    </row>
    <row r="142" spans="2:2" x14ac:dyDescent="0.3">
      <c r="B142" s="51"/>
    </row>
    <row r="143" spans="2:2" x14ac:dyDescent="0.3">
      <c r="B143" s="52" t="s">
        <v>450</v>
      </c>
    </row>
    <row r="144" spans="2:2" x14ac:dyDescent="0.3">
      <c r="B144" s="52" t="s">
        <v>451</v>
      </c>
    </row>
    <row r="145" spans="2:2" x14ac:dyDescent="0.3">
      <c r="B145" s="52" t="s">
        <v>452</v>
      </c>
    </row>
    <row r="146" spans="2:2" x14ac:dyDescent="0.3">
      <c r="B146" s="52" t="s">
        <v>453</v>
      </c>
    </row>
    <row r="147" spans="2:2" x14ac:dyDescent="0.3">
      <c r="B147" s="52" t="s">
        <v>454</v>
      </c>
    </row>
    <row r="148" spans="2:2" x14ac:dyDescent="0.3">
      <c r="B148" s="52" t="s">
        <v>455</v>
      </c>
    </row>
    <row r="149" spans="2:2" x14ac:dyDescent="0.3">
      <c r="B149" s="52" t="s">
        <v>456</v>
      </c>
    </row>
    <row r="150" spans="2:2" x14ac:dyDescent="0.3">
      <c r="B150" s="52" t="s">
        <v>457</v>
      </c>
    </row>
    <row r="151" spans="2:2" x14ac:dyDescent="0.3">
      <c r="B151" s="52" t="s">
        <v>458</v>
      </c>
    </row>
    <row r="152" spans="2:2" x14ac:dyDescent="0.3">
      <c r="B152" s="52" t="s">
        <v>459</v>
      </c>
    </row>
    <row r="153" spans="2:2" x14ac:dyDescent="0.3">
      <c r="B153" s="52" t="s">
        <v>460</v>
      </c>
    </row>
    <row r="154" spans="2:2" x14ac:dyDescent="0.3">
      <c r="B154" s="52" t="s">
        <v>461</v>
      </c>
    </row>
    <row r="155" spans="2:2" x14ac:dyDescent="0.3">
      <c r="B155" s="52" t="s">
        <v>462</v>
      </c>
    </row>
    <row r="156" spans="2:2" x14ac:dyDescent="0.3">
      <c r="B156" s="52" t="s">
        <v>463</v>
      </c>
    </row>
    <row r="157" spans="2:2" x14ac:dyDescent="0.3">
      <c r="B157" s="53"/>
    </row>
    <row r="158" spans="2:2" ht="15.6" x14ac:dyDescent="0.3">
      <c r="B158" s="50" t="s">
        <v>435</v>
      </c>
    </row>
    <row r="159" spans="2:2" x14ac:dyDescent="0.3">
      <c r="B159" s="51"/>
    </row>
    <row r="160" spans="2:2" x14ac:dyDescent="0.3">
      <c r="B160" s="52" t="s">
        <v>464</v>
      </c>
    </row>
    <row r="161" spans="2:2" x14ac:dyDescent="0.3">
      <c r="B161" s="52" t="s">
        <v>465</v>
      </c>
    </row>
    <row r="162" spans="2:2" x14ac:dyDescent="0.3">
      <c r="B162" s="52" t="s">
        <v>466</v>
      </c>
    </row>
    <row r="163" spans="2:2" x14ac:dyDescent="0.3">
      <c r="B163" s="52" t="s">
        <v>467</v>
      </c>
    </row>
    <row r="164" spans="2:2" x14ac:dyDescent="0.3">
      <c r="B164" s="52" t="s">
        <v>468</v>
      </c>
    </row>
    <row r="165" spans="2:2" x14ac:dyDescent="0.3">
      <c r="B165" s="52" t="s">
        <v>469</v>
      </c>
    </row>
    <row r="166" spans="2:2" x14ac:dyDescent="0.3">
      <c r="B166" s="52" t="s">
        <v>470</v>
      </c>
    </row>
    <row r="167" spans="2:2" x14ac:dyDescent="0.3">
      <c r="B167" s="52" t="s">
        <v>471</v>
      </c>
    </row>
    <row r="168" spans="2:2" x14ac:dyDescent="0.3">
      <c r="B168" s="52" t="s">
        <v>472</v>
      </c>
    </row>
    <row r="169" spans="2:2" x14ac:dyDescent="0.3">
      <c r="B169" s="52" t="s">
        <v>473</v>
      </c>
    </row>
    <row r="170" spans="2:2" x14ac:dyDescent="0.3">
      <c r="B170" s="52" t="s">
        <v>474</v>
      </c>
    </row>
    <row r="171" spans="2:2" x14ac:dyDescent="0.3">
      <c r="B171" s="52" t="s">
        <v>475</v>
      </c>
    </row>
    <row r="172" spans="2:2" x14ac:dyDescent="0.3">
      <c r="B172" s="52" t="s">
        <v>476</v>
      </c>
    </row>
    <row r="173" spans="2:2" x14ac:dyDescent="0.3">
      <c r="B173" s="52" t="s">
        <v>477</v>
      </c>
    </row>
    <row r="174" spans="2:2" x14ac:dyDescent="0.3">
      <c r="B174" s="70"/>
    </row>
  </sheetData>
  <mergeCells count="1">
    <mergeCell ref="B2:B3"/>
  </mergeCells>
  <hyperlinks>
    <hyperlink ref="B6" location="'C1_COT'!A3" display="Cuadro N° 1.1: Número de cotizantes, según seguro de salud años 2011-2015" xr:uid="{00000000-0004-0000-0100-000000000000}"/>
    <hyperlink ref="B7" location="'C1_COT'!A13" display="Cuadro N° 1.2: Número de cotizantes, según seguro de salud y sexo año 2015" xr:uid="{00000000-0004-0000-0100-000001000000}"/>
    <hyperlink ref="B8" location="'C1_COT'!A22" display="Cuadro N° 1.3: Número de cotizantes, según seguro de salud y tramo etario año 2017" xr:uid="{00000000-0004-0000-0100-000002000000}"/>
    <hyperlink ref="B9" location="'C1_COT'!A36" display="Cuadro N° 1.4: Número de cotizantes, según seguro de salud y tipo de cotizante año 2017" xr:uid="{00000000-0004-0000-0100-000003000000}"/>
    <hyperlink ref="B10" location="'C1_COT'!A45" display="Cuadro N° 1.5: Número de cotizantes, según seguro de salud y región año 2017" xr:uid="{00000000-0004-0000-0100-000004000000}"/>
    <hyperlink ref="B11" location="'C1_COT'!A67" display="Cuadro N° 1.6: Número de cotizantes, según seguro de salud y tramo de remuneraciones año 2017" xr:uid="{00000000-0004-0000-0100-000005000000}"/>
    <hyperlink ref="B12" location="'C1_COT'!A83" display="Cuadro N° 1.7: Número de cotizantes, según seguro de salud y actividad económica año 2017" xr:uid="{00000000-0004-0000-0100-000006000000}"/>
    <hyperlink ref="B13" location="'C1_COT'!A98" display="Cuadro N° 1.8: Renta imponible promedio anual para el universo de cotizantes, según seguro de salud (miles $ de cada año) años 2013-2017" xr:uid="{00000000-0004-0000-0100-000007000000}"/>
    <hyperlink ref="B19" location="'C2_LMT'!A3" display="Cuadro N° 2.1.: Número de licencias médicas tramitadas, según seguro de salud años 2011-2015" xr:uid="{00000000-0004-0000-0100-000008000000}"/>
    <hyperlink ref="B20" location="'C2_LMT'!A13" display="Cuadro N° 2.1.1: Número de licencias médicas tramitadas, según seguro de salud y sexo año 2015" xr:uid="{00000000-0004-0000-0100-000009000000}"/>
    <hyperlink ref="B21" location="'C2_LMT'!A22" display="Cuadro N° 2.1.3: Número de licencias médicas tramitadas, según seguro de salud y tramo etario año 2017" xr:uid="{00000000-0004-0000-0100-00000A000000}"/>
    <hyperlink ref="B22" location="'C2_LMT'!A36" display="Cuadro N° 2.1.4: Número de licencias médicas tramitadas, según seguro de salud y tipo de sector año 2017" xr:uid="{00000000-0004-0000-0100-00000B000000}"/>
    <hyperlink ref="B23" location="'C2_LMT'!A46" display="Cuadro N° 2.1.5: Número de licencias médicas tramitadas, según seguro de salud y región año 2017" xr:uid="{00000000-0004-0000-0100-00000C000000}"/>
    <hyperlink ref="B24" location="'C2_LMT'!A68" display="Cuadro N° 2.1.6: Número de licencias médicas tramitadas, según seguro de salud y  tipo de resolución año 2017" xr:uid="{00000000-0004-0000-0100-00000D000000}"/>
    <hyperlink ref="B25" location="'C2_LMT'!F3" display="Cuadro N° 2.2.: Número de días otorgados, según seguro de salud años 2011-2015" xr:uid="{00000000-0004-0000-0100-00000E000000}"/>
    <hyperlink ref="B26" location="'C2_LMT'!F13" display="Cuadro N° 2.2.1: Número de días otorgados, según seguro de salud y sexo año 2015" xr:uid="{00000000-0004-0000-0100-00000F000000}"/>
    <hyperlink ref="B27" location="'C2_LMT'!F22" display="Cuadro N° 2.2.3: Número de días otorgados, según seguro de salud y tramo etario año 2017" xr:uid="{00000000-0004-0000-0100-000010000000}"/>
    <hyperlink ref="B28" location="'C2_LMT'!F36" display="Cuadro N° 2.2.4: Número de días otorgados, según seguro de salud y tipo de sector año 2017" xr:uid="{00000000-0004-0000-0100-000011000000}"/>
    <hyperlink ref="B29" location="'C2_LMT'!F46" display="Cuadro N° 2.2.5: Número de días otorgados, según seguro de salud y región año 2017" xr:uid="{00000000-0004-0000-0100-000012000000}"/>
    <hyperlink ref="B30" location="'C2_LMT'!F68" display="Cuadro N° 2.2.6: Número de días otorgados, según seguro de salud y  tipo de resolución año 2017" xr:uid="{00000000-0004-0000-0100-000013000000}"/>
    <hyperlink ref="B34" location="'C3_LMA'!A3" display="Cuadro N° 3.1.: Número de licencias médicas autorizadas, según seguro de salud años 2011-2015" xr:uid="{00000000-0004-0000-0100-000014000000}"/>
    <hyperlink ref="B35" location="'C3_LMA'!A13" display="Cuadro N° 3.1.1: Número de licencias médicas autorizadas, según seguro de salud y sexo año 2015" xr:uid="{00000000-0004-0000-0100-000015000000}"/>
    <hyperlink ref="B36" location="'C3_LMA'!A22" display="Cuadro N° 3.1.3: Número de licencias médicas autorizadas, según seguro de salud y tramo etario año 2017" xr:uid="{00000000-0004-0000-0100-000016000000}"/>
    <hyperlink ref="B37" location="'C3_LMA'!A36" display="Cuadro N° 3.1.4: Número de licencias médicas autorizadas, según seguro de salud y tipo de sector año 2017" xr:uid="{00000000-0004-0000-0100-000017000000}"/>
    <hyperlink ref="B38" location="'C3_LMA'!A46" display="Cuadro N° 3.1.5: Número de licencias médicas autorizadas, según seguro de salud y región año 2017" xr:uid="{00000000-0004-0000-0100-000018000000}"/>
    <hyperlink ref="B39" location="'C3_LMA'!F3" display="Cuadro N° 3.2.: Número de días pagados, según seguro de salud años 2011-2015" xr:uid="{00000000-0004-0000-0100-000019000000}"/>
    <hyperlink ref="B40" location="'C3_LMA'!F13" display="Cuadro N° 3.2.1: Número de días pagados, según seguro de salud y sexo año 2015" xr:uid="{00000000-0004-0000-0100-00001A000000}"/>
    <hyperlink ref="B41" location="'C3_LMA'!F22" display="Cuadro N° 3.2.3: Número de días pagados, según seguro de salud y tramo etario año 2017" xr:uid="{00000000-0004-0000-0100-00001B000000}"/>
    <hyperlink ref="B42" location="'C3_LMA'!F36" display="Cuadro N° 3.2.4: Número de días pagados, según seguro de salud y tipo de sector año 2017" xr:uid="{00000000-0004-0000-0100-00001C000000}"/>
    <hyperlink ref="B43" location="'C3_LMA'!F46" display="Cuadro N° 3.2.5: Número de días pagados, según seguro de salud y región año 2017" xr:uid="{00000000-0004-0000-0100-00001D000000}"/>
    <hyperlink ref="B47" location="'C4_LMR'!A3" display="Cuadro N° 4.1.: Número de licencias médicas rechazadas, según seguro de salud años 2011-2015" xr:uid="{00000000-0004-0000-0100-00001E000000}"/>
    <hyperlink ref="B48" location="'C4_LMR'!A13" display="Cuadro N° 4.1.1: Número de licencias médicas rechazadas, según seguro de salud y sexo año 2015" xr:uid="{00000000-0004-0000-0100-00001F000000}"/>
    <hyperlink ref="B49" location="'C4_LMR'!A22" display="Cuadro N° 4.1.3: Número de licencias médicas rechazadas, según seguro de salud y tramo etario año 2017" xr:uid="{00000000-0004-0000-0100-000020000000}"/>
    <hyperlink ref="B50" location="'C4_LMR'!A36" display="Cuadro N° 4.1.4: Número de licencias médicas rechazadas, según seguro de salud y región año 2017" xr:uid="{00000000-0004-0000-0100-000021000000}"/>
    <hyperlink ref="B51" location="'C4_LMR'!F3" display="Cuadro N° 4.2.: Número de días rechazados, según seguro de salud años 2011-2015" xr:uid="{00000000-0004-0000-0100-000022000000}"/>
    <hyperlink ref="B52" location="'C4_LMR'!F13" display="Cuadro N° 4.2.1: Número de días rechazados, según seguro de salud y sexo año 2015" xr:uid="{00000000-0004-0000-0100-000023000000}"/>
    <hyperlink ref="B53" location="'C4_LMR'!F22" display="Cuadro N° 4.2.3: Número de días rechazados, según seguro de salud y tramo etario año 2017" xr:uid="{00000000-0004-0000-0100-000024000000}"/>
    <hyperlink ref="B54" location="'C4_LMR'!F36" display="Cuadro N° 4.2.4: Número de días rechazados, según seguro de salud y región año 2017" xr:uid="{00000000-0004-0000-0100-000025000000}"/>
    <hyperlink ref="B109" location="'C8_GTO_SIL'!A3" display="Cuadro N° 8.1: Gasto en SIL nominal por licencias médicas, según seguro de salud (miles $ de cada año) años 2011-2015" xr:uid="{00000000-0004-0000-0100-000026000000}"/>
    <hyperlink ref="B110" location="'C8_GTO_SIL'!A13" display="Cuadro N° 8.2: Gasto en SIL por licencias médicas, según seguro de salud (miles $ de diciembre 2015) años 2011-2015" xr:uid="{00000000-0004-0000-0100-000027000000}"/>
    <hyperlink ref="B111" location="'C8_GTO_SIL'!A23" display="Cuadro N° 8.3: Gasto en SIL por licencias médicas, según seguro de salud y tipo de diagnóstico (miles $ de diciembre 2015) año 2015" xr:uid="{00000000-0004-0000-0100-000028000000}"/>
    <hyperlink ref="B117" location="'C9_IND_SIL'!A3" display="Cuadro N° 9.1: Gasto en SIL por cotizante, según seguro de salud (miles $ de diciembre 2015) años 2011-2015" xr:uid="{00000000-0004-0000-0100-000029000000}"/>
    <hyperlink ref="B118" location="'C9_IND_SIL'!A13" display="Cuadro N° 9.2: Número de días pagados por cotizante, según seguro de salud años 2011-2015" xr:uid="{00000000-0004-0000-0100-00002A000000}"/>
    <hyperlink ref="B120" location="'C9_IND_SIL'!A33" display="Cuadro N° 9.4: Gasto en SIL por licencia médica autorizada, según seguro de salud (miles $ de diciembre 2015) años 2011-2015" xr:uid="{00000000-0004-0000-0100-00002B000000}"/>
    <hyperlink ref="B121" location="'C9_IND_SIL'!A43" display="Cuadro N° 9.5: Número de días pagados por licencia médica autorizada, según seguro de salud años 2011-2015" xr:uid="{00000000-0004-0000-0100-00002C000000}"/>
    <hyperlink ref="B119" location="'C9_IND_SIL'!A23" display="Cuadro N° 9.3: Gasto en SIL por día pagado, según seguro de salud (miles $ de diciembre 2015) años 2011-2015" xr:uid="{00000000-0004-0000-0100-00002D000000}"/>
    <hyperlink ref="B122" location="'C9_IND_SIL'!A53" display="Cuadro N° 9.6: Porcentaje de cotización necesario para financiar el SIL, según seguro de salud años 2011-2015" xr:uid="{00000000-0004-0000-0100-00002E000000}"/>
    <hyperlink ref="B58" location="'C5_LMT_DIAG'!A3" display="Cuadro 5.1.1.1: Número de licencias médicas tramitadas, según seguro de salud y tipo de diagnóstico año 2015" xr:uid="{00000000-0004-0000-0100-00002F000000}"/>
    <hyperlink ref="B59" location="'C5_LMT_DIAG'!A21" display="Cuadro N° 5.1.2.1: Número de licencias médicas tramitadas FONASA, según tipo de diagnóstico y sexo año 2017" xr:uid="{00000000-0004-0000-0100-000030000000}"/>
    <hyperlink ref="B60" location="'C5_LMT_DIAG'!P21" display="Cuadro N° 5.1.2.2: Número de licencias médicas tramitadas ISAPREs, según tipo de diagnóstico y sexo año 2017" xr:uid="{00000000-0004-0000-0100-000031000000}"/>
    <hyperlink ref="B61" location="'C5_LMT_DIAG'!A30" display="Cuadro N° 5.1.3.1: Número de licencias médicas tramitadas FONASA, según tipo de diagnóstico y tramo etario año 2017" xr:uid="{00000000-0004-0000-0100-000032000000}"/>
    <hyperlink ref="B62" location="'C5_LMT_DIAG'!P30" display="Cuadro N° 5.1.3.2: Número de licencias médicas tramitadas ISAPREs, según tipo de diagnóstico y tramo etario año 2017" xr:uid="{00000000-0004-0000-0100-000033000000}"/>
    <hyperlink ref="B63" location="'C5_LMT_DIAG'!A44" display="Cuadro N° 5.1.4.1: Número de licencias médicas tramitadas FONASA, según tipo de diagnóstico y región año 2017" xr:uid="{00000000-0004-0000-0100-000034000000}"/>
    <hyperlink ref="B64" location="'C5_LMT_DIAG'!P44" display="Cuadro N° 5.1.4.2: Número de licencias médicas tramitadas ISAPREs, según tipo de diagnóstico y región año 2017" xr:uid="{00000000-0004-0000-0100-000035000000}"/>
    <hyperlink ref="B65" location="'C5_LMT_DIAG'!A66" display="Cuadro N° 5.2.1.1: Número de días otorgados, según seguro de salud y tipo de diagnóstico año 2017" xr:uid="{00000000-0004-0000-0100-000036000000}"/>
    <hyperlink ref="B66" location="'C5_LMT_DIAG'!A84" display="Cuadro N° 5.2.2.1: Número de días otorgados FONASA, según tipo de diagnóstico y sexo año 2017" xr:uid="{00000000-0004-0000-0100-000037000000}"/>
    <hyperlink ref="B67" location="'C5_LMT_DIAG'!P84" display="Cuadro N° 5.2.2.2: Número de días otorgados ISAPREs, según tipo de diagnóstico y sexo año 2017" xr:uid="{00000000-0004-0000-0100-000038000000}"/>
    <hyperlink ref="B68" location="'C5_LMT_DIAG'!A93" display="Cuadro N° 5.2.3.1: Número de días otorgados FONASA, según tipo de diagnóstico y tramo etario año 2017" xr:uid="{00000000-0004-0000-0100-000039000000}"/>
    <hyperlink ref="B70" location="'C5_LMT_DIAG'!A107" display="Cuadro N° 5.2.4.1: Número de días otorgados FONASA, según tipo de diagnóstico y región año 2017" xr:uid="{00000000-0004-0000-0100-00003A000000}"/>
    <hyperlink ref="B71" location="'C5_LMT_DIAG'!P107" display="Cuadro N° 5.2.4.2: Número de días otorgados ISAPREs, según tipo de diagnóstico y región año 2017" xr:uid="{00000000-0004-0000-0100-00003B000000}"/>
    <hyperlink ref="B69" location="'C5_LMT_DIAG'!P93" display="Cuadro N° 5.2.3.2: Número de días otorgados ISAPREs, según tipo de diagnóstico y tramo etario año 2017" xr:uid="{00000000-0004-0000-0100-00003C000000}"/>
    <hyperlink ref="B75" location="'C6_LMA_DIAG'!A3" display="Cuadro N° 6.1.1.1: Número de licencias médicas autorizadas, según seguro de salud y tipo de diagnóstico año 2015" xr:uid="{00000000-0004-0000-0100-00003D000000}"/>
    <hyperlink ref="B76" location="'C6_LMA_DIAG'!A21" display="Cuadro N° 6.1.2.1: Número de licencias médicas autorizadas FONASA, según tipo de diagnóstico y sexo año 2017" xr:uid="{00000000-0004-0000-0100-00003E000000}"/>
    <hyperlink ref="B77" location="'C6_LMA_DIAG'!P21" display="Cuadro N° 6.1.2.2: Número de licencias médicas autorizadas ISAPREs, según tipo de diagnóstico y sexo año 2017" xr:uid="{00000000-0004-0000-0100-00003F000000}"/>
    <hyperlink ref="B78" location="'C6_LMA_DIAG'!A30" display="Cuadro N° 6.1.3.1: Número de licencias médicas autorizadas FONASA, según tipo de diagnóstico y tramo etario año 2017" xr:uid="{00000000-0004-0000-0100-000040000000}"/>
    <hyperlink ref="B79" location="'C6_LMA_DIAG'!P30" display="Cuadro N° 6.1.3.2: Número de licencias médicas autorizadas ISAPREs, según tipo de diagnóstico y tramo etario año 2017" xr:uid="{00000000-0004-0000-0100-000041000000}"/>
    <hyperlink ref="B80" location="'C6_LMA_DIAG'!A44" display="Cuadro N° 6.1.4.1: Número de licencias médicas autorizadas FONASA, según tipo de diagnóstico y región año 2017" xr:uid="{00000000-0004-0000-0100-000042000000}"/>
    <hyperlink ref="B81" location="'C6_LMA_DIAG'!P44" display="Cuadro N° 6.1.4.2: Número de licencias médicas autorizadas ISAPREs, según tipo de diagnóstico y región año 2017" xr:uid="{00000000-0004-0000-0100-000043000000}"/>
    <hyperlink ref="B82" location="'C6_LMA_DIAG'!A66" display="Cuadro N° 6.2.1.1: Número de días pagados, según seguro de salud y tipo de diagnóstico año 2017" xr:uid="{00000000-0004-0000-0100-000044000000}"/>
    <hyperlink ref="B83" location="'C6_LMA_DIAG'!A84" display="Cuadro N° 6.2.2.1: Número de días pagados FONASA, según tipo de diagnóstico y sexo año 2017" xr:uid="{00000000-0004-0000-0100-000045000000}"/>
    <hyperlink ref="B84" location="'C6_LMA_DIAG'!P84" display="Cuadro N° 6.2.2.2: Número de días pagados ISAPREs, según tipo de diagnóstico y sexo año 2017" xr:uid="{00000000-0004-0000-0100-000046000000}"/>
    <hyperlink ref="B85" location="'C6_LMA_DIAG'!A93" display="Cuadro N° 6.2.3.1: Número de días pagados FONASA, según tipo de diagnóstico y tramo etario año 2017" xr:uid="{00000000-0004-0000-0100-000047000000}"/>
    <hyperlink ref="B87" location="'C6_LMA_DIAG'!A107" display="Cuadro N° 6.2.4.1: Número de días pagados FONASA, según tipo de diagnóstico y región año 2017" xr:uid="{00000000-0004-0000-0100-000048000000}"/>
    <hyperlink ref="B88" location="'C6_LMA_DIAG'!P107" display="Cuadro N° 6.2.4.2: Número de días pagados ISAPREs, según tipo de diagnóstico y región año 2017" xr:uid="{00000000-0004-0000-0100-000049000000}"/>
    <hyperlink ref="B86" location="'C6_LMA_DIAG'!P93" display="Cuadro N° 6.2.3.2: Número de días pagados ISAPREs, según tipo de diagnóstico y tramo etario año 2017" xr:uid="{00000000-0004-0000-0100-00004A000000}"/>
    <hyperlink ref="B92" location="'C7_LMR_DIAG'!A3" display="Cuadro N° 7.1.1.1: Número de licencias médicas rechazadas, según seguro de salud y tipo de diagnóstico año 2015" xr:uid="{00000000-0004-0000-0100-00004B000000}"/>
    <hyperlink ref="B93" location="'C7_LMR_DIAG'!A21" display="Cuadro N° 7.1.2.1: Número de licencias médicas rechazadas FONASA, según tipo de diagnóstico y sexo año 2017" xr:uid="{00000000-0004-0000-0100-00004C000000}"/>
    <hyperlink ref="B94" location="'C7_LMR_DIAG'!P21" display="Cuadro N° 7.1.2.2: Número de licencias médicas rechazadas ISAPREs, según tipo de diagnóstico y sexo año 2017" xr:uid="{00000000-0004-0000-0100-00004D000000}"/>
    <hyperlink ref="B95" location="'C7_LMR_DIAG'!A30" display="Cuadro N° 7.1.3.1: Número de licencias médicas rechazadas FONASA, según tipo de diagnóstico y tramo etario año 2017" xr:uid="{00000000-0004-0000-0100-00004E000000}"/>
    <hyperlink ref="B96" location="'C7_LMR_DIAG'!P30" display="Cuadro N° 7.1.3.2: Número de licencias médicas rechazadas ISAPREs, según tipo de diagnóstico y tramo etario año 2017" xr:uid="{00000000-0004-0000-0100-00004F000000}"/>
    <hyperlink ref="B97" location="'C7_LMR_DIAG'!A44" display="Cuadro N° 7.1.4.1: Número de licencias médicas rechazadas FONASA, según tipo de diagnóstico y región año 2017" xr:uid="{00000000-0004-0000-0100-000050000000}"/>
    <hyperlink ref="B98" location="'C7_LMR_DIAG'!P44" display="Cuadro N° 7.1.4.2: Número de licencias médicas rechazadas ISAPREs, según tipo de diagnóstico y región año 2017" xr:uid="{00000000-0004-0000-0100-000051000000}"/>
    <hyperlink ref="B99" location="'C7_LMR_DIAG'!A66" display="Cuadro N° 7.2.1.1: Número de días rechazados, según seguro de salud y tipo de diagnóstico año 2017" xr:uid="{00000000-0004-0000-0100-000052000000}"/>
    <hyperlink ref="B100" location="'C7_LMR_DIAG'!A84" display="Cuadro N° 7.2.2.1: Número de días rechazados FONASA, según tipo de diagnóstico y sexo año 2017" xr:uid="{00000000-0004-0000-0100-000053000000}"/>
    <hyperlink ref="B101" location="'C7_LMR_DIAG'!P84" display="Cuadro N° 7.2.2.2: Número de días rechazados ISAPREs, según tipo de diagnóstico y sexo año 2017" xr:uid="{00000000-0004-0000-0100-000054000000}"/>
    <hyperlink ref="B102" location="'C7_LMR_DIAG'!A93" display="Cuadro N° 7.2.3.1: Número de días rechazados FONASA, según tipo de diagnóstico y tramo etario año 2017" xr:uid="{00000000-0004-0000-0100-000055000000}"/>
    <hyperlink ref="B104" location="'C7_LMR_DIAG'!A107" display="Cuadro N° 7.2.4.1: Número de días rechazados FONASA, según tipo de diagnóstico y región año 2017" xr:uid="{00000000-0004-0000-0100-000056000000}"/>
    <hyperlink ref="B105" location="'C7_LMR_DIAG'!P107" display="Cuadro N° 7.2.4.2: Número de días rechazados ISAPREs, según tipo de diagnóstico y región año 2017" xr:uid="{00000000-0004-0000-0100-000057000000}"/>
    <hyperlink ref="B103" location="'C7_LMR_DIAG'!P93" display="Cuadro N° 7.2.3.2: Número de días rechazados ISAPREs, según tipo de diagnóstico y tramo etario año 2017" xr:uid="{00000000-0004-0000-0100-000058000000}"/>
    <hyperlink ref="B127" location="'C10_LMT_SECTOR'!A12" display="Cuadro N° 10.1.2.1: Número de licencias médicas tramitadas FONASA, según tipo de sector y sexo año 2017" xr:uid="{00000000-0004-0000-0100-000059000000}"/>
    <hyperlink ref="B128" location="'C10_LMT_SECTOR'!F12" display="Cuadro N° 10.1.2.2: Número de licencias médicas tramitadas ISAPREs, según tipo de sector y sexo año 2017" xr:uid="{00000000-0004-0000-0100-00005A000000}"/>
    <hyperlink ref="B129" location="'C10_LMT_SECTOR'!A21" display="Cuadro N° 10.1.3.1: Número de licencias médicas tramitadas FONASA, según tipo de sector y tramo etario año 2017" xr:uid="{00000000-0004-0000-0100-00005B000000}"/>
    <hyperlink ref="B130" location="'C10_LMT_SECTOR'!F21" display="Cuadro N° 10.1.3.2: Número de licencias médicas tramitadas ISAPREs, según tipo de sector y tramo etario año 2017" xr:uid="{00000000-0004-0000-0100-00005C000000}"/>
    <hyperlink ref="B131" location="'C10_LMT_SECTOR'!A35" display="Cuadro N° 10.1.4.1: Número de licencias médicas tramitadas FONASA, según tipo de sector y región año 2017" xr:uid="{00000000-0004-0000-0100-00005D000000}"/>
    <hyperlink ref="B132" location="'C10_LMT_SECTOR'!F35" display="Cuadro N° 10.1.4.2: Número de licencias médicas tramitadas ISAPREs, según tipo de sector y región año 2017" xr:uid="{00000000-0004-0000-0100-00005E000000}"/>
    <hyperlink ref="B133" location="'C10_LMT_SECTOR'!A53" display="Cuadro N° 10.2.1.1: Número de días otorgados, según seguro de salud y tipo de sector año 2017" xr:uid="{00000000-0004-0000-0100-00005F000000}"/>
    <hyperlink ref="B134" location="'C10_LMT_SECTOR'!A62" display="Cuadro N° 10.2.2.1: Número de días otorgados FONASA, según tipo de sector y sexo año 2017" xr:uid="{00000000-0004-0000-0100-000060000000}"/>
    <hyperlink ref="B135" location="'C10_LMT_SECTOR'!F62" display="Cuadro N° 10.2.2.2: Número de días otorgados ISAPREs, según tipo de sector y sexo año 2017" xr:uid="{00000000-0004-0000-0100-000061000000}"/>
    <hyperlink ref="B136" location="'C10_LMT_SECTOR'!A71" display="Cuadro N° 10.2.3.1: Número de días otorgados FONASA, según tipo de sector y tramo etario año 2017" xr:uid="{00000000-0004-0000-0100-000062000000}"/>
    <hyperlink ref="B138" location="'C10_LMT_SECTOR'!A85" display="Cuadro N° 10.2.4.1: Número de días otorgados FONASA, según tipo de sector y región año 2017" xr:uid="{00000000-0004-0000-0100-000063000000}"/>
    <hyperlink ref="B139" location="'C10_LMT_SECTOR'!F85" display="Cuadro N° 10.2.4.2: Número de días otorgados ISAPREs, según tipo de sector y región año 2017" xr:uid="{00000000-0004-0000-0100-000064000000}"/>
    <hyperlink ref="B137" location="'C10_LMT_SECTOR'!F71" display="Cuadro N° 10.2.3.2: Número de días otorgados ISAPREs, según tipo de sector y tramo etario año 2017" xr:uid="{00000000-0004-0000-0100-000065000000}"/>
    <hyperlink ref="B143" location="'C11_LMA_SECTOR'!A3" display="Cuadro N° 11.1.1.1: Número de licencias médicas autorizadas, según seguro de salud y tipo de sector año 2017" xr:uid="{00000000-0004-0000-0100-000066000000}"/>
    <hyperlink ref="B144" location="'C11_LMA_SECTOR'!A12" display="Cuadro N° 11.1.2.1: Número de licencias médicas autorizadas FONASA, según tipo de sector y sexo año 2017" xr:uid="{00000000-0004-0000-0100-000067000000}"/>
    <hyperlink ref="B146" location="'C11_LMA_SECTOR'!A21" display="Cuadro N° 11.1.3.1: Número de licencias médicas autorizadas FONASA, según tipo de sector y tramo etario año 2017" xr:uid="{00000000-0004-0000-0100-000068000000}"/>
    <hyperlink ref="B147" location="'C11_LMA_SECTOR'!G21" display="Cuadro N° 11.1.3.2: Número de licencias médicas autorizadas ISAPREs, según tipo de sector y tramo etario año 2017" xr:uid="{00000000-0004-0000-0100-000069000000}"/>
    <hyperlink ref="B148" location="'C11_LMA_SECTOR'!A35" display="Cuadro N° 11.1.4.1: Número de licencias médicas autorizadas FONASA, según tipo de sector y región año 2017" xr:uid="{00000000-0004-0000-0100-00006A000000}"/>
    <hyperlink ref="B149" location="'C11_LMA_SECTOR'!G35" display="Cuadro N° 11.1.4.2: Número de licencias médicas autorizadas ISAPREs, según tipo de sector y región año 2017" xr:uid="{00000000-0004-0000-0100-00006B000000}"/>
    <hyperlink ref="B150" location="'C11_LMA_SECTOR'!A53" display="Cuadro N° 11.2.1.1: Número de días pagados, según seguro de salud y tipo de sector año 2017" xr:uid="{00000000-0004-0000-0100-00006C000000}"/>
    <hyperlink ref="B151" location="'C11_LMA_SECTOR'!A62" display="Cuadro N° 11.2.2.1: Número de días pagados FONASA, según tipo de sector y sexo año 2017" xr:uid="{00000000-0004-0000-0100-00006D000000}"/>
    <hyperlink ref="B152" location="'C11_LMA_SECTOR'!G62" display="Cuadro N° 11.2.2.2: Número de días pagados ISAPREs, según tipo de sector y sexo año 2017" xr:uid="{00000000-0004-0000-0100-00006E000000}"/>
    <hyperlink ref="B153" location="'C11_LMA_SECTOR'!A71" display="Cuadro N° 11.2.3.1: Número de días pagados FONASA, según tipo de sector y tramo etario año 2017" xr:uid="{00000000-0004-0000-0100-00006F000000}"/>
    <hyperlink ref="B155" location="'C11_LMA_SECTOR'!A85" display="Cuadro N° 11.2.4.1: Número de días pagados FONASA, según tipo de sector y región año 2017" xr:uid="{00000000-0004-0000-0100-000070000000}"/>
    <hyperlink ref="B156" location="'C11_LMA_SECTOR'!G85" display="Cuadro N° 11.2.4.2: Número de días pagados ISAPREs, según tipo de sector y región año 2017" xr:uid="{00000000-0004-0000-0100-000071000000}"/>
    <hyperlink ref="B154" location="'C11_LMA_SECTOR'!G71" display="Cuadro N° 11.2.3.2: Número de días pagados ISAPREs, según tipo de sector y tramo etario año 2017" xr:uid="{00000000-0004-0000-0100-000072000000}"/>
    <hyperlink ref="B160" location="'C12_LMR_SECTOR'!A3" display="Cuadro N° 12.1.1.1: Número de licencias médicas rechazadas, según seguro de salud y tipo de sector año 2017" xr:uid="{00000000-0004-0000-0100-000073000000}"/>
    <hyperlink ref="B161" location="'C12_LMR_SECTOR'!A12" display="Cuadro N° 12.1.2.1: Número de licencias médicas rechazadas FONASA, según tipo de sector y sexo año 2017" xr:uid="{00000000-0004-0000-0100-000074000000}"/>
    <hyperlink ref="B162" location="'C12_LMR_SECTOR'!G12" display="Cuadro N° 12.1.2.2: Número de licencias médicas rechazadas ISAPREs, según tipo de sector y sexo año 2017" xr:uid="{00000000-0004-0000-0100-000075000000}"/>
    <hyperlink ref="B163" location="'C12_LMR_SECTOR'!A21" display="Cuadro N° 12.1.3.1: Número de licencias médicas rechazadas FONASA, según tipo de sector y tramo etario año 2017" xr:uid="{00000000-0004-0000-0100-000076000000}"/>
    <hyperlink ref="B164" location="'C12_LMR_SECTOR'!G21" display="Cuadro N° 12.1.3.2: Número de licencias médicas rechazadas ISAPREs, según tipo de sector y tramo etario año 2017" xr:uid="{00000000-0004-0000-0100-000077000000}"/>
    <hyperlink ref="B165" location="'C12_LMR_SECTOR'!A35" display="Cuadro N° 12.1.4.1: Número de licencias médicas rechazadas FONASA, según tipo de sector y región año 2017" xr:uid="{00000000-0004-0000-0100-000078000000}"/>
    <hyperlink ref="B166" location="'C12_LMR_SECTOR'!G35" display="Cuadro N° 12.1.4.2: Número de licencias médicas rechazadas ISAPREs, según tipo de sector y región año 2017" xr:uid="{00000000-0004-0000-0100-000079000000}"/>
    <hyperlink ref="B167" location="'C12_LMR_SECTOR'!A53" display="Cuadro N° 12.2.1.1: Número de días rechazados, según seguro de salud y tipo de sector año 2017" xr:uid="{00000000-0004-0000-0100-00007A000000}"/>
    <hyperlink ref="B168" location="'C12_LMR_SECTOR'!A62" display="Cuadro N° 12.2.2.1: Número de días rechazados FONASA, según tipo de sector y sexo año 2017" xr:uid="{00000000-0004-0000-0100-00007B000000}"/>
    <hyperlink ref="B169" location="'C12_LMR_SECTOR'!G62" display="Cuadro N° 12.2.2.2: Número de días rechazados ISAPREs, según tipo de sector y sexo año 2017" xr:uid="{00000000-0004-0000-0100-00007C000000}"/>
    <hyperlink ref="B170" location="'C12_LMR_SECTOR'!A71" display="Cuadro N° 12.2.3.1: Número de días rechazados FONASA, según tipo de sector y tramo etario año 2017" xr:uid="{00000000-0004-0000-0100-00007D000000}"/>
    <hyperlink ref="B172" location="'C12_LMR_SECTOR'!A85" display="Cuadro N° 12.2.4.1: Número de días rechazados FONASA, según tipo de sector y región año 2017" xr:uid="{00000000-0004-0000-0100-00007E000000}"/>
    <hyperlink ref="B173" location="'C12_LMR_SECTOR'!G85" display="Cuadro N° 12.2.4.2: Número de días rechazados ISAPREs, según tipo de sector y región año 2017" xr:uid="{00000000-0004-0000-0100-00007F000000}"/>
    <hyperlink ref="B171" location="'C12_LMR_SECTOR'!G71" display="Cuadro N° 12.2.3.2: Número de días rechazados ISAPREs, según tipo de sector y tramo etario año 2017" xr:uid="{00000000-0004-0000-0100-000080000000}"/>
    <hyperlink ref="B126" location="'C10_LMT_SECTOR'!A3" display="Cuadro N° 10.1.1.1: Número de licencias médicas tramitadas, según seguro de salud y tipo de sector año 2017" xr:uid="{00000000-0004-0000-0100-000081000000}"/>
    <hyperlink ref="B14" location="'C1_COT'!A108" display="Cuadro N° 1.9: Número de cotizantes, según seguro de salud, sexo y tramo de remuneraciones año 2017" xr:uid="{00000000-0004-0000-0100-000082000000}"/>
    <hyperlink ref="B15" location="'C1_COT'!A124" display="Cuadro N° 1.10: Estadísticas promedio de cotizantes de cotizantes, según seguro de salud y sexo año 2017" xr:uid="{00000000-0004-0000-0100-000083000000}"/>
    <hyperlink ref="B112" location="'C8_GTO_SIL'!A41" display="Cuadro N° 8.4: Gasto en SIL por licencias médicas, según seguro de salud, tipo de sector y tipo de diagnóstico (miles $ de diciembre 2017) año 2017" xr:uid="{00000000-0004-0000-0100-000084000000}"/>
    <hyperlink ref="B113" location="'C8_GTO_SIL'!H41" display="Cuadro N° 8.4.2: Gasto en SIL por licencias médicas ISAPREs, según  tipo de sector y tipo de diagnóstico (miles $ de diciembre 2017) año 2017" xr:uid="{00000000-0004-0000-0100-000085000000}"/>
    <hyperlink ref="B145" location="'C11_LMA_SECTOR'!G12" display="Cuadro N° 11.1.2.2: Número de licencias médicas autorizadas ISAPREs, según tipo de sector y sexo año 2017" xr:uid="{00000000-0004-0000-0100-000086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26"/>
  <sheetViews>
    <sheetView showGridLines="0" workbookViewId="0"/>
  </sheetViews>
  <sheetFormatPr baseColWidth="10" defaultRowHeight="14.4" x14ac:dyDescent="0.3"/>
  <cols>
    <col min="2" max="2" width="18" customWidth="1"/>
    <col min="3" max="3" width="40.6640625" bestFit="1" customWidth="1"/>
  </cols>
  <sheetData>
    <row r="2" spans="2:3" ht="18.75" customHeight="1" x14ac:dyDescent="0.3">
      <c r="B2" s="110" t="s">
        <v>50</v>
      </c>
      <c r="C2" s="111"/>
    </row>
    <row r="3" spans="2:3" ht="15" customHeight="1" x14ac:dyDescent="0.3">
      <c r="B3" s="112"/>
      <c r="C3" s="113"/>
    </row>
    <row r="4" spans="2:3" ht="18" x14ac:dyDescent="0.3">
      <c r="B4" s="12" t="s">
        <v>51</v>
      </c>
      <c r="C4" s="12" t="s">
        <v>52</v>
      </c>
    </row>
    <row r="5" spans="2:3" x14ac:dyDescent="0.3">
      <c r="B5" s="13"/>
      <c r="C5" s="13"/>
    </row>
    <row r="6" spans="2:3" x14ac:dyDescent="0.3">
      <c r="B6" s="18" t="s">
        <v>107</v>
      </c>
      <c r="C6" s="11" t="s">
        <v>185</v>
      </c>
    </row>
    <row r="7" spans="2:3" x14ac:dyDescent="0.3">
      <c r="B7" s="18" t="s">
        <v>108</v>
      </c>
      <c r="C7" s="11" t="s">
        <v>186</v>
      </c>
    </row>
    <row r="8" spans="2:3" x14ac:dyDescent="0.3">
      <c r="B8" s="18" t="s">
        <v>109</v>
      </c>
      <c r="C8" s="11" t="s">
        <v>187</v>
      </c>
    </row>
    <row r="9" spans="2:3" x14ac:dyDescent="0.3">
      <c r="B9" s="18" t="s">
        <v>110</v>
      </c>
      <c r="C9" s="11" t="s">
        <v>188</v>
      </c>
    </row>
    <row r="10" spans="2:3" x14ac:dyDescent="0.3">
      <c r="B10" s="18" t="s">
        <v>111</v>
      </c>
      <c r="C10" s="11" t="s">
        <v>189</v>
      </c>
    </row>
    <row r="11" spans="2:3" x14ac:dyDescent="0.3">
      <c r="B11" s="18" t="s">
        <v>112</v>
      </c>
      <c r="C11" s="11" t="s">
        <v>190</v>
      </c>
    </row>
    <row r="12" spans="2:3" x14ac:dyDescent="0.3">
      <c r="B12" s="18" t="s">
        <v>113</v>
      </c>
      <c r="C12" s="11" t="s">
        <v>191</v>
      </c>
    </row>
    <row r="13" spans="2:3" x14ac:dyDescent="0.3">
      <c r="B13" s="18" t="s">
        <v>114</v>
      </c>
      <c r="C13" s="11" t="s">
        <v>192</v>
      </c>
    </row>
    <row r="14" spans="2:3" x14ac:dyDescent="0.3">
      <c r="B14" s="18" t="s">
        <v>115</v>
      </c>
      <c r="C14" s="11" t="s">
        <v>193</v>
      </c>
    </row>
    <row r="15" spans="2:3" x14ac:dyDescent="0.3">
      <c r="B15" s="18" t="s">
        <v>510</v>
      </c>
      <c r="C15" s="11" t="s">
        <v>511</v>
      </c>
    </row>
    <row r="16" spans="2:3" x14ac:dyDescent="0.3">
      <c r="B16" s="18" t="s">
        <v>512</v>
      </c>
      <c r="C16" s="11" t="s">
        <v>513</v>
      </c>
    </row>
    <row r="17" spans="2:3" x14ac:dyDescent="0.3">
      <c r="B17" s="18" t="s">
        <v>515</v>
      </c>
      <c r="C17" s="11" t="s">
        <v>514</v>
      </c>
    </row>
    <row r="18" spans="2:3" x14ac:dyDescent="0.3">
      <c r="B18" s="18" t="s">
        <v>40</v>
      </c>
      <c r="C18" s="11" t="s">
        <v>184</v>
      </c>
    </row>
    <row r="19" spans="2:3" x14ac:dyDescent="0.3">
      <c r="B19" s="18" t="s">
        <v>45</v>
      </c>
      <c r="C19" s="11" t="s">
        <v>194</v>
      </c>
    </row>
    <row r="20" spans="2:3" x14ac:dyDescent="0.3">
      <c r="B20" s="18" t="s">
        <v>126</v>
      </c>
      <c r="C20" s="11" t="s">
        <v>127</v>
      </c>
    </row>
    <row r="21" spans="2:3" x14ac:dyDescent="0.3">
      <c r="B21" s="18" t="s">
        <v>118</v>
      </c>
      <c r="C21" s="11" t="s">
        <v>119</v>
      </c>
    </row>
    <row r="22" spans="2:3" x14ac:dyDescent="0.3">
      <c r="B22" s="18" t="s">
        <v>42</v>
      </c>
      <c r="C22" s="11" t="s">
        <v>47</v>
      </c>
    </row>
    <row r="23" spans="2:3" x14ac:dyDescent="0.3">
      <c r="B23" s="18" t="s">
        <v>43</v>
      </c>
      <c r="C23" s="11" t="s">
        <v>48</v>
      </c>
    </row>
    <row r="24" spans="2:3" x14ac:dyDescent="0.3">
      <c r="B24" s="18" t="s">
        <v>41</v>
      </c>
      <c r="C24" s="11" t="s">
        <v>46</v>
      </c>
    </row>
    <row r="25" spans="2:3" x14ac:dyDescent="0.3">
      <c r="B25" s="18" t="s">
        <v>44</v>
      </c>
      <c r="C25" s="11" t="s">
        <v>49</v>
      </c>
    </row>
    <row r="26" spans="2:3" x14ac:dyDescent="0.3">
      <c r="B26" s="19"/>
      <c r="C26" s="10"/>
    </row>
  </sheetData>
  <mergeCells count="1">
    <mergeCell ref="B2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35"/>
  <sheetViews>
    <sheetView showGridLines="0" zoomScaleNormal="100" workbookViewId="0"/>
  </sheetViews>
  <sheetFormatPr baseColWidth="10" defaultColWidth="33.109375" defaultRowHeight="15" customHeight="1" x14ac:dyDescent="0.3"/>
  <cols>
    <col min="1" max="1" width="30.6640625" style="3" customWidth="1"/>
    <col min="2" max="3" width="15.6640625" style="6" customWidth="1"/>
    <col min="4" max="4" width="16" style="3" bestFit="1" customWidth="1"/>
    <col min="5" max="5" width="15.6640625" customWidth="1"/>
    <col min="6" max="6" width="27.5546875" style="3" bestFit="1" customWidth="1"/>
    <col min="7" max="7" width="29.33203125" style="3" customWidth="1"/>
    <col min="8" max="9" width="15.88671875" style="3" customWidth="1"/>
    <col min="10" max="10" width="16" style="3" bestFit="1" customWidth="1"/>
    <col min="11" max="11" width="13.33203125" style="3" customWidth="1"/>
    <col min="12" max="12" width="15.6640625" style="3" customWidth="1"/>
    <col min="13" max="13" width="27.5546875" style="3" bestFit="1" customWidth="1"/>
    <col min="14" max="17" width="15.6640625" style="3" customWidth="1"/>
    <col min="18" max="18" width="27.5546875" style="3" customWidth="1"/>
    <col min="19" max="38" width="15.6640625" style="3" customWidth="1"/>
    <col min="39" max="16384" width="33.109375" style="3"/>
  </cols>
  <sheetData>
    <row r="1" spans="1:11" ht="15" customHeight="1" x14ac:dyDescent="0.35">
      <c r="A1" s="1" t="s">
        <v>117</v>
      </c>
    </row>
    <row r="2" spans="1:11" ht="15" customHeight="1" x14ac:dyDescent="0.35">
      <c r="A2" s="2"/>
      <c r="E2" s="16"/>
      <c r="F2" s="16"/>
      <c r="G2" s="16"/>
      <c r="H2" s="16"/>
      <c r="I2" s="16"/>
      <c r="J2" s="16"/>
      <c r="K2" s="16"/>
    </row>
    <row r="3" spans="1:11" ht="15" customHeight="1" x14ac:dyDescent="0.35">
      <c r="A3" s="2" t="s">
        <v>80</v>
      </c>
      <c r="E3" s="16"/>
      <c r="F3" s="16"/>
      <c r="G3" s="16"/>
      <c r="H3" s="16"/>
      <c r="I3" s="16"/>
      <c r="J3" s="16"/>
      <c r="K3" s="16"/>
    </row>
    <row r="4" spans="1:11" ht="15" customHeight="1" x14ac:dyDescent="0.35">
      <c r="A4" s="2" t="s">
        <v>350</v>
      </c>
      <c r="E4" s="16"/>
      <c r="F4" s="16"/>
      <c r="G4" s="16"/>
      <c r="H4" s="16"/>
      <c r="I4" s="16"/>
      <c r="J4" s="16"/>
      <c r="K4" s="16"/>
    </row>
    <row r="5" spans="1:11" ht="15" customHeight="1" x14ac:dyDescent="0.35">
      <c r="A5" s="8" t="s">
        <v>65</v>
      </c>
      <c r="B5" s="8" t="s">
        <v>0</v>
      </c>
      <c r="C5" s="8" t="s">
        <v>1</v>
      </c>
      <c r="D5" s="8" t="s">
        <v>59</v>
      </c>
      <c r="E5" s="16"/>
      <c r="F5" s="16"/>
      <c r="G5" s="16"/>
      <c r="H5" s="16"/>
      <c r="I5" s="16"/>
      <c r="J5" s="16"/>
      <c r="K5" s="16"/>
    </row>
    <row r="6" spans="1:11" ht="15" customHeight="1" x14ac:dyDescent="0.35">
      <c r="A6" s="25">
        <v>2013</v>
      </c>
      <c r="B6" s="4">
        <v>4110278.5</v>
      </c>
      <c r="C6" s="4">
        <v>1484403.5833333333</v>
      </c>
      <c r="D6" s="4">
        <v>5594682.083333333</v>
      </c>
      <c r="E6" s="16"/>
      <c r="F6" s="16"/>
      <c r="G6" s="16"/>
      <c r="H6" s="16"/>
      <c r="I6" s="16"/>
      <c r="J6" s="16"/>
      <c r="K6" s="16"/>
    </row>
    <row r="7" spans="1:11" ht="15" customHeight="1" x14ac:dyDescent="0.35">
      <c r="A7" s="25">
        <v>2014</v>
      </c>
      <c r="B7" s="5">
        <v>4182342.1666666665</v>
      </c>
      <c r="C7" s="5">
        <v>1554914</v>
      </c>
      <c r="D7" s="5">
        <v>5737256.166666666</v>
      </c>
      <c r="E7" s="16"/>
      <c r="F7" s="16"/>
      <c r="G7" s="16"/>
      <c r="H7" s="16"/>
      <c r="I7" s="16"/>
      <c r="J7" s="16"/>
      <c r="K7" s="16"/>
    </row>
    <row r="8" spans="1:11" ht="15" customHeight="1" x14ac:dyDescent="0.35">
      <c r="A8" s="25">
        <v>2015</v>
      </c>
      <c r="B8" s="5">
        <v>4303114.916666667</v>
      </c>
      <c r="C8" s="5">
        <v>1621432.4166666667</v>
      </c>
      <c r="D8" s="5">
        <v>5924547.333333334</v>
      </c>
      <c r="E8" s="16"/>
      <c r="F8" s="16"/>
      <c r="G8" s="16"/>
      <c r="H8" s="16"/>
      <c r="I8" s="16"/>
      <c r="J8" s="16"/>
      <c r="K8" s="16"/>
    </row>
    <row r="9" spans="1:11" ht="15" customHeight="1" x14ac:dyDescent="0.35">
      <c r="A9" s="25">
        <v>2016</v>
      </c>
      <c r="B9" s="5">
        <v>4467115.166666667</v>
      </c>
      <c r="C9" s="5">
        <v>1668243.0833333333</v>
      </c>
      <c r="D9" s="5">
        <v>6135358.25</v>
      </c>
      <c r="E9" s="16"/>
      <c r="F9" s="16"/>
      <c r="G9" s="16"/>
      <c r="H9" s="16"/>
      <c r="I9" s="16"/>
      <c r="J9" s="16"/>
      <c r="K9" s="16"/>
    </row>
    <row r="10" spans="1:11" ht="15" customHeight="1" x14ac:dyDescent="0.35">
      <c r="A10" s="27">
        <v>2017</v>
      </c>
      <c r="B10" s="15">
        <v>4608887.083333334</v>
      </c>
      <c r="C10" s="15">
        <v>1695602.1620541674</v>
      </c>
      <c r="D10" s="15">
        <v>6304489.2453875011</v>
      </c>
      <c r="E10" s="16"/>
      <c r="F10" s="16"/>
      <c r="G10" s="16"/>
      <c r="H10" s="16"/>
      <c r="I10" s="16"/>
      <c r="J10" s="16"/>
      <c r="K10" s="16"/>
    </row>
    <row r="11" spans="1:11" ht="15" customHeight="1" x14ac:dyDescent="0.35">
      <c r="B11" s="64"/>
      <c r="C11" s="64"/>
      <c r="D11" s="63"/>
      <c r="E11" s="16"/>
      <c r="F11" s="16"/>
      <c r="G11" s="16"/>
      <c r="H11" s="16"/>
      <c r="I11" s="16"/>
      <c r="J11" s="16"/>
      <c r="K11" s="16"/>
    </row>
    <row r="12" spans="1:11" ht="15" customHeight="1" x14ac:dyDescent="0.35">
      <c r="E12" s="16"/>
      <c r="F12" s="16"/>
      <c r="G12" s="16"/>
      <c r="H12" s="16"/>
      <c r="I12" s="16"/>
      <c r="J12" s="16"/>
      <c r="K12" s="16"/>
    </row>
    <row r="13" spans="1:11" ht="15" customHeight="1" x14ac:dyDescent="0.35">
      <c r="A13" s="2" t="s">
        <v>81</v>
      </c>
      <c r="E13" s="16"/>
      <c r="F13" s="16"/>
      <c r="G13" s="16"/>
      <c r="H13" s="16"/>
      <c r="I13" s="16"/>
      <c r="J13" s="16"/>
      <c r="K13" s="16"/>
    </row>
    <row r="14" spans="1:11" ht="15" customHeight="1" x14ac:dyDescent="0.35">
      <c r="A14" s="2" t="s">
        <v>351</v>
      </c>
      <c r="E14" s="16"/>
      <c r="F14" s="16"/>
      <c r="G14" s="16"/>
      <c r="H14" s="16"/>
      <c r="I14" s="16"/>
      <c r="J14" s="16"/>
      <c r="K14" s="16"/>
    </row>
    <row r="15" spans="1:11" ht="15" customHeight="1" x14ac:dyDescent="0.35">
      <c r="A15" s="8" t="s">
        <v>66</v>
      </c>
      <c r="B15" s="8" t="s">
        <v>0</v>
      </c>
      <c r="C15" s="8" t="s">
        <v>1</v>
      </c>
      <c r="D15" s="8" t="s">
        <v>59</v>
      </c>
      <c r="E15" s="16"/>
      <c r="F15" s="16"/>
      <c r="G15" s="16"/>
      <c r="H15" s="16"/>
      <c r="I15" s="16"/>
      <c r="J15" s="16"/>
      <c r="K15" s="16"/>
    </row>
    <row r="16" spans="1:11" ht="15" customHeight="1" x14ac:dyDescent="0.35">
      <c r="A16" s="22" t="s">
        <v>5</v>
      </c>
      <c r="B16" s="4">
        <v>2544467.6666666665</v>
      </c>
      <c r="C16" s="4">
        <v>1091617.148126082</v>
      </c>
      <c r="D16" s="23">
        <v>3636084.8147927485</v>
      </c>
      <c r="E16" s="16"/>
      <c r="F16" s="16"/>
      <c r="G16" s="16"/>
      <c r="H16" s="16"/>
      <c r="I16" s="16"/>
      <c r="J16" s="16"/>
      <c r="K16" s="16"/>
    </row>
    <row r="17" spans="1:11" ht="15" customHeight="1" x14ac:dyDescent="0.35">
      <c r="A17" s="25" t="s">
        <v>6</v>
      </c>
      <c r="B17" s="5">
        <v>2064388.5833333333</v>
      </c>
      <c r="C17" s="5">
        <v>603985.01392808545</v>
      </c>
      <c r="D17" s="14">
        <v>2668373.5972614186</v>
      </c>
      <c r="E17" s="16"/>
      <c r="F17" s="16"/>
      <c r="G17" s="16"/>
      <c r="H17" s="16"/>
      <c r="I17" s="16"/>
      <c r="J17" s="16"/>
      <c r="K17" s="16"/>
    </row>
    <row r="18" spans="1:11" ht="15" customHeight="1" x14ac:dyDescent="0.35">
      <c r="A18" s="25" t="s">
        <v>478</v>
      </c>
      <c r="B18" s="5">
        <v>30.75</v>
      </c>
      <c r="C18" s="5">
        <v>0</v>
      </c>
      <c r="D18" s="14">
        <v>30.75</v>
      </c>
      <c r="E18" s="16"/>
      <c r="F18" s="16"/>
      <c r="G18" s="16"/>
      <c r="H18" s="16"/>
      <c r="I18" s="16"/>
      <c r="J18" s="16"/>
      <c r="K18" s="16"/>
    </row>
    <row r="19" spans="1:11" ht="15" customHeight="1" x14ac:dyDescent="0.35">
      <c r="A19" s="29" t="s">
        <v>60</v>
      </c>
      <c r="B19" s="57">
        <v>4608887</v>
      </c>
      <c r="C19" s="57">
        <v>1695602.1620541676</v>
      </c>
      <c r="D19" s="77">
        <v>6304489.1620541671</v>
      </c>
      <c r="E19" s="16"/>
      <c r="F19" s="16"/>
      <c r="G19" s="16"/>
      <c r="H19" s="16"/>
      <c r="I19" s="16"/>
      <c r="J19" s="16"/>
      <c r="K19" s="16"/>
    </row>
    <row r="20" spans="1:11" ht="15" customHeight="1" x14ac:dyDescent="0.35">
      <c r="A20" s="28"/>
      <c r="B20" s="73"/>
      <c r="C20" s="74"/>
      <c r="D20" s="75"/>
      <c r="E20" s="16"/>
      <c r="F20" s="16"/>
      <c r="G20" s="16"/>
      <c r="H20" s="16"/>
      <c r="I20" s="16"/>
      <c r="J20" s="16"/>
      <c r="K20" s="16"/>
    </row>
    <row r="21" spans="1:11" ht="15" customHeight="1" x14ac:dyDescent="0.35">
      <c r="A21" s="28"/>
      <c r="B21" s="63"/>
      <c r="C21" s="63"/>
      <c r="D21" s="63"/>
      <c r="E21" s="16"/>
      <c r="F21" s="16"/>
      <c r="G21" s="16"/>
      <c r="H21" s="16"/>
      <c r="I21" s="16"/>
      <c r="J21" s="16"/>
      <c r="K21" s="16"/>
    </row>
    <row r="22" spans="1:11" ht="15" customHeight="1" x14ac:dyDescent="0.35">
      <c r="A22" s="2" t="s">
        <v>82</v>
      </c>
      <c r="D22" s="63"/>
      <c r="E22" s="16"/>
      <c r="F22" s="16"/>
      <c r="G22" s="16"/>
      <c r="H22" s="16"/>
      <c r="I22" s="16"/>
      <c r="J22" s="16"/>
      <c r="K22" s="16"/>
    </row>
    <row r="23" spans="1:11" ht="15" customHeight="1" x14ac:dyDescent="0.35">
      <c r="A23" s="9" t="s">
        <v>352</v>
      </c>
      <c r="E23" s="16"/>
      <c r="F23" s="16"/>
      <c r="G23" s="16"/>
      <c r="H23" s="16"/>
      <c r="I23" s="16"/>
      <c r="J23" s="16"/>
      <c r="K23" s="16"/>
    </row>
    <row r="24" spans="1:11" ht="15" customHeight="1" x14ac:dyDescent="0.35">
      <c r="A24" s="8" t="s">
        <v>67</v>
      </c>
      <c r="B24" s="8" t="s">
        <v>0</v>
      </c>
      <c r="C24" s="8" t="s">
        <v>1</v>
      </c>
      <c r="D24" s="8" t="s">
        <v>59</v>
      </c>
      <c r="E24" s="16"/>
      <c r="F24" s="16"/>
      <c r="G24" s="16"/>
      <c r="H24" s="16"/>
      <c r="I24" s="16"/>
      <c r="J24" s="16"/>
      <c r="K24" s="16"/>
    </row>
    <row r="25" spans="1:11" ht="15" customHeight="1" x14ac:dyDescent="0.35">
      <c r="A25" s="22" t="s">
        <v>53</v>
      </c>
      <c r="B25" s="4">
        <v>67232.833333333343</v>
      </c>
      <c r="C25" s="4">
        <v>4685.1606050656592</v>
      </c>
      <c r="D25" s="4">
        <v>71917.993938398999</v>
      </c>
      <c r="E25" s="16"/>
      <c r="F25" s="16"/>
      <c r="G25" s="16"/>
      <c r="H25" s="16"/>
      <c r="I25" s="16"/>
      <c r="J25" s="16"/>
      <c r="K25" s="16"/>
    </row>
    <row r="26" spans="1:11" ht="15" customHeight="1" x14ac:dyDescent="0.35">
      <c r="A26" s="25" t="s">
        <v>2</v>
      </c>
      <c r="B26" s="5">
        <v>388035.75</v>
      </c>
      <c r="C26" s="5">
        <v>71368.966901995533</v>
      </c>
      <c r="D26" s="5">
        <v>459404.71690199553</v>
      </c>
      <c r="E26" s="16"/>
      <c r="F26" s="16"/>
      <c r="G26" s="16"/>
      <c r="H26" s="16"/>
      <c r="I26" s="16"/>
      <c r="J26" s="16"/>
      <c r="K26" s="16"/>
    </row>
    <row r="27" spans="1:11" ht="15" customHeight="1" x14ac:dyDescent="0.35">
      <c r="A27" s="25" t="s">
        <v>54</v>
      </c>
      <c r="B27" s="5">
        <v>1085245.6666666667</v>
      </c>
      <c r="C27" s="5">
        <v>532794.16013266367</v>
      </c>
      <c r="D27" s="5">
        <v>1618039.8267993303</v>
      </c>
      <c r="E27" s="16"/>
      <c r="F27" s="16"/>
      <c r="G27" s="16"/>
      <c r="H27" s="16"/>
      <c r="I27" s="16"/>
      <c r="J27" s="16"/>
      <c r="K27" s="16"/>
    </row>
    <row r="28" spans="1:11" ht="15" customHeight="1" x14ac:dyDescent="0.35">
      <c r="A28" s="25" t="s">
        <v>55</v>
      </c>
      <c r="B28" s="5">
        <v>948391.41666666663</v>
      </c>
      <c r="C28" s="5">
        <v>488371.15973850153</v>
      </c>
      <c r="D28" s="5">
        <v>1436762.576405168</v>
      </c>
      <c r="E28" s="16"/>
      <c r="F28" s="16"/>
      <c r="G28" s="16"/>
      <c r="H28" s="16"/>
      <c r="I28" s="16"/>
      <c r="J28" s="16"/>
      <c r="K28" s="16"/>
    </row>
    <row r="29" spans="1:11" ht="15" customHeight="1" x14ac:dyDescent="0.35">
      <c r="A29" s="25" t="s">
        <v>56</v>
      </c>
      <c r="B29" s="5">
        <v>947118.75</v>
      </c>
      <c r="C29" s="5">
        <v>340276.16470036807</v>
      </c>
      <c r="D29" s="5">
        <v>1287394.914700368</v>
      </c>
      <c r="E29" s="16"/>
      <c r="F29" s="16"/>
      <c r="G29" s="16"/>
      <c r="H29" s="16"/>
      <c r="I29" s="16"/>
      <c r="J29" s="16"/>
      <c r="K29" s="16"/>
    </row>
    <row r="30" spans="1:11" ht="15" customHeight="1" x14ac:dyDescent="0.35">
      <c r="A30" s="25" t="s">
        <v>57</v>
      </c>
      <c r="B30" s="5">
        <v>699911.83333333337</v>
      </c>
      <c r="C30" s="5">
        <v>198506.03942394364</v>
      </c>
      <c r="D30" s="5">
        <v>898417.87275727699</v>
      </c>
      <c r="E30" s="16"/>
      <c r="F30" s="16"/>
      <c r="G30" s="16"/>
      <c r="H30" s="16"/>
      <c r="I30" s="16"/>
      <c r="J30" s="16"/>
      <c r="K30" s="16"/>
    </row>
    <row r="31" spans="1:11" ht="15" customHeight="1" x14ac:dyDescent="0.35">
      <c r="A31" s="25" t="s">
        <v>3</v>
      </c>
      <c r="B31" s="5">
        <v>472950.5</v>
      </c>
      <c r="C31" s="5">
        <v>59599.603264939251</v>
      </c>
      <c r="D31" s="5">
        <v>532550.10326493927</v>
      </c>
      <c r="E31" s="16"/>
      <c r="F31" s="16"/>
      <c r="G31" s="16"/>
      <c r="H31" s="16"/>
      <c r="I31" s="16"/>
      <c r="J31" s="16"/>
      <c r="K31" s="16"/>
    </row>
    <row r="32" spans="1:11" ht="15" customHeight="1" x14ac:dyDescent="0.35">
      <c r="A32" s="25" t="s">
        <v>478</v>
      </c>
      <c r="B32" s="5">
        <v>0</v>
      </c>
      <c r="C32" s="5">
        <v>0.90728669036107989</v>
      </c>
      <c r="D32" s="5">
        <v>0.90728669036107989</v>
      </c>
      <c r="E32" s="16"/>
      <c r="F32" s="16"/>
      <c r="G32" s="16"/>
      <c r="H32" s="16"/>
      <c r="I32" s="16"/>
      <c r="J32" s="16"/>
      <c r="K32" s="16"/>
    </row>
    <row r="33" spans="1:11" ht="15" customHeight="1" x14ac:dyDescent="0.35">
      <c r="A33" s="29" t="s">
        <v>60</v>
      </c>
      <c r="B33" s="57">
        <v>4608886.75</v>
      </c>
      <c r="C33" s="57">
        <v>1695602.1620541678</v>
      </c>
      <c r="D33" s="57">
        <v>6304488.9120541681</v>
      </c>
      <c r="E33" s="16"/>
      <c r="F33" s="16"/>
      <c r="G33" s="16"/>
      <c r="H33" s="16"/>
      <c r="I33" s="16"/>
      <c r="J33" s="16"/>
      <c r="K33" s="16"/>
    </row>
    <row r="34" spans="1:11" ht="15" customHeight="1" x14ac:dyDescent="0.35">
      <c r="B34" s="73"/>
      <c r="C34" s="74"/>
      <c r="D34" s="75"/>
      <c r="E34" s="16"/>
      <c r="F34" s="16"/>
      <c r="G34" s="16"/>
      <c r="H34" s="16"/>
      <c r="I34" s="16"/>
      <c r="J34" s="16"/>
      <c r="K34" s="16"/>
    </row>
    <row r="35" spans="1:11" ht="15" customHeight="1" x14ac:dyDescent="0.35">
      <c r="E35" s="16"/>
      <c r="F35" s="16"/>
      <c r="G35" s="16"/>
      <c r="H35" s="16"/>
      <c r="I35" s="16"/>
      <c r="J35" s="16"/>
      <c r="K35" s="16"/>
    </row>
    <row r="36" spans="1:11" ht="15" customHeight="1" x14ac:dyDescent="0.35">
      <c r="A36" s="2" t="s">
        <v>83</v>
      </c>
      <c r="E36" s="16"/>
      <c r="F36" s="16"/>
      <c r="G36" s="16"/>
      <c r="H36" s="16"/>
      <c r="I36" s="16"/>
      <c r="J36" s="16"/>
      <c r="K36" s="16"/>
    </row>
    <row r="37" spans="1:11" ht="15" customHeight="1" x14ac:dyDescent="0.35">
      <c r="A37" s="9" t="s">
        <v>353</v>
      </c>
      <c r="E37" s="16"/>
      <c r="F37" s="16"/>
      <c r="G37" s="16"/>
      <c r="H37" s="16"/>
      <c r="I37" s="16"/>
      <c r="J37" s="16"/>
      <c r="K37" s="16"/>
    </row>
    <row r="38" spans="1:11" ht="15" customHeight="1" x14ac:dyDescent="0.35">
      <c r="A38" s="8" t="s">
        <v>68</v>
      </c>
      <c r="B38" s="8" t="s">
        <v>0</v>
      </c>
      <c r="C38" s="8" t="s">
        <v>1</v>
      </c>
      <c r="D38" s="8" t="s">
        <v>59</v>
      </c>
      <c r="E38" s="16"/>
      <c r="F38" s="16"/>
      <c r="G38" s="16"/>
      <c r="H38" s="16"/>
      <c r="I38" s="16"/>
      <c r="J38" s="16"/>
      <c r="K38" s="16"/>
    </row>
    <row r="39" spans="1:11" ht="15" customHeight="1" x14ac:dyDescent="0.35">
      <c r="A39" s="22" t="s">
        <v>32</v>
      </c>
      <c r="B39" s="4">
        <v>4438245.333333333</v>
      </c>
      <c r="C39" s="4">
        <v>1628853.4541678126</v>
      </c>
      <c r="D39" s="4">
        <v>6067098.7875011452</v>
      </c>
      <c r="E39" s="16"/>
      <c r="F39" s="16"/>
      <c r="G39" s="16"/>
      <c r="H39" s="16"/>
      <c r="I39" s="16"/>
      <c r="J39" s="16"/>
      <c r="K39" s="16"/>
    </row>
    <row r="40" spans="1:11" ht="15" customHeight="1" x14ac:dyDescent="0.35">
      <c r="A40" s="25" t="s">
        <v>4</v>
      </c>
      <c r="B40" s="5">
        <v>125133.16666666667</v>
      </c>
      <c r="C40" s="5">
        <v>66748.707886354969</v>
      </c>
      <c r="D40" s="5">
        <v>191881.87455302163</v>
      </c>
      <c r="E40" s="16"/>
      <c r="F40" s="16"/>
      <c r="G40" s="16"/>
      <c r="H40" s="16"/>
      <c r="I40" s="16"/>
      <c r="J40" s="16"/>
      <c r="K40" s="16"/>
    </row>
    <row r="41" spans="1:11" ht="15" customHeight="1" x14ac:dyDescent="0.35">
      <c r="A41" s="25" t="s">
        <v>478</v>
      </c>
      <c r="B41" s="5">
        <v>45508.583333333336</v>
      </c>
      <c r="C41" s="5">
        <v>0</v>
      </c>
      <c r="D41" s="5">
        <v>45508.583333333336</v>
      </c>
      <c r="E41" s="16"/>
      <c r="F41" s="16"/>
      <c r="G41" s="16"/>
      <c r="H41" s="16"/>
      <c r="I41" s="16"/>
      <c r="J41" s="16"/>
      <c r="K41" s="16"/>
    </row>
    <row r="42" spans="1:11" ht="15" customHeight="1" x14ac:dyDescent="0.35">
      <c r="A42" s="29" t="s">
        <v>60</v>
      </c>
      <c r="B42" s="57">
        <v>4608887.083333333</v>
      </c>
      <c r="C42" s="57">
        <v>1695602.1620541676</v>
      </c>
      <c r="D42" s="57">
        <v>6304489.2453875002</v>
      </c>
      <c r="E42" s="16"/>
      <c r="F42" s="16"/>
      <c r="G42" s="16"/>
      <c r="H42" s="16"/>
      <c r="I42" s="16"/>
      <c r="J42" s="16"/>
      <c r="K42" s="16"/>
    </row>
    <row r="43" spans="1:11" ht="15" customHeight="1" x14ac:dyDescent="0.35">
      <c r="B43" s="73"/>
      <c r="C43" s="74"/>
      <c r="D43" s="75"/>
      <c r="E43" s="16"/>
      <c r="F43" s="16"/>
      <c r="G43" s="16"/>
      <c r="H43" s="16"/>
      <c r="I43" s="16"/>
      <c r="J43" s="16"/>
      <c r="K43" s="16"/>
    </row>
    <row r="44" spans="1:11" ht="15" customHeight="1" x14ac:dyDescent="0.35">
      <c r="E44" s="16"/>
      <c r="F44" s="16"/>
      <c r="G44" s="16"/>
      <c r="H44" s="16"/>
      <c r="I44" s="16"/>
      <c r="J44" s="16"/>
      <c r="K44" s="16"/>
    </row>
    <row r="45" spans="1:11" ht="15" customHeight="1" x14ac:dyDescent="0.35">
      <c r="A45" s="2" t="s">
        <v>84</v>
      </c>
      <c r="E45" s="16"/>
      <c r="F45" s="16"/>
      <c r="G45" s="16"/>
      <c r="H45" s="16"/>
      <c r="I45" s="16"/>
      <c r="J45" s="16"/>
      <c r="K45" s="16"/>
    </row>
    <row r="46" spans="1:11" ht="15" customHeight="1" x14ac:dyDescent="0.35">
      <c r="A46" s="9" t="s">
        <v>354</v>
      </c>
      <c r="E46" s="16"/>
      <c r="F46" s="16"/>
      <c r="G46" s="16"/>
      <c r="H46" s="16"/>
      <c r="I46" s="16"/>
      <c r="J46" s="16"/>
      <c r="K46" s="16"/>
    </row>
    <row r="47" spans="1:11" ht="15" customHeight="1" x14ac:dyDescent="0.35">
      <c r="A47" s="8" t="s">
        <v>209</v>
      </c>
      <c r="B47" s="8" t="s">
        <v>0</v>
      </c>
      <c r="C47" s="8" t="s">
        <v>1</v>
      </c>
      <c r="D47" s="8" t="s">
        <v>59</v>
      </c>
      <c r="E47" s="16"/>
      <c r="F47" s="16"/>
      <c r="G47" s="16"/>
      <c r="H47" s="16"/>
      <c r="I47" s="16"/>
      <c r="J47" s="16"/>
      <c r="K47" s="16"/>
    </row>
    <row r="48" spans="1:11" ht="15" customHeight="1" x14ac:dyDescent="0.35">
      <c r="A48" s="30" t="s">
        <v>14</v>
      </c>
      <c r="B48" s="4">
        <v>42953.5</v>
      </c>
      <c r="C48" s="4">
        <v>13823.865324796077</v>
      </c>
      <c r="D48" s="4">
        <v>56777.365324796076</v>
      </c>
      <c r="E48" s="16"/>
      <c r="F48" s="16"/>
      <c r="G48" s="16"/>
      <c r="H48" s="16"/>
      <c r="I48" s="16"/>
      <c r="J48" s="16"/>
      <c r="K48" s="16"/>
    </row>
    <row r="49" spans="1:11" ht="15" customHeight="1" x14ac:dyDescent="0.35">
      <c r="A49" s="31" t="s">
        <v>15</v>
      </c>
      <c r="B49" s="5">
        <v>34407.749999999993</v>
      </c>
      <c r="C49" s="5">
        <v>28561.234699018754</v>
      </c>
      <c r="D49" s="5">
        <v>62968.984699018751</v>
      </c>
      <c r="E49" s="16"/>
      <c r="F49" s="16"/>
      <c r="G49" s="16"/>
      <c r="H49" s="16"/>
      <c r="I49" s="16"/>
      <c r="J49" s="16"/>
      <c r="K49" s="16"/>
    </row>
    <row r="50" spans="1:11" ht="15" customHeight="1" x14ac:dyDescent="0.35">
      <c r="A50" s="31" t="s">
        <v>16</v>
      </c>
      <c r="B50" s="5">
        <v>142402.25000000003</v>
      </c>
      <c r="C50" s="5">
        <v>83441.938720991457</v>
      </c>
      <c r="D50" s="5">
        <v>225844.18872099149</v>
      </c>
      <c r="E50" s="16"/>
      <c r="F50" s="16"/>
      <c r="G50" s="16"/>
      <c r="H50" s="16"/>
      <c r="I50" s="16"/>
      <c r="J50" s="16"/>
      <c r="K50" s="16"/>
    </row>
    <row r="51" spans="1:11" ht="15" customHeight="1" x14ac:dyDescent="0.35">
      <c r="A51" s="31" t="s">
        <v>17</v>
      </c>
      <c r="B51" s="5">
        <v>79291.25</v>
      </c>
      <c r="C51" s="5">
        <v>22679.360015698967</v>
      </c>
      <c r="D51" s="5">
        <v>101970.61001569897</v>
      </c>
      <c r="E51" s="16"/>
      <c r="F51" s="16"/>
      <c r="G51" s="16"/>
      <c r="H51" s="16"/>
      <c r="I51" s="16"/>
      <c r="J51" s="16"/>
      <c r="K51" s="16"/>
    </row>
    <row r="52" spans="1:11" ht="15" customHeight="1" x14ac:dyDescent="0.35">
      <c r="A52" s="31" t="s">
        <v>18</v>
      </c>
      <c r="B52" s="5">
        <v>198067.91666666666</v>
      </c>
      <c r="C52" s="5">
        <v>35508.619534351848</v>
      </c>
      <c r="D52" s="5">
        <v>233576.53620101849</v>
      </c>
      <c r="E52" s="16"/>
      <c r="F52" s="16"/>
      <c r="G52" s="16"/>
      <c r="H52" s="16"/>
      <c r="I52" s="16"/>
      <c r="J52" s="16"/>
      <c r="K52" s="16"/>
    </row>
    <row r="53" spans="1:11" ht="15" customHeight="1" x14ac:dyDescent="0.35">
      <c r="A53" s="31" t="s">
        <v>19</v>
      </c>
      <c r="B53" s="5">
        <v>256517.66666666666</v>
      </c>
      <c r="C53" s="5">
        <v>118131.15261574554</v>
      </c>
      <c r="D53" s="5">
        <v>374648.81928241218</v>
      </c>
      <c r="E53" s="16"/>
      <c r="F53" s="16"/>
      <c r="G53" s="16"/>
      <c r="H53" s="16"/>
      <c r="I53" s="16"/>
      <c r="J53" s="16"/>
      <c r="K53" s="16"/>
    </row>
    <row r="54" spans="1:11" ht="15" customHeight="1" x14ac:dyDescent="0.35">
      <c r="A54" s="31" t="s">
        <v>20</v>
      </c>
      <c r="B54" s="5">
        <v>1767509.5833333333</v>
      </c>
      <c r="C54" s="5">
        <v>1020162.1161106839</v>
      </c>
      <c r="D54" s="5">
        <v>2787671.6994440174</v>
      </c>
      <c r="E54" s="16"/>
      <c r="F54" s="16"/>
      <c r="G54" s="16"/>
      <c r="H54" s="16"/>
      <c r="I54" s="16"/>
      <c r="J54" s="16"/>
      <c r="K54" s="16"/>
    </row>
    <row r="55" spans="1:11" ht="15" customHeight="1" x14ac:dyDescent="0.35">
      <c r="A55" s="31" t="s">
        <v>21</v>
      </c>
      <c r="B55" s="5">
        <v>462224.25000000006</v>
      </c>
      <c r="C55" s="5">
        <v>57987.174366812724</v>
      </c>
      <c r="D55" s="5">
        <v>520211.4243668128</v>
      </c>
      <c r="E55" s="16"/>
      <c r="F55" s="16"/>
      <c r="G55" s="16"/>
      <c r="H55" s="16"/>
      <c r="I55" s="16"/>
      <c r="J55" s="16"/>
      <c r="K55" s="16"/>
    </row>
    <row r="56" spans="1:11" ht="15" customHeight="1" x14ac:dyDescent="0.35">
      <c r="A56" s="31" t="s">
        <v>22</v>
      </c>
      <c r="B56" s="5">
        <v>271273.91666666663</v>
      </c>
      <c r="C56" s="5">
        <v>47986.465284426376</v>
      </c>
      <c r="D56" s="5">
        <v>319260.38195109298</v>
      </c>
      <c r="E56" s="16"/>
      <c r="F56" s="16"/>
      <c r="G56" s="16"/>
      <c r="H56" s="16"/>
      <c r="I56" s="16"/>
      <c r="J56" s="16"/>
      <c r="K56" s="16"/>
    </row>
    <row r="57" spans="1:11" ht="15" customHeight="1" x14ac:dyDescent="0.35">
      <c r="A57" s="31" t="s">
        <v>23</v>
      </c>
      <c r="B57" s="5">
        <v>524388.41666666674</v>
      </c>
      <c r="C57" s="5">
        <v>118882.1812362483</v>
      </c>
      <c r="D57" s="5">
        <v>643270.59790291509</v>
      </c>
      <c r="E57" s="16"/>
      <c r="F57" s="16"/>
      <c r="G57" s="16"/>
      <c r="H57" s="16"/>
      <c r="I57" s="16"/>
      <c r="J57" s="16"/>
      <c r="K57" s="16"/>
    </row>
    <row r="58" spans="1:11" ht="15" customHeight="1" x14ac:dyDescent="0.35">
      <c r="A58" s="31" t="s">
        <v>24</v>
      </c>
      <c r="B58" s="5">
        <v>219911.66666666666</v>
      </c>
      <c r="C58" s="5">
        <v>45237.128315035749</v>
      </c>
      <c r="D58" s="5">
        <v>265148.79498170241</v>
      </c>
      <c r="E58" s="16"/>
      <c r="F58" s="16"/>
      <c r="G58" s="16"/>
      <c r="H58" s="16"/>
      <c r="I58" s="16"/>
      <c r="J58" s="16"/>
      <c r="K58" s="16"/>
    </row>
    <row r="59" spans="1:11" ht="15" customHeight="1" x14ac:dyDescent="0.35">
      <c r="A59" s="31" t="s">
        <v>25</v>
      </c>
      <c r="B59" s="5">
        <v>74887.749999999985</v>
      </c>
      <c r="C59" s="5">
        <v>19422.886330460991</v>
      </c>
      <c r="D59" s="5">
        <v>94310.636330460984</v>
      </c>
      <c r="E59" s="16"/>
      <c r="F59" s="16"/>
      <c r="G59" s="16"/>
      <c r="H59" s="16"/>
      <c r="I59" s="16"/>
      <c r="J59" s="16"/>
      <c r="K59" s="16"/>
    </row>
    <row r="60" spans="1:11" ht="15" customHeight="1" x14ac:dyDescent="0.35">
      <c r="A60" s="31" t="s">
        <v>26</v>
      </c>
      <c r="B60" s="5">
        <v>256037.75</v>
      </c>
      <c r="C60" s="5">
        <v>60710.930911362695</v>
      </c>
      <c r="D60" s="5">
        <v>316748.6809113627</v>
      </c>
      <c r="E60" s="16"/>
      <c r="F60" s="16"/>
      <c r="G60" s="16"/>
      <c r="H60" s="16"/>
      <c r="I60" s="16"/>
      <c r="J60" s="16"/>
      <c r="K60" s="16"/>
    </row>
    <row r="61" spans="1:11" ht="15" customHeight="1" x14ac:dyDescent="0.35">
      <c r="A61" s="31" t="s">
        <v>27</v>
      </c>
      <c r="B61" s="5">
        <v>27215</v>
      </c>
      <c r="C61" s="5">
        <v>5613.3368167705803</v>
      </c>
      <c r="D61" s="5">
        <v>32828.336816770578</v>
      </c>
      <c r="E61" s="16"/>
      <c r="F61" s="16"/>
      <c r="G61" s="16"/>
      <c r="H61" s="16"/>
      <c r="I61" s="16"/>
      <c r="J61" s="16"/>
      <c r="K61" s="16"/>
    </row>
    <row r="62" spans="1:11" ht="15" customHeight="1" x14ac:dyDescent="0.35">
      <c r="A62" s="31" t="s">
        <v>28</v>
      </c>
      <c r="B62" s="5">
        <v>49234.5</v>
      </c>
      <c r="C62" s="5">
        <v>17426.228998478309</v>
      </c>
      <c r="D62" s="5">
        <v>66660.728998478313</v>
      </c>
      <c r="E62" s="16"/>
      <c r="F62" s="16"/>
      <c r="G62" s="16"/>
      <c r="H62" s="16"/>
      <c r="I62" s="16"/>
      <c r="J62" s="16"/>
      <c r="K62" s="16"/>
    </row>
    <row r="63" spans="1:11" ht="15" customHeight="1" x14ac:dyDescent="0.35">
      <c r="A63" s="31" t="s">
        <v>478</v>
      </c>
      <c r="B63" s="5">
        <v>202563.91666666666</v>
      </c>
      <c r="C63" s="5">
        <v>27.542773285186968</v>
      </c>
      <c r="D63" s="5">
        <v>202591.45943995184</v>
      </c>
      <c r="E63" s="16"/>
      <c r="F63" s="16"/>
      <c r="G63" s="16"/>
      <c r="H63" s="16"/>
      <c r="I63" s="16"/>
      <c r="J63" s="16"/>
      <c r="K63" s="16"/>
    </row>
    <row r="64" spans="1:11" ht="15" customHeight="1" x14ac:dyDescent="0.35">
      <c r="A64" s="29" t="s">
        <v>60</v>
      </c>
      <c r="B64" s="57">
        <v>4608887.083333333</v>
      </c>
      <c r="C64" s="57">
        <v>1695602.1620541671</v>
      </c>
      <c r="D64" s="57">
        <v>6304489.245387502</v>
      </c>
      <c r="E64" s="16"/>
      <c r="F64" s="16"/>
      <c r="G64" s="16"/>
      <c r="H64" s="16"/>
      <c r="I64" s="16"/>
      <c r="J64" s="16"/>
      <c r="K64" s="16"/>
    </row>
    <row r="65" spans="1:11" ht="15" customHeight="1" x14ac:dyDescent="0.35">
      <c r="B65" s="73"/>
      <c r="C65" s="74"/>
      <c r="D65" s="75"/>
      <c r="E65" s="16"/>
      <c r="F65" s="16"/>
      <c r="G65" s="16"/>
      <c r="H65" s="16"/>
      <c r="I65" s="16"/>
      <c r="J65" s="16"/>
      <c r="K65" s="16"/>
    </row>
    <row r="66" spans="1:11" ht="15" customHeight="1" x14ac:dyDescent="0.35">
      <c r="E66" s="16"/>
      <c r="F66" s="16"/>
      <c r="G66" s="16"/>
      <c r="H66" s="16"/>
      <c r="I66" s="16"/>
      <c r="J66" s="16"/>
      <c r="K66" s="16"/>
    </row>
    <row r="67" spans="1:11" ht="15" customHeight="1" x14ac:dyDescent="0.35">
      <c r="A67" s="2" t="s">
        <v>85</v>
      </c>
      <c r="E67" s="16"/>
      <c r="F67" s="16"/>
      <c r="G67" s="16"/>
      <c r="H67" s="16"/>
      <c r="I67" s="16"/>
      <c r="J67" s="16"/>
      <c r="K67" s="16"/>
    </row>
    <row r="68" spans="1:11" ht="15" customHeight="1" x14ac:dyDescent="0.35">
      <c r="A68" s="9" t="s">
        <v>355</v>
      </c>
      <c r="E68" s="16"/>
      <c r="F68" s="16"/>
      <c r="G68" s="16"/>
      <c r="H68" s="16"/>
      <c r="I68" s="16"/>
      <c r="J68" s="16"/>
      <c r="K68" s="16"/>
    </row>
    <row r="69" spans="1:11" ht="15" customHeight="1" x14ac:dyDescent="0.35">
      <c r="A69" s="32" t="s">
        <v>69</v>
      </c>
      <c r="B69" s="24" t="s">
        <v>0</v>
      </c>
      <c r="C69" s="24" t="s">
        <v>1</v>
      </c>
      <c r="D69" s="24" t="s">
        <v>59</v>
      </c>
      <c r="E69" s="16"/>
      <c r="F69" s="16"/>
      <c r="G69" s="16"/>
      <c r="H69" s="16"/>
      <c r="I69" s="16"/>
      <c r="J69" s="16"/>
      <c r="K69" s="16"/>
    </row>
    <row r="70" spans="1:11" ht="15" customHeight="1" x14ac:dyDescent="0.35">
      <c r="A70" s="31" t="s">
        <v>58</v>
      </c>
      <c r="B70" s="4">
        <v>699922</v>
      </c>
      <c r="C70" s="4">
        <v>21436.922368118841</v>
      </c>
      <c r="D70" s="4">
        <v>721358.92236811889</v>
      </c>
      <c r="E70" s="16"/>
      <c r="F70" s="16"/>
      <c r="G70" s="16"/>
      <c r="H70" s="16"/>
      <c r="I70" s="16"/>
      <c r="J70" s="16"/>
      <c r="K70" s="16"/>
    </row>
    <row r="71" spans="1:11" ht="15" customHeight="1" x14ac:dyDescent="0.35">
      <c r="A71" s="31" t="s">
        <v>70</v>
      </c>
      <c r="B71" s="5">
        <v>1114545.75</v>
      </c>
      <c r="C71" s="5">
        <v>34129.23643575087</v>
      </c>
      <c r="D71" s="5">
        <v>1148674.986435751</v>
      </c>
      <c r="E71" s="16"/>
      <c r="F71" s="16"/>
      <c r="G71" s="16"/>
      <c r="H71" s="16"/>
      <c r="I71" s="16"/>
      <c r="J71" s="16"/>
      <c r="K71" s="16"/>
    </row>
    <row r="72" spans="1:11" ht="15" customHeight="1" x14ac:dyDescent="0.35">
      <c r="A72" s="31" t="s">
        <v>71</v>
      </c>
      <c r="B72" s="5">
        <v>1095319.4999999998</v>
      </c>
      <c r="C72" s="5">
        <v>74313.536815939791</v>
      </c>
      <c r="D72" s="5">
        <v>1169633.0368159395</v>
      </c>
      <c r="E72" s="16"/>
      <c r="F72" s="16"/>
      <c r="G72" s="16"/>
      <c r="H72" s="16"/>
      <c r="I72" s="16"/>
      <c r="J72" s="16"/>
      <c r="K72" s="16"/>
    </row>
    <row r="73" spans="1:11" ht="15" customHeight="1" x14ac:dyDescent="0.35">
      <c r="A73" s="31" t="s">
        <v>72</v>
      </c>
      <c r="B73" s="5">
        <v>938499.16666666663</v>
      </c>
      <c r="C73" s="5">
        <v>193337.40916734529</v>
      </c>
      <c r="D73" s="5">
        <v>1131836.5758340119</v>
      </c>
      <c r="E73" s="16"/>
      <c r="F73" s="16"/>
      <c r="G73" s="16"/>
      <c r="H73" s="16"/>
      <c r="I73" s="16"/>
      <c r="J73" s="16"/>
      <c r="K73" s="16"/>
    </row>
    <row r="74" spans="1:11" ht="15" customHeight="1" x14ac:dyDescent="0.35">
      <c r="A74" s="31" t="s">
        <v>73</v>
      </c>
      <c r="B74" s="5">
        <v>419904.16666666669</v>
      </c>
      <c r="C74" s="5">
        <v>213907.66192969843</v>
      </c>
      <c r="D74" s="5">
        <v>633811.82859636517</v>
      </c>
      <c r="E74" s="16"/>
      <c r="F74" s="16"/>
      <c r="G74" s="16"/>
      <c r="H74" s="16"/>
      <c r="I74" s="16"/>
      <c r="J74" s="16"/>
      <c r="K74" s="16"/>
    </row>
    <row r="75" spans="1:11" ht="15" customHeight="1" x14ac:dyDescent="0.35">
      <c r="A75" s="31" t="s">
        <v>74</v>
      </c>
      <c r="B75" s="5">
        <v>180158.33333333334</v>
      </c>
      <c r="C75" s="5">
        <v>188231.48783646719</v>
      </c>
      <c r="D75" s="5">
        <v>368389.82116980053</v>
      </c>
      <c r="E75" s="16"/>
      <c r="F75" s="16"/>
      <c r="G75" s="16"/>
      <c r="H75" s="16"/>
      <c r="I75" s="16"/>
      <c r="J75" s="16"/>
      <c r="K75" s="16"/>
    </row>
    <row r="76" spans="1:11" ht="15" customHeight="1" x14ac:dyDescent="0.35">
      <c r="A76" s="31" t="s">
        <v>75</v>
      </c>
      <c r="B76" s="5">
        <v>77684.416666666672</v>
      </c>
      <c r="C76" s="5">
        <v>146431.65759665679</v>
      </c>
      <c r="D76" s="5">
        <v>224116.07426332345</v>
      </c>
      <c r="E76" s="16"/>
      <c r="F76" s="16"/>
      <c r="G76" s="16"/>
      <c r="H76" s="16"/>
      <c r="I76" s="16"/>
      <c r="J76" s="16"/>
      <c r="K76" s="16"/>
    </row>
    <row r="77" spans="1:11" ht="15" customHeight="1" x14ac:dyDescent="0.35">
      <c r="A77" s="31" t="s">
        <v>76</v>
      </c>
      <c r="B77" s="5">
        <v>45460.25</v>
      </c>
      <c r="C77" s="5">
        <v>147246.99770769806</v>
      </c>
      <c r="D77" s="5">
        <v>192707.24770769806</v>
      </c>
      <c r="E77" s="16"/>
      <c r="F77" s="16"/>
      <c r="G77" s="16"/>
      <c r="H77" s="16"/>
      <c r="I77" s="16"/>
      <c r="J77" s="16"/>
      <c r="K77" s="16"/>
    </row>
    <row r="78" spans="1:11" ht="15" customHeight="1" x14ac:dyDescent="0.35">
      <c r="A78" s="31" t="s">
        <v>77</v>
      </c>
      <c r="B78" s="5">
        <v>37393.5</v>
      </c>
      <c r="C78" s="5">
        <v>504200.6833049485</v>
      </c>
      <c r="D78" s="5">
        <v>541594.1833049485</v>
      </c>
      <c r="E78" s="16"/>
      <c r="F78" s="16"/>
      <c r="G78" s="16"/>
      <c r="H78" s="16"/>
      <c r="I78" s="16"/>
      <c r="J78" s="16"/>
      <c r="K78" s="16"/>
    </row>
    <row r="79" spans="1:11" ht="15" customHeight="1" x14ac:dyDescent="0.35">
      <c r="A79" s="31" t="s">
        <v>478</v>
      </c>
      <c r="B79" s="5">
        <v>0</v>
      </c>
      <c r="C79" s="5">
        <v>172366.56889154387</v>
      </c>
      <c r="D79" s="5">
        <v>172366.56889154387</v>
      </c>
      <c r="E79" s="16"/>
      <c r="F79" s="16"/>
      <c r="G79" s="16"/>
      <c r="H79" s="16"/>
      <c r="I79" s="16"/>
      <c r="J79" s="16"/>
      <c r="K79" s="16"/>
    </row>
    <row r="80" spans="1:11" ht="15" customHeight="1" x14ac:dyDescent="0.35">
      <c r="A80" s="29" t="s">
        <v>60</v>
      </c>
      <c r="B80" s="57">
        <v>4608887.083333333</v>
      </c>
      <c r="C80" s="57">
        <v>1695602.1620541676</v>
      </c>
      <c r="D80" s="57">
        <v>6304489.2453875011</v>
      </c>
      <c r="E80" s="16"/>
      <c r="F80" s="16"/>
      <c r="G80" s="16"/>
      <c r="H80" s="16"/>
      <c r="I80" s="16"/>
      <c r="J80" s="16"/>
      <c r="K80" s="16"/>
    </row>
    <row r="81" spans="1:11" ht="15" customHeight="1" x14ac:dyDescent="0.35">
      <c r="B81" s="73"/>
      <c r="C81" s="74"/>
      <c r="D81" s="75"/>
      <c r="E81" s="16"/>
      <c r="F81" s="16"/>
      <c r="G81" s="16"/>
      <c r="H81" s="16"/>
      <c r="I81" s="16"/>
      <c r="J81" s="16"/>
      <c r="K81" s="16"/>
    </row>
    <row r="82" spans="1:11" ht="15" customHeight="1" x14ac:dyDescent="0.35">
      <c r="E82" s="16"/>
      <c r="F82" s="16"/>
      <c r="G82" s="16"/>
      <c r="H82" s="16"/>
      <c r="I82" s="16"/>
      <c r="J82" s="16"/>
      <c r="K82" s="16"/>
    </row>
    <row r="83" spans="1:11" ht="15" customHeight="1" x14ac:dyDescent="0.35">
      <c r="A83" s="2" t="s">
        <v>86</v>
      </c>
      <c r="E83" s="16"/>
      <c r="F83" s="16"/>
      <c r="G83" s="16"/>
      <c r="H83" s="16"/>
      <c r="I83" s="16"/>
      <c r="J83" s="16"/>
      <c r="K83" s="16"/>
    </row>
    <row r="84" spans="1:11" ht="15" customHeight="1" x14ac:dyDescent="0.35">
      <c r="A84" s="9" t="s">
        <v>356</v>
      </c>
      <c r="E84" s="16"/>
      <c r="F84" s="16"/>
      <c r="G84" s="16"/>
      <c r="H84" s="16"/>
      <c r="I84" s="16"/>
      <c r="J84" s="16"/>
      <c r="K84" s="16"/>
    </row>
    <row r="85" spans="1:11" ht="15" customHeight="1" x14ac:dyDescent="0.35">
      <c r="A85" s="32" t="s">
        <v>210</v>
      </c>
      <c r="B85" s="24" t="s">
        <v>0</v>
      </c>
      <c r="C85" s="24" t="s">
        <v>1</v>
      </c>
      <c r="D85" s="24" t="s">
        <v>59</v>
      </c>
      <c r="E85" s="16"/>
      <c r="F85" s="16"/>
      <c r="G85" s="16"/>
      <c r="H85" s="16"/>
      <c r="I85" s="16"/>
      <c r="J85" s="16"/>
      <c r="K85" s="16"/>
    </row>
    <row r="86" spans="1:11" ht="15" customHeight="1" x14ac:dyDescent="0.35">
      <c r="A86" s="31" t="s">
        <v>33</v>
      </c>
      <c r="B86" s="4">
        <v>361152.16666666669</v>
      </c>
      <c r="C86" s="4">
        <v>30151.883204802343</v>
      </c>
      <c r="D86" s="4">
        <v>391304.04987146903</v>
      </c>
      <c r="E86" s="16"/>
      <c r="F86" s="16"/>
      <c r="G86" s="16"/>
      <c r="H86" s="16"/>
      <c r="I86" s="16"/>
      <c r="J86" s="16"/>
      <c r="K86" s="16"/>
    </row>
    <row r="87" spans="1:11" ht="15" customHeight="1" x14ac:dyDescent="0.35">
      <c r="A87" s="31" t="s">
        <v>34</v>
      </c>
      <c r="B87" s="5">
        <v>20591.333333333332</v>
      </c>
      <c r="C87" s="5">
        <v>34441.461068441276</v>
      </c>
      <c r="D87" s="5">
        <v>55032.794401774605</v>
      </c>
      <c r="E87" s="16"/>
      <c r="F87" s="16"/>
      <c r="G87" s="16"/>
      <c r="H87" s="16"/>
      <c r="I87" s="16"/>
      <c r="J87" s="16"/>
      <c r="K87" s="16"/>
    </row>
    <row r="88" spans="1:11" ht="15" customHeight="1" x14ac:dyDescent="0.35">
      <c r="A88" s="31" t="s">
        <v>35</v>
      </c>
      <c r="B88" s="5">
        <v>334420.83333333337</v>
      </c>
      <c r="C88" s="5">
        <v>170006.16585235606</v>
      </c>
      <c r="D88" s="5">
        <v>504426.99918568943</v>
      </c>
      <c r="E88" s="16"/>
      <c r="F88" s="16"/>
      <c r="G88" s="16"/>
      <c r="H88" s="16"/>
      <c r="I88" s="16"/>
      <c r="J88" s="16"/>
      <c r="K88" s="16"/>
    </row>
    <row r="89" spans="1:11" ht="15" customHeight="1" x14ac:dyDescent="0.35">
      <c r="A89" s="31" t="s">
        <v>36</v>
      </c>
      <c r="B89" s="5">
        <v>13257.666666666666</v>
      </c>
      <c r="C89" s="5">
        <v>17306.556768759896</v>
      </c>
      <c r="D89" s="5">
        <v>30564.22343542656</v>
      </c>
      <c r="E89" s="16"/>
      <c r="F89" s="16"/>
      <c r="G89" s="16"/>
      <c r="H89" s="16"/>
      <c r="I89" s="16"/>
      <c r="J89" s="16"/>
      <c r="K89" s="16"/>
    </row>
    <row r="90" spans="1:11" ht="15" customHeight="1" x14ac:dyDescent="0.35">
      <c r="A90" s="31" t="s">
        <v>37</v>
      </c>
      <c r="B90" s="5">
        <v>471113.83333333331</v>
      </c>
      <c r="C90" s="5">
        <v>126561.61947391272</v>
      </c>
      <c r="D90" s="5">
        <v>597675.45280724601</v>
      </c>
      <c r="E90" s="16"/>
      <c r="F90" s="16"/>
      <c r="G90" s="16"/>
      <c r="H90" s="16"/>
      <c r="I90" s="16"/>
      <c r="J90" s="16"/>
      <c r="K90" s="16"/>
    </row>
    <row r="91" spans="1:11" ht="15" customHeight="1" x14ac:dyDescent="0.35">
      <c r="A91" s="31" t="s">
        <v>38</v>
      </c>
      <c r="B91" s="5">
        <v>762908.33333333337</v>
      </c>
      <c r="C91" s="5">
        <v>232307.34281123808</v>
      </c>
      <c r="D91" s="5">
        <v>995215.67614457151</v>
      </c>
      <c r="E91" s="16"/>
      <c r="F91" s="16"/>
      <c r="G91" s="16"/>
      <c r="H91" s="16"/>
      <c r="I91" s="16"/>
      <c r="J91" s="16"/>
      <c r="K91" s="16"/>
    </row>
    <row r="92" spans="1:11" ht="15" customHeight="1" x14ac:dyDescent="0.35">
      <c r="A92" s="31" t="s">
        <v>39</v>
      </c>
      <c r="B92" s="5">
        <v>260411.66666666672</v>
      </c>
      <c r="C92" s="5">
        <v>112200.02956101001</v>
      </c>
      <c r="D92" s="5">
        <v>372611.6962276767</v>
      </c>
      <c r="E92" s="16"/>
      <c r="F92" s="16"/>
      <c r="G92" s="16"/>
      <c r="H92" s="16"/>
      <c r="I92" s="16"/>
      <c r="J92" s="16"/>
      <c r="K92" s="16"/>
    </row>
    <row r="93" spans="1:11" ht="15" customHeight="1" x14ac:dyDescent="0.35">
      <c r="A93" s="31" t="s">
        <v>63</v>
      </c>
      <c r="B93" s="5">
        <v>1971865</v>
      </c>
      <c r="C93" s="5">
        <v>952878.40005299728</v>
      </c>
      <c r="D93" s="5">
        <v>2924743.4000529973</v>
      </c>
      <c r="E93" s="16"/>
      <c r="F93" s="16"/>
      <c r="G93" s="16"/>
      <c r="H93" s="16"/>
      <c r="I93" s="16"/>
      <c r="J93" s="16"/>
      <c r="K93" s="16"/>
    </row>
    <row r="94" spans="1:11" ht="15" customHeight="1" x14ac:dyDescent="0.35">
      <c r="A94" s="31" t="s">
        <v>478</v>
      </c>
      <c r="B94" s="5">
        <v>413166.25</v>
      </c>
      <c r="C94" s="5">
        <v>19748.703260649723</v>
      </c>
      <c r="D94" s="5">
        <v>432914.95326064969</v>
      </c>
      <c r="E94" s="16"/>
      <c r="F94" s="16"/>
      <c r="G94" s="16"/>
      <c r="H94" s="16"/>
      <c r="I94" s="16"/>
      <c r="J94" s="16"/>
      <c r="K94" s="16"/>
    </row>
    <row r="95" spans="1:11" ht="15" customHeight="1" x14ac:dyDescent="0.35">
      <c r="A95" s="29" t="s">
        <v>60</v>
      </c>
      <c r="B95" s="57">
        <v>4608887.083333333</v>
      </c>
      <c r="C95" s="57">
        <v>1695602.1620541674</v>
      </c>
      <c r="D95" s="57">
        <v>6304489.2453875011</v>
      </c>
      <c r="E95" s="16"/>
      <c r="F95" s="16"/>
      <c r="G95" s="16"/>
      <c r="H95" s="16"/>
      <c r="I95" s="16"/>
      <c r="J95" s="16"/>
      <c r="K95" s="16"/>
    </row>
    <row r="96" spans="1:11" ht="15" customHeight="1" x14ac:dyDescent="0.35">
      <c r="B96" s="73"/>
      <c r="C96" s="74"/>
      <c r="D96" s="75"/>
      <c r="E96" s="16"/>
      <c r="F96" s="16"/>
      <c r="G96" s="16"/>
      <c r="H96" s="16"/>
      <c r="I96" s="16"/>
      <c r="J96" s="16"/>
      <c r="K96" s="16"/>
    </row>
    <row r="97" spans="1:11" ht="15" customHeight="1" x14ac:dyDescent="0.35">
      <c r="E97" s="16"/>
      <c r="F97" s="16"/>
      <c r="G97" s="16"/>
      <c r="H97" s="16"/>
      <c r="I97" s="16"/>
      <c r="J97" s="16"/>
      <c r="K97" s="16"/>
    </row>
    <row r="98" spans="1:11" ht="15" customHeight="1" x14ac:dyDescent="0.35">
      <c r="A98" s="2" t="s">
        <v>106</v>
      </c>
      <c r="E98" s="16"/>
      <c r="F98" s="16"/>
      <c r="G98" s="16"/>
      <c r="H98" s="16"/>
      <c r="I98" s="16"/>
      <c r="J98" s="16"/>
      <c r="K98" s="16"/>
    </row>
    <row r="99" spans="1:11" ht="15" customHeight="1" x14ac:dyDescent="0.35">
      <c r="A99" s="2" t="s">
        <v>357</v>
      </c>
      <c r="E99" s="16"/>
      <c r="F99" s="16"/>
      <c r="G99" s="16"/>
      <c r="H99" s="16"/>
      <c r="I99" s="16"/>
      <c r="J99" s="16"/>
      <c r="K99" s="16"/>
    </row>
    <row r="100" spans="1:11" ht="15" customHeight="1" x14ac:dyDescent="0.35">
      <c r="A100" s="8" t="s">
        <v>65</v>
      </c>
      <c r="B100" s="8" t="s">
        <v>0</v>
      </c>
      <c r="C100" s="8" t="s">
        <v>1</v>
      </c>
      <c r="D100" s="8" t="s">
        <v>59</v>
      </c>
      <c r="E100" s="16"/>
      <c r="F100" s="16"/>
      <c r="G100" s="16"/>
      <c r="H100" s="16"/>
      <c r="I100" s="16"/>
      <c r="J100" s="16"/>
      <c r="K100" s="16"/>
    </row>
    <row r="101" spans="1:11" ht="15" customHeight="1" x14ac:dyDescent="0.35">
      <c r="A101" s="25">
        <v>2013</v>
      </c>
      <c r="B101" s="4">
        <v>19450147520</v>
      </c>
      <c r="C101" s="4">
        <v>20790043536.123932</v>
      </c>
      <c r="D101" s="4">
        <v>40240191056.123932</v>
      </c>
      <c r="E101" s="16"/>
      <c r="F101" s="16"/>
      <c r="G101" s="16"/>
      <c r="H101" s="16"/>
      <c r="I101" s="16"/>
      <c r="J101" s="16"/>
      <c r="K101" s="16"/>
    </row>
    <row r="102" spans="1:11" ht="15" customHeight="1" x14ac:dyDescent="0.35">
      <c r="A102" s="25">
        <v>2014</v>
      </c>
      <c r="B102" s="5">
        <v>20430492889.945</v>
      </c>
      <c r="C102" s="5">
        <v>21994829727.160137</v>
      </c>
      <c r="D102" s="5">
        <v>42425322617.105133</v>
      </c>
      <c r="E102" s="16"/>
      <c r="F102" s="16"/>
      <c r="G102" s="16"/>
      <c r="H102" s="16"/>
      <c r="I102" s="16"/>
      <c r="J102" s="16"/>
      <c r="K102" s="16"/>
    </row>
    <row r="103" spans="1:11" ht="15" customHeight="1" x14ac:dyDescent="0.35">
      <c r="A103" s="25">
        <v>2015</v>
      </c>
      <c r="B103" s="5">
        <v>22470847634.916</v>
      </c>
      <c r="C103" s="5">
        <v>21729028637</v>
      </c>
      <c r="D103" s="5">
        <v>44199876271.916</v>
      </c>
      <c r="E103" s="16"/>
      <c r="F103" s="16"/>
      <c r="G103" s="16"/>
      <c r="H103" s="16"/>
      <c r="I103" s="16"/>
      <c r="J103" s="16"/>
      <c r="K103" s="16"/>
    </row>
    <row r="104" spans="1:11" ht="15" customHeight="1" x14ac:dyDescent="0.35">
      <c r="A104" s="25">
        <v>2016</v>
      </c>
      <c r="B104" s="5">
        <v>24997671630.574001</v>
      </c>
      <c r="C104" s="5">
        <v>23151888710.3078</v>
      </c>
      <c r="D104" s="5">
        <v>48149560340.881805</v>
      </c>
      <c r="E104" s="16"/>
      <c r="F104" s="16"/>
      <c r="G104" s="16"/>
      <c r="H104" s="16"/>
      <c r="I104" s="16"/>
      <c r="J104" s="16"/>
      <c r="K104" s="16"/>
    </row>
    <row r="105" spans="1:11" ht="15" customHeight="1" x14ac:dyDescent="0.35">
      <c r="A105" s="27">
        <v>2017</v>
      </c>
      <c r="B105" s="15">
        <v>27537935311.923</v>
      </c>
      <c r="C105" s="15">
        <v>24348667633.509499</v>
      </c>
      <c r="D105" s="15">
        <v>51886602945.432495</v>
      </c>
      <c r="E105" s="16"/>
      <c r="F105" s="16"/>
      <c r="G105" s="16"/>
      <c r="H105" s="16"/>
      <c r="I105" s="16"/>
      <c r="J105" s="16"/>
      <c r="K105" s="16"/>
    </row>
    <row r="106" spans="1:11" ht="15" customHeight="1" x14ac:dyDescent="0.3">
      <c r="B106" s="73"/>
      <c r="C106" s="74"/>
      <c r="D106" s="75"/>
    </row>
    <row r="107" spans="1:11" ht="15" customHeight="1" x14ac:dyDescent="0.3">
      <c r="C107" s="54"/>
    </row>
    <row r="108" spans="1:11" ht="15" customHeight="1" x14ac:dyDescent="0.3">
      <c r="A108" s="2" t="s">
        <v>212</v>
      </c>
      <c r="E108" s="3"/>
      <c r="G108" s="2" t="s">
        <v>213</v>
      </c>
      <c r="I108" s="6"/>
      <c r="J108" s="6"/>
    </row>
    <row r="109" spans="1:11" ht="15" customHeight="1" x14ac:dyDescent="0.3">
      <c r="A109" s="9" t="s">
        <v>358</v>
      </c>
      <c r="E109" s="3"/>
      <c r="G109" s="9" t="s">
        <v>359</v>
      </c>
      <c r="I109" s="6"/>
      <c r="J109" s="6"/>
    </row>
    <row r="110" spans="1:11" ht="27.6" x14ac:dyDescent="0.3">
      <c r="A110" s="44" t="s">
        <v>69</v>
      </c>
      <c r="B110" s="24" t="s">
        <v>214</v>
      </c>
      <c r="C110" s="24" t="s">
        <v>215</v>
      </c>
      <c r="D110" s="24" t="s">
        <v>479</v>
      </c>
      <c r="E110" s="24" t="s">
        <v>64</v>
      </c>
      <c r="G110" s="44" t="s">
        <v>69</v>
      </c>
      <c r="H110" s="24" t="s">
        <v>214</v>
      </c>
      <c r="I110" s="24" t="s">
        <v>215</v>
      </c>
      <c r="J110" s="24" t="s">
        <v>479</v>
      </c>
      <c r="K110" s="24" t="s">
        <v>64</v>
      </c>
    </row>
    <row r="111" spans="1:11" ht="15" customHeight="1" x14ac:dyDescent="0.3">
      <c r="A111" s="31" t="s">
        <v>58</v>
      </c>
      <c r="B111" s="4">
        <v>317984.33333333331</v>
      </c>
      <c r="C111" s="4">
        <v>381935.5</v>
      </c>
      <c r="D111" s="5">
        <v>2.1666666666666665</v>
      </c>
      <c r="E111" s="4">
        <v>699921.99999999988</v>
      </c>
      <c r="F111" s="76"/>
      <c r="G111" s="31" t="s">
        <v>58</v>
      </c>
      <c r="H111" s="4">
        <v>13873.406270471552</v>
      </c>
      <c r="I111" s="4">
        <v>7562.9116498010508</v>
      </c>
      <c r="J111" s="5">
        <v>0</v>
      </c>
      <c r="K111" s="4">
        <v>21436.317920272602</v>
      </c>
    </row>
    <row r="112" spans="1:11" ht="15" customHeight="1" x14ac:dyDescent="0.3">
      <c r="A112" s="31" t="s">
        <v>70</v>
      </c>
      <c r="B112" s="5">
        <v>588931.58333333326</v>
      </c>
      <c r="C112" s="5">
        <v>525598.5</v>
      </c>
      <c r="D112" s="5">
        <v>15.666666666666666</v>
      </c>
      <c r="E112" s="5">
        <v>1114545.75</v>
      </c>
      <c r="F112" s="76"/>
      <c r="G112" s="31" t="s">
        <v>70</v>
      </c>
      <c r="H112" s="5">
        <v>23661.82066072222</v>
      </c>
      <c r="I112" s="5">
        <v>10455.690220770683</v>
      </c>
      <c r="J112" s="5">
        <v>0</v>
      </c>
      <c r="K112" s="5">
        <v>34117.510881492904</v>
      </c>
    </row>
    <row r="113" spans="1:21" ht="15" customHeight="1" x14ac:dyDescent="0.3">
      <c r="A113" s="31" t="s">
        <v>71</v>
      </c>
      <c r="B113" s="5">
        <v>587431.66666666663</v>
      </c>
      <c r="C113" s="5">
        <v>507880.58333333343</v>
      </c>
      <c r="D113" s="5">
        <v>7.166666666666667</v>
      </c>
      <c r="E113" s="5">
        <v>1095319.4166666667</v>
      </c>
      <c r="F113" s="76"/>
      <c r="G113" s="31" t="s">
        <v>71</v>
      </c>
      <c r="H113" s="5">
        <v>52168.97725530975</v>
      </c>
      <c r="I113" s="5">
        <v>22114.587850948115</v>
      </c>
      <c r="J113" s="5">
        <v>0</v>
      </c>
      <c r="K113" s="5">
        <v>74283.565106257869</v>
      </c>
    </row>
    <row r="114" spans="1:21" ht="15" customHeight="1" x14ac:dyDescent="0.3">
      <c r="A114" s="31" t="s">
        <v>72</v>
      </c>
      <c r="B114" s="5">
        <v>574443.66666666663</v>
      </c>
      <c r="C114" s="5">
        <v>364051.5</v>
      </c>
      <c r="D114" s="5">
        <v>4</v>
      </c>
      <c r="E114" s="5">
        <v>938499.16666666663</v>
      </c>
      <c r="F114" s="76"/>
      <c r="G114" s="31" t="s">
        <v>72</v>
      </c>
      <c r="H114" s="5">
        <v>128269.32754494403</v>
      </c>
      <c r="I114" s="5">
        <v>65042.401058676711</v>
      </c>
      <c r="J114" s="5">
        <v>0</v>
      </c>
      <c r="K114" s="5">
        <v>193311.72860362072</v>
      </c>
    </row>
    <row r="115" spans="1:21" ht="15" customHeight="1" x14ac:dyDescent="0.3">
      <c r="A115" s="31" t="s">
        <v>73</v>
      </c>
      <c r="B115" s="5">
        <v>261882.5</v>
      </c>
      <c r="C115" s="5">
        <v>158021.58333333331</v>
      </c>
      <c r="D115" s="5">
        <v>8.3333333333333329E-2</v>
      </c>
      <c r="E115" s="5">
        <v>419904.16666666663</v>
      </c>
      <c r="F115" s="76"/>
      <c r="G115" s="31" t="s">
        <v>73</v>
      </c>
      <c r="H115" s="5">
        <v>126996.09717180138</v>
      </c>
      <c r="I115" s="5">
        <v>86986.547632913658</v>
      </c>
      <c r="J115" s="5">
        <v>0</v>
      </c>
      <c r="K115" s="5">
        <v>213982.64480471503</v>
      </c>
    </row>
    <row r="116" spans="1:21" ht="15" customHeight="1" x14ac:dyDescent="0.3">
      <c r="A116" s="31" t="s">
        <v>74</v>
      </c>
      <c r="B116" s="5">
        <v>111401.08333333333</v>
      </c>
      <c r="C116" s="5">
        <v>68756.25</v>
      </c>
      <c r="D116" s="5">
        <v>1</v>
      </c>
      <c r="E116" s="5">
        <v>180158.33333333331</v>
      </c>
      <c r="F116" s="76"/>
      <c r="G116" s="31" t="s">
        <v>74</v>
      </c>
      <c r="H116" s="5">
        <v>108262.79934090895</v>
      </c>
      <c r="I116" s="5">
        <v>80058.041687040066</v>
      </c>
      <c r="J116" s="5">
        <v>0</v>
      </c>
      <c r="K116" s="5">
        <v>188320.84102794901</v>
      </c>
    </row>
    <row r="117" spans="1:21" ht="15" customHeight="1" x14ac:dyDescent="0.3">
      <c r="A117" s="31" t="s">
        <v>75</v>
      </c>
      <c r="B117" s="5">
        <v>48821.833333333336</v>
      </c>
      <c r="C117" s="5">
        <v>28862.416666666668</v>
      </c>
      <c r="D117" s="5">
        <v>0.16666666666666666</v>
      </c>
      <c r="E117" s="5">
        <v>77684.416666666672</v>
      </c>
      <c r="F117" s="76"/>
      <c r="G117" s="31" t="s">
        <v>75</v>
      </c>
      <c r="H117" s="5">
        <v>83800.518435771621</v>
      </c>
      <c r="I117" s="5">
        <v>62703.347624389477</v>
      </c>
      <c r="J117" s="5">
        <v>0</v>
      </c>
      <c r="K117" s="5">
        <v>146503.86606016109</v>
      </c>
    </row>
    <row r="118" spans="1:21" ht="15" customHeight="1" x14ac:dyDescent="0.3">
      <c r="A118" s="31" t="s">
        <v>76</v>
      </c>
      <c r="B118" s="5">
        <v>28774.916666666668</v>
      </c>
      <c r="C118" s="5">
        <v>16684.833333333332</v>
      </c>
      <c r="D118" s="5">
        <v>0.5</v>
      </c>
      <c r="E118" s="5">
        <v>45460.25</v>
      </c>
      <c r="F118" s="76"/>
      <c r="G118" s="31" t="s">
        <v>76</v>
      </c>
      <c r="H118" s="5">
        <v>86143.526975670145</v>
      </c>
      <c r="I118" s="5">
        <v>61162.935977788555</v>
      </c>
      <c r="J118" s="5">
        <v>0</v>
      </c>
      <c r="K118" s="5">
        <v>147306.46295345871</v>
      </c>
    </row>
    <row r="119" spans="1:21" ht="15" customHeight="1" x14ac:dyDescent="0.3">
      <c r="A119" s="31" t="s">
        <v>77</v>
      </c>
      <c r="B119" s="5">
        <v>24796.083333333332</v>
      </c>
      <c r="C119" s="5">
        <v>12597.416666666666</v>
      </c>
      <c r="D119" s="5">
        <v>0</v>
      </c>
      <c r="E119" s="5">
        <v>37393.5</v>
      </c>
      <c r="F119" s="76"/>
      <c r="G119" s="31" t="s">
        <v>77</v>
      </c>
      <c r="H119" s="5">
        <v>342857.04295493668</v>
      </c>
      <c r="I119" s="5">
        <v>161216.28782559009</v>
      </c>
      <c r="J119" s="5">
        <v>0</v>
      </c>
      <c r="K119" s="5">
        <v>504073.33078052674</v>
      </c>
    </row>
    <row r="120" spans="1:21" ht="15" customHeight="1" x14ac:dyDescent="0.3">
      <c r="A120" s="31" t="s">
        <v>482</v>
      </c>
      <c r="B120" s="5">
        <v>0</v>
      </c>
      <c r="C120" s="5">
        <v>0</v>
      </c>
      <c r="D120" s="5">
        <v>0</v>
      </c>
      <c r="E120" s="5">
        <v>0</v>
      </c>
      <c r="F120" s="76"/>
      <c r="G120" s="31" t="s">
        <v>482</v>
      </c>
      <c r="H120" s="5">
        <v>125583.63151554581</v>
      </c>
      <c r="I120" s="5">
        <v>46682.262400166925</v>
      </c>
      <c r="J120" s="5">
        <v>0</v>
      </c>
      <c r="K120" s="5">
        <v>172265.89391571275</v>
      </c>
    </row>
    <row r="121" spans="1:21" ht="15" customHeight="1" x14ac:dyDescent="0.3">
      <c r="A121" s="29" t="s">
        <v>60</v>
      </c>
      <c r="B121" s="57">
        <v>2544467.6666666665</v>
      </c>
      <c r="C121" s="57">
        <v>2064388.5833333335</v>
      </c>
      <c r="D121" s="57">
        <v>30.75</v>
      </c>
      <c r="E121" s="57">
        <v>4608887</v>
      </c>
      <c r="F121" s="76"/>
      <c r="G121" s="29" t="s">
        <v>60</v>
      </c>
      <c r="H121" s="57">
        <v>1091617.148126082</v>
      </c>
      <c r="I121" s="57">
        <v>603985.01392808533</v>
      </c>
      <c r="J121" s="88">
        <v>0</v>
      </c>
      <c r="K121" s="57">
        <v>1695602.1620541676</v>
      </c>
    </row>
    <row r="122" spans="1:21" ht="15" customHeight="1" x14ac:dyDescent="0.3">
      <c r="B122" s="73"/>
      <c r="C122" s="73"/>
      <c r="D122" s="76"/>
      <c r="E122" s="76"/>
      <c r="K122" s="76"/>
    </row>
    <row r="123" spans="1:21" ht="15" customHeight="1" x14ac:dyDescent="0.3">
      <c r="E123" s="3"/>
    </row>
    <row r="124" spans="1:21" ht="15" customHeight="1" x14ac:dyDescent="0.3">
      <c r="A124" s="2" t="s">
        <v>216</v>
      </c>
      <c r="E124" s="3"/>
      <c r="G124" s="2" t="s">
        <v>217</v>
      </c>
      <c r="H124" s="6"/>
      <c r="I124" s="6"/>
    </row>
    <row r="125" spans="1:21" ht="15" customHeight="1" x14ac:dyDescent="0.3">
      <c r="A125" s="9" t="s">
        <v>360</v>
      </c>
      <c r="E125" s="3"/>
      <c r="G125" s="9" t="s">
        <v>361</v>
      </c>
      <c r="H125" s="6"/>
      <c r="I125" s="6"/>
      <c r="U125" s="80"/>
    </row>
    <row r="126" spans="1:21" ht="15" customHeight="1" x14ac:dyDescent="0.3">
      <c r="A126" s="44" t="s">
        <v>218</v>
      </c>
      <c r="B126" s="24" t="s">
        <v>214</v>
      </c>
      <c r="C126" s="24" t="s">
        <v>215</v>
      </c>
      <c r="D126" s="24" t="s">
        <v>479</v>
      </c>
      <c r="E126" s="24" t="s">
        <v>64</v>
      </c>
      <c r="G126" s="44" t="s">
        <v>218</v>
      </c>
      <c r="H126" s="24" t="s">
        <v>214</v>
      </c>
      <c r="I126" s="24" t="s">
        <v>215</v>
      </c>
      <c r="J126" s="24" t="s">
        <v>479</v>
      </c>
      <c r="K126" s="24" t="s">
        <v>64</v>
      </c>
      <c r="U126" s="81"/>
    </row>
    <row r="127" spans="1:21" ht="15" customHeight="1" x14ac:dyDescent="0.3">
      <c r="A127" s="22" t="s">
        <v>219</v>
      </c>
      <c r="B127" s="4">
        <v>633565.2858807533</v>
      </c>
      <c r="C127" s="4">
        <v>556925.82733459061</v>
      </c>
      <c r="D127" s="4">
        <v>847075.34959349595</v>
      </c>
      <c r="E127" s="4">
        <v>599238.76457070862</v>
      </c>
      <c r="F127" s="59"/>
      <c r="G127" s="22" t="s">
        <v>219</v>
      </c>
      <c r="H127" s="4">
        <v>1361343.8608205859</v>
      </c>
      <c r="I127" s="4">
        <v>1338600.8721535653</v>
      </c>
      <c r="J127" s="4">
        <v>0</v>
      </c>
      <c r="K127" s="4">
        <v>1353059.7624746996</v>
      </c>
    </row>
    <row r="128" spans="1:21" ht="15" customHeight="1" x14ac:dyDescent="0.3">
      <c r="A128" s="25" t="s">
        <v>220</v>
      </c>
      <c r="B128" s="5">
        <v>637032.21928177599</v>
      </c>
      <c r="C128" s="5">
        <v>556146.62428700435</v>
      </c>
      <c r="D128" s="5">
        <v>822964.14130434778</v>
      </c>
      <c r="E128" s="5">
        <v>600821.42525404622</v>
      </c>
      <c r="F128" s="59"/>
      <c r="G128" s="25" t="s">
        <v>220</v>
      </c>
      <c r="H128" s="5">
        <v>1362849.3910107978</v>
      </c>
      <c r="I128" s="5">
        <v>1341124.4384237516</v>
      </c>
      <c r="J128" s="5">
        <v>0</v>
      </c>
      <c r="K128" s="5">
        <v>1354938.4939232331</v>
      </c>
    </row>
    <row r="129" spans="1:11" ht="15" customHeight="1" x14ac:dyDescent="0.3">
      <c r="A129" s="25" t="s">
        <v>221</v>
      </c>
      <c r="B129" s="5">
        <v>494005.06879605999</v>
      </c>
      <c r="C129" s="5">
        <v>565242.83069047844</v>
      </c>
      <c r="D129" s="5">
        <v>9720000</v>
      </c>
      <c r="E129" s="5">
        <v>525484.91023296514</v>
      </c>
      <c r="F129" s="59"/>
      <c r="G129" s="25" t="s">
        <v>221</v>
      </c>
      <c r="H129" s="5">
        <v>1261429.3163099692</v>
      </c>
      <c r="I129" s="5">
        <v>1176658.5533314575</v>
      </c>
      <c r="J129" s="5">
        <v>0</v>
      </c>
      <c r="K129" s="5">
        <v>1229902.8290054144</v>
      </c>
    </row>
    <row r="130" spans="1:11" ht="15" customHeight="1" x14ac:dyDescent="0.3">
      <c r="A130" s="27" t="s">
        <v>222</v>
      </c>
      <c r="B130" s="15">
        <v>42.783746340537533</v>
      </c>
      <c r="C130" s="15">
        <v>40.58474454414138</v>
      </c>
      <c r="D130" s="15">
        <v>29.469696969696969</v>
      </c>
      <c r="E130" s="15">
        <v>41.790920797011864</v>
      </c>
      <c r="F130" s="59"/>
      <c r="G130" s="27" t="s">
        <v>222</v>
      </c>
      <c r="H130" s="15">
        <v>40.52650421255165</v>
      </c>
      <c r="I130" s="15">
        <v>40.756008412410843</v>
      </c>
      <c r="J130" s="15">
        <v>0</v>
      </c>
      <c r="K130" s="15">
        <v>40.607893165113651</v>
      </c>
    </row>
    <row r="132" spans="1:11" ht="15" customHeight="1" x14ac:dyDescent="0.3">
      <c r="B132" s="34"/>
      <c r="C132" s="34"/>
      <c r="D132" s="34"/>
      <c r="E132" s="34"/>
    </row>
    <row r="133" spans="1:11" ht="15" customHeight="1" x14ac:dyDescent="0.3">
      <c r="B133" s="71"/>
      <c r="C133" s="71"/>
      <c r="D133" s="78"/>
      <c r="E133" s="79"/>
    </row>
    <row r="134" spans="1:11" ht="15" customHeight="1" x14ac:dyDescent="0.3">
      <c r="B134" s="71"/>
      <c r="C134" s="71"/>
      <c r="D134" s="78"/>
      <c r="E134" s="79"/>
    </row>
    <row r="135" spans="1:11" ht="15" customHeight="1" x14ac:dyDescent="0.3">
      <c r="B135" s="71"/>
      <c r="C135" s="71"/>
      <c r="D135" s="71"/>
      <c r="E135" s="79"/>
    </row>
  </sheetData>
  <pageMargins left="0.7" right="0.7" top="0.75" bottom="0.75" header="0.3" footer="0.3"/>
  <pageSetup scale="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7"/>
  <sheetViews>
    <sheetView showGridLines="0" zoomScaleNormal="100" workbookViewId="0"/>
  </sheetViews>
  <sheetFormatPr baseColWidth="10" defaultColWidth="33.109375" defaultRowHeight="13.8" x14ac:dyDescent="0.3"/>
  <cols>
    <col min="1" max="1" width="30.6640625" style="3" customWidth="1"/>
    <col min="2" max="5" width="15.6640625" style="6" customWidth="1"/>
    <col min="6" max="6" width="30.6640625" style="6" customWidth="1"/>
    <col min="7" max="9" width="15.6640625" style="3" customWidth="1"/>
    <col min="10" max="10" width="10.88671875" style="3" customWidth="1"/>
    <col min="11" max="55" width="15.6640625" style="3" customWidth="1"/>
    <col min="56" max="16384" width="33.109375" style="3"/>
  </cols>
  <sheetData>
    <row r="1" spans="1:10" ht="18" x14ac:dyDescent="0.35">
      <c r="A1" s="1" t="s">
        <v>195</v>
      </c>
    </row>
    <row r="3" spans="1:10" x14ac:dyDescent="0.3">
      <c r="A3" s="2" t="s">
        <v>96</v>
      </c>
      <c r="F3" s="2" t="s">
        <v>98</v>
      </c>
      <c r="G3" s="6"/>
      <c r="H3" s="6"/>
      <c r="I3" s="6"/>
    </row>
    <row r="4" spans="1:10" x14ac:dyDescent="0.3">
      <c r="A4" s="2" t="s">
        <v>370</v>
      </c>
      <c r="F4" s="2" t="s">
        <v>371</v>
      </c>
      <c r="G4" s="6"/>
      <c r="H4" s="6"/>
      <c r="I4" s="6"/>
    </row>
    <row r="5" spans="1:10" x14ac:dyDescent="0.3">
      <c r="A5" s="8" t="s">
        <v>65</v>
      </c>
      <c r="B5" s="8" t="s">
        <v>0</v>
      </c>
      <c r="C5" s="8" t="s">
        <v>1</v>
      </c>
      <c r="D5" s="8" t="s">
        <v>59</v>
      </c>
      <c r="F5" s="8" t="s">
        <v>65</v>
      </c>
      <c r="G5" s="8" t="s">
        <v>0</v>
      </c>
      <c r="H5" s="8" t="s">
        <v>1</v>
      </c>
      <c r="I5" s="8" t="s">
        <v>59</v>
      </c>
    </row>
    <row r="6" spans="1:10" x14ac:dyDescent="0.3">
      <c r="A6" s="25">
        <v>2013</v>
      </c>
      <c r="B6" s="4">
        <v>3099951</v>
      </c>
      <c r="C6" s="4">
        <v>1249224</v>
      </c>
      <c r="D6" s="23">
        <v>4349175</v>
      </c>
      <c r="E6" s="76"/>
      <c r="F6" s="25">
        <v>2013</v>
      </c>
      <c r="G6" s="4">
        <v>37162319</v>
      </c>
      <c r="H6" s="4">
        <v>12356710</v>
      </c>
      <c r="I6" s="23">
        <v>49519029</v>
      </c>
      <c r="J6" s="76"/>
    </row>
    <row r="7" spans="1:10" x14ac:dyDescent="0.3">
      <c r="A7" s="25">
        <v>2014</v>
      </c>
      <c r="B7" s="5">
        <v>3210803</v>
      </c>
      <c r="C7" s="5">
        <v>1311658</v>
      </c>
      <c r="D7" s="14">
        <v>4522461</v>
      </c>
      <c r="E7" s="76"/>
      <c r="F7" s="25">
        <v>2014</v>
      </c>
      <c r="G7" s="5">
        <v>39235458</v>
      </c>
      <c r="H7" s="5">
        <v>13125650</v>
      </c>
      <c r="I7" s="14">
        <v>52361108</v>
      </c>
      <c r="J7" s="76"/>
    </row>
    <row r="8" spans="1:10" x14ac:dyDescent="0.3">
      <c r="A8" s="25">
        <v>2015</v>
      </c>
      <c r="B8" s="5">
        <v>3341885</v>
      </c>
      <c r="C8" s="5">
        <v>1402972</v>
      </c>
      <c r="D8" s="14">
        <v>4744857</v>
      </c>
      <c r="E8" s="76"/>
      <c r="F8" s="25">
        <v>2015</v>
      </c>
      <c r="G8" s="5">
        <v>42577491</v>
      </c>
      <c r="H8" s="5">
        <v>14198125</v>
      </c>
      <c r="I8" s="14">
        <v>56775616</v>
      </c>
      <c r="J8" s="76"/>
    </row>
    <row r="9" spans="1:10" x14ac:dyDescent="0.3">
      <c r="A9" s="25">
        <v>2016</v>
      </c>
      <c r="B9" s="5">
        <v>3563432</v>
      </c>
      <c r="C9" s="5">
        <v>1463628</v>
      </c>
      <c r="D9" s="14">
        <v>5027060</v>
      </c>
      <c r="E9" s="76"/>
      <c r="F9" s="25">
        <v>2016</v>
      </c>
      <c r="G9" s="5">
        <v>46810880</v>
      </c>
      <c r="H9" s="5">
        <v>14893358</v>
      </c>
      <c r="I9" s="14">
        <v>61704238</v>
      </c>
      <c r="J9" s="76"/>
    </row>
    <row r="10" spans="1:10" x14ac:dyDescent="0.3">
      <c r="A10" s="27">
        <v>2017</v>
      </c>
      <c r="B10" s="15">
        <v>3866212</v>
      </c>
      <c r="C10" s="15">
        <v>1430654</v>
      </c>
      <c r="D10" s="26">
        <v>5296866</v>
      </c>
      <c r="E10" s="76"/>
      <c r="F10" s="27">
        <v>2017</v>
      </c>
      <c r="G10" s="15">
        <v>50424418</v>
      </c>
      <c r="H10" s="15">
        <v>14483922</v>
      </c>
      <c r="I10" s="26">
        <v>64908340</v>
      </c>
      <c r="J10" s="76"/>
    </row>
    <row r="11" spans="1:10" x14ac:dyDescent="0.3">
      <c r="B11" s="64"/>
      <c r="C11" s="64"/>
      <c r="G11" s="76"/>
      <c r="H11" s="76"/>
      <c r="I11" s="76"/>
    </row>
    <row r="12" spans="1:10" x14ac:dyDescent="0.3">
      <c r="B12" s="63"/>
      <c r="C12" s="63"/>
      <c r="D12" s="64"/>
    </row>
    <row r="13" spans="1:10" x14ac:dyDescent="0.3">
      <c r="A13" s="2" t="s">
        <v>97</v>
      </c>
      <c r="F13" s="2" t="s">
        <v>99</v>
      </c>
    </row>
    <row r="14" spans="1:10" x14ac:dyDescent="0.3">
      <c r="A14" s="2" t="s">
        <v>362</v>
      </c>
      <c r="F14" s="2" t="s">
        <v>363</v>
      </c>
    </row>
    <row r="15" spans="1:10" x14ac:dyDescent="0.3">
      <c r="A15" s="8" t="s">
        <v>66</v>
      </c>
      <c r="B15" s="8" t="s">
        <v>0</v>
      </c>
      <c r="C15" s="8" t="s">
        <v>1</v>
      </c>
      <c r="D15" s="8" t="s">
        <v>59</v>
      </c>
      <c r="F15" s="8" t="s">
        <v>66</v>
      </c>
      <c r="G15" s="8" t="s">
        <v>0</v>
      </c>
      <c r="H15" s="8" t="s">
        <v>1</v>
      </c>
      <c r="I15" s="8" t="s">
        <v>59</v>
      </c>
    </row>
    <row r="16" spans="1:10" x14ac:dyDescent="0.3">
      <c r="A16" s="22" t="s">
        <v>5</v>
      </c>
      <c r="B16" s="4">
        <v>1383805</v>
      </c>
      <c r="C16" s="4">
        <v>681616</v>
      </c>
      <c r="D16" s="23">
        <v>2065421</v>
      </c>
      <c r="E16" s="76"/>
      <c r="F16" s="22" t="s">
        <v>5</v>
      </c>
      <c r="G16" s="4">
        <v>19694275</v>
      </c>
      <c r="H16" s="4">
        <v>7083558</v>
      </c>
      <c r="I16" s="23">
        <v>26777833</v>
      </c>
      <c r="J16" s="76"/>
    </row>
    <row r="17" spans="1:10" x14ac:dyDescent="0.3">
      <c r="A17" s="25" t="s">
        <v>6</v>
      </c>
      <c r="B17" s="5">
        <v>2482407</v>
      </c>
      <c r="C17" s="5">
        <v>749038</v>
      </c>
      <c r="D17" s="14">
        <v>3231445</v>
      </c>
      <c r="E17" s="76"/>
      <c r="F17" s="25" t="s">
        <v>6</v>
      </c>
      <c r="G17" s="5">
        <v>30730143</v>
      </c>
      <c r="H17" s="5">
        <v>7400364</v>
      </c>
      <c r="I17" s="14">
        <v>38130507</v>
      </c>
      <c r="J17" s="76"/>
    </row>
    <row r="18" spans="1:10" x14ac:dyDescent="0.3">
      <c r="A18" s="25" t="s">
        <v>478</v>
      </c>
      <c r="B18" s="5">
        <v>0</v>
      </c>
      <c r="C18" s="5">
        <v>0</v>
      </c>
      <c r="D18" s="14">
        <v>0</v>
      </c>
      <c r="E18" s="76"/>
      <c r="F18" s="25" t="s">
        <v>478</v>
      </c>
      <c r="G18" s="5">
        <v>0</v>
      </c>
      <c r="H18" s="5">
        <v>0</v>
      </c>
      <c r="I18" s="14">
        <v>0</v>
      </c>
      <c r="J18" s="76"/>
    </row>
    <row r="19" spans="1:10" x14ac:dyDescent="0.3">
      <c r="A19" s="29" t="s">
        <v>60</v>
      </c>
      <c r="B19" s="57">
        <v>3866212</v>
      </c>
      <c r="C19" s="57">
        <v>1430654</v>
      </c>
      <c r="D19" s="77">
        <v>5296866</v>
      </c>
      <c r="E19" s="76"/>
      <c r="F19" s="29" t="s">
        <v>60</v>
      </c>
      <c r="G19" s="57">
        <v>50424418</v>
      </c>
      <c r="H19" s="57">
        <v>14483922</v>
      </c>
      <c r="I19" s="77">
        <v>64908340</v>
      </c>
      <c r="J19" s="76"/>
    </row>
    <row r="20" spans="1:10" x14ac:dyDescent="0.3">
      <c r="B20" s="73"/>
      <c r="C20" s="73"/>
      <c r="D20" s="73"/>
      <c r="G20" s="76"/>
      <c r="H20" s="76"/>
      <c r="I20" s="76"/>
    </row>
    <row r="22" spans="1:10" x14ac:dyDescent="0.3">
      <c r="A22" s="2" t="s">
        <v>120</v>
      </c>
      <c r="F22" s="2" t="s">
        <v>123</v>
      </c>
    </row>
    <row r="23" spans="1:10" x14ac:dyDescent="0.3">
      <c r="A23" s="2" t="s">
        <v>364</v>
      </c>
      <c r="F23" s="2" t="s">
        <v>365</v>
      </c>
    </row>
    <row r="24" spans="1:10" x14ac:dyDescent="0.3">
      <c r="A24" s="8" t="s">
        <v>67</v>
      </c>
      <c r="B24" s="8" t="s">
        <v>0</v>
      </c>
      <c r="C24" s="8" t="s">
        <v>1</v>
      </c>
      <c r="D24" s="8" t="s">
        <v>59</v>
      </c>
      <c r="F24" s="8" t="s">
        <v>67</v>
      </c>
      <c r="G24" s="8" t="s">
        <v>0</v>
      </c>
      <c r="H24" s="8" t="s">
        <v>1</v>
      </c>
      <c r="I24" s="8" t="s">
        <v>59</v>
      </c>
    </row>
    <row r="25" spans="1:10" x14ac:dyDescent="0.3">
      <c r="A25" s="22" t="s">
        <v>53</v>
      </c>
      <c r="B25" s="4">
        <v>26069</v>
      </c>
      <c r="C25" s="4">
        <v>1843</v>
      </c>
      <c r="D25" s="4">
        <v>27912</v>
      </c>
      <c r="E25" s="76"/>
      <c r="F25" s="22" t="s">
        <v>53</v>
      </c>
      <c r="G25" s="4">
        <v>236671</v>
      </c>
      <c r="H25" s="4">
        <v>13379</v>
      </c>
      <c r="I25" s="4">
        <v>250050</v>
      </c>
      <c r="J25" s="76"/>
    </row>
    <row r="26" spans="1:10" x14ac:dyDescent="0.3">
      <c r="A26" s="25" t="s">
        <v>2</v>
      </c>
      <c r="B26" s="5">
        <v>294285</v>
      </c>
      <c r="C26" s="5">
        <v>54927</v>
      </c>
      <c r="D26" s="5">
        <v>349212</v>
      </c>
      <c r="E26" s="76"/>
      <c r="F26" s="25" t="s">
        <v>2</v>
      </c>
      <c r="G26" s="5">
        <v>3005890</v>
      </c>
      <c r="H26" s="5">
        <v>438261</v>
      </c>
      <c r="I26" s="5">
        <v>3444151</v>
      </c>
      <c r="J26" s="76"/>
    </row>
    <row r="27" spans="1:10" x14ac:dyDescent="0.3">
      <c r="A27" s="25" t="s">
        <v>54</v>
      </c>
      <c r="B27" s="5">
        <v>1115488</v>
      </c>
      <c r="C27" s="5">
        <v>496535</v>
      </c>
      <c r="D27" s="5">
        <v>1612023</v>
      </c>
      <c r="E27" s="76"/>
      <c r="F27" s="25" t="s">
        <v>54</v>
      </c>
      <c r="G27" s="5">
        <v>12679559</v>
      </c>
      <c r="H27" s="5">
        <v>4366426</v>
      </c>
      <c r="I27" s="5">
        <v>17045985</v>
      </c>
      <c r="J27" s="76"/>
    </row>
    <row r="28" spans="1:10" x14ac:dyDescent="0.3">
      <c r="A28" s="25" t="s">
        <v>55</v>
      </c>
      <c r="B28" s="5">
        <v>908391</v>
      </c>
      <c r="C28" s="5">
        <v>415124</v>
      </c>
      <c r="D28" s="5">
        <v>1323515</v>
      </c>
      <c r="E28" s="76"/>
      <c r="F28" s="25" t="s">
        <v>55</v>
      </c>
      <c r="G28" s="5">
        <v>11261193</v>
      </c>
      <c r="H28" s="5">
        <v>4159873</v>
      </c>
      <c r="I28" s="5">
        <v>15421066</v>
      </c>
      <c r="J28" s="76"/>
    </row>
    <row r="29" spans="1:10" x14ac:dyDescent="0.3">
      <c r="A29" s="25" t="s">
        <v>56</v>
      </c>
      <c r="B29" s="5">
        <v>789103</v>
      </c>
      <c r="C29" s="5">
        <v>252701</v>
      </c>
      <c r="D29" s="5">
        <v>1041804</v>
      </c>
      <c r="E29" s="76"/>
      <c r="F29" s="25" t="s">
        <v>56</v>
      </c>
      <c r="G29" s="5">
        <v>10972575</v>
      </c>
      <c r="H29" s="5">
        <v>2792578</v>
      </c>
      <c r="I29" s="5">
        <v>13765153</v>
      </c>
      <c r="J29" s="76"/>
    </row>
    <row r="30" spans="1:10" x14ac:dyDescent="0.3">
      <c r="A30" s="25" t="s">
        <v>57</v>
      </c>
      <c r="B30" s="5">
        <v>568846</v>
      </c>
      <c r="C30" s="5">
        <v>173500</v>
      </c>
      <c r="D30" s="5">
        <v>742346</v>
      </c>
      <c r="E30" s="76"/>
      <c r="F30" s="25" t="s">
        <v>57</v>
      </c>
      <c r="G30" s="5">
        <v>9208673</v>
      </c>
      <c r="H30" s="5">
        <v>2182483</v>
      </c>
      <c r="I30" s="5">
        <v>11391156</v>
      </c>
      <c r="J30" s="76"/>
    </row>
    <row r="31" spans="1:10" x14ac:dyDescent="0.3">
      <c r="A31" s="25" t="s">
        <v>3</v>
      </c>
      <c r="B31" s="5">
        <v>164030</v>
      </c>
      <c r="C31" s="5">
        <v>36005</v>
      </c>
      <c r="D31" s="5">
        <v>200035</v>
      </c>
      <c r="E31" s="76"/>
      <c r="F31" s="25" t="s">
        <v>3</v>
      </c>
      <c r="G31" s="5">
        <v>3059857</v>
      </c>
      <c r="H31" s="5">
        <v>530664</v>
      </c>
      <c r="I31" s="5">
        <v>3590521</v>
      </c>
      <c r="J31" s="76"/>
    </row>
    <row r="32" spans="1:10" x14ac:dyDescent="0.3">
      <c r="A32" s="25" t="s">
        <v>478</v>
      </c>
      <c r="B32" s="5">
        <v>0</v>
      </c>
      <c r="C32" s="5">
        <v>19</v>
      </c>
      <c r="D32" s="5">
        <v>19</v>
      </c>
      <c r="E32" s="76"/>
      <c r="F32" s="25" t="s">
        <v>478</v>
      </c>
      <c r="G32" s="5">
        <v>0</v>
      </c>
      <c r="H32" s="5">
        <v>258</v>
      </c>
      <c r="I32" s="5">
        <v>258</v>
      </c>
      <c r="J32" s="76"/>
    </row>
    <row r="33" spans="1:10" x14ac:dyDescent="0.3">
      <c r="A33" s="29" t="s">
        <v>60</v>
      </c>
      <c r="B33" s="57">
        <v>3866212</v>
      </c>
      <c r="C33" s="57">
        <v>1430654</v>
      </c>
      <c r="D33" s="57">
        <v>5296866</v>
      </c>
      <c r="E33" s="76"/>
      <c r="F33" s="29" t="s">
        <v>60</v>
      </c>
      <c r="G33" s="57">
        <v>50424418</v>
      </c>
      <c r="H33" s="57">
        <v>14483922</v>
      </c>
      <c r="I33" s="57">
        <v>64908340</v>
      </c>
      <c r="J33" s="76"/>
    </row>
    <row r="34" spans="1:10" x14ac:dyDescent="0.3">
      <c r="B34" s="73"/>
      <c r="C34" s="73"/>
      <c r="D34" s="73"/>
      <c r="G34" s="76"/>
      <c r="H34" s="76"/>
      <c r="I34" s="76"/>
    </row>
    <row r="36" spans="1:10" x14ac:dyDescent="0.3">
      <c r="A36" s="2" t="s">
        <v>121</v>
      </c>
      <c r="F36" s="2" t="s">
        <v>124</v>
      </c>
    </row>
    <row r="37" spans="1:10" x14ac:dyDescent="0.3">
      <c r="A37" s="2" t="s">
        <v>521</v>
      </c>
      <c r="F37" s="2" t="s">
        <v>523</v>
      </c>
    </row>
    <row r="38" spans="1:10" x14ac:dyDescent="0.3">
      <c r="A38" s="8" t="s">
        <v>68</v>
      </c>
      <c r="B38" s="8" t="s">
        <v>0</v>
      </c>
      <c r="C38" s="8" t="s">
        <v>1</v>
      </c>
      <c r="D38" s="8" t="s">
        <v>59</v>
      </c>
      <c r="F38" s="8" t="s">
        <v>68</v>
      </c>
      <c r="G38" s="8" t="s">
        <v>0</v>
      </c>
      <c r="H38" s="8" t="s">
        <v>1</v>
      </c>
      <c r="I38" s="8" t="s">
        <v>59</v>
      </c>
    </row>
    <row r="39" spans="1:10" x14ac:dyDescent="0.3">
      <c r="A39" s="22" t="s">
        <v>29</v>
      </c>
      <c r="B39" s="4">
        <v>3083418</v>
      </c>
      <c r="C39" s="4">
        <v>999966</v>
      </c>
      <c r="D39" s="4">
        <v>4083384</v>
      </c>
      <c r="E39" s="76"/>
      <c r="F39" s="22" t="s">
        <v>29</v>
      </c>
      <c r="G39" s="4">
        <v>42444623</v>
      </c>
      <c r="H39" s="4">
        <v>11039097</v>
      </c>
      <c r="I39" s="4">
        <v>53483720</v>
      </c>
      <c r="J39" s="76"/>
    </row>
    <row r="40" spans="1:10" x14ac:dyDescent="0.3">
      <c r="A40" s="25" t="s">
        <v>30</v>
      </c>
      <c r="B40" s="5">
        <v>770474</v>
      </c>
      <c r="C40" s="5">
        <v>423208</v>
      </c>
      <c r="D40" s="5">
        <v>1193682</v>
      </c>
      <c r="E40" s="76"/>
      <c r="F40" s="25" t="s">
        <v>30</v>
      </c>
      <c r="G40" s="5">
        <v>7701198</v>
      </c>
      <c r="H40" s="5">
        <v>3315488</v>
      </c>
      <c r="I40" s="5">
        <v>11016686</v>
      </c>
      <c r="J40" s="76"/>
    </row>
    <row r="41" spans="1:10" x14ac:dyDescent="0.3">
      <c r="A41" s="25" t="s">
        <v>4</v>
      </c>
      <c r="B41" s="5">
        <v>12320</v>
      </c>
      <c r="C41" s="5">
        <v>7480</v>
      </c>
      <c r="D41" s="5">
        <v>19800</v>
      </c>
      <c r="E41" s="76"/>
      <c r="F41" s="25" t="s">
        <v>4</v>
      </c>
      <c r="G41" s="5">
        <v>278597</v>
      </c>
      <c r="H41" s="5">
        <v>129337</v>
      </c>
      <c r="I41" s="5">
        <v>407934</v>
      </c>
      <c r="J41" s="76"/>
    </row>
    <row r="42" spans="1:10" x14ac:dyDescent="0.3">
      <c r="A42" s="25" t="s">
        <v>478</v>
      </c>
      <c r="B42" s="5">
        <v>0</v>
      </c>
      <c r="C42" s="5"/>
      <c r="D42" s="5">
        <v>0</v>
      </c>
      <c r="E42" s="76"/>
      <c r="F42" s="25" t="s">
        <v>478</v>
      </c>
      <c r="G42" s="5">
        <v>0</v>
      </c>
      <c r="H42" s="5"/>
      <c r="I42" s="5">
        <v>0</v>
      </c>
      <c r="J42" s="76"/>
    </row>
    <row r="43" spans="1:10" x14ac:dyDescent="0.3">
      <c r="A43" s="29" t="s">
        <v>60</v>
      </c>
      <c r="B43" s="57">
        <v>3866212</v>
      </c>
      <c r="C43" s="57">
        <v>1430654</v>
      </c>
      <c r="D43" s="57">
        <v>5296866</v>
      </c>
      <c r="E43" s="76"/>
      <c r="F43" s="29" t="s">
        <v>60</v>
      </c>
      <c r="G43" s="57">
        <v>50424418</v>
      </c>
      <c r="H43" s="57">
        <v>14483922</v>
      </c>
      <c r="I43" s="57">
        <v>64908340</v>
      </c>
      <c r="J43" s="76"/>
    </row>
    <row r="44" spans="1:10" x14ac:dyDescent="0.3">
      <c r="B44" s="73"/>
      <c r="C44" s="73"/>
      <c r="D44" s="73"/>
      <c r="G44" s="76"/>
      <c r="H44" s="76"/>
      <c r="I44" s="76"/>
    </row>
    <row r="46" spans="1:10" x14ac:dyDescent="0.3">
      <c r="A46" s="7" t="s">
        <v>122</v>
      </c>
      <c r="F46" s="2" t="s">
        <v>125</v>
      </c>
    </row>
    <row r="47" spans="1:10" x14ac:dyDescent="0.3">
      <c r="A47" s="2" t="s">
        <v>366</v>
      </c>
      <c r="F47" s="2" t="s">
        <v>367</v>
      </c>
    </row>
    <row r="48" spans="1:10" x14ac:dyDescent="0.3">
      <c r="A48" s="8" t="s">
        <v>209</v>
      </c>
      <c r="B48" s="8" t="s">
        <v>0</v>
      </c>
      <c r="C48" s="8" t="s">
        <v>1</v>
      </c>
      <c r="D48" s="8" t="s">
        <v>59</v>
      </c>
      <c r="F48" s="8" t="s">
        <v>209</v>
      </c>
      <c r="G48" s="8" t="s">
        <v>0</v>
      </c>
      <c r="H48" s="8" t="s">
        <v>1</v>
      </c>
      <c r="I48" s="8" t="s">
        <v>59</v>
      </c>
    </row>
    <row r="49" spans="1:10" x14ac:dyDescent="0.3">
      <c r="A49" s="30" t="s">
        <v>14</v>
      </c>
      <c r="B49" s="4">
        <v>32959</v>
      </c>
      <c r="C49" s="4">
        <v>9528</v>
      </c>
      <c r="D49" s="4">
        <v>42487</v>
      </c>
      <c r="E49" s="76"/>
      <c r="F49" s="30" t="s">
        <v>14</v>
      </c>
      <c r="G49" s="4">
        <v>321484</v>
      </c>
      <c r="H49" s="4">
        <v>84218</v>
      </c>
      <c r="I49" s="4">
        <v>405702</v>
      </c>
      <c r="J49" s="76"/>
    </row>
    <row r="50" spans="1:10" x14ac:dyDescent="0.3">
      <c r="A50" s="31" t="s">
        <v>15</v>
      </c>
      <c r="B50" s="5">
        <v>60365</v>
      </c>
      <c r="C50" s="5">
        <v>22637</v>
      </c>
      <c r="D50" s="5">
        <v>83002</v>
      </c>
      <c r="E50" s="76"/>
      <c r="F50" s="31" t="s">
        <v>15</v>
      </c>
      <c r="G50" s="5">
        <v>802650</v>
      </c>
      <c r="H50" s="5">
        <v>273939</v>
      </c>
      <c r="I50" s="5">
        <v>1076589</v>
      </c>
      <c r="J50" s="76"/>
    </row>
    <row r="51" spans="1:10" x14ac:dyDescent="0.3">
      <c r="A51" s="31" t="s">
        <v>16</v>
      </c>
      <c r="B51" s="5">
        <v>103174</v>
      </c>
      <c r="C51" s="5">
        <v>57065</v>
      </c>
      <c r="D51" s="5">
        <v>160239</v>
      </c>
      <c r="E51" s="76"/>
      <c r="F51" s="31" t="s">
        <v>16</v>
      </c>
      <c r="G51" s="5">
        <v>1378967</v>
      </c>
      <c r="H51" s="5">
        <v>659148</v>
      </c>
      <c r="I51" s="5">
        <v>2038115</v>
      </c>
      <c r="J51" s="76"/>
    </row>
    <row r="52" spans="1:10" x14ac:dyDescent="0.3">
      <c r="A52" s="31" t="s">
        <v>17</v>
      </c>
      <c r="B52" s="5">
        <v>57726</v>
      </c>
      <c r="C52" s="5">
        <v>16797</v>
      </c>
      <c r="D52" s="5">
        <v>74523</v>
      </c>
      <c r="E52" s="76"/>
      <c r="F52" s="31" t="s">
        <v>17</v>
      </c>
      <c r="G52" s="5">
        <v>848918</v>
      </c>
      <c r="H52" s="5">
        <v>205595</v>
      </c>
      <c r="I52" s="5">
        <v>1054513</v>
      </c>
      <c r="J52" s="76"/>
    </row>
    <row r="53" spans="1:10" x14ac:dyDescent="0.3">
      <c r="A53" s="31" t="s">
        <v>18</v>
      </c>
      <c r="B53" s="5">
        <v>96848</v>
      </c>
      <c r="C53" s="5">
        <v>17084</v>
      </c>
      <c r="D53" s="5">
        <v>113932</v>
      </c>
      <c r="E53" s="76"/>
      <c r="F53" s="31" t="s">
        <v>18</v>
      </c>
      <c r="G53" s="5">
        <v>1399449</v>
      </c>
      <c r="H53" s="5">
        <v>191567</v>
      </c>
      <c r="I53" s="5">
        <v>1591016</v>
      </c>
      <c r="J53" s="76"/>
    </row>
    <row r="54" spans="1:10" x14ac:dyDescent="0.3">
      <c r="A54" s="31" t="s">
        <v>19</v>
      </c>
      <c r="B54" s="5">
        <v>256184</v>
      </c>
      <c r="C54" s="5">
        <v>79674</v>
      </c>
      <c r="D54" s="5">
        <v>335858</v>
      </c>
      <c r="E54" s="76"/>
      <c r="F54" s="31" t="s">
        <v>19</v>
      </c>
      <c r="G54" s="5">
        <v>3627286</v>
      </c>
      <c r="H54" s="5">
        <v>901693</v>
      </c>
      <c r="I54" s="5">
        <v>4528979</v>
      </c>
      <c r="J54" s="76"/>
    </row>
    <row r="55" spans="1:10" x14ac:dyDescent="0.3">
      <c r="A55" s="31" t="s">
        <v>20</v>
      </c>
      <c r="B55" s="5">
        <v>2162956</v>
      </c>
      <c r="C55" s="5">
        <v>918878</v>
      </c>
      <c r="D55" s="5">
        <v>3081834</v>
      </c>
      <c r="E55" s="76"/>
      <c r="F55" s="31" t="s">
        <v>20</v>
      </c>
      <c r="G55" s="5">
        <v>27239014</v>
      </c>
      <c r="H55" s="5">
        <v>8817153</v>
      </c>
      <c r="I55" s="5">
        <v>36056167</v>
      </c>
      <c r="J55" s="76"/>
    </row>
    <row r="56" spans="1:10" x14ac:dyDescent="0.3">
      <c r="A56" s="31" t="s">
        <v>21</v>
      </c>
      <c r="B56" s="5">
        <v>175884</v>
      </c>
      <c r="C56" s="5">
        <v>43618</v>
      </c>
      <c r="D56" s="5">
        <v>219502</v>
      </c>
      <c r="E56" s="76"/>
      <c r="F56" s="31" t="s">
        <v>21</v>
      </c>
      <c r="G56" s="5">
        <v>2967306</v>
      </c>
      <c r="H56" s="5">
        <v>552494</v>
      </c>
      <c r="I56" s="5">
        <v>3519800</v>
      </c>
      <c r="J56" s="76"/>
    </row>
    <row r="57" spans="1:10" x14ac:dyDescent="0.3">
      <c r="A57" s="31" t="s">
        <v>22</v>
      </c>
      <c r="B57" s="5">
        <v>152404</v>
      </c>
      <c r="C57" s="5">
        <v>35116</v>
      </c>
      <c r="D57" s="5">
        <v>187520</v>
      </c>
      <c r="E57" s="76"/>
      <c r="F57" s="31" t="s">
        <v>22</v>
      </c>
      <c r="G57" s="5">
        <v>2158476</v>
      </c>
      <c r="H57" s="5">
        <v>376946</v>
      </c>
      <c r="I57" s="5">
        <v>2535422</v>
      </c>
      <c r="J57" s="76"/>
    </row>
    <row r="58" spans="1:10" x14ac:dyDescent="0.3">
      <c r="A58" s="31" t="s">
        <v>23</v>
      </c>
      <c r="B58" s="5">
        <v>404376</v>
      </c>
      <c r="C58" s="5">
        <v>97115</v>
      </c>
      <c r="D58" s="5">
        <v>501491</v>
      </c>
      <c r="E58" s="76"/>
      <c r="F58" s="31" t="s">
        <v>23</v>
      </c>
      <c r="G58" s="5">
        <v>5598201</v>
      </c>
      <c r="H58" s="5">
        <v>1097175</v>
      </c>
      <c r="I58" s="5">
        <v>6695376</v>
      </c>
      <c r="J58" s="76"/>
    </row>
    <row r="59" spans="1:10" x14ac:dyDescent="0.3">
      <c r="A59" s="31" t="s">
        <v>24</v>
      </c>
      <c r="B59" s="5">
        <v>135246</v>
      </c>
      <c r="C59" s="5">
        <v>38255</v>
      </c>
      <c r="D59" s="5">
        <v>173501</v>
      </c>
      <c r="E59" s="76"/>
      <c r="F59" s="31" t="s">
        <v>24</v>
      </c>
      <c r="G59" s="5">
        <v>1641506</v>
      </c>
      <c r="H59" s="5">
        <v>399345</v>
      </c>
      <c r="I59" s="5">
        <v>2040851</v>
      </c>
      <c r="J59" s="76"/>
    </row>
    <row r="60" spans="1:10" x14ac:dyDescent="0.3">
      <c r="A60" s="31" t="s">
        <v>25</v>
      </c>
      <c r="B60" s="5">
        <v>35014</v>
      </c>
      <c r="C60" s="5">
        <v>14825</v>
      </c>
      <c r="D60" s="5">
        <v>49839</v>
      </c>
      <c r="E60" s="76"/>
      <c r="F60" s="31" t="s">
        <v>25</v>
      </c>
      <c r="G60" s="5">
        <v>324064</v>
      </c>
      <c r="H60" s="5">
        <v>123784</v>
      </c>
      <c r="I60" s="5">
        <v>447848</v>
      </c>
      <c r="J60" s="76"/>
    </row>
    <row r="61" spans="1:10" x14ac:dyDescent="0.3">
      <c r="A61" s="31" t="s">
        <v>26</v>
      </c>
      <c r="B61" s="5">
        <v>145317</v>
      </c>
      <c r="C61" s="5">
        <v>45103</v>
      </c>
      <c r="D61" s="5">
        <v>190420</v>
      </c>
      <c r="E61" s="76"/>
      <c r="F61" s="31" t="s">
        <v>26</v>
      </c>
      <c r="G61" s="5">
        <v>1521897</v>
      </c>
      <c r="H61" s="5">
        <v>425735</v>
      </c>
      <c r="I61" s="5">
        <v>1947632</v>
      </c>
      <c r="J61" s="76"/>
    </row>
    <row r="62" spans="1:10" x14ac:dyDescent="0.3">
      <c r="A62" s="31" t="s">
        <v>27</v>
      </c>
      <c r="B62" s="5">
        <v>17556</v>
      </c>
      <c r="C62" s="5">
        <v>5351</v>
      </c>
      <c r="D62" s="5">
        <v>22907</v>
      </c>
      <c r="E62" s="76"/>
      <c r="F62" s="31" t="s">
        <v>27</v>
      </c>
      <c r="G62" s="5">
        <v>199436</v>
      </c>
      <c r="H62" s="5">
        <v>53018</v>
      </c>
      <c r="I62" s="5">
        <v>252454</v>
      </c>
      <c r="J62" s="76"/>
    </row>
    <row r="63" spans="1:10" x14ac:dyDescent="0.3">
      <c r="A63" s="31" t="s">
        <v>28</v>
      </c>
      <c r="B63" s="5">
        <v>30203</v>
      </c>
      <c r="C63" s="5">
        <v>13719</v>
      </c>
      <c r="D63" s="5">
        <v>43922</v>
      </c>
      <c r="E63" s="76"/>
      <c r="F63" s="31" t="s">
        <v>28</v>
      </c>
      <c r="G63" s="5">
        <v>395764</v>
      </c>
      <c r="H63" s="5">
        <v>161114</v>
      </c>
      <c r="I63" s="5">
        <v>556878</v>
      </c>
      <c r="J63" s="76"/>
    </row>
    <row r="64" spans="1:10" x14ac:dyDescent="0.3">
      <c r="A64" s="31" t="s">
        <v>478</v>
      </c>
      <c r="B64" s="5">
        <v>0</v>
      </c>
      <c r="C64" s="5">
        <v>15889</v>
      </c>
      <c r="D64" s="5">
        <v>15889</v>
      </c>
      <c r="E64" s="76"/>
      <c r="F64" s="31" t="s">
        <v>478</v>
      </c>
      <c r="G64" s="5">
        <v>0</v>
      </c>
      <c r="H64" s="5">
        <v>160998</v>
      </c>
      <c r="I64" s="5">
        <v>160998</v>
      </c>
      <c r="J64" s="76"/>
    </row>
    <row r="65" spans="1:10" x14ac:dyDescent="0.3">
      <c r="A65" s="29" t="s">
        <v>60</v>
      </c>
      <c r="B65" s="57">
        <v>3866212</v>
      </c>
      <c r="C65" s="57">
        <v>1430654</v>
      </c>
      <c r="D65" s="57">
        <v>5296866</v>
      </c>
      <c r="E65" s="76"/>
      <c r="F65" s="29" t="s">
        <v>60</v>
      </c>
      <c r="G65" s="57">
        <v>50424418</v>
      </c>
      <c r="H65" s="57">
        <v>14483922</v>
      </c>
      <c r="I65" s="57">
        <v>64908340</v>
      </c>
      <c r="J65" s="76"/>
    </row>
    <row r="66" spans="1:10" x14ac:dyDescent="0.3">
      <c r="B66" s="73"/>
      <c r="C66" s="73"/>
      <c r="D66" s="73"/>
      <c r="G66" s="76"/>
      <c r="H66" s="76"/>
      <c r="I66" s="76"/>
    </row>
    <row r="68" spans="1:10" x14ac:dyDescent="0.3">
      <c r="A68" s="7" t="s">
        <v>134</v>
      </c>
      <c r="F68" s="2" t="s">
        <v>135</v>
      </c>
    </row>
    <row r="69" spans="1:10" x14ac:dyDescent="0.3">
      <c r="A69" s="7" t="s">
        <v>368</v>
      </c>
      <c r="F69" s="2" t="s">
        <v>369</v>
      </c>
    </row>
    <row r="70" spans="1:10" x14ac:dyDescent="0.3">
      <c r="A70" s="8" t="s">
        <v>211</v>
      </c>
      <c r="B70" s="8" t="s">
        <v>0</v>
      </c>
      <c r="C70" s="8" t="s">
        <v>1</v>
      </c>
      <c r="D70" s="8" t="s">
        <v>59</v>
      </c>
      <c r="F70" s="8" t="s">
        <v>211</v>
      </c>
      <c r="G70" s="8" t="s">
        <v>0</v>
      </c>
      <c r="H70" s="8" t="s">
        <v>1</v>
      </c>
      <c r="I70" s="8" t="s">
        <v>59</v>
      </c>
    </row>
    <row r="71" spans="1:10" x14ac:dyDescent="0.3">
      <c r="A71" s="31" t="s">
        <v>61</v>
      </c>
      <c r="B71" s="4">
        <v>3559516</v>
      </c>
      <c r="C71" s="4">
        <v>1068786</v>
      </c>
      <c r="D71" s="4">
        <v>4628302</v>
      </c>
      <c r="E71" s="76"/>
      <c r="F71" s="31" t="s">
        <v>61</v>
      </c>
      <c r="G71" s="4">
        <v>44126521</v>
      </c>
      <c r="H71" s="4">
        <v>8698215</v>
      </c>
      <c r="I71" s="4">
        <v>52824736</v>
      </c>
      <c r="J71" s="76"/>
    </row>
    <row r="72" spans="1:10" x14ac:dyDescent="0.3">
      <c r="A72" s="31" t="s">
        <v>62</v>
      </c>
      <c r="B72" s="5">
        <v>104556</v>
      </c>
      <c r="C72" s="5">
        <v>144747</v>
      </c>
      <c r="D72" s="5">
        <v>249303</v>
      </c>
      <c r="E72" s="76"/>
      <c r="F72" s="31" t="s">
        <v>62</v>
      </c>
      <c r="G72" s="5">
        <v>2170872</v>
      </c>
      <c r="H72" s="5">
        <v>2219701</v>
      </c>
      <c r="I72" s="5">
        <v>4390573</v>
      </c>
      <c r="J72" s="76"/>
    </row>
    <row r="73" spans="1:10" x14ac:dyDescent="0.3">
      <c r="A73" s="31" t="s">
        <v>7</v>
      </c>
      <c r="B73" s="5">
        <v>202094</v>
      </c>
      <c r="C73" s="5">
        <v>217121</v>
      </c>
      <c r="D73" s="5">
        <v>419215</v>
      </c>
      <c r="E73" s="76"/>
      <c r="F73" s="31" t="s">
        <v>7</v>
      </c>
      <c r="G73" s="5">
        <v>4126368</v>
      </c>
      <c r="H73" s="5">
        <v>3566006</v>
      </c>
      <c r="I73" s="5">
        <v>7692374</v>
      </c>
      <c r="J73" s="76"/>
    </row>
    <row r="74" spans="1:10" x14ac:dyDescent="0.3">
      <c r="A74" s="31" t="s">
        <v>8</v>
      </c>
      <c r="B74" s="5">
        <v>21</v>
      </c>
      <c r="C74" s="5">
        <v>0</v>
      </c>
      <c r="D74" s="5">
        <v>21</v>
      </c>
      <c r="E74" s="76"/>
      <c r="F74" s="31" t="s">
        <v>8</v>
      </c>
      <c r="G74" s="5">
        <v>454</v>
      </c>
      <c r="H74" s="5">
        <v>0</v>
      </c>
      <c r="I74" s="5">
        <v>454</v>
      </c>
      <c r="J74" s="76"/>
    </row>
    <row r="75" spans="1:10" x14ac:dyDescent="0.3">
      <c r="A75" s="31" t="s">
        <v>478</v>
      </c>
      <c r="B75" s="5">
        <v>25</v>
      </c>
      <c r="C75" s="5">
        <v>0</v>
      </c>
      <c r="D75" s="5">
        <v>25</v>
      </c>
      <c r="E75" s="76"/>
      <c r="F75" s="31" t="s">
        <v>478</v>
      </c>
      <c r="G75" s="5">
        <v>203</v>
      </c>
      <c r="H75" s="5">
        <v>0</v>
      </c>
      <c r="I75" s="5">
        <v>203</v>
      </c>
      <c r="J75" s="76"/>
    </row>
    <row r="76" spans="1:10" x14ac:dyDescent="0.3">
      <c r="A76" s="29" t="s">
        <v>60</v>
      </c>
      <c r="B76" s="57">
        <v>3866212</v>
      </c>
      <c r="C76" s="57">
        <v>1430654</v>
      </c>
      <c r="D76" s="57">
        <v>5296866</v>
      </c>
      <c r="E76" s="76"/>
      <c r="F76" s="29" t="s">
        <v>60</v>
      </c>
      <c r="G76" s="57">
        <v>50424418</v>
      </c>
      <c r="H76" s="57">
        <v>14483922</v>
      </c>
      <c r="I76" s="57">
        <v>64908340</v>
      </c>
      <c r="J76" s="76"/>
    </row>
    <row r="77" spans="1:10" x14ac:dyDescent="0.3">
      <c r="B77" s="73"/>
      <c r="C77" s="73"/>
      <c r="D77" s="73"/>
      <c r="G77" s="76"/>
      <c r="H77" s="76"/>
      <c r="I77" s="76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90"/>
  <sheetViews>
    <sheetView showGridLines="0" topLeftCell="A69" zoomScaleNormal="100" workbookViewId="0">
      <selection activeCell="C25" sqref="C25"/>
    </sheetView>
  </sheetViews>
  <sheetFormatPr baseColWidth="10" defaultColWidth="33.109375" defaultRowHeight="13.8" x14ac:dyDescent="0.3"/>
  <cols>
    <col min="1" max="1" width="30.6640625" style="3" customWidth="1"/>
    <col min="2" max="5" width="15.6640625" style="6" customWidth="1"/>
    <col min="6" max="6" width="30.6640625" style="6" customWidth="1"/>
    <col min="7" max="37" width="15.6640625" style="3" customWidth="1"/>
    <col min="38" max="16384" width="33.109375" style="3"/>
  </cols>
  <sheetData>
    <row r="1" spans="1:11" ht="18" x14ac:dyDescent="0.35">
      <c r="A1" s="1" t="s">
        <v>196</v>
      </c>
    </row>
    <row r="2" spans="1:11" ht="18" x14ac:dyDescent="0.35">
      <c r="A2" s="1"/>
    </row>
    <row r="3" spans="1:11" x14ac:dyDescent="0.3">
      <c r="A3" s="2" t="s">
        <v>131</v>
      </c>
      <c r="F3" s="2" t="s">
        <v>137</v>
      </c>
      <c r="G3" s="6"/>
      <c r="H3" s="6"/>
      <c r="I3" s="6"/>
    </row>
    <row r="4" spans="1:11" x14ac:dyDescent="0.3">
      <c r="A4" s="2" t="s">
        <v>549</v>
      </c>
      <c r="F4" s="2" t="s">
        <v>554</v>
      </c>
      <c r="G4" s="6"/>
      <c r="H4" s="6"/>
      <c r="I4" s="6"/>
    </row>
    <row r="5" spans="1:11" x14ac:dyDescent="0.3">
      <c r="A5" s="8" t="s">
        <v>65</v>
      </c>
      <c r="B5" s="8" t="s">
        <v>0</v>
      </c>
      <c r="C5" s="8" t="s">
        <v>1</v>
      </c>
      <c r="D5" s="8" t="s">
        <v>59</v>
      </c>
      <c r="F5" s="8" t="s">
        <v>65</v>
      </c>
      <c r="G5" s="8" t="s">
        <v>0</v>
      </c>
      <c r="H5" s="8" t="s">
        <v>1</v>
      </c>
      <c r="I5" s="8" t="s">
        <v>59</v>
      </c>
    </row>
    <row r="6" spans="1:11" x14ac:dyDescent="0.3">
      <c r="A6" s="25">
        <v>2013</v>
      </c>
      <c r="B6" s="4">
        <v>2640436</v>
      </c>
      <c r="C6" s="4">
        <v>1385015</v>
      </c>
      <c r="D6" s="23">
        <v>4025451</v>
      </c>
      <c r="E6" s="73"/>
      <c r="F6" s="25">
        <v>2013</v>
      </c>
      <c r="G6" s="4">
        <v>31300886</v>
      </c>
      <c r="H6" s="4">
        <v>10819899</v>
      </c>
      <c r="I6" s="23">
        <v>42120785</v>
      </c>
      <c r="J6" s="73"/>
    </row>
    <row r="7" spans="1:11" x14ac:dyDescent="0.3">
      <c r="A7" s="25">
        <v>2014</v>
      </c>
      <c r="B7" s="5">
        <v>2847159</v>
      </c>
      <c r="C7" s="5">
        <v>1565075</v>
      </c>
      <c r="D7" s="14">
        <v>4412234</v>
      </c>
      <c r="E7" s="73"/>
      <c r="F7" s="25">
        <v>2014</v>
      </c>
      <c r="G7" s="5">
        <v>33174797</v>
      </c>
      <c r="H7" s="5">
        <v>12033526</v>
      </c>
      <c r="I7" s="14">
        <v>45208323</v>
      </c>
      <c r="J7" s="73"/>
    </row>
    <row r="8" spans="1:11" x14ac:dyDescent="0.3">
      <c r="A8" s="25">
        <v>2015</v>
      </c>
      <c r="B8" s="5">
        <v>3159058</v>
      </c>
      <c r="C8" s="5">
        <v>1696620</v>
      </c>
      <c r="D8" s="14">
        <v>4855678</v>
      </c>
      <c r="E8" s="73"/>
      <c r="F8" s="25">
        <v>2015</v>
      </c>
      <c r="G8" s="5">
        <v>35572645</v>
      </c>
      <c r="H8" s="5">
        <v>12310568</v>
      </c>
      <c r="I8" s="14">
        <v>47883213</v>
      </c>
      <c r="J8" s="73"/>
    </row>
    <row r="9" spans="1:11" x14ac:dyDescent="0.3">
      <c r="A9" s="25">
        <v>2016</v>
      </c>
      <c r="B9" s="5">
        <v>3348560</v>
      </c>
      <c r="C9" s="5">
        <v>1685906</v>
      </c>
      <c r="D9" s="14">
        <v>5034466</v>
      </c>
      <c r="E9" s="73"/>
      <c r="F9" s="25">
        <v>2016</v>
      </c>
      <c r="G9" s="5">
        <v>38924481</v>
      </c>
      <c r="H9" s="5">
        <v>11774964</v>
      </c>
      <c r="I9" s="14">
        <v>50699445</v>
      </c>
      <c r="J9" s="73"/>
    </row>
    <row r="10" spans="1:11" x14ac:dyDescent="0.3">
      <c r="A10" s="27">
        <v>2017</v>
      </c>
      <c r="B10" s="15">
        <v>3664072</v>
      </c>
      <c r="C10" s="15">
        <v>1808897</v>
      </c>
      <c r="D10" s="26">
        <v>5472969</v>
      </c>
      <c r="E10" s="73"/>
      <c r="F10" s="27">
        <v>2017</v>
      </c>
      <c r="G10" s="15">
        <v>42158224</v>
      </c>
      <c r="H10" s="15">
        <v>12868190</v>
      </c>
      <c r="I10" s="26">
        <v>55026414</v>
      </c>
      <c r="J10" s="73"/>
    </row>
    <row r="11" spans="1:11" x14ac:dyDescent="0.3">
      <c r="A11" s="3" t="s">
        <v>79</v>
      </c>
      <c r="B11" s="73"/>
      <c r="C11" s="73"/>
      <c r="D11" s="73"/>
      <c r="E11" s="64"/>
      <c r="F11" s="3" t="s">
        <v>78</v>
      </c>
      <c r="G11" s="76"/>
      <c r="H11" s="76"/>
      <c r="I11" s="76"/>
      <c r="J11" s="65"/>
    </row>
    <row r="12" spans="1:11" x14ac:dyDescent="0.3">
      <c r="E12" s="64"/>
      <c r="F12" s="3"/>
      <c r="G12" s="67"/>
      <c r="H12" s="65"/>
      <c r="I12" s="65"/>
      <c r="K12" s="65"/>
    </row>
    <row r="13" spans="1:11" x14ac:dyDescent="0.3">
      <c r="A13" s="2" t="s">
        <v>100</v>
      </c>
      <c r="F13" s="2" t="s">
        <v>101</v>
      </c>
    </row>
    <row r="14" spans="1:11" x14ac:dyDescent="0.3">
      <c r="A14" s="2" t="s">
        <v>550</v>
      </c>
      <c r="F14" s="2" t="s">
        <v>555</v>
      </c>
    </row>
    <row r="15" spans="1:11" x14ac:dyDescent="0.3">
      <c r="A15" s="8" t="s">
        <v>66</v>
      </c>
      <c r="B15" s="8" t="s">
        <v>0</v>
      </c>
      <c r="C15" s="8" t="s">
        <v>1</v>
      </c>
      <c r="D15" s="8" t="s">
        <v>59</v>
      </c>
      <c r="F15" s="8" t="s">
        <v>66</v>
      </c>
      <c r="G15" s="8" t="s">
        <v>0</v>
      </c>
      <c r="H15" s="8" t="s">
        <v>1</v>
      </c>
      <c r="I15" s="8" t="s">
        <v>59</v>
      </c>
    </row>
    <row r="16" spans="1:11" x14ac:dyDescent="0.3">
      <c r="A16" s="22" t="s">
        <v>5</v>
      </c>
      <c r="B16" s="4">
        <v>1321216</v>
      </c>
      <c r="C16" s="4">
        <v>866723.55166773382</v>
      </c>
      <c r="D16" s="23">
        <v>2187939.551667734</v>
      </c>
      <c r="E16" s="73"/>
      <c r="F16" s="22" t="s">
        <v>5</v>
      </c>
      <c r="G16" s="4">
        <v>16927706</v>
      </c>
      <c r="H16" s="4">
        <v>6735071.3624152504</v>
      </c>
      <c r="I16" s="23">
        <v>23662777.36241525</v>
      </c>
      <c r="J16" s="73"/>
    </row>
    <row r="17" spans="1:10" x14ac:dyDescent="0.3">
      <c r="A17" s="25" t="s">
        <v>6</v>
      </c>
      <c r="B17" s="5">
        <v>2342856</v>
      </c>
      <c r="C17" s="5">
        <v>942173.44833226618</v>
      </c>
      <c r="D17" s="14">
        <v>3285029.448332266</v>
      </c>
      <c r="E17" s="73"/>
      <c r="F17" s="25" t="s">
        <v>6</v>
      </c>
      <c r="G17" s="5">
        <v>25230518</v>
      </c>
      <c r="H17" s="5">
        <v>6133118.6375847496</v>
      </c>
      <c r="I17" s="14">
        <v>31363636.63758475</v>
      </c>
      <c r="J17" s="73"/>
    </row>
    <row r="18" spans="1:10" x14ac:dyDescent="0.3">
      <c r="A18" s="25" t="s">
        <v>478</v>
      </c>
      <c r="B18" s="5">
        <v>0</v>
      </c>
      <c r="C18" s="5">
        <v>0</v>
      </c>
      <c r="D18" s="14">
        <v>0</v>
      </c>
      <c r="E18" s="73"/>
      <c r="F18" s="25" t="s">
        <v>478</v>
      </c>
      <c r="G18" s="5">
        <v>0</v>
      </c>
      <c r="H18" s="5">
        <v>0</v>
      </c>
      <c r="I18" s="14">
        <v>0</v>
      </c>
      <c r="J18" s="73"/>
    </row>
    <row r="19" spans="1:10" x14ac:dyDescent="0.3">
      <c r="A19" s="29" t="s">
        <v>60</v>
      </c>
      <c r="B19" s="57">
        <v>3664072</v>
      </c>
      <c r="C19" s="57">
        <v>1808897</v>
      </c>
      <c r="D19" s="57">
        <v>5472969</v>
      </c>
      <c r="E19" s="73"/>
      <c r="F19" s="29" t="s">
        <v>60</v>
      </c>
      <c r="G19" s="57">
        <v>42158224</v>
      </c>
      <c r="H19" s="57">
        <v>12868190</v>
      </c>
      <c r="I19" s="57">
        <v>55026414</v>
      </c>
      <c r="J19" s="73"/>
    </row>
    <row r="20" spans="1:10" x14ac:dyDescent="0.3">
      <c r="A20" s="3" t="s">
        <v>79</v>
      </c>
      <c r="B20" s="73"/>
      <c r="C20" s="73"/>
      <c r="D20" s="73"/>
      <c r="F20" s="3" t="s">
        <v>78</v>
      </c>
      <c r="G20" s="76"/>
      <c r="H20" s="76"/>
      <c r="I20" s="76"/>
    </row>
    <row r="21" spans="1:10" x14ac:dyDescent="0.3">
      <c r="F21" s="3"/>
    </row>
    <row r="22" spans="1:10" x14ac:dyDescent="0.3">
      <c r="A22" s="2" t="s">
        <v>128</v>
      </c>
      <c r="F22" s="2" t="s">
        <v>130</v>
      </c>
    </row>
    <row r="23" spans="1:10" x14ac:dyDescent="0.3">
      <c r="A23" s="2" t="s">
        <v>551</v>
      </c>
      <c r="F23" s="2" t="s">
        <v>556</v>
      </c>
    </row>
    <row r="24" spans="1:10" ht="12.75" customHeight="1" x14ac:dyDescent="0.3">
      <c r="A24" s="8" t="s">
        <v>67</v>
      </c>
      <c r="B24" s="8" t="s">
        <v>572</v>
      </c>
      <c r="C24" s="8" t="s">
        <v>573</v>
      </c>
      <c r="D24" s="8" t="s">
        <v>59</v>
      </c>
      <c r="F24" s="8" t="s">
        <v>67</v>
      </c>
      <c r="G24" s="8" t="s">
        <v>0</v>
      </c>
      <c r="H24" s="8" t="s">
        <v>1</v>
      </c>
      <c r="I24" s="8" t="s">
        <v>59</v>
      </c>
    </row>
    <row r="25" spans="1:10" x14ac:dyDescent="0.3">
      <c r="A25" s="22" t="s">
        <v>53</v>
      </c>
      <c r="B25" s="4">
        <v>25193</v>
      </c>
      <c r="C25" s="4">
        <v>2402.8534568075197</v>
      </c>
      <c r="D25" s="4">
        <v>27595.853456807519</v>
      </c>
      <c r="E25" s="73"/>
      <c r="F25" s="22" t="s">
        <v>53</v>
      </c>
      <c r="G25" s="4">
        <v>181476</v>
      </c>
      <c r="H25" s="4">
        <v>11315.289507388221</v>
      </c>
      <c r="I25" s="4">
        <v>192791.28950738822</v>
      </c>
      <c r="J25" s="73"/>
    </row>
    <row r="26" spans="1:10" x14ac:dyDescent="0.3">
      <c r="A26" s="25" t="s">
        <v>2</v>
      </c>
      <c r="B26" s="5">
        <v>282168</v>
      </c>
      <c r="C26" s="5">
        <v>69399.535509953173</v>
      </c>
      <c r="D26" s="5">
        <v>351567.53550995316</v>
      </c>
      <c r="E26" s="73"/>
      <c r="F26" s="25" t="s">
        <v>2</v>
      </c>
      <c r="G26" s="5">
        <v>2423735</v>
      </c>
      <c r="H26" s="5">
        <v>352900.49337779259</v>
      </c>
      <c r="I26" s="5">
        <v>2776635.4933777926</v>
      </c>
      <c r="J26" s="73"/>
    </row>
    <row r="27" spans="1:10" x14ac:dyDescent="0.3">
      <c r="A27" s="25" t="s">
        <v>54</v>
      </c>
      <c r="B27" s="5">
        <v>1056613</v>
      </c>
      <c r="C27" s="5">
        <v>629994.78684798849</v>
      </c>
      <c r="D27" s="5">
        <v>1686607.7868479886</v>
      </c>
      <c r="E27" s="73"/>
      <c r="F27" s="25" t="s">
        <v>54</v>
      </c>
      <c r="G27" s="5">
        <v>10302941</v>
      </c>
      <c r="H27" s="5">
        <v>3522183.318632246</v>
      </c>
      <c r="I27" s="5">
        <v>13825124.318632245</v>
      </c>
      <c r="J27" s="73"/>
    </row>
    <row r="28" spans="1:10" x14ac:dyDescent="0.3">
      <c r="A28" s="25" t="s">
        <v>55</v>
      </c>
      <c r="B28" s="5">
        <v>860879</v>
      </c>
      <c r="C28" s="5">
        <v>520155.16803580947</v>
      </c>
      <c r="D28" s="5">
        <v>1381034.1680358094</v>
      </c>
      <c r="E28" s="73"/>
      <c r="F28" s="25" t="s">
        <v>55</v>
      </c>
      <c r="G28" s="5">
        <v>9351286</v>
      </c>
      <c r="H28" s="5">
        <v>3581879.135519838</v>
      </c>
      <c r="I28" s="5">
        <v>12933165.135519838</v>
      </c>
      <c r="J28" s="73"/>
    </row>
    <row r="29" spans="1:10" x14ac:dyDescent="0.3">
      <c r="A29" s="25" t="s">
        <v>56</v>
      </c>
      <c r="B29" s="5">
        <v>750656</v>
      </c>
      <c r="C29" s="5">
        <v>321870.56792110309</v>
      </c>
      <c r="D29" s="5">
        <v>1072526.567921103</v>
      </c>
      <c r="E29" s="73"/>
      <c r="F29" s="25" t="s">
        <v>56</v>
      </c>
      <c r="G29" s="5">
        <v>9349097</v>
      </c>
      <c r="H29" s="5">
        <v>2712487.7250355096</v>
      </c>
      <c r="I29" s="5">
        <v>12061584.725035509</v>
      </c>
      <c r="J29" s="73"/>
    </row>
    <row r="30" spans="1:10" x14ac:dyDescent="0.3">
      <c r="A30" s="25" t="s">
        <v>57</v>
      </c>
      <c r="B30" s="5">
        <v>535409</v>
      </c>
      <c r="C30" s="5">
        <v>220028.03893260422</v>
      </c>
      <c r="D30" s="5">
        <v>755437.03893260425</v>
      </c>
      <c r="E30" s="73"/>
      <c r="F30" s="25" t="s">
        <v>57</v>
      </c>
      <c r="G30" s="5">
        <v>7895729</v>
      </c>
      <c r="H30" s="5">
        <v>2159211.4220493315</v>
      </c>
      <c r="I30" s="5">
        <v>10054940.422049332</v>
      </c>
      <c r="J30" s="73"/>
    </row>
    <row r="31" spans="1:10" x14ac:dyDescent="0.3">
      <c r="A31" s="25" t="s">
        <v>3</v>
      </c>
      <c r="B31" s="5">
        <v>153154</v>
      </c>
      <c r="C31" s="5">
        <v>45037.105672445658</v>
      </c>
      <c r="D31" s="5">
        <v>198191.10567244567</v>
      </c>
      <c r="E31" s="73"/>
      <c r="F31" s="25" t="s">
        <v>3</v>
      </c>
      <c r="G31" s="5">
        <v>2653960</v>
      </c>
      <c r="H31" s="5">
        <v>528182.31343277381</v>
      </c>
      <c r="I31" s="5">
        <v>3182142.3134327736</v>
      </c>
      <c r="J31" s="73"/>
    </row>
    <row r="32" spans="1:10" x14ac:dyDescent="0.3">
      <c r="A32" s="25" t="s">
        <v>478</v>
      </c>
      <c r="B32" s="5">
        <v>0</v>
      </c>
      <c r="C32" s="5">
        <v>8.9436232883654583</v>
      </c>
      <c r="D32" s="5">
        <v>8.9436232883654583</v>
      </c>
      <c r="E32" s="73"/>
      <c r="F32" s="25" t="s">
        <v>478</v>
      </c>
      <c r="G32" s="5">
        <v>0</v>
      </c>
      <c r="H32" s="5">
        <v>30.302445120604876</v>
      </c>
      <c r="I32" s="5">
        <v>30.302445120604876</v>
      </c>
      <c r="J32" s="73"/>
    </row>
    <row r="33" spans="1:10" x14ac:dyDescent="0.3">
      <c r="A33" s="29" t="s">
        <v>60</v>
      </c>
      <c r="B33" s="57">
        <v>3664072</v>
      </c>
      <c r="C33" s="57">
        <v>1808896.9999999998</v>
      </c>
      <c r="D33" s="57">
        <v>5472969</v>
      </c>
      <c r="E33" s="73"/>
      <c r="F33" s="29" t="s">
        <v>60</v>
      </c>
      <c r="G33" s="57">
        <v>42158224</v>
      </c>
      <c r="H33" s="57">
        <v>12868190.000000002</v>
      </c>
      <c r="I33" s="57">
        <v>55026414</v>
      </c>
      <c r="J33" s="73"/>
    </row>
    <row r="34" spans="1:10" x14ac:dyDescent="0.3">
      <c r="A34" s="3" t="s">
        <v>79</v>
      </c>
      <c r="B34" s="73"/>
      <c r="C34" s="73"/>
      <c r="D34" s="73"/>
      <c r="F34" s="3" t="s">
        <v>78</v>
      </c>
      <c r="G34" s="76"/>
      <c r="H34" s="76"/>
      <c r="I34" s="76"/>
    </row>
    <row r="35" spans="1:10" x14ac:dyDescent="0.3">
      <c r="F35" s="3"/>
    </row>
    <row r="36" spans="1:10" x14ac:dyDescent="0.3">
      <c r="A36" s="2" t="s">
        <v>129</v>
      </c>
      <c r="F36" s="2" t="s">
        <v>139</v>
      </c>
    </row>
    <row r="37" spans="1:10" x14ac:dyDescent="0.3">
      <c r="A37" s="2" t="s">
        <v>552</v>
      </c>
      <c r="F37" s="2" t="s">
        <v>557</v>
      </c>
    </row>
    <row r="38" spans="1:10" x14ac:dyDescent="0.3">
      <c r="A38" s="8" t="s">
        <v>68</v>
      </c>
      <c r="B38" s="8" t="s">
        <v>0</v>
      </c>
      <c r="C38" s="8" t="s">
        <v>1</v>
      </c>
      <c r="D38" s="8" t="s">
        <v>59</v>
      </c>
      <c r="F38" s="8" t="s">
        <v>68</v>
      </c>
      <c r="G38" s="8" t="s">
        <v>0</v>
      </c>
      <c r="H38" s="8" t="s">
        <v>1</v>
      </c>
      <c r="I38" s="8" t="s">
        <v>59</v>
      </c>
    </row>
    <row r="39" spans="1:10" x14ac:dyDescent="0.3">
      <c r="A39" s="22" t="s">
        <v>29</v>
      </c>
      <c r="B39" s="4">
        <v>2918432</v>
      </c>
      <c r="C39" s="4">
        <v>1232598.2367714765</v>
      </c>
      <c r="D39" s="5">
        <v>4151030.2367714765</v>
      </c>
      <c r="E39" s="73"/>
      <c r="F39" s="22" t="s">
        <v>29</v>
      </c>
      <c r="G39" s="4">
        <v>36057537</v>
      </c>
      <c r="H39" s="4">
        <v>10473107.910125423</v>
      </c>
      <c r="I39" s="4">
        <v>46530644.910125419</v>
      </c>
      <c r="J39" s="73"/>
    </row>
    <row r="40" spans="1:10" x14ac:dyDescent="0.3">
      <c r="A40" s="25" t="s">
        <v>30</v>
      </c>
      <c r="B40" s="5">
        <v>734046</v>
      </c>
      <c r="C40" s="5">
        <v>567122.60573466076</v>
      </c>
      <c r="D40" s="5">
        <v>1301168.6057346608</v>
      </c>
      <c r="E40" s="73"/>
      <c r="F40" s="25" t="s">
        <v>30</v>
      </c>
      <c r="G40" s="5">
        <v>5845826</v>
      </c>
      <c r="H40" s="5">
        <v>2271364.3364342335</v>
      </c>
      <c r="I40" s="5">
        <v>8117190.3364342339</v>
      </c>
      <c r="J40" s="73"/>
    </row>
    <row r="41" spans="1:10" x14ac:dyDescent="0.3">
      <c r="A41" s="25" t="s">
        <v>4</v>
      </c>
      <c r="B41" s="5">
        <v>11594</v>
      </c>
      <c r="C41" s="5">
        <v>9176.1574938629601</v>
      </c>
      <c r="D41" s="5">
        <v>20770.15749386296</v>
      </c>
      <c r="E41" s="73"/>
      <c r="F41" s="25" t="s">
        <v>4</v>
      </c>
      <c r="G41" s="5">
        <v>254861</v>
      </c>
      <c r="H41" s="5">
        <v>123717.75344034251</v>
      </c>
      <c r="I41" s="5">
        <v>378578.75344034249</v>
      </c>
      <c r="J41" s="73"/>
    </row>
    <row r="42" spans="1:10" x14ac:dyDescent="0.3">
      <c r="A42" s="25" t="s">
        <v>478</v>
      </c>
      <c r="B42" s="5">
        <v>0</v>
      </c>
      <c r="C42" s="5">
        <v>0</v>
      </c>
      <c r="D42" s="5">
        <v>0</v>
      </c>
      <c r="E42" s="73"/>
      <c r="F42" s="25" t="s">
        <v>478</v>
      </c>
      <c r="G42" s="5">
        <v>0</v>
      </c>
      <c r="H42" s="5">
        <v>0</v>
      </c>
      <c r="I42" s="5">
        <v>0</v>
      </c>
      <c r="J42" s="73"/>
    </row>
    <row r="43" spans="1:10" x14ac:dyDescent="0.3">
      <c r="A43" s="29" t="s">
        <v>60</v>
      </c>
      <c r="B43" s="57">
        <v>3664072</v>
      </c>
      <c r="C43" s="57">
        <v>1808897.0000000002</v>
      </c>
      <c r="D43" s="57">
        <v>5472969</v>
      </c>
      <c r="E43" s="73"/>
      <c r="F43" s="29" t="s">
        <v>60</v>
      </c>
      <c r="G43" s="57">
        <v>42158224</v>
      </c>
      <c r="H43" s="57">
        <v>12868190</v>
      </c>
      <c r="I43" s="57">
        <v>55026413.999999993</v>
      </c>
      <c r="J43" s="73"/>
    </row>
    <row r="44" spans="1:10" x14ac:dyDescent="0.3">
      <c r="A44" s="3" t="s">
        <v>79</v>
      </c>
      <c r="B44" s="73"/>
      <c r="C44" s="73"/>
      <c r="D44" s="73"/>
      <c r="F44" s="3" t="s">
        <v>78</v>
      </c>
      <c r="G44" s="76"/>
      <c r="H44" s="76"/>
      <c r="I44" s="76"/>
    </row>
    <row r="45" spans="1:10" x14ac:dyDescent="0.3">
      <c r="F45" s="3"/>
    </row>
    <row r="46" spans="1:10" ht="12.75" customHeight="1" x14ac:dyDescent="0.3">
      <c r="A46" s="2" t="s">
        <v>136</v>
      </c>
      <c r="F46" s="2" t="s">
        <v>138</v>
      </c>
    </row>
    <row r="47" spans="1:10" ht="12.75" customHeight="1" x14ac:dyDescent="0.3">
      <c r="A47" s="2" t="s">
        <v>553</v>
      </c>
      <c r="F47" s="2" t="s">
        <v>558</v>
      </c>
    </row>
    <row r="48" spans="1:10" x14ac:dyDescent="0.3">
      <c r="A48" s="8" t="s">
        <v>209</v>
      </c>
      <c r="B48" s="8" t="s">
        <v>572</v>
      </c>
      <c r="C48" s="8" t="s">
        <v>573</v>
      </c>
      <c r="D48" s="8" t="s">
        <v>59</v>
      </c>
      <c r="F48" s="8" t="s">
        <v>209</v>
      </c>
      <c r="G48" s="8" t="s">
        <v>572</v>
      </c>
      <c r="H48" s="8" t="s">
        <v>573</v>
      </c>
      <c r="I48" s="8" t="s">
        <v>59</v>
      </c>
    </row>
    <row r="49" spans="1:10" x14ac:dyDescent="0.3">
      <c r="A49" s="30" t="s">
        <v>14</v>
      </c>
      <c r="B49" s="4">
        <v>31481</v>
      </c>
      <c r="C49" s="4">
        <v>12792.362510125395</v>
      </c>
      <c r="D49" s="4">
        <v>44273.362510125393</v>
      </c>
      <c r="E49" s="73"/>
      <c r="F49" s="30" t="s">
        <v>14</v>
      </c>
      <c r="G49" s="4">
        <v>256458</v>
      </c>
      <c r="H49" s="4">
        <v>73273.094798394392</v>
      </c>
      <c r="I49" s="4">
        <v>329731.09479839436</v>
      </c>
      <c r="J49" s="73"/>
    </row>
    <row r="50" spans="1:10" x14ac:dyDescent="0.3">
      <c r="A50" s="31" t="s">
        <v>15</v>
      </c>
      <c r="B50" s="5">
        <v>56098</v>
      </c>
      <c r="C50" s="5">
        <v>27005.270519219503</v>
      </c>
      <c r="D50" s="5">
        <v>83103.270519219499</v>
      </c>
      <c r="E50" s="73"/>
      <c r="F50" s="31" t="s">
        <v>15</v>
      </c>
      <c r="G50" s="5">
        <v>661863</v>
      </c>
      <c r="H50" s="5">
        <v>230102.50827169901</v>
      </c>
      <c r="I50" s="5">
        <v>891965.50827169907</v>
      </c>
      <c r="J50" s="73"/>
    </row>
    <row r="51" spans="1:10" x14ac:dyDescent="0.3">
      <c r="A51" s="31" t="s">
        <v>16</v>
      </c>
      <c r="B51" s="5">
        <v>96402</v>
      </c>
      <c r="C51" s="5">
        <v>70636.736731510391</v>
      </c>
      <c r="D51" s="5">
        <v>167038.73673151038</v>
      </c>
      <c r="E51" s="73"/>
      <c r="F51" s="31" t="s">
        <v>16</v>
      </c>
      <c r="G51" s="5">
        <v>1149204</v>
      </c>
      <c r="H51" s="5">
        <v>619488.92807147163</v>
      </c>
      <c r="I51" s="5">
        <v>1768692.9280714716</v>
      </c>
      <c r="J51" s="73"/>
    </row>
    <row r="52" spans="1:10" x14ac:dyDescent="0.3">
      <c r="A52" s="31" t="s">
        <v>17</v>
      </c>
      <c r="B52" s="5">
        <v>53630</v>
      </c>
      <c r="C52" s="5">
        <v>20504.746992459208</v>
      </c>
      <c r="D52" s="5">
        <v>74134.746992459201</v>
      </c>
      <c r="E52" s="73"/>
      <c r="F52" s="31" t="s">
        <v>17</v>
      </c>
      <c r="G52" s="5">
        <v>691509</v>
      </c>
      <c r="H52" s="5">
        <v>171780.99639516545</v>
      </c>
      <c r="I52" s="5">
        <v>863289.99639516545</v>
      </c>
      <c r="J52" s="73"/>
    </row>
    <row r="53" spans="1:10" x14ac:dyDescent="0.3">
      <c r="A53" s="31" t="s">
        <v>18</v>
      </c>
      <c r="B53" s="5">
        <v>91448</v>
      </c>
      <c r="C53" s="5">
        <v>21826.912635255903</v>
      </c>
      <c r="D53" s="5">
        <v>113274.9126352559</v>
      </c>
      <c r="E53" s="73"/>
      <c r="F53" s="31" t="s">
        <v>18</v>
      </c>
      <c r="G53" s="5">
        <v>1164937</v>
      </c>
      <c r="H53" s="5">
        <v>158888.19724473398</v>
      </c>
      <c r="I53" s="5">
        <v>1323825.197244734</v>
      </c>
      <c r="J53" s="73"/>
    </row>
    <row r="54" spans="1:10" x14ac:dyDescent="0.3">
      <c r="A54" s="31" t="s">
        <v>19</v>
      </c>
      <c r="B54" s="5">
        <v>237764</v>
      </c>
      <c r="C54" s="5">
        <v>99351.729902689083</v>
      </c>
      <c r="D54" s="5">
        <v>337115.72990268911</v>
      </c>
      <c r="E54" s="73"/>
      <c r="F54" s="31" t="s">
        <v>19</v>
      </c>
      <c r="G54" s="5">
        <v>2978518</v>
      </c>
      <c r="H54" s="5">
        <v>783102.52425824828</v>
      </c>
      <c r="I54" s="5">
        <v>3761620.5242582485</v>
      </c>
      <c r="J54" s="73"/>
    </row>
    <row r="55" spans="1:10" x14ac:dyDescent="0.3">
      <c r="A55" s="31" t="s">
        <v>20</v>
      </c>
      <c r="B55" s="5">
        <v>2079224</v>
      </c>
      <c r="C55" s="5">
        <v>1170237.3327894667</v>
      </c>
      <c r="D55" s="5">
        <v>3249461.3327894667</v>
      </c>
      <c r="E55" s="73"/>
      <c r="F55" s="31" t="s">
        <v>20</v>
      </c>
      <c r="G55" s="5">
        <v>23075410</v>
      </c>
      <c r="H55" s="5">
        <v>7934137.3333408134</v>
      </c>
      <c r="I55" s="5">
        <v>31009547.333340812</v>
      </c>
      <c r="J55" s="73"/>
    </row>
    <row r="56" spans="1:10" x14ac:dyDescent="0.3">
      <c r="A56" s="31" t="s">
        <v>21</v>
      </c>
      <c r="B56" s="5">
        <v>156040</v>
      </c>
      <c r="C56" s="5">
        <v>51630.0466398524</v>
      </c>
      <c r="D56" s="5">
        <v>207670.0466398524</v>
      </c>
      <c r="E56" s="73"/>
      <c r="F56" s="31" t="s">
        <v>21</v>
      </c>
      <c r="G56" s="5">
        <v>2451659</v>
      </c>
      <c r="H56" s="5">
        <v>470363.46564588789</v>
      </c>
      <c r="I56" s="5">
        <v>2922022.4656458879</v>
      </c>
      <c r="J56" s="73"/>
    </row>
    <row r="57" spans="1:10" x14ac:dyDescent="0.3">
      <c r="A57" s="31" t="s">
        <v>22</v>
      </c>
      <c r="B57" s="5">
        <v>145314</v>
      </c>
      <c r="C57" s="5">
        <v>44573.527865332057</v>
      </c>
      <c r="D57" s="5">
        <v>189887.52786533206</v>
      </c>
      <c r="E57" s="73"/>
      <c r="F57" s="31" t="s">
        <v>22</v>
      </c>
      <c r="G57" s="5">
        <v>1880215</v>
      </c>
      <c r="H57" s="5">
        <v>293165.4615612214</v>
      </c>
      <c r="I57" s="5">
        <v>2173380.4615612216</v>
      </c>
      <c r="J57" s="73"/>
    </row>
    <row r="58" spans="1:10" x14ac:dyDescent="0.3">
      <c r="A58" s="31" t="s">
        <v>23</v>
      </c>
      <c r="B58" s="5">
        <v>377626</v>
      </c>
      <c r="C58" s="5">
        <v>123541.24968995486</v>
      </c>
      <c r="D58" s="5">
        <v>501167.24968995486</v>
      </c>
      <c r="E58" s="73"/>
      <c r="F58" s="31" t="s">
        <v>23</v>
      </c>
      <c r="G58" s="5">
        <v>4642494</v>
      </c>
      <c r="H58" s="5">
        <v>1019802.0530823802</v>
      </c>
      <c r="I58" s="5">
        <v>5662296.0530823804</v>
      </c>
      <c r="J58" s="73"/>
    </row>
    <row r="59" spans="1:10" x14ac:dyDescent="0.3">
      <c r="A59" s="31" t="s">
        <v>24</v>
      </c>
      <c r="B59" s="5">
        <v>126046</v>
      </c>
      <c r="C59" s="5">
        <v>48447.607353075691</v>
      </c>
      <c r="D59" s="5">
        <v>174493.6073530757</v>
      </c>
      <c r="E59" s="73"/>
      <c r="F59" s="31" t="s">
        <v>24</v>
      </c>
      <c r="G59" s="5">
        <v>1319521</v>
      </c>
      <c r="H59" s="5">
        <v>320396.66474401439</v>
      </c>
      <c r="I59" s="5">
        <v>1639917.6647440144</v>
      </c>
      <c r="J59" s="73"/>
    </row>
    <row r="60" spans="1:10" x14ac:dyDescent="0.3">
      <c r="A60" s="31" t="s">
        <v>25</v>
      </c>
      <c r="B60" s="5">
        <v>32517</v>
      </c>
      <c r="C60" s="5">
        <v>19878.693362273625</v>
      </c>
      <c r="D60" s="5">
        <v>52395.693362273625</v>
      </c>
      <c r="E60" s="73"/>
      <c r="F60" s="31" t="s">
        <v>25</v>
      </c>
      <c r="G60" s="5">
        <v>243847</v>
      </c>
      <c r="H60" s="5">
        <v>104805.46269154147</v>
      </c>
      <c r="I60" s="5">
        <v>348652.46269154147</v>
      </c>
      <c r="J60" s="73"/>
    </row>
    <row r="61" spans="1:10" x14ac:dyDescent="0.3">
      <c r="A61" s="31" t="s">
        <v>26</v>
      </c>
      <c r="B61" s="5">
        <v>136137</v>
      </c>
      <c r="C61" s="5">
        <v>59864.1424806742</v>
      </c>
      <c r="D61" s="5">
        <v>196001.1424806742</v>
      </c>
      <c r="E61" s="73"/>
      <c r="F61" s="31" t="s">
        <v>26</v>
      </c>
      <c r="G61" s="5">
        <v>1170793</v>
      </c>
      <c r="H61" s="5">
        <v>386131.58069446532</v>
      </c>
      <c r="I61" s="5">
        <v>1556924.5806944654</v>
      </c>
      <c r="J61" s="73"/>
    </row>
    <row r="62" spans="1:10" x14ac:dyDescent="0.3">
      <c r="A62" s="31" t="s">
        <v>27</v>
      </c>
      <c r="B62" s="5">
        <v>16638</v>
      </c>
      <c r="C62" s="5">
        <v>6897.0241592111634</v>
      </c>
      <c r="D62" s="5">
        <v>23535.024159211163</v>
      </c>
      <c r="E62" s="73"/>
      <c r="F62" s="31" t="s">
        <v>27</v>
      </c>
      <c r="G62" s="5">
        <v>165091</v>
      </c>
      <c r="H62" s="5">
        <v>43578.481076973418</v>
      </c>
      <c r="I62" s="5">
        <v>208669.48107697343</v>
      </c>
      <c r="J62" s="73"/>
    </row>
    <row r="63" spans="1:10" x14ac:dyDescent="0.3">
      <c r="A63" s="31" t="s">
        <v>28</v>
      </c>
      <c r="B63" s="5">
        <v>27707</v>
      </c>
      <c r="C63" s="5">
        <v>17410.253334684759</v>
      </c>
      <c r="D63" s="5">
        <v>45117.253334684763</v>
      </c>
      <c r="E63" s="73"/>
      <c r="F63" s="31" t="s">
        <v>28</v>
      </c>
      <c r="G63" s="5">
        <v>306705</v>
      </c>
      <c r="H63" s="5">
        <v>146940.12138335663</v>
      </c>
      <c r="I63" s="5">
        <v>453645.12138335663</v>
      </c>
      <c r="J63" s="73"/>
    </row>
    <row r="64" spans="1:10" x14ac:dyDescent="0.3">
      <c r="A64" s="31" t="s">
        <v>478</v>
      </c>
      <c r="B64" s="5">
        <v>0</v>
      </c>
      <c r="C64" s="5">
        <v>14299.363034214974</v>
      </c>
      <c r="D64" s="5">
        <v>14299.363034214974</v>
      </c>
      <c r="E64" s="73"/>
      <c r="F64" s="31" t="s">
        <v>478</v>
      </c>
      <c r="G64" s="5">
        <v>0</v>
      </c>
      <c r="H64" s="5">
        <v>112233.12673963327</v>
      </c>
      <c r="I64" s="5">
        <v>112233.12673963327</v>
      </c>
      <c r="J64" s="73"/>
    </row>
    <row r="65" spans="1:10" x14ac:dyDescent="0.3">
      <c r="A65" s="29" t="s">
        <v>60</v>
      </c>
      <c r="B65" s="57">
        <v>3664072</v>
      </c>
      <c r="C65" s="57">
        <v>1808897.0000000002</v>
      </c>
      <c r="D65" s="57">
        <v>5472968.9999999981</v>
      </c>
      <c r="E65" s="73"/>
      <c r="F65" s="29" t="s">
        <v>60</v>
      </c>
      <c r="G65" s="57">
        <v>42158224</v>
      </c>
      <c r="H65" s="57">
        <v>12868189.999999996</v>
      </c>
      <c r="I65" s="57">
        <v>55026413.999999985</v>
      </c>
      <c r="J65" s="73"/>
    </row>
    <row r="66" spans="1:10" x14ac:dyDescent="0.3">
      <c r="A66" s="3" t="s">
        <v>79</v>
      </c>
      <c r="B66" s="73"/>
      <c r="C66" s="73"/>
      <c r="D66" s="73"/>
      <c r="F66" s="3" t="s">
        <v>78</v>
      </c>
      <c r="G66" s="76"/>
      <c r="H66" s="76"/>
      <c r="I66" s="76"/>
    </row>
    <row r="67" spans="1:10" x14ac:dyDescent="0.3">
      <c r="F67" s="3"/>
    </row>
    <row r="78" spans="1:10" ht="12.75" customHeight="1" x14ac:dyDescent="0.3"/>
    <row r="97" ht="12.75" customHeight="1" x14ac:dyDescent="0.3"/>
    <row r="121" ht="12.75" customHeight="1" x14ac:dyDescent="0.3"/>
    <row r="147" ht="12.75" customHeight="1" x14ac:dyDescent="0.3"/>
    <row r="166" ht="12.75" customHeight="1" x14ac:dyDescent="0.3"/>
    <row r="190" ht="12.75" customHeight="1" x14ac:dyDescent="0.3"/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7"/>
  <sheetViews>
    <sheetView showGridLines="0" zoomScaleNormal="100" workbookViewId="0"/>
  </sheetViews>
  <sheetFormatPr baseColWidth="10" defaultColWidth="33.109375" defaultRowHeight="13.8" x14ac:dyDescent="0.3"/>
  <cols>
    <col min="1" max="1" width="30.6640625" style="3" customWidth="1"/>
    <col min="2" max="5" width="20.6640625" style="6" customWidth="1"/>
    <col min="6" max="6" width="30.6640625" style="6" customWidth="1"/>
    <col min="7" max="9" width="20.6640625" style="3" customWidth="1"/>
    <col min="10" max="10" width="16" style="3" customWidth="1"/>
    <col min="11" max="45" width="15.6640625" style="3" customWidth="1"/>
    <col min="46" max="16384" width="33.109375" style="3"/>
  </cols>
  <sheetData>
    <row r="1" spans="1:10" ht="18" x14ac:dyDescent="0.35">
      <c r="A1" s="1" t="s">
        <v>197</v>
      </c>
    </row>
    <row r="3" spans="1:10" x14ac:dyDescent="0.3">
      <c r="A3" s="2" t="s">
        <v>102</v>
      </c>
      <c r="F3" s="2" t="s">
        <v>104</v>
      </c>
      <c r="G3" s="6"/>
      <c r="H3" s="6"/>
      <c r="I3" s="6"/>
    </row>
    <row r="4" spans="1:10" x14ac:dyDescent="0.3">
      <c r="A4" s="2" t="s">
        <v>372</v>
      </c>
      <c r="F4" s="2" t="s">
        <v>373</v>
      </c>
      <c r="G4" s="6"/>
      <c r="H4" s="6"/>
      <c r="I4" s="6"/>
    </row>
    <row r="5" spans="1:10" x14ac:dyDescent="0.3">
      <c r="A5" s="8" t="s">
        <v>65</v>
      </c>
      <c r="B5" s="8" t="s">
        <v>0</v>
      </c>
      <c r="C5" s="8" t="s">
        <v>1</v>
      </c>
      <c r="D5" s="8" t="s">
        <v>59</v>
      </c>
      <c r="F5" s="8" t="s">
        <v>65</v>
      </c>
      <c r="G5" s="8" t="s">
        <v>0</v>
      </c>
      <c r="H5" s="8" t="s">
        <v>1</v>
      </c>
      <c r="I5" s="8" t="s">
        <v>59</v>
      </c>
    </row>
    <row r="6" spans="1:10" x14ac:dyDescent="0.3">
      <c r="A6" s="25">
        <v>2013</v>
      </c>
      <c r="B6" s="4">
        <v>275251</v>
      </c>
      <c r="C6" s="4">
        <v>153914</v>
      </c>
      <c r="D6" s="23">
        <v>429165</v>
      </c>
      <c r="E6" s="73"/>
      <c r="F6" s="25">
        <v>2013</v>
      </c>
      <c r="G6" s="46">
        <v>4133007</v>
      </c>
      <c r="H6" s="46">
        <v>2287911</v>
      </c>
      <c r="I6" s="47">
        <v>6420918</v>
      </c>
      <c r="J6" s="73"/>
    </row>
    <row r="7" spans="1:10" x14ac:dyDescent="0.3">
      <c r="A7" s="25">
        <v>2014</v>
      </c>
      <c r="B7" s="5">
        <v>179052</v>
      </c>
      <c r="C7" s="5">
        <v>175166</v>
      </c>
      <c r="D7" s="14">
        <v>354218</v>
      </c>
      <c r="E7" s="73"/>
      <c r="F7" s="25">
        <v>2014</v>
      </c>
      <c r="G7" s="48">
        <v>2964693</v>
      </c>
      <c r="H7" s="48">
        <v>2634654</v>
      </c>
      <c r="I7" s="49">
        <v>5599347</v>
      </c>
      <c r="J7" s="73"/>
    </row>
    <row r="8" spans="1:10" x14ac:dyDescent="0.3">
      <c r="A8" s="25">
        <v>2015</v>
      </c>
      <c r="B8" s="5">
        <v>182821</v>
      </c>
      <c r="C8" s="5">
        <v>203429</v>
      </c>
      <c r="D8" s="14">
        <v>386250</v>
      </c>
      <c r="E8" s="73"/>
      <c r="F8" s="25">
        <v>2015</v>
      </c>
      <c r="G8" s="48">
        <v>3302819</v>
      </c>
      <c r="H8" s="48">
        <v>3173685</v>
      </c>
      <c r="I8" s="49">
        <v>6476504</v>
      </c>
      <c r="J8" s="73"/>
    </row>
    <row r="9" spans="1:10" x14ac:dyDescent="0.3">
      <c r="A9" s="25">
        <v>2016</v>
      </c>
      <c r="B9" s="5">
        <v>191527</v>
      </c>
      <c r="C9" s="5">
        <v>229740</v>
      </c>
      <c r="D9" s="14">
        <v>421267</v>
      </c>
      <c r="E9" s="73"/>
      <c r="F9" s="25">
        <v>2016</v>
      </c>
      <c r="G9" s="48">
        <v>3695679</v>
      </c>
      <c r="H9" s="48">
        <v>3674319</v>
      </c>
      <c r="I9" s="49">
        <v>7369998</v>
      </c>
      <c r="J9" s="73"/>
    </row>
    <row r="10" spans="1:10" x14ac:dyDescent="0.3">
      <c r="A10" s="27">
        <v>2017</v>
      </c>
      <c r="B10" s="15">
        <v>202094</v>
      </c>
      <c r="C10" s="15">
        <v>217121</v>
      </c>
      <c r="D10" s="26">
        <v>419215</v>
      </c>
      <c r="E10" s="73"/>
      <c r="F10" s="27">
        <v>2017</v>
      </c>
      <c r="G10" s="15">
        <v>4126368</v>
      </c>
      <c r="H10" s="15">
        <v>3566006</v>
      </c>
      <c r="I10" s="26">
        <v>7692374</v>
      </c>
      <c r="J10" s="73"/>
    </row>
    <row r="11" spans="1:10" x14ac:dyDescent="0.3">
      <c r="B11" s="73"/>
      <c r="C11" s="73"/>
      <c r="D11" s="73"/>
      <c r="F11" s="3"/>
      <c r="G11" s="73"/>
      <c r="H11" s="73"/>
      <c r="I11" s="73"/>
    </row>
    <row r="12" spans="1:10" x14ac:dyDescent="0.3">
      <c r="F12" s="3"/>
    </row>
    <row r="13" spans="1:10" x14ac:dyDescent="0.3">
      <c r="A13" s="2" t="s">
        <v>103</v>
      </c>
      <c r="F13" s="2" t="s">
        <v>105</v>
      </c>
    </row>
    <row r="14" spans="1:10" x14ac:dyDescent="0.3">
      <c r="A14" s="2" t="s">
        <v>374</v>
      </c>
      <c r="F14" s="2" t="s">
        <v>375</v>
      </c>
    </row>
    <row r="15" spans="1:10" x14ac:dyDescent="0.3">
      <c r="A15" s="8" t="s">
        <v>66</v>
      </c>
      <c r="B15" s="8" t="s">
        <v>0</v>
      </c>
      <c r="C15" s="8" t="s">
        <v>1</v>
      </c>
      <c r="D15" s="8" t="s">
        <v>59</v>
      </c>
      <c r="F15" s="8" t="s">
        <v>66</v>
      </c>
      <c r="G15" s="8" t="s">
        <v>0</v>
      </c>
      <c r="H15" s="8" t="s">
        <v>1</v>
      </c>
      <c r="I15" s="8" t="s">
        <v>59</v>
      </c>
    </row>
    <row r="16" spans="1:10" x14ac:dyDescent="0.3">
      <c r="A16" s="22" t="s">
        <v>5</v>
      </c>
      <c r="B16" s="4">
        <v>62576</v>
      </c>
      <c r="C16" s="4">
        <v>100158</v>
      </c>
      <c r="D16" s="23">
        <v>162734</v>
      </c>
      <c r="E16" s="73"/>
      <c r="F16" s="22" t="s">
        <v>5</v>
      </c>
      <c r="G16" s="4">
        <v>1347515</v>
      </c>
      <c r="H16" s="4">
        <v>1598542</v>
      </c>
      <c r="I16" s="23">
        <v>2946057</v>
      </c>
      <c r="J16" s="73"/>
    </row>
    <row r="17" spans="1:10" x14ac:dyDescent="0.3">
      <c r="A17" s="25" t="s">
        <v>6</v>
      </c>
      <c r="B17" s="5">
        <v>139518</v>
      </c>
      <c r="C17" s="5">
        <v>116963</v>
      </c>
      <c r="D17" s="14">
        <v>256481</v>
      </c>
      <c r="E17" s="73"/>
      <c r="F17" s="25" t="s">
        <v>6</v>
      </c>
      <c r="G17" s="5">
        <v>2778853</v>
      </c>
      <c r="H17" s="5">
        <v>1967464</v>
      </c>
      <c r="I17" s="14">
        <v>4746317</v>
      </c>
      <c r="J17" s="73"/>
    </row>
    <row r="18" spans="1:10" x14ac:dyDescent="0.3">
      <c r="A18" s="25" t="s">
        <v>478</v>
      </c>
      <c r="B18" s="5">
        <v>0</v>
      </c>
      <c r="C18" s="5">
        <v>0</v>
      </c>
      <c r="D18" s="14">
        <v>0</v>
      </c>
      <c r="E18" s="73"/>
      <c r="F18" s="25" t="s">
        <v>478</v>
      </c>
      <c r="G18" s="5">
        <v>0</v>
      </c>
      <c r="H18" s="5">
        <v>0</v>
      </c>
      <c r="I18" s="14">
        <v>0</v>
      </c>
      <c r="J18" s="73"/>
    </row>
    <row r="19" spans="1:10" x14ac:dyDescent="0.3">
      <c r="A19" s="29" t="s">
        <v>60</v>
      </c>
      <c r="B19" s="57">
        <v>202094</v>
      </c>
      <c r="C19" s="57">
        <v>217121</v>
      </c>
      <c r="D19" s="57">
        <v>419215</v>
      </c>
      <c r="E19" s="73"/>
      <c r="F19" s="29" t="s">
        <v>60</v>
      </c>
      <c r="G19" s="57">
        <v>4126368</v>
      </c>
      <c r="H19" s="57">
        <v>3566006</v>
      </c>
      <c r="I19" s="57">
        <v>7692374</v>
      </c>
      <c r="J19" s="73"/>
    </row>
    <row r="20" spans="1:10" x14ac:dyDescent="0.3">
      <c r="B20" s="73"/>
      <c r="C20" s="73"/>
      <c r="D20" s="73"/>
      <c r="F20" s="3"/>
      <c r="G20" s="76"/>
      <c r="H20" s="76"/>
      <c r="I20" s="76"/>
    </row>
    <row r="21" spans="1:10" x14ac:dyDescent="0.3">
      <c r="F21" s="3"/>
    </row>
    <row r="22" spans="1:10" x14ac:dyDescent="0.3">
      <c r="A22" s="2" t="s">
        <v>132</v>
      </c>
      <c r="F22" s="2" t="s">
        <v>133</v>
      </c>
    </row>
    <row r="23" spans="1:10" x14ac:dyDescent="0.3">
      <c r="A23" s="2" t="s">
        <v>376</v>
      </c>
      <c r="F23" s="2" t="s">
        <v>377</v>
      </c>
    </row>
    <row r="24" spans="1:10" x14ac:dyDescent="0.3">
      <c r="A24" s="8" t="s">
        <v>67</v>
      </c>
      <c r="B24" s="8" t="s">
        <v>0</v>
      </c>
      <c r="C24" s="8" t="s">
        <v>1</v>
      </c>
      <c r="D24" s="8" t="s">
        <v>59</v>
      </c>
      <c r="F24" s="8" t="s">
        <v>67</v>
      </c>
      <c r="G24" s="8" t="s">
        <v>0</v>
      </c>
      <c r="H24" s="8" t="s">
        <v>1</v>
      </c>
      <c r="I24" s="8" t="s">
        <v>59</v>
      </c>
    </row>
    <row r="25" spans="1:10" x14ac:dyDescent="0.3">
      <c r="A25" s="22" t="s">
        <v>53</v>
      </c>
      <c r="B25" s="4">
        <v>876</v>
      </c>
      <c r="C25" s="4">
        <v>231</v>
      </c>
      <c r="D25" s="4">
        <v>1107</v>
      </c>
      <c r="E25" s="73"/>
      <c r="F25" s="22" t="s">
        <v>53</v>
      </c>
      <c r="G25" s="4">
        <v>9082</v>
      </c>
      <c r="H25" s="4">
        <v>2068</v>
      </c>
      <c r="I25" s="4">
        <v>11150</v>
      </c>
      <c r="J25" s="73"/>
    </row>
    <row r="26" spans="1:10" x14ac:dyDescent="0.3">
      <c r="A26" s="25" t="s">
        <v>2</v>
      </c>
      <c r="B26" s="5">
        <v>12115</v>
      </c>
      <c r="C26" s="5">
        <v>8369</v>
      </c>
      <c r="D26" s="5">
        <v>20484</v>
      </c>
      <c r="E26" s="73"/>
      <c r="F26" s="25" t="s">
        <v>2</v>
      </c>
      <c r="G26" s="5">
        <v>178105</v>
      </c>
      <c r="H26" s="5">
        <v>97142</v>
      </c>
      <c r="I26" s="5">
        <v>275247</v>
      </c>
      <c r="J26" s="73"/>
    </row>
    <row r="27" spans="1:10" x14ac:dyDescent="0.3">
      <c r="A27" s="25" t="s">
        <v>54</v>
      </c>
      <c r="B27" s="5">
        <v>58863</v>
      </c>
      <c r="C27" s="5">
        <v>73891</v>
      </c>
      <c r="D27" s="5">
        <v>132754</v>
      </c>
      <c r="E27" s="73"/>
      <c r="F27" s="25" t="s">
        <v>54</v>
      </c>
      <c r="G27" s="5">
        <v>1046076</v>
      </c>
      <c r="H27" s="5">
        <v>1097269</v>
      </c>
      <c r="I27" s="5">
        <v>2143345</v>
      </c>
      <c r="J27" s="73"/>
    </row>
    <row r="28" spans="1:10" x14ac:dyDescent="0.3">
      <c r="A28" s="25" t="s">
        <v>55</v>
      </c>
      <c r="B28" s="5">
        <v>47500</v>
      </c>
      <c r="C28" s="5">
        <v>66168</v>
      </c>
      <c r="D28" s="5">
        <v>113668</v>
      </c>
      <c r="E28" s="73"/>
      <c r="F28" s="25" t="s">
        <v>55</v>
      </c>
      <c r="G28" s="5">
        <v>920322</v>
      </c>
      <c r="H28" s="5">
        <v>1085457</v>
      </c>
      <c r="I28" s="5">
        <v>2005779</v>
      </c>
      <c r="J28" s="73"/>
    </row>
    <row r="29" spans="1:10" x14ac:dyDescent="0.3">
      <c r="A29" s="25" t="s">
        <v>56</v>
      </c>
      <c r="B29" s="5">
        <v>38434</v>
      </c>
      <c r="C29" s="5">
        <v>36768</v>
      </c>
      <c r="D29" s="5">
        <v>75202</v>
      </c>
      <c r="E29" s="73"/>
      <c r="F29" s="25" t="s">
        <v>56</v>
      </c>
      <c r="G29" s="5">
        <v>844277</v>
      </c>
      <c r="H29" s="5">
        <v>642058</v>
      </c>
      <c r="I29" s="5">
        <v>1486335</v>
      </c>
      <c r="J29" s="73"/>
    </row>
    <row r="30" spans="1:10" x14ac:dyDescent="0.3">
      <c r="A30" s="25" t="s">
        <v>57</v>
      </c>
      <c r="B30" s="5">
        <v>33431</v>
      </c>
      <c r="C30" s="5">
        <v>25890</v>
      </c>
      <c r="D30" s="5">
        <v>59321</v>
      </c>
      <c r="E30" s="73"/>
      <c r="F30" s="25" t="s">
        <v>57</v>
      </c>
      <c r="G30" s="5">
        <v>831668</v>
      </c>
      <c r="H30" s="5">
        <v>515627</v>
      </c>
      <c r="I30" s="5">
        <v>1347295</v>
      </c>
      <c r="J30" s="73"/>
    </row>
    <row r="31" spans="1:10" x14ac:dyDescent="0.3">
      <c r="A31" s="25" t="s">
        <v>3</v>
      </c>
      <c r="B31" s="5">
        <v>10875</v>
      </c>
      <c r="C31" s="5">
        <v>5791</v>
      </c>
      <c r="D31" s="5">
        <v>16666</v>
      </c>
      <c r="E31" s="73"/>
      <c r="F31" s="25" t="s">
        <v>3</v>
      </c>
      <c r="G31" s="5">
        <v>296838</v>
      </c>
      <c r="H31" s="5">
        <v>126224</v>
      </c>
      <c r="I31" s="5">
        <v>423062</v>
      </c>
      <c r="J31" s="73"/>
    </row>
    <row r="32" spans="1:10" x14ac:dyDescent="0.3">
      <c r="A32" s="25" t="s">
        <v>478</v>
      </c>
      <c r="B32" s="5">
        <v>0</v>
      </c>
      <c r="C32" s="5">
        <v>13</v>
      </c>
      <c r="D32" s="5">
        <v>13</v>
      </c>
      <c r="E32" s="73"/>
      <c r="F32" s="25" t="s">
        <v>478</v>
      </c>
      <c r="G32" s="5">
        <v>0</v>
      </c>
      <c r="H32" s="5">
        <v>161</v>
      </c>
      <c r="I32" s="5">
        <v>161</v>
      </c>
      <c r="J32" s="73"/>
    </row>
    <row r="33" spans="1:10" x14ac:dyDescent="0.3">
      <c r="A33" s="29" t="s">
        <v>60</v>
      </c>
      <c r="B33" s="57">
        <v>202094</v>
      </c>
      <c r="C33" s="57">
        <v>217121</v>
      </c>
      <c r="D33" s="57">
        <v>419215</v>
      </c>
      <c r="E33" s="73"/>
      <c r="F33" s="29" t="s">
        <v>60</v>
      </c>
      <c r="G33" s="57">
        <v>4126368</v>
      </c>
      <c r="H33" s="57">
        <v>3566006</v>
      </c>
      <c r="I33" s="57">
        <v>7692374</v>
      </c>
      <c r="J33" s="73"/>
    </row>
    <row r="34" spans="1:10" x14ac:dyDescent="0.3">
      <c r="B34" s="73"/>
      <c r="C34" s="73"/>
      <c r="D34" s="73"/>
      <c r="F34" s="3"/>
      <c r="G34" s="76"/>
      <c r="H34" s="76"/>
      <c r="I34" s="76"/>
    </row>
    <row r="35" spans="1:10" x14ac:dyDescent="0.3">
      <c r="F35" s="3"/>
    </row>
    <row r="36" spans="1:10" x14ac:dyDescent="0.3">
      <c r="A36" s="2" t="s">
        <v>140</v>
      </c>
      <c r="F36" s="2" t="s">
        <v>141</v>
      </c>
    </row>
    <row r="37" spans="1:10" x14ac:dyDescent="0.3">
      <c r="A37" s="2" t="s">
        <v>378</v>
      </c>
      <c r="F37" s="2" t="s">
        <v>379</v>
      </c>
    </row>
    <row r="38" spans="1:10" x14ac:dyDescent="0.3">
      <c r="A38" s="8" t="s">
        <v>209</v>
      </c>
      <c r="B38" s="8" t="s">
        <v>0</v>
      </c>
      <c r="C38" s="8" t="s">
        <v>1</v>
      </c>
      <c r="D38" s="8" t="s">
        <v>59</v>
      </c>
      <c r="F38" s="8" t="s">
        <v>209</v>
      </c>
      <c r="G38" s="8" t="s">
        <v>0</v>
      </c>
      <c r="H38" s="8" t="s">
        <v>1</v>
      </c>
      <c r="I38" s="8" t="s">
        <v>59</v>
      </c>
    </row>
    <row r="39" spans="1:10" x14ac:dyDescent="0.3">
      <c r="A39" s="30" t="s">
        <v>14</v>
      </c>
      <c r="B39" s="4">
        <v>1478</v>
      </c>
      <c r="C39" s="4">
        <v>946</v>
      </c>
      <c r="D39" s="4">
        <v>2424</v>
      </c>
      <c r="E39" s="73"/>
      <c r="F39" s="30" t="s">
        <v>14</v>
      </c>
      <c r="G39" s="4">
        <v>15992</v>
      </c>
      <c r="H39" s="4">
        <v>12680</v>
      </c>
      <c r="I39" s="4">
        <v>28672</v>
      </c>
      <c r="J39" s="73"/>
    </row>
    <row r="40" spans="1:10" x14ac:dyDescent="0.3">
      <c r="A40" s="31" t="s">
        <v>15</v>
      </c>
      <c r="B40" s="5">
        <v>4267</v>
      </c>
      <c r="C40" s="5">
        <v>4520</v>
      </c>
      <c r="D40" s="5">
        <v>8787</v>
      </c>
      <c r="E40" s="73"/>
      <c r="F40" s="31" t="s">
        <v>15</v>
      </c>
      <c r="G40" s="5">
        <v>78561</v>
      </c>
      <c r="H40" s="5">
        <v>81877</v>
      </c>
      <c r="I40" s="5">
        <v>160438</v>
      </c>
      <c r="J40" s="73"/>
    </row>
    <row r="41" spans="1:10" x14ac:dyDescent="0.3">
      <c r="A41" s="31" t="s">
        <v>16</v>
      </c>
      <c r="B41" s="5">
        <v>6771</v>
      </c>
      <c r="C41" s="5">
        <v>9677</v>
      </c>
      <c r="D41" s="5">
        <v>16448</v>
      </c>
      <c r="E41" s="73"/>
      <c r="F41" s="31" t="s">
        <v>16</v>
      </c>
      <c r="G41" s="5">
        <v>120228</v>
      </c>
      <c r="H41" s="5">
        <v>165155</v>
      </c>
      <c r="I41" s="5">
        <v>285383</v>
      </c>
      <c r="J41" s="73"/>
    </row>
    <row r="42" spans="1:10" x14ac:dyDescent="0.3">
      <c r="A42" s="31" t="s">
        <v>17</v>
      </c>
      <c r="B42" s="5">
        <v>4096</v>
      </c>
      <c r="C42" s="5">
        <v>3041</v>
      </c>
      <c r="D42" s="5">
        <v>7137</v>
      </c>
      <c r="E42" s="73"/>
      <c r="F42" s="31" t="s">
        <v>17</v>
      </c>
      <c r="G42" s="5">
        <v>93759</v>
      </c>
      <c r="H42" s="5">
        <v>60039</v>
      </c>
      <c r="I42" s="5">
        <v>153798</v>
      </c>
      <c r="J42" s="73"/>
    </row>
    <row r="43" spans="1:10" x14ac:dyDescent="0.3">
      <c r="A43" s="31" t="s">
        <v>18</v>
      </c>
      <c r="B43" s="5">
        <v>5400</v>
      </c>
      <c r="C43" s="5">
        <v>2441</v>
      </c>
      <c r="D43" s="5">
        <v>7841</v>
      </c>
      <c r="E43" s="73"/>
      <c r="F43" s="31" t="s">
        <v>18</v>
      </c>
      <c r="G43" s="5">
        <v>130061</v>
      </c>
      <c r="H43" s="5">
        <v>46427</v>
      </c>
      <c r="I43" s="5">
        <v>176488</v>
      </c>
      <c r="J43" s="73"/>
    </row>
    <row r="44" spans="1:10" x14ac:dyDescent="0.3">
      <c r="A44" s="31" t="s">
        <v>19</v>
      </c>
      <c r="B44" s="5">
        <v>18420</v>
      </c>
      <c r="C44" s="5">
        <v>13022</v>
      </c>
      <c r="D44" s="5">
        <v>31442</v>
      </c>
      <c r="E44" s="73"/>
      <c r="F44" s="31" t="s">
        <v>19</v>
      </c>
      <c r="G44" s="5">
        <v>388143</v>
      </c>
      <c r="H44" s="5">
        <v>247903</v>
      </c>
      <c r="I44" s="5">
        <v>636046</v>
      </c>
      <c r="J44" s="73"/>
    </row>
    <row r="45" spans="1:10" x14ac:dyDescent="0.3">
      <c r="A45" s="31" t="s">
        <v>20</v>
      </c>
      <c r="B45" s="5">
        <v>83696</v>
      </c>
      <c r="C45" s="5">
        <v>133802</v>
      </c>
      <c r="D45" s="5">
        <v>217498</v>
      </c>
      <c r="E45" s="73"/>
      <c r="F45" s="31" t="s">
        <v>20</v>
      </c>
      <c r="G45" s="5">
        <v>1794662</v>
      </c>
      <c r="H45" s="5">
        <v>2095860</v>
      </c>
      <c r="I45" s="5">
        <v>3890522</v>
      </c>
      <c r="J45" s="73"/>
    </row>
    <row r="46" spans="1:10" x14ac:dyDescent="0.3">
      <c r="A46" s="31" t="s">
        <v>21</v>
      </c>
      <c r="B46" s="5">
        <v>19844</v>
      </c>
      <c r="C46" s="5">
        <v>8981</v>
      </c>
      <c r="D46" s="5">
        <v>28825</v>
      </c>
      <c r="E46" s="73"/>
      <c r="F46" s="31" t="s">
        <v>21</v>
      </c>
      <c r="G46" s="5">
        <v>415731</v>
      </c>
      <c r="H46" s="5">
        <v>171401</v>
      </c>
      <c r="I46" s="5">
        <v>587132</v>
      </c>
      <c r="J46" s="73"/>
    </row>
    <row r="47" spans="1:10" x14ac:dyDescent="0.3">
      <c r="A47" s="31" t="s">
        <v>22</v>
      </c>
      <c r="B47" s="5">
        <v>7090</v>
      </c>
      <c r="C47" s="5">
        <v>5213</v>
      </c>
      <c r="D47" s="5">
        <v>12303</v>
      </c>
      <c r="E47" s="73"/>
      <c r="F47" s="31" t="s">
        <v>22</v>
      </c>
      <c r="G47" s="5">
        <v>144632</v>
      </c>
      <c r="H47" s="5">
        <v>91388</v>
      </c>
      <c r="I47" s="5">
        <v>236020</v>
      </c>
      <c r="J47" s="73"/>
    </row>
    <row r="48" spans="1:10" x14ac:dyDescent="0.3">
      <c r="A48" s="31" t="s">
        <v>23</v>
      </c>
      <c r="B48" s="5">
        <v>26747</v>
      </c>
      <c r="C48" s="5">
        <v>14235</v>
      </c>
      <c r="D48" s="5">
        <v>40982</v>
      </c>
      <c r="E48" s="73"/>
      <c r="F48" s="31" t="s">
        <v>23</v>
      </c>
      <c r="G48" s="5">
        <v>556879</v>
      </c>
      <c r="H48" s="5">
        <v>267642</v>
      </c>
      <c r="I48" s="5">
        <v>824521</v>
      </c>
      <c r="J48" s="73"/>
    </row>
    <row r="49" spans="1:10" x14ac:dyDescent="0.3">
      <c r="A49" s="31" t="s">
        <v>24</v>
      </c>
      <c r="B49" s="5">
        <v>9200</v>
      </c>
      <c r="C49" s="5">
        <v>5753</v>
      </c>
      <c r="D49" s="5">
        <v>14953</v>
      </c>
      <c r="E49" s="73"/>
      <c r="F49" s="31" t="s">
        <v>24</v>
      </c>
      <c r="G49" s="5">
        <v>165214</v>
      </c>
      <c r="H49" s="5">
        <v>104909</v>
      </c>
      <c r="I49" s="5">
        <v>270123</v>
      </c>
      <c r="J49" s="73"/>
    </row>
    <row r="50" spans="1:10" x14ac:dyDescent="0.3">
      <c r="A50" s="31" t="s">
        <v>25</v>
      </c>
      <c r="B50" s="5">
        <v>2497</v>
      </c>
      <c r="C50" s="5">
        <v>1489</v>
      </c>
      <c r="D50" s="5">
        <v>3986</v>
      </c>
      <c r="E50" s="73"/>
      <c r="F50" s="31" t="s">
        <v>25</v>
      </c>
      <c r="G50" s="5">
        <v>26744</v>
      </c>
      <c r="H50" s="5">
        <v>24551</v>
      </c>
      <c r="I50" s="5">
        <v>51295</v>
      </c>
      <c r="J50" s="73"/>
    </row>
    <row r="51" spans="1:10" x14ac:dyDescent="0.3">
      <c r="A51" s="31" t="s">
        <v>26</v>
      </c>
      <c r="B51" s="5">
        <v>9174</v>
      </c>
      <c r="C51" s="5">
        <v>4942</v>
      </c>
      <c r="D51" s="5">
        <v>14116</v>
      </c>
      <c r="E51" s="73"/>
      <c r="F51" s="31" t="s">
        <v>26</v>
      </c>
      <c r="G51" s="5">
        <v>134759</v>
      </c>
      <c r="H51" s="5">
        <v>81384</v>
      </c>
      <c r="I51" s="5">
        <v>216143</v>
      </c>
      <c r="J51" s="73"/>
    </row>
    <row r="52" spans="1:10" x14ac:dyDescent="0.3">
      <c r="A52" s="31" t="s">
        <v>27</v>
      </c>
      <c r="B52" s="5">
        <v>918</v>
      </c>
      <c r="C52" s="5">
        <v>724</v>
      </c>
      <c r="D52" s="5">
        <v>1642</v>
      </c>
      <c r="E52" s="73"/>
      <c r="F52" s="31" t="s">
        <v>27</v>
      </c>
      <c r="G52" s="5">
        <v>11791</v>
      </c>
      <c r="H52" s="5">
        <v>12012</v>
      </c>
      <c r="I52" s="5">
        <v>23803</v>
      </c>
      <c r="J52" s="73"/>
    </row>
    <row r="53" spans="1:10" x14ac:dyDescent="0.3">
      <c r="A53" s="31" t="s">
        <v>28</v>
      </c>
      <c r="B53" s="5">
        <v>2496</v>
      </c>
      <c r="C53" s="5">
        <v>2039</v>
      </c>
      <c r="D53" s="5">
        <v>4535</v>
      </c>
      <c r="E53" s="73"/>
      <c r="F53" s="31" t="s">
        <v>28</v>
      </c>
      <c r="G53" s="5">
        <v>49212</v>
      </c>
      <c r="H53" s="5">
        <v>39191</v>
      </c>
      <c r="I53" s="5">
        <v>88403</v>
      </c>
      <c r="J53" s="73"/>
    </row>
    <row r="54" spans="1:10" x14ac:dyDescent="0.3">
      <c r="A54" s="31" t="s">
        <v>478</v>
      </c>
      <c r="B54" s="5">
        <v>0</v>
      </c>
      <c r="C54" s="5">
        <v>6296</v>
      </c>
      <c r="D54" s="5">
        <v>6296</v>
      </c>
      <c r="E54" s="73"/>
      <c r="F54" s="31" t="s">
        <v>478</v>
      </c>
      <c r="G54" s="5">
        <v>0</v>
      </c>
      <c r="H54" s="5">
        <v>63587</v>
      </c>
      <c r="I54" s="5">
        <v>63587</v>
      </c>
      <c r="J54" s="73"/>
    </row>
    <row r="55" spans="1:10" x14ac:dyDescent="0.3">
      <c r="A55" s="29" t="s">
        <v>60</v>
      </c>
      <c r="B55" s="57">
        <v>202094</v>
      </c>
      <c r="C55" s="57">
        <v>217121</v>
      </c>
      <c r="D55" s="57">
        <v>419215</v>
      </c>
      <c r="E55" s="73"/>
      <c r="F55" s="29" t="s">
        <v>60</v>
      </c>
      <c r="G55" s="57">
        <v>4126368</v>
      </c>
      <c r="H55" s="57">
        <v>3566006</v>
      </c>
      <c r="I55" s="57">
        <v>7692374</v>
      </c>
      <c r="J55" s="73"/>
    </row>
    <row r="56" spans="1:10" x14ac:dyDescent="0.3">
      <c r="B56" s="73"/>
      <c r="C56" s="73"/>
      <c r="D56" s="73"/>
      <c r="F56" s="3"/>
      <c r="G56" s="76"/>
      <c r="H56" s="76"/>
      <c r="I56" s="76"/>
    </row>
    <row r="57" spans="1:10" x14ac:dyDescent="0.3">
      <c r="F57" s="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860"/>
  <sheetViews>
    <sheetView showGridLines="0" zoomScaleNormal="100" workbookViewId="0"/>
  </sheetViews>
  <sheetFormatPr baseColWidth="10" defaultColWidth="33.109375" defaultRowHeight="13.8" x14ac:dyDescent="0.3"/>
  <cols>
    <col min="1" max="1" width="35.5546875" style="3" customWidth="1"/>
    <col min="2" max="5" width="15.6640625" style="6" customWidth="1"/>
    <col min="6" max="14" width="15.6640625" style="3" customWidth="1"/>
    <col min="15" max="15" width="11.6640625" style="75" customWidth="1"/>
    <col min="16" max="16" width="30.6640625" style="3" customWidth="1"/>
    <col min="17" max="30" width="15.6640625" style="3" customWidth="1"/>
    <col min="31" max="37" width="5.5546875" style="3" customWidth="1"/>
    <col min="38" max="56" width="15.6640625" style="3" customWidth="1"/>
    <col min="57" max="16384" width="33.109375" style="3"/>
  </cols>
  <sheetData>
    <row r="1" spans="1:4" ht="18" x14ac:dyDescent="0.35">
      <c r="A1" s="1" t="s">
        <v>203</v>
      </c>
    </row>
    <row r="2" spans="1:4" x14ac:dyDescent="0.3">
      <c r="A2" s="7"/>
    </row>
    <row r="3" spans="1:4" x14ac:dyDescent="0.3">
      <c r="A3" s="7" t="s">
        <v>142</v>
      </c>
    </row>
    <row r="4" spans="1:4" x14ac:dyDescent="0.3">
      <c r="A4" s="7" t="s">
        <v>518</v>
      </c>
    </row>
    <row r="5" spans="1:4" ht="20.25" customHeight="1" x14ac:dyDescent="0.3">
      <c r="A5" s="8" t="s">
        <v>208</v>
      </c>
      <c r="B5" s="8" t="s">
        <v>0</v>
      </c>
      <c r="C5" s="8" t="s">
        <v>1</v>
      </c>
      <c r="D5" s="8" t="s">
        <v>59</v>
      </c>
    </row>
    <row r="6" spans="1:4" ht="14.25" customHeight="1" x14ac:dyDescent="0.3">
      <c r="A6" s="31" t="s">
        <v>9</v>
      </c>
      <c r="B6" s="4">
        <v>914763</v>
      </c>
      <c r="C6" s="4">
        <v>274887</v>
      </c>
      <c r="D6" s="4">
        <v>1189650</v>
      </c>
    </row>
    <row r="7" spans="1:4" ht="14.25" customHeight="1" x14ac:dyDescent="0.3">
      <c r="A7" s="31" t="s">
        <v>10</v>
      </c>
      <c r="B7" s="5">
        <v>880014</v>
      </c>
      <c r="C7" s="5">
        <v>222543</v>
      </c>
      <c r="D7" s="5">
        <v>1102557</v>
      </c>
    </row>
    <row r="8" spans="1:4" ht="14.25" customHeight="1" x14ac:dyDescent="0.3">
      <c r="A8" s="31" t="s">
        <v>11</v>
      </c>
      <c r="B8" s="5">
        <v>529932</v>
      </c>
      <c r="C8" s="5">
        <v>288306</v>
      </c>
      <c r="D8" s="5">
        <v>818238</v>
      </c>
    </row>
    <row r="9" spans="1:4" ht="14.25" customHeight="1" x14ac:dyDescent="0.3">
      <c r="A9" s="31" t="s">
        <v>480</v>
      </c>
      <c r="B9" s="5">
        <v>282462</v>
      </c>
      <c r="C9" s="5">
        <v>109695</v>
      </c>
      <c r="D9" s="5">
        <v>392157</v>
      </c>
    </row>
    <row r="10" spans="1:4" ht="14.25" customHeight="1" x14ac:dyDescent="0.3">
      <c r="A10" s="31" t="s">
        <v>13</v>
      </c>
      <c r="B10" s="5">
        <v>216448</v>
      </c>
      <c r="C10" s="5">
        <v>128205</v>
      </c>
      <c r="D10" s="5">
        <v>344653</v>
      </c>
    </row>
    <row r="11" spans="1:4" ht="14.25" customHeight="1" x14ac:dyDescent="0.3">
      <c r="A11" s="31" t="s">
        <v>223</v>
      </c>
      <c r="B11" s="5">
        <v>174195</v>
      </c>
      <c r="C11" s="5">
        <v>94643</v>
      </c>
      <c r="D11" s="5">
        <v>268838</v>
      </c>
    </row>
    <row r="12" spans="1:4" ht="14.25" customHeight="1" x14ac:dyDescent="0.3">
      <c r="A12" s="31" t="s">
        <v>224</v>
      </c>
      <c r="B12" s="5">
        <v>123181</v>
      </c>
      <c r="C12" s="5">
        <v>41163</v>
      </c>
      <c r="D12" s="5">
        <v>164344</v>
      </c>
    </row>
    <row r="13" spans="1:4" ht="14.25" customHeight="1" x14ac:dyDescent="0.3">
      <c r="A13" s="31" t="s">
        <v>481</v>
      </c>
      <c r="B13" s="5">
        <v>125007</v>
      </c>
      <c r="C13" s="5">
        <v>47048</v>
      </c>
      <c r="D13" s="5">
        <v>172055</v>
      </c>
    </row>
    <row r="14" spans="1:4" ht="14.25" customHeight="1" x14ac:dyDescent="0.3">
      <c r="A14" s="31" t="s">
        <v>226</v>
      </c>
      <c r="B14" s="5">
        <v>91993</v>
      </c>
      <c r="C14" s="5">
        <v>38709</v>
      </c>
      <c r="D14" s="5">
        <v>130702</v>
      </c>
    </row>
    <row r="15" spans="1:4" ht="14.25" customHeight="1" x14ac:dyDescent="0.3">
      <c r="A15" s="31" t="s">
        <v>263</v>
      </c>
      <c r="B15" s="5">
        <v>104530</v>
      </c>
      <c r="C15" s="5">
        <v>26415</v>
      </c>
      <c r="D15" s="5">
        <v>130945</v>
      </c>
    </row>
    <row r="16" spans="1:4" ht="14.25" customHeight="1" x14ac:dyDescent="0.3">
      <c r="A16" s="31" t="s">
        <v>31</v>
      </c>
      <c r="B16" s="5">
        <v>423663</v>
      </c>
      <c r="C16" s="5">
        <v>158976</v>
      </c>
      <c r="D16" s="5">
        <v>582639</v>
      </c>
    </row>
    <row r="17" spans="1:30" ht="14.25" customHeight="1" x14ac:dyDescent="0.3">
      <c r="A17" s="31" t="s">
        <v>478</v>
      </c>
      <c r="B17" s="5">
        <v>24</v>
      </c>
      <c r="C17" s="5">
        <v>64</v>
      </c>
      <c r="D17" s="5">
        <v>88</v>
      </c>
    </row>
    <row r="18" spans="1:30" x14ac:dyDescent="0.3">
      <c r="A18" s="29" t="s">
        <v>60</v>
      </c>
      <c r="B18" s="57">
        <v>3866212</v>
      </c>
      <c r="C18" s="57">
        <v>1430654</v>
      </c>
      <c r="D18" s="57">
        <v>5296866</v>
      </c>
    </row>
    <row r="19" spans="1:30" x14ac:dyDescent="0.3">
      <c r="B19" s="73"/>
      <c r="C19" s="73"/>
      <c r="D19" s="73"/>
    </row>
    <row r="21" spans="1:30" x14ac:dyDescent="0.3">
      <c r="A21" s="7" t="s">
        <v>143</v>
      </c>
      <c r="P21" s="7" t="s">
        <v>144</v>
      </c>
      <c r="Q21" s="6"/>
      <c r="R21" s="6"/>
      <c r="S21" s="6"/>
      <c r="T21" s="6"/>
    </row>
    <row r="22" spans="1:30" x14ac:dyDescent="0.3">
      <c r="A22" s="7" t="s">
        <v>380</v>
      </c>
      <c r="P22" s="7" t="s">
        <v>381</v>
      </c>
      <c r="Q22" s="6"/>
      <c r="R22" s="6"/>
      <c r="S22" s="6"/>
      <c r="T22" s="6"/>
    </row>
    <row r="23" spans="1:30" ht="41.4" x14ac:dyDescent="0.3">
      <c r="A23" s="44" t="s">
        <v>66</v>
      </c>
      <c r="B23" s="44" t="s">
        <v>9</v>
      </c>
      <c r="C23" s="44" t="s">
        <v>10</v>
      </c>
      <c r="D23" s="44" t="s">
        <v>11</v>
      </c>
      <c r="E23" s="44" t="s">
        <v>12</v>
      </c>
      <c r="F23" s="44" t="s">
        <v>13</v>
      </c>
      <c r="G23" s="44" t="s">
        <v>223</v>
      </c>
      <c r="H23" s="44" t="s">
        <v>224</v>
      </c>
      <c r="I23" s="44" t="s">
        <v>225</v>
      </c>
      <c r="J23" s="44" t="s">
        <v>226</v>
      </c>
      <c r="K23" s="44" t="s">
        <v>263</v>
      </c>
      <c r="L23" s="44" t="s">
        <v>31</v>
      </c>
      <c r="M23" s="44" t="s">
        <v>478</v>
      </c>
      <c r="N23" s="44" t="s">
        <v>64</v>
      </c>
      <c r="P23" s="44" t="s">
        <v>66</v>
      </c>
      <c r="Q23" s="44" t="s">
        <v>9</v>
      </c>
      <c r="R23" s="44" t="s">
        <v>10</v>
      </c>
      <c r="S23" s="44" t="s">
        <v>11</v>
      </c>
      <c r="T23" s="44" t="s">
        <v>12</v>
      </c>
      <c r="U23" s="44" t="s">
        <v>13</v>
      </c>
      <c r="V23" s="44" t="s">
        <v>223</v>
      </c>
      <c r="W23" s="44" t="s">
        <v>224</v>
      </c>
      <c r="X23" s="44" t="s">
        <v>225</v>
      </c>
      <c r="Y23" s="44" t="s">
        <v>226</v>
      </c>
      <c r="Z23" s="44" t="s">
        <v>263</v>
      </c>
      <c r="AA23" s="44" t="s">
        <v>31</v>
      </c>
      <c r="AB23" s="44" t="s">
        <v>478</v>
      </c>
      <c r="AC23" s="44" t="s">
        <v>64</v>
      </c>
    </row>
    <row r="24" spans="1:30" x14ac:dyDescent="0.3">
      <c r="A24" s="22" t="s">
        <v>5</v>
      </c>
      <c r="B24" s="4">
        <v>220364</v>
      </c>
      <c r="C24" s="4">
        <v>361600</v>
      </c>
      <c r="D24" s="23">
        <v>169206</v>
      </c>
      <c r="E24" s="23">
        <v>164702</v>
      </c>
      <c r="F24" s="23">
        <v>77100</v>
      </c>
      <c r="G24" s="23">
        <v>72226</v>
      </c>
      <c r="H24" s="23">
        <v>0</v>
      </c>
      <c r="I24" s="23">
        <v>39161</v>
      </c>
      <c r="J24" s="23">
        <v>42945</v>
      </c>
      <c r="K24" s="23">
        <v>67264</v>
      </c>
      <c r="L24" s="23">
        <v>169233</v>
      </c>
      <c r="M24" s="23">
        <v>4</v>
      </c>
      <c r="N24" s="23">
        <v>1383805</v>
      </c>
      <c r="O24" s="76"/>
      <c r="P24" s="22" t="s">
        <v>5</v>
      </c>
      <c r="Q24" s="4">
        <v>109094</v>
      </c>
      <c r="R24" s="4">
        <v>126446</v>
      </c>
      <c r="S24" s="23">
        <v>129512</v>
      </c>
      <c r="T24" s="23">
        <v>73894</v>
      </c>
      <c r="U24" s="23">
        <v>65857</v>
      </c>
      <c r="V24" s="23">
        <v>49122</v>
      </c>
      <c r="W24" s="23">
        <v>2619</v>
      </c>
      <c r="X24" s="23">
        <v>16715</v>
      </c>
      <c r="Y24" s="23">
        <v>17850</v>
      </c>
      <c r="Z24" s="23">
        <v>17047</v>
      </c>
      <c r="AA24" s="23">
        <v>73441</v>
      </c>
      <c r="AB24" s="23">
        <v>19</v>
      </c>
      <c r="AC24" s="23">
        <v>681616</v>
      </c>
      <c r="AD24" s="76"/>
    </row>
    <row r="25" spans="1:30" x14ac:dyDescent="0.3">
      <c r="A25" s="25" t="s">
        <v>6</v>
      </c>
      <c r="B25" s="5">
        <v>694399</v>
      </c>
      <c r="C25" s="5">
        <v>518414</v>
      </c>
      <c r="D25" s="14">
        <v>360726</v>
      </c>
      <c r="E25" s="14">
        <v>117760</v>
      </c>
      <c r="F25" s="14">
        <v>139348</v>
      </c>
      <c r="G25" s="14">
        <v>101969</v>
      </c>
      <c r="H25" s="14">
        <v>123181</v>
      </c>
      <c r="I25" s="14">
        <v>85846</v>
      </c>
      <c r="J25" s="14">
        <v>49048</v>
      </c>
      <c r="K25" s="14">
        <v>37266</v>
      </c>
      <c r="L25" s="14">
        <v>254430</v>
      </c>
      <c r="M25" s="14">
        <v>20</v>
      </c>
      <c r="N25" s="14">
        <v>2482407</v>
      </c>
      <c r="O25" s="76"/>
      <c r="P25" s="25" t="s">
        <v>6</v>
      </c>
      <c r="Q25" s="5">
        <v>165793</v>
      </c>
      <c r="R25" s="5">
        <v>96097</v>
      </c>
      <c r="S25" s="14">
        <v>158794</v>
      </c>
      <c r="T25" s="14">
        <v>35801</v>
      </c>
      <c r="U25" s="14">
        <v>62348</v>
      </c>
      <c r="V25" s="14">
        <v>45521</v>
      </c>
      <c r="W25" s="14">
        <v>38544</v>
      </c>
      <c r="X25" s="14">
        <v>30333</v>
      </c>
      <c r="Y25" s="14">
        <v>20859</v>
      </c>
      <c r="Z25" s="14">
        <v>9368</v>
      </c>
      <c r="AA25" s="14">
        <v>85535</v>
      </c>
      <c r="AB25" s="14">
        <v>45</v>
      </c>
      <c r="AC25" s="14">
        <v>749038</v>
      </c>
      <c r="AD25" s="75"/>
    </row>
    <row r="26" spans="1:30" x14ac:dyDescent="0.3">
      <c r="A26" s="25" t="s">
        <v>478</v>
      </c>
      <c r="B26" s="5">
        <v>0</v>
      </c>
      <c r="C26" s="5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76"/>
      <c r="P26" s="25" t="s">
        <v>478</v>
      </c>
      <c r="Q26" s="5">
        <v>0</v>
      </c>
      <c r="R26" s="5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75"/>
    </row>
    <row r="27" spans="1:30" s="2" customFormat="1" x14ac:dyDescent="0.3">
      <c r="A27" s="29" t="s">
        <v>60</v>
      </c>
      <c r="B27" s="57">
        <v>914763</v>
      </c>
      <c r="C27" s="57">
        <v>880014</v>
      </c>
      <c r="D27" s="57">
        <v>529932</v>
      </c>
      <c r="E27" s="57">
        <v>282462</v>
      </c>
      <c r="F27" s="57">
        <v>216448</v>
      </c>
      <c r="G27" s="57">
        <v>174195</v>
      </c>
      <c r="H27" s="57">
        <v>123181</v>
      </c>
      <c r="I27" s="57">
        <v>125007</v>
      </c>
      <c r="J27" s="57">
        <v>91993</v>
      </c>
      <c r="K27" s="57">
        <v>104530</v>
      </c>
      <c r="L27" s="57">
        <v>423663</v>
      </c>
      <c r="M27" s="57">
        <v>24</v>
      </c>
      <c r="N27" s="57">
        <v>3866212</v>
      </c>
      <c r="O27" s="89"/>
      <c r="P27" s="29" t="s">
        <v>60</v>
      </c>
      <c r="Q27" s="57">
        <v>274887</v>
      </c>
      <c r="R27" s="57">
        <v>222543</v>
      </c>
      <c r="S27" s="57">
        <v>288306</v>
      </c>
      <c r="T27" s="57">
        <v>109695</v>
      </c>
      <c r="U27" s="57">
        <v>128205</v>
      </c>
      <c r="V27" s="57">
        <v>94643</v>
      </c>
      <c r="W27" s="57">
        <v>41163</v>
      </c>
      <c r="X27" s="57">
        <v>47048</v>
      </c>
      <c r="Y27" s="57">
        <v>38709</v>
      </c>
      <c r="Z27" s="57">
        <v>26415</v>
      </c>
      <c r="AA27" s="57">
        <v>158976</v>
      </c>
      <c r="AB27" s="57">
        <v>64</v>
      </c>
      <c r="AC27" s="77">
        <v>1430654</v>
      </c>
      <c r="AD27" s="72"/>
    </row>
    <row r="28" spans="1:30" x14ac:dyDescent="0.3"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</row>
    <row r="29" spans="1:30" x14ac:dyDescent="0.3">
      <c r="Q29" s="6"/>
      <c r="R29" s="6"/>
      <c r="S29" s="6"/>
      <c r="T29" s="6"/>
    </row>
    <row r="30" spans="1:30" x14ac:dyDescent="0.3">
      <c r="A30" s="7" t="s">
        <v>145</v>
      </c>
      <c r="P30" s="7" t="s">
        <v>147</v>
      </c>
      <c r="Q30" s="6"/>
      <c r="R30" s="6"/>
      <c r="S30" s="6"/>
      <c r="T30" s="6"/>
    </row>
    <row r="31" spans="1:30" x14ac:dyDescent="0.3">
      <c r="A31" s="7" t="s">
        <v>382</v>
      </c>
      <c r="P31" s="7" t="s">
        <v>383</v>
      </c>
      <c r="Q31" s="6"/>
      <c r="R31" s="6"/>
      <c r="S31" s="6"/>
      <c r="T31" s="6"/>
    </row>
    <row r="32" spans="1:30" ht="41.4" x14ac:dyDescent="0.3">
      <c r="A32" s="24" t="s">
        <v>67</v>
      </c>
      <c r="B32" s="44" t="s">
        <v>9</v>
      </c>
      <c r="C32" s="44" t="s">
        <v>10</v>
      </c>
      <c r="D32" s="44" t="s">
        <v>11</v>
      </c>
      <c r="E32" s="44" t="s">
        <v>12</v>
      </c>
      <c r="F32" s="44" t="s">
        <v>13</v>
      </c>
      <c r="G32" s="44" t="s">
        <v>223</v>
      </c>
      <c r="H32" s="44" t="s">
        <v>224</v>
      </c>
      <c r="I32" s="44" t="s">
        <v>225</v>
      </c>
      <c r="J32" s="44" t="s">
        <v>226</v>
      </c>
      <c r="K32" s="44" t="s">
        <v>263</v>
      </c>
      <c r="L32" s="44" t="s">
        <v>31</v>
      </c>
      <c r="M32" s="44" t="s">
        <v>478</v>
      </c>
      <c r="N32" s="44" t="s">
        <v>64</v>
      </c>
      <c r="P32" s="24" t="s">
        <v>67</v>
      </c>
      <c r="Q32" s="44" t="s">
        <v>9</v>
      </c>
      <c r="R32" s="44" t="s">
        <v>10</v>
      </c>
      <c r="S32" s="44" t="s">
        <v>11</v>
      </c>
      <c r="T32" s="44" t="s">
        <v>12</v>
      </c>
      <c r="U32" s="44" t="s">
        <v>13</v>
      </c>
      <c r="V32" s="44" t="s">
        <v>223</v>
      </c>
      <c r="W32" s="44" t="s">
        <v>224</v>
      </c>
      <c r="X32" s="44" t="s">
        <v>225</v>
      </c>
      <c r="Y32" s="44" t="s">
        <v>226</v>
      </c>
      <c r="Z32" s="44" t="s">
        <v>263</v>
      </c>
      <c r="AA32" s="44" t="s">
        <v>31</v>
      </c>
      <c r="AB32" s="44" t="s">
        <v>478</v>
      </c>
      <c r="AC32" s="44" t="s">
        <v>64</v>
      </c>
    </row>
    <row r="33" spans="1:30" x14ac:dyDescent="0.3">
      <c r="A33" s="22" t="s">
        <v>53</v>
      </c>
      <c r="B33" s="4">
        <v>3379</v>
      </c>
      <c r="C33" s="4">
        <v>4903</v>
      </c>
      <c r="D33" s="4">
        <v>4447</v>
      </c>
      <c r="E33" s="4">
        <v>3789</v>
      </c>
      <c r="F33" s="4">
        <v>2436</v>
      </c>
      <c r="G33" s="4">
        <v>1487</v>
      </c>
      <c r="H33" s="4">
        <v>1518</v>
      </c>
      <c r="I33" s="4">
        <v>918</v>
      </c>
      <c r="J33" s="4">
        <v>106</v>
      </c>
      <c r="K33" s="4">
        <v>160</v>
      </c>
      <c r="L33" s="4">
        <v>2926</v>
      </c>
      <c r="M33" s="4">
        <v>0</v>
      </c>
      <c r="N33" s="4">
        <v>26069</v>
      </c>
      <c r="O33" s="76"/>
      <c r="P33" s="22" t="s">
        <v>53</v>
      </c>
      <c r="Q33" s="4">
        <v>207</v>
      </c>
      <c r="R33" s="4">
        <v>320</v>
      </c>
      <c r="S33" s="4">
        <v>396</v>
      </c>
      <c r="T33" s="4">
        <v>270</v>
      </c>
      <c r="U33" s="4">
        <v>232</v>
      </c>
      <c r="V33" s="4">
        <v>117</v>
      </c>
      <c r="W33" s="4">
        <v>30</v>
      </c>
      <c r="X33" s="4">
        <v>46</v>
      </c>
      <c r="Y33" s="4">
        <v>8</v>
      </c>
      <c r="Z33" s="4">
        <v>10</v>
      </c>
      <c r="AA33" s="4">
        <v>207</v>
      </c>
      <c r="AB33" s="4">
        <v>0</v>
      </c>
      <c r="AC33" s="4">
        <v>1843</v>
      </c>
      <c r="AD33" s="76"/>
    </row>
    <row r="34" spans="1:30" x14ac:dyDescent="0.3">
      <c r="A34" s="25" t="s">
        <v>2</v>
      </c>
      <c r="B34" s="5">
        <v>68772</v>
      </c>
      <c r="C34" s="5">
        <v>53223</v>
      </c>
      <c r="D34" s="5">
        <v>43280</v>
      </c>
      <c r="E34" s="5">
        <v>28886</v>
      </c>
      <c r="F34" s="5">
        <v>25193</v>
      </c>
      <c r="G34" s="5">
        <v>14580</v>
      </c>
      <c r="H34" s="5">
        <v>20423</v>
      </c>
      <c r="I34" s="5">
        <v>9202</v>
      </c>
      <c r="J34" s="5">
        <v>1381</v>
      </c>
      <c r="K34" s="5">
        <v>1698</v>
      </c>
      <c r="L34" s="5">
        <v>27645</v>
      </c>
      <c r="M34" s="5">
        <v>2</v>
      </c>
      <c r="N34" s="5">
        <v>294285</v>
      </c>
      <c r="P34" s="25" t="s">
        <v>2</v>
      </c>
      <c r="Q34" s="5">
        <v>9073</v>
      </c>
      <c r="R34" s="5">
        <v>8676</v>
      </c>
      <c r="S34" s="5">
        <v>10582</v>
      </c>
      <c r="T34" s="5">
        <v>6547</v>
      </c>
      <c r="U34" s="5">
        <v>7264</v>
      </c>
      <c r="V34" s="5">
        <v>3692</v>
      </c>
      <c r="W34" s="5">
        <v>1472</v>
      </c>
      <c r="X34" s="5">
        <v>1296</v>
      </c>
      <c r="Y34" s="5">
        <v>316</v>
      </c>
      <c r="Z34" s="5">
        <v>321</v>
      </c>
      <c r="AA34" s="5">
        <v>5686</v>
      </c>
      <c r="AB34" s="5">
        <v>2</v>
      </c>
      <c r="AC34" s="5">
        <v>54927</v>
      </c>
      <c r="AD34" s="75"/>
    </row>
    <row r="35" spans="1:30" x14ac:dyDescent="0.3">
      <c r="A35" s="25" t="s">
        <v>54</v>
      </c>
      <c r="B35" s="5">
        <v>327420</v>
      </c>
      <c r="C35" s="5">
        <v>197542</v>
      </c>
      <c r="D35" s="5">
        <v>160712</v>
      </c>
      <c r="E35" s="5">
        <v>72241</v>
      </c>
      <c r="F35" s="5">
        <v>85057</v>
      </c>
      <c r="G35" s="5">
        <v>49529</v>
      </c>
      <c r="H35" s="5">
        <v>73437</v>
      </c>
      <c r="I35" s="5">
        <v>33641</v>
      </c>
      <c r="J35" s="5">
        <v>8268</v>
      </c>
      <c r="K35" s="5">
        <v>8410</v>
      </c>
      <c r="L35" s="5">
        <v>99225</v>
      </c>
      <c r="M35" s="5">
        <v>6</v>
      </c>
      <c r="N35" s="5">
        <v>1115488</v>
      </c>
      <c r="P35" s="25" t="s">
        <v>54</v>
      </c>
      <c r="Q35" s="5">
        <v>98640</v>
      </c>
      <c r="R35" s="5">
        <v>64492</v>
      </c>
      <c r="S35" s="5">
        <v>102848</v>
      </c>
      <c r="T35" s="5">
        <v>38406</v>
      </c>
      <c r="U35" s="5">
        <v>59865</v>
      </c>
      <c r="V35" s="5">
        <v>33391</v>
      </c>
      <c r="W35" s="5">
        <v>24782</v>
      </c>
      <c r="X35" s="5">
        <v>14514</v>
      </c>
      <c r="Y35" s="5">
        <v>4808</v>
      </c>
      <c r="Z35" s="5">
        <v>3674</v>
      </c>
      <c r="AA35" s="5">
        <v>51089</v>
      </c>
      <c r="AB35" s="5">
        <v>26</v>
      </c>
      <c r="AC35" s="5">
        <v>496535</v>
      </c>
      <c r="AD35" s="75"/>
    </row>
    <row r="36" spans="1:30" x14ac:dyDescent="0.3">
      <c r="A36" s="25" t="s">
        <v>55</v>
      </c>
      <c r="B36" s="5">
        <v>251496</v>
      </c>
      <c r="C36" s="5">
        <v>198738</v>
      </c>
      <c r="D36" s="5">
        <v>124552</v>
      </c>
      <c r="E36" s="5">
        <v>59876</v>
      </c>
      <c r="F36" s="5">
        <v>49932</v>
      </c>
      <c r="G36" s="5">
        <v>40625</v>
      </c>
      <c r="H36" s="5">
        <v>27107</v>
      </c>
      <c r="I36" s="5">
        <v>30184</v>
      </c>
      <c r="J36" s="5">
        <v>15821</v>
      </c>
      <c r="K36" s="5">
        <v>14683</v>
      </c>
      <c r="L36" s="5">
        <v>95370</v>
      </c>
      <c r="M36" s="5">
        <v>7</v>
      </c>
      <c r="N36" s="5">
        <v>908391</v>
      </c>
      <c r="P36" s="25" t="s">
        <v>55</v>
      </c>
      <c r="Q36" s="5">
        <v>88727</v>
      </c>
      <c r="R36" s="5">
        <v>62787</v>
      </c>
      <c r="S36" s="5">
        <v>83022</v>
      </c>
      <c r="T36" s="5">
        <v>29419</v>
      </c>
      <c r="U36" s="5">
        <v>35649</v>
      </c>
      <c r="V36" s="5">
        <v>26430</v>
      </c>
      <c r="W36" s="5">
        <v>14500</v>
      </c>
      <c r="X36" s="5">
        <v>14719</v>
      </c>
      <c r="Y36" s="5">
        <v>9175</v>
      </c>
      <c r="Z36" s="5">
        <v>6000</v>
      </c>
      <c r="AA36" s="5">
        <v>44674</v>
      </c>
      <c r="AB36" s="5">
        <v>22</v>
      </c>
      <c r="AC36" s="5">
        <v>415124</v>
      </c>
      <c r="AD36" s="75"/>
    </row>
    <row r="37" spans="1:30" x14ac:dyDescent="0.3">
      <c r="A37" s="25" t="s">
        <v>56</v>
      </c>
      <c r="B37" s="5">
        <v>154721</v>
      </c>
      <c r="C37" s="5">
        <v>223472</v>
      </c>
      <c r="D37" s="5">
        <v>103590</v>
      </c>
      <c r="E37" s="5">
        <v>61678</v>
      </c>
      <c r="F37" s="5">
        <v>31952</v>
      </c>
      <c r="G37" s="5">
        <v>35087</v>
      </c>
      <c r="H37" s="5">
        <v>574</v>
      </c>
      <c r="I37" s="5">
        <v>26214</v>
      </c>
      <c r="J37" s="5">
        <v>26263</v>
      </c>
      <c r="K37" s="5">
        <v>27101</v>
      </c>
      <c r="L37" s="5">
        <v>98443</v>
      </c>
      <c r="M37" s="5">
        <v>8</v>
      </c>
      <c r="N37" s="5">
        <v>789103</v>
      </c>
      <c r="P37" s="25" t="s">
        <v>56</v>
      </c>
      <c r="Q37" s="5">
        <v>45373</v>
      </c>
      <c r="R37" s="5">
        <v>47574</v>
      </c>
      <c r="S37" s="5">
        <v>50087</v>
      </c>
      <c r="T37" s="5">
        <v>19774</v>
      </c>
      <c r="U37" s="5">
        <v>15516</v>
      </c>
      <c r="V37" s="5">
        <v>17160</v>
      </c>
      <c r="W37" s="5">
        <v>359</v>
      </c>
      <c r="X37" s="5">
        <v>9302</v>
      </c>
      <c r="Y37" s="5">
        <v>10241</v>
      </c>
      <c r="Z37" s="5">
        <v>6688</v>
      </c>
      <c r="AA37" s="5">
        <v>30614</v>
      </c>
      <c r="AB37" s="5">
        <v>13</v>
      </c>
      <c r="AC37" s="5">
        <v>252701</v>
      </c>
      <c r="AD37" s="75"/>
    </row>
    <row r="38" spans="1:30" x14ac:dyDescent="0.3">
      <c r="A38" s="25" t="s">
        <v>57</v>
      </c>
      <c r="B38" s="5">
        <v>91069</v>
      </c>
      <c r="C38" s="5">
        <v>162046</v>
      </c>
      <c r="D38" s="5">
        <v>72745</v>
      </c>
      <c r="E38" s="5">
        <v>44452</v>
      </c>
      <c r="F38" s="5">
        <v>18138</v>
      </c>
      <c r="G38" s="5">
        <v>25645</v>
      </c>
      <c r="H38" s="5">
        <v>72</v>
      </c>
      <c r="I38" s="5">
        <v>17570</v>
      </c>
      <c r="J38" s="5">
        <v>26863</v>
      </c>
      <c r="K38" s="5">
        <v>34811</v>
      </c>
      <c r="L38" s="5">
        <v>75434</v>
      </c>
      <c r="M38" s="5">
        <v>1</v>
      </c>
      <c r="N38" s="5">
        <v>568846</v>
      </c>
      <c r="P38" s="25" t="s">
        <v>57</v>
      </c>
      <c r="Q38" s="5">
        <v>28378</v>
      </c>
      <c r="R38" s="5">
        <v>32559</v>
      </c>
      <c r="S38" s="5">
        <v>34602</v>
      </c>
      <c r="T38" s="5">
        <v>12888</v>
      </c>
      <c r="U38" s="5">
        <v>8373</v>
      </c>
      <c r="V38" s="5">
        <v>11581</v>
      </c>
      <c r="W38" s="5">
        <v>16</v>
      </c>
      <c r="X38" s="5">
        <v>5756</v>
      </c>
      <c r="Y38" s="5">
        <v>10354</v>
      </c>
      <c r="Z38" s="5">
        <v>7105</v>
      </c>
      <c r="AA38" s="5">
        <v>21887</v>
      </c>
      <c r="AB38" s="5">
        <v>1</v>
      </c>
      <c r="AC38" s="5">
        <v>173500</v>
      </c>
      <c r="AD38" s="75"/>
    </row>
    <row r="39" spans="1:30" x14ac:dyDescent="0.3">
      <c r="A39" s="25" t="s">
        <v>3</v>
      </c>
      <c r="B39" s="5">
        <v>17906</v>
      </c>
      <c r="C39" s="5">
        <v>40090</v>
      </c>
      <c r="D39" s="5">
        <v>20606</v>
      </c>
      <c r="E39" s="5">
        <v>11540</v>
      </c>
      <c r="F39" s="5">
        <v>3740</v>
      </c>
      <c r="G39" s="5">
        <v>7242</v>
      </c>
      <c r="H39" s="5">
        <v>50</v>
      </c>
      <c r="I39" s="5">
        <v>7278</v>
      </c>
      <c r="J39" s="5">
        <v>13291</v>
      </c>
      <c r="K39" s="5">
        <v>17667</v>
      </c>
      <c r="L39" s="5">
        <v>24620</v>
      </c>
      <c r="M39" s="5">
        <v>0</v>
      </c>
      <c r="N39" s="5">
        <v>164030</v>
      </c>
      <c r="P39" s="25" t="s">
        <v>3</v>
      </c>
      <c r="Q39" s="5">
        <v>4485</v>
      </c>
      <c r="R39" s="5">
        <v>6130</v>
      </c>
      <c r="S39" s="5">
        <v>6767</v>
      </c>
      <c r="T39" s="5">
        <v>2391</v>
      </c>
      <c r="U39" s="5">
        <v>1304</v>
      </c>
      <c r="V39" s="5">
        <v>2269</v>
      </c>
      <c r="W39" s="5">
        <v>4</v>
      </c>
      <c r="X39" s="5">
        <v>1415</v>
      </c>
      <c r="Y39" s="5">
        <v>3807</v>
      </c>
      <c r="Z39" s="5">
        <v>2617</v>
      </c>
      <c r="AA39" s="5">
        <v>4816</v>
      </c>
      <c r="AB39" s="5">
        <v>0</v>
      </c>
      <c r="AC39" s="5">
        <v>36005</v>
      </c>
      <c r="AD39" s="75"/>
    </row>
    <row r="40" spans="1:30" x14ac:dyDescent="0.3">
      <c r="A40" s="25" t="s">
        <v>478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P40" s="25" t="s">
        <v>478</v>
      </c>
      <c r="Q40" s="5">
        <v>4</v>
      </c>
      <c r="R40" s="5">
        <v>5</v>
      </c>
      <c r="S40" s="5">
        <v>2</v>
      </c>
      <c r="T40" s="5">
        <v>0</v>
      </c>
      <c r="U40" s="5">
        <v>2</v>
      </c>
      <c r="V40" s="5">
        <v>3</v>
      </c>
      <c r="W40" s="5">
        <v>0</v>
      </c>
      <c r="X40" s="5">
        <v>0</v>
      </c>
      <c r="Y40" s="5">
        <v>0</v>
      </c>
      <c r="Z40" s="5">
        <v>0</v>
      </c>
      <c r="AA40" s="5">
        <v>3</v>
      </c>
      <c r="AB40" s="5">
        <v>0</v>
      </c>
      <c r="AC40" s="5">
        <v>19</v>
      </c>
      <c r="AD40" s="75"/>
    </row>
    <row r="41" spans="1:30" s="2" customFormat="1" x14ac:dyDescent="0.3">
      <c r="A41" s="29" t="s">
        <v>60</v>
      </c>
      <c r="B41" s="57">
        <v>914763</v>
      </c>
      <c r="C41" s="57">
        <v>880014</v>
      </c>
      <c r="D41" s="57">
        <v>529932</v>
      </c>
      <c r="E41" s="57">
        <v>282462</v>
      </c>
      <c r="F41" s="57">
        <v>216448</v>
      </c>
      <c r="G41" s="57">
        <v>174195</v>
      </c>
      <c r="H41" s="57">
        <v>123181</v>
      </c>
      <c r="I41" s="57">
        <v>125007</v>
      </c>
      <c r="J41" s="57">
        <v>91993</v>
      </c>
      <c r="K41" s="57">
        <v>104530</v>
      </c>
      <c r="L41" s="57">
        <v>423663</v>
      </c>
      <c r="M41" s="57">
        <v>24</v>
      </c>
      <c r="N41" s="57">
        <v>3866212</v>
      </c>
      <c r="O41" s="72"/>
      <c r="P41" s="29" t="s">
        <v>60</v>
      </c>
      <c r="Q41" s="57">
        <v>274887</v>
      </c>
      <c r="R41" s="57">
        <v>222543</v>
      </c>
      <c r="S41" s="57">
        <v>288306</v>
      </c>
      <c r="T41" s="57">
        <v>109695</v>
      </c>
      <c r="U41" s="57">
        <v>128205</v>
      </c>
      <c r="V41" s="57">
        <v>94643</v>
      </c>
      <c r="W41" s="57">
        <v>41163</v>
      </c>
      <c r="X41" s="57">
        <v>47048</v>
      </c>
      <c r="Y41" s="57">
        <v>38709</v>
      </c>
      <c r="Z41" s="57">
        <v>26415</v>
      </c>
      <c r="AA41" s="57">
        <v>158976</v>
      </c>
      <c r="AB41" s="57">
        <v>64</v>
      </c>
      <c r="AC41" s="57">
        <v>1430654</v>
      </c>
      <c r="AD41" s="72"/>
    </row>
    <row r="42" spans="1:30" x14ac:dyDescent="0.3"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</row>
    <row r="43" spans="1:30" x14ac:dyDescent="0.3">
      <c r="Q43" s="6"/>
      <c r="R43" s="54"/>
      <c r="S43" s="6"/>
      <c r="T43" s="6"/>
    </row>
    <row r="44" spans="1:30" x14ac:dyDescent="0.3">
      <c r="A44" s="7" t="s">
        <v>146</v>
      </c>
      <c r="P44" s="7" t="s">
        <v>148</v>
      </c>
      <c r="Q44" s="6"/>
      <c r="R44" s="6"/>
      <c r="S44" s="6"/>
      <c r="T44" s="6"/>
    </row>
    <row r="45" spans="1:30" x14ac:dyDescent="0.3">
      <c r="A45" s="7" t="s">
        <v>384</v>
      </c>
      <c r="P45" s="7" t="s">
        <v>385</v>
      </c>
      <c r="Q45" s="6"/>
      <c r="R45" s="6"/>
      <c r="S45" s="6"/>
      <c r="T45" s="6"/>
    </row>
    <row r="46" spans="1:30" ht="41.4" x14ac:dyDescent="0.3">
      <c r="A46" s="24" t="s">
        <v>209</v>
      </c>
      <c r="B46" s="44" t="s">
        <v>9</v>
      </c>
      <c r="C46" s="44" t="s">
        <v>10</v>
      </c>
      <c r="D46" s="44" t="s">
        <v>11</v>
      </c>
      <c r="E46" s="44" t="s">
        <v>12</v>
      </c>
      <c r="F46" s="44" t="s">
        <v>13</v>
      </c>
      <c r="G46" s="44" t="s">
        <v>223</v>
      </c>
      <c r="H46" s="44" t="s">
        <v>224</v>
      </c>
      <c r="I46" s="44" t="s">
        <v>225</v>
      </c>
      <c r="J46" s="44" t="s">
        <v>226</v>
      </c>
      <c r="K46" s="44" t="s">
        <v>263</v>
      </c>
      <c r="L46" s="44" t="s">
        <v>31</v>
      </c>
      <c r="M46" s="44" t="s">
        <v>478</v>
      </c>
      <c r="N46" s="44" t="s">
        <v>64</v>
      </c>
      <c r="P46" s="24" t="s">
        <v>209</v>
      </c>
      <c r="Q46" s="44" t="s">
        <v>9</v>
      </c>
      <c r="R46" s="44" t="s">
        <v>10</v>
      </c>
      <c r="S46" s="44" t="s">
        <v>11</v>
      </c>
      <c r="T46" s="44" t="s">
        <v>12</v>
      </c>
      <c r="U46" s="44" t="s">
        <v>13</v>
      </c>
      <c r="V46" s="44" t="s">
        <v>223</v>
      </c>
      <c r="W46" s="44" t="s">
        <v>224</v>
      </c>
      <c r="X46" s="44" t="s">
        <v>225</v>
      </c>
      <c r="Y46" s="44" t="s">
        <v>226</v>
      </c>
      <c r="Z46" s="44" t="s">
        <v>263</v>
      </c>
      <c r="AA46" s="44" t="s">
        <v>31</v>
      </c>
      <c r="AB46" s="44" t="s">
        <v>478</v>
      </c>
      <c r="AC46" s="44" t="s">
        <v>64</v>
      </c>
    </row>
    <row r="47" spans="1:30" x14ac:dyDescent="0.3">
      <c r="A47" s="30" t="s">
        <v>14</v>
      </c>
      <c r="B47" s="4">
        <v>3519</v>
      </c>
      <c r="C47" s="4">
        <v>5596</v>
      </c>
      <c r="D47" s="4">
        <v>6103</v>
      </c>
      <c r="E47" s="4">
        <v>2775</v>
      </c>
      <c r="F47" s="4">
        <v>2342</v>
      </c>
      <c r="G47" s="4">
        <v>3516</v>
      </c>
      <c r="H47" s="4">
        <v>1853</v>
      </c>
      <c r="I47" s="4">
        <v>1637</v>
      </c>
      <c r="J47" s="4">
        <v>932</v>
      </c>
      <c r="K47" s="4">
        <v>1093</v>
      </c>
      <c r="L47" s="4">
        <v>3593</v>
      </c>
      <c r="M47" s="4">
        <v>0</v>
      </c>
      <c r="N47" s="4">
        <v>32959</v>
      </c>
      <c r="O47" s="76"/>
      <c r="P47" s="30" t="s">
        <v>14</v>
      </c>
      <c r="Q47" s="4">
        <v>1079</v>
      </c>
      <c r="R47" s="4">
        <v>1194</v>
      </c>
      <c r="S47" s="4">
        <v>2107</v>
      </c>
      <c r="T47" s="4">
        <v>601</v>
      </c>
      <c r="U47" s="4">
        <v>891</v>
      </c>
      <c r="V47" s="4">
        <v>1102</v>
      </c>
      <c r="W47" s="4">
        <v>401</v>
      </c>
      <c r="X47" s="4">
        <v>417</v>
      </c>
      <c r="Y47" s="4">
        <v>394</v>
      </c>
      <c r="Z47" s="4">
        <v>189</v>
      </c>
      <c r="AA47" s="4">
        <v>1153</v>
      </c>
      <c r="AB47" s="4">
        <v>0</v>
      </c>
      <c r="AC47" s="4">
        <v>9528</v>
      </c>
      <c r="AD47" s="76"/>
    </row>
    <row r="48" spans="1:30" x14ac:dyDescent="0.3">
      <c r="A48" s="31" t="s">
        <v>15</v>
      </c>
      <c r="B48" s="5">
        <v>14720</v>
      </c>
      <c r="C48" s="5">
        <v>13789</v>
      </c>
      <c r="D48" s="5">
        <v>7462</v>
      </c>
      <c r="E48" s="5">
        <v>4185</v>
      </c>
      <c r="F48" s="5">
        <v>4371</v>
      </c>
      <c r="G48" s="5">
        <v>2636</v>
      </c>
      <c r="H48" s="5">
        <v>1536</v>
      </c>
      <c r="I48" s="5">
        <v>2536</v>
      </c>
      <c r="J48" s="5">
        <v>1621</v>
      </c>
      <c r="K48" s="5">
        <v>1675</v>
      </c>
      <c r="L48" s="5">
        <v>5833</v>
      </c>
      <c r="M48" s="5">
        <v>1</v>
      </c>
      <c r="N48" s="5">
        <v>60365</v>
      </c>
      <c r="P48" s="31" t="s">
        <v>15</v>
      </c>
      <c r="Q48" s="5">
        <v>5367</v>
      </c>
      <c r="R48" s="5">
        <v>4015</v>
      </c>
      <c r="S48" s="5">
        <v>3313</v>
      </c>
      <c r="T48" s="5">
        <v>1776</v>
      </c>
      <c r="U48" s="5">
        <v>1249</v>
      </c>
      <c r="V48" s="5">
        <v>1831</v>
      </c>
      <c r="W48" s="5">
        <v>433</v>
      </c>
      <c r="X48" s="5">
        <v>772</v>
      </c>
      <c r="Y48" s="5">
        <v>623</v>
      </c>
      <c r="Z48" s="5">
        <v>536</v>
      </c>
      <c r="AA48" s="5">
        <v>2720</v>
      </c>
      <c r="AB48" s="5">
        <v>2</v>
      </c>
      <c r="AC48" s="5">
        <v>22637</v>
      </c>
      <c r="AD48" s="75"/>
    </row>
    <row r="49" spans="1:30" x14ac:dyDescent="0.3">
      <c r="A49" s="31" t="s">
        <v>16</v>
      </c>
      <c r="B49" s="5">
        <v>19308</v>
      </c>
      <c r="C49" s="5">
        <v>25765</v>
      </c>
      <c r="D49" s="5">
        <v>12421</v>
      </c>
      <c r="E49" s="5">
        <v>9661</v>
      </c>
      <c r="F49" s="5">
        <v>4335</v>
      </c>
      <c r="G49" s="5">
        <v>4685</v>
      </c>
      <c r="H49" s="5">
        <v>5042</v>
      </c>
      <c r="I49" s="5">
        <v>3710</v>
      </c>
      <c r="J49" s="5">
        <v>2592</v>
      </c>
      <c r="K49" s="5">
        <v>2797</v>
      </c>
      <c r="L49" s="5">
        <v>12857</v>
      </c>
      <c r="M49" s="5">
        <v>1</v>
      </c>
      <c r="N49" s="5">
        <v>103174</v>
      </c>
      <c r="P49" s="31" t="s">
        <v>16</v>
      </c>
      <c r="Q49" s="5">
        <v>9442</v>
      </c>
      <c r="R49" s="5">
        <v>12135</v>
      </c>
      <c r="S49" s="5">
        <v>8793</v>
      </c>
      <c r="T49" s="5">
        <v>5485</v>
      </c>
      <c r="U49" s="5">
        <v>3408</v>
      </c>
      <c r="V49" s="5">
        <v>4080</v>
      </c>
      <c r="W49" s="5">
        <v>1870</v>
      </c>
      <c r="X49" s="5">
        <v>2275</v>
      </c>
      <c r="Y49" s="5">
        <v>1638</v>
      </c>
      <c r="Z49" s="5">
        <v>1537</v>
      </c>
      <c r="AA49" s="5">
        <v>6402</v>
      </c>
      <c r="AB49" s="5">
        <v>0</v>
      </c>
      <c r="AC49" s="5">
        <v>57065</v>
      </c>
      <c r="AD49" s="75"/>
    </row>
    <row r="50" spans="1:30" x14ac:dyDescent="0.3">
      <c r="A50" s="31" t="s">
        <v>17</v>
      </c>
      <c r="B50" s="5">
        <v>11855</v>
      </c>
      <c r="C50" s="5">
        <v>12352</v>
      </c>
      <c r="D50" s="5">
        <v>7432</v>
      </c>
      <c r="E50" s="5">
        <v>4392</v>
      </c>
      <c r="F50" s="5">
        <v>3060</v>
      </c>
      <c r="G50" s="5">
        <v>3148</v>
      </c>
      <c r="H50" s="5">
        <v>2309</v>
      </c>
      <c r="I50" s="5">
        <v>2601</v>
      </c>
      <c r="J50" s="5">
        <v>1594</v>
      </c>
      <c r="K50" s="5">
        <v>2061</v>
      </c>
      <c r="L50" s="5">
        <v>6921</v>
      </c>
      <c r="M50" s="5">
        <v>1</v>
      </c>
      <c r="N50" s="5">
        <v>57726</v>
      </c>
      <c r="P50" s="31" t="s">
        <v>17</v>
      </c>
      <c r="Q50" s="5">
        <v>2607</v>
      </c>
      <c r="R50" s="5">
        <v>3143</v>
      </c>
      <c r="S50" s="5">
        <v>2848</v>
      </c>
      <c r="T50" s="5">
        <v>1374</v>
      </c>
      <c r="U50" s="5">
        <v>1082</v>
      </c>
      <c r="V50" s="5">
        <v>1173</v>
      </c>
      <c r="W50" s="5">
        <v>411</v>
      </c>
      <c r="X50" s="5">
        <v>648</v>
      </c>
      <c r="Y50" s="5">
        <v>577</v>
      </c>
      <c r="Z50" s="5">
        <v>469</v>
      </c>
      <c r="AA50" s="5">
        <v>2465</v>
      </c>
      <c r="AB50" s="5">
        <v>0</v>
      </c>
      <c r="AC50" s="5">
        <v>16797</v>
      </c>
      <c r="AD50" s="75"/>
    </row>
    <row r="51" spans="1:30" x14ac:dyDescent="0.3">
      <c r="A51" s="31" t="s">
        <v>18</v>
      </c>
      <c r="B51" s="5">
        <v>24390</v>
      </c>
      <c r="C51" s="5">
        <v>18857</v>
      </c>
      <c r="D51" s="5">
        <v>12706</v>
      </c>
      <c r="E51" s="5">
        <v>6505</v>
      </c>
      <c r="F51" s="5">
        <v>4078</v>
      </c>
      <c r="G51" s="5">
        <v>5896</v>
      </c>
      <c r="H51" s="5">
        <v>4212</v>
      </c>
      <c r="I51" s="5">
        <v>3269</v>
      </c>
      <c r="J51" s="5">
        <v>2989</v>
      </c>
      <c r="K51" s="5">
        <v>2598</v>
      </c>
      <c r="L51" s="5">
        <v>11348</v>
      </c>
      <c r="M51" s="5">
        <v>0</v>
      </c>
      <c r="N51" s="5">
        <v>96848</v>
      </c>
      <c r="P51" s="31" t="s">
        <v>18</v>
      </c>
      <c r="Q51" s="5">
        <v>3522</v>
      </c>
      <c r="R51" s="5">
        <v>2506</v>
      </c>
      <c r="S51" s="5">
        <v>3453</v>
      </c>
      <c r="T51" s="5">
        <v>1215</v>
      </c>
      <c r="U51" s="5">
        <v>1256</v>
      </c>
      <c r="V51" s="5">
        <v>1353</v>
      </c>
      <c r="W51" s="5">
        <v>546</v>
      </c>
      <c r="X51" s="5">
        <v>668</v>
      </c>
      <c r="Y51" s="5">
        <v>571</v>
      </c>
      <c r="Z51" s="5">
        <v>275</v>
      </c>
      <c r="AA51" s="5">
        <v>1719</v>
      </c>
      <c r="AB51" s="5">
        <v>0</v>
      </c>
      <c r="AC51" s="5">
        <v>17084</v>
      </c>
      <c r="AD51" s="75"/>
    </row>
    <row r="52" spans="1:30" x14ac:dyDescent="0.3">
      <c r="A52" s="31" t="s">
        <v>19</v>
      </c>
      <c r="B52" s="5">
        <v>63556</v>
      </c>
      <c r="C52" s="5">
        <v>59968</v>
      </c>
      <c r="D52" s="5">
        <v>33223</v>
      </c>
      <c r="E52" s="5">
        <v>16207</v>
      </c>
      <c r="F52" s="5">
        <v>13940</v>
      </c>
      <c r="G52" s="5">
        <v>9264</v>
      </c>
      <c r="H52" s="5">
        <v>9711</v>
      </c>
      <c r="I52" s="5">
        <v>8143</v>
      </c>
      <c r="J52" s="5">
        <v>5874</v>
      </c>
      <c r="K52" s="5">
        <v>7396</v>
      </c>
      <c r="L52" s="5">
        <v>28902</v>
      </c>
      <c r="M52" s="5">
        <v>0</v>
      </c>
      <c r="N52" s="5">
        <v>256184</v>
      </c>
      <c r="P52" s="31" t="s">
        <v>19</v>
      </c>
      <c r="Q52" s="5">
        <v>16085</v>
      </c>
      <c r="R52" s="5">
        <v>12862</v>
      </c>
      <c r="S52" s="5">
        <v>15362</v>
      </c>
      <c r="T52" s="5">
        <v>6132</v>
      </c>
      <c r="U52" s="5">
        <v>6336</v>
      </c>
      <c r="V52" s="5">
        <v>5285</v>
      </c>
      <c r="W52" s="5">
        <v>2483</v>
      </c>
      <c r="X52" s="5">
        <v>2755</v>
      </c>
      <c r="Y52" s="5">
        <v>2216</v>
      </c>
      <c r="Z52" s="5">
        <v>1634</v>
      </c>
      <c r="AA52" s="5">
        <v>8521</v>
      </c>
      <c r="AB52" s="5">
        <v>3</v>
      </c>
      <c r="AC52" s="5">
        <v>79674</v>
      </c>
      <c r="AD52" s="75"/>
    </row>
    <row r="53" spans="1:30" x14ac:dyDescent="0.3">
      <c r="A53" s="31" t="s">
        <v>20</v>
      </c>
      <c r="B53" s="5">
        <v>531617</v>
      </c>
      <c r="C53" s="5">
        <v>481719</v>
      </c>
      <c r="D53" s="5">
        <v>304094</v>
      </c>
      <c r="E53" s="5">
        <v>156137</v>
      </c>
      <c r="F53" s="5">
        <v>134219</v>
      </c>
      <c r="G53" s="5">
        <v>91163</v>
      </c>
      <c r="H53" s="5">
        <v>53381</v>
      </c>
      <c r="I53" s="5">
        <v>69607</v>
      </c>
      <c r="J53" s="5">
        <v>47135</v>
      </c>
      <c r="K53" s="5">
        <v>55657</v>
      </c>
      <c r="L53" s="5">
        <v>238208</v>
      </c>
      <c r="M53" s="5">
        <v>19</v>
      </c>
      <c r="N53" s="5">
        <v>2162956</v>
      </c>
      <c r="P53" s="31" t="s">
        <v>20</v>
      </c>
      <c r="Q53" s="5">
        <v>173008</v>
      </c>
      <c r="R53" s="5">
        <v>136373</v>
      </c>
      <c r="S53" s="5">
        <v>190982</v>
      </c>
      <c r="T53" s="5">
        <v>71389</v>
      </c>
      <c r="U53" s="5">
        <v>90149</v>
      </c>
      <c r="V53" s="5">
        <v>58960</v>
      </c>
      <c r="W53" s="5">
        <v>26166</v>
      </c>
      <c r="X53" s="5">
        <v>29579</v>
      </c>
      <c r="Y53" s="5">
        <v>24275</v>
      </c>
      <c r="Z53" s="5">
        <v>15839</v>
      </c>
      <c r="AA53" s="5">
        <v>102102</v>
      </c>
      <c r="AB53" s="5">
        <v>56</v>
      </c>
      <c r="AC53" s="5">
        <v>918878</v>
      </c>
      <c r="AD53" s="75"/>
    </row>
    <row r="54" spans="1:30" x14ac:dyDescent="0.3">
      <c r="A54" s="31" t="s">
        <v>21</v>
      </c>
      <c r="B54" s="5">
        <v>47824</v>
      </c>
      <c r="C54" s="5">
        <v>42703</v>
      </c>
      <c r="D54" s="5">
        <v>15132</v>
      </c>
      <c r="E54" s="5">
        <v>12177</v>
      </c>
      <c r="F54" s="5">
        <v>5800</v>
      </c>
      <c r="G54" s="5">
        <v>6583</v>
      </c>
      <c r="H54" s="5">
        <v>12805</v>
      </c>
      <c r="I54" s="5">
        <v>5797</v>
      </c>
      <c r="J54" s="5">
        <v>5105</v>
      </c>
      <c r="K54" s="5">
        <v>5974</v>
      </c>
      <c r="L54" s="5">
        <v>15984</v>
      </c>
      <c r="M54" s="5">
        <v>0</v>
      </c>
      <c r="N54" s="5">
        <v>175884</v>
      </c>
      <c r="P54" s="31" t="s">
        <v>21</v>
      </c>
      <c r="Q54" s="5">
        <v>10814</v>
      </c>
      <c r="R54" s="5">
        <v>7661</v>
      </c>
      <c r="S54" s="5">
        <v>6242</v>
      </c>
      <c r="T54" s="5">
        <v>3383</v>
      </c>
      <c r="U54" s="5">
        <v>2857</v>
      </c>
      <c r="V54" s="5">
        <v>2606</v>
      </c>
      <c r="W54" s="5">
        <v>1823</v>
      </c>
      <c r="X54" s="5">
        <v>1452</v>
      </c>
      <c r="Y54" s="5">
        <v>1132</v>
      </c>
      <c r="Z54" s="5">
        <v>1031</v>
      </c>
      <c r="AA54" s="5">
        <v>4616</v>
      </c>
      <c r="AB54" s="5">
        <v>1</v>
      </c>
      <c r="AC54" s="5">
        <v>43618</v>
      </c>
      <c r="AD54" s="75"/>
    </row>
    <row r="55" spans="1:30" x14ac:dyDescent="0.3">
      <c r="A55" s="31" t="s">
        <v>22</v>
      </c>
      <c r="B55" s="5">
        <v>40655</v>
      </c>
      <c r="C55" s="5">
        <v>35165</v>
      </c>
      <c r="D55" s="5">
        <v>17855</v>
      </c>
      <c r="E55" s="5">
        <v>10823</v>
      </c>
      <c r="F55" s="5">
        <v>2953</v>
      </c>
      <c r="G55" s="5">
        <v>9872</v>
      </c>
      <c r="H55" s="5">
        <v>7143</v>
      </c>
      <c r="I55" s="5">
        <v>5054</v>
      </c>
      <c r="J55" s="5">
        <v>4681</v>
      </c>
      <c r="K55" s="5">
        <v>4277</v>
      </c>
      <c r="L55" s="5">
        <v>13926</v>
      </c>
      <c r="M55" s="5">
        <v>0</v>
      </c>
      <c r="N55" s="5">
        <v>152404</v>
      </c>
      <c r="P55" s="31" t="s">
        <v>22</v>
      </c>
      <c r="Q55" s="5">
        <v>7369</v>
      </c>
      <c r="R55" s="5">
        <v>5432</v>
      </c>
      <c r="S55" s="5">
        <v>6862</v>
      </c>
      <c r="T55" s="5">
        <v>2544</v>
      </c>
      <c r="U55" s="5">
        <v>2538</v>
      </c>
      <c r="V55" s="5">
        <v>2643</v>
      </c>
      <c r="W55" s="5">
        <v>952</v>
      </c>
      <c r="X55" s="5">
        <v>1146</v>
      </c>
      <c r="Y55" s="5">
        <v>1009</v>
      </c>
      <c r="Z55" s="5">
        <v>619</v>
      </c>
      <c r="AA55" s="5">
        <v>4002</v>
      </c>
      <c r="AB55" s="5">
        <v>0</v>
      </c>
      <c r="AC55" s="5">
        <v>35116</v>
      </c>
      <c r="AD55" s="75"/>
    </row>
    <row r="56" spans="1:30" x14ac:dyDescent="0.3">
      <c r="A56" s="31" t="s">
        <v>23</v>
      </c>
      <c r="B56" s="5">
        <v>83917</v>
      </c>
      <c r="C56" s="5">
        <v>100630</v>
      </c>
      <c r="D56" s="5">
        <v>55346</v>
      </c>
      <c r="E56" s="5">
        <v>32780</v>
      </c>
      <c r="F56" s="5">
        <v>19220</v>
      </c>
      <c r="G56" s="5">
        <v>19011</v>
      </c>
      <c r="H56" s="5">
        <v>16068</v>
      </c>
      <c r="I56" s="5">
        <v>12124</v>
      </c>
      <c r="J56" s="5">
        <v>10178</v>
      </c>
      <c r="K56" s="5">
        <v>11387</v>
      </c>
      <c r="L56" s="5">
        <v>43713</v>
      </c>
      <c r="M56" s="5">
        <v>2</v>
      </c>
      <c r="N56" s="5">
        <v>404376</v>
      </c>
      <c r="P56" s="31" t="s">
        <v>23</v>
      </c>
      <c r="Q56" s="5">
        <v>20175</v>
      </c>
      <c r="R56" s="5">
        <v>15758</v>
      </c>
      <c r="S56" s="5">
        <v>19432</v>
      </c>
      <c r="T56" s="5">
        <v>6490</v>
      </c>
      <c r="U56" s="5">
        <v>7691</v>
      </c>
      <c r="V56" s="5">
        <v>6116</v>
      </c>
      <c r="W56" s="5">
        <v>2917</v>
      </c>
      <c r="X56" s="5">
        <v>3253</v>
      </c>
      <c r="Y56" s="5">
        <v>2516</v>
      </c>
      <c r="Z56" s="5">
        <v>1793</v>
      </c>
      <c r="AA56" s="5">
        <v>10973</v>
      </c>
      <c r="AB56" s="5">
        <v>1</v>
      </c>
      <c r="AC56" s="5">
        <v>97115</v>
      </c>
      <c r="AD56" s="75"/>
    </row>
    <row r="57" spans="1:30" x14ac:dyDescent="0.3">
      <c r="A57" s="31" t="s">
        <v>24</v>
      </c>
      <c r="B57" s="5">
        <v>32296</v>
      </c>
      <c r="C57" s="5">
        <v>31625</v>
      </c>
      <c r="D57" s="5">
        <v>18566</v>
      </c>
      <c r="E57" s="5">
        <v>9238</v>
      </c>
      <c r="F57" s="5">
        <v>6474</v>
      </c>
      <c r="G57" s="5">
        <v>5438</v>
      </c>
      <c r="H57" s="5">
        <v>4387</v>
      </c>
      <c r="I57" s="5">
        <v>3687</v>
      </c>
      <c r="J57" s="5">
        <v>3134</v>
      </c>
      <c r="K57" s="5">
        <v>3290</v>
      </c>
      <c r="L57" s="5">
        <v>17111</v>
      </c>
      <c r="M57" s="5">
        <v>0</v>
      </c>
      <c r="N57" s="5">
        <v>135246</v>
      </c>
      <c r="P57" s="31" t="s">
        <v>24</v>
      </c>
      <c r="Q57" s="5">
        <v>8636</v>
      </c>
      <c r="R57" s="5">
        <v>5572</v>
      </c>
      <c r="S57" s="5">
        <v>7876</v>
      </c>
      <c r="T57" s="5">
        <v>2241</v>
      </c>
      <c r="U57" s="5">
        <v>2986</v>
      </c>
      <c r="V57" s="5">
        <v>2579</v>
      </c>
      <c r="W57" s="5">
        <v>1102</v>
      </c>
      <c r="X57" s="5">
        <v>1283</v>
      </c>
      <c r="Y57" s="5">
        <v>1119</v>
      </c>
      <c r="Z57" s="5">
        <v>679</v>
      </c>
      <c r="AA57" s="5">
        <v>4182</v>
      </c>
      <c r="AB57" s="5">
        <v>0</v>
      </c>
      <c r="AC57" s="5">
        <v>38255</v>
      </c>
      <c r="AD57" s="75"/>
    </row>
    <row r="58" spans="1:30" x14ac:dyDescent="0.3">
      <c r="A58" s="31" t="s">
        <v>25</v>
      </c>
      <c r="B58" s="5">
        <v>5294</v>
      </c>
      <c r="C58" s="5">
        <v>6950</v>
      </c>
      <c r="D58" s="5">
        <v>6989</v>
      </c>
      <c r="E58" s="5">
        <v>2415</v>
      </c>
      <c r="F58" s="5">
        <v>2866</v>
      </c>
      <c r="G58" s="5">
        <v>2217</v>
      </c>
      <c r="H58" s="5">
        <v>748</v>
      </c>
      <c r="I58" s="5">
        <v>1210</v>
      </c>
      <c r="J58" s="5">
        <v>1325</v>
      </c>
      <c r="K58" s="5">
        <v>1125</v>
      </c>
      <c r="L58" s="5">
        <v>3875</v>
      </c>
      <c r="M58" s="5">
        <v>0</v>
      </c>
      <c r="N58" s="5">
        <v>35014</v>
      </c>
      <c r="P58" s="31" t="s">
        <v>25</v>
      </c>
      <c r="Q58" s="5">
        <v>2576</v>
      </c>
      <c r="R58" s="5">
        <v>2164</v>
      </c>
      <c r="S58" s="5">
        <v>3652</v>
      </c>
      <c r="T58" s="5">
        <v>963</v>
      </c>
      <c r="U58" s="5">
        <v>1468</v>
      </c>
      <c r="V58" s="5">
        <v>1080</v>
      </c>
      <c r="W58" s="5">
        <v>223</v>
      </c>
      <c r="X58" s="5">
        <v>436</v>
      </c>
      <c r="Y58" s="5">
        <v>402</v>
      </c>
      <c r="Z58" s="5">
        <v>268</v>
      </c>
      <c r="AA58" s="5">
        <v>1593</v>
      </c>
      <c r="AB58" s="5">
        <v>0</v>
      </c>
      <c r="AC58" s="5">
        <v>14825</v>
      </c>
      <c r="AD58" s="75"/>
    </row>
    <row r="59" spans="1:30" x14ac:dyDescent="0.3">
      <c r="A59" s="31" t="s">
        <v>26</v>
      </c>
      <c r="B59" s="5">
        <v>25948</v>
      </c>
      <c r="C59" s="5">
        <v>33973</v>
      </c>
      <c r="D59" s="5">
        <v>26187</v>
      </c>
      <c r="E59" s="5">
        <v>11260</v>
      </c>
      <c r="F59" s="5">
        <v>10970</v>
      </c>
      <c r="G59" s="5">
        <v>7647</v>
      </c>
      <c r="H59" s="5">
        <v>2775</v>
      </c>
      <c r="I59" s="5">
        <v>3995</v>
      </c>
      <c r="J59" s="5">
        <v>3192</v>
      </c>
      <c r="K59" s="5">
        <v>3845</v>
      </c>
      <c r="L59" s="5">
        <v>15525</v>
      </c>
      <c r="M59" s="5">
        <v>0</v>
      </c>
      <c r="N59" s="5">
        <v>145317</v>
      </c>
      <c r="P59" s="31" t="s">
        <v>26</v>
      </c>
      <c r="Q59" s="5">
        <v>7972</v>
      </c>
      <c r="R59" s="5">
        <v>7277</v>
      </c>
      <c r="S59" s="5">
        <v>10565</v>
      </c>
      <c r="T59" s="5">
        <v>3257</v>
      </c>
      <c r="U59" s="5">
        <v>3843</v>
      </c>
      <c r="V59" s="5">
        <v>3296</v>
      </c>
      <c r="W59" s="5">
        <v>946</v>
      </c>
      <c r="X59" s="5">
        <v>1324</v>
      </c>
      <c r="Y59" s="5">
        <v>1141</v>
      </c>
      <c r="Z59" s="5">
        <v>861</v>
      </c>
      <c r="AA59" s="5">
        <v>4620</v>
      </c>
      <c r="AB59" s="5">
        <v>1</v>
      </c>
      <c r="AC59" s="5">
        <v>45103</v>
      </c>
      <c r="AD59" s="75"/>
    </row>
    <row r="60" spans="1:30" x14ac:dyDescent="0.3">
      <c r="A60" s="31" t="s">
        <v>27</v>
      </c>
      <c r="B60" s="5">
        <v>3945</v>
      </c>
      <c r="C60" s="5">
        <v>3492</v>
      </c>
      <c r="D60" s="5">
        <v>2617</v>
      </c>
      <c r="E60" s="5">
        <v>1552</v>
      </c>
      <c r="F60" s="5">
        <v>1049</v>
      </c>
      <c r="G60" s="5">
        <v>868</v>
      </c>
      <c r="H60" s="5">
        <v>417</v>
      </c>
      <c r="I60" s="5">
        <v>604</v>
      </c>
      <c r="J60" s="5">
        <v>526</v>
      </c>
      <c r="K60" s="5">
        <v>507</v>
      </c>
      <c r="L60" s="5">
        <v>1979</v>
      </c>
      <c r="M60" s="5">
        <v>0</v>
      </c>
      <c r="N60" s="5">
        <v>17556</v>
      </c>
      <c r="P60" s="31" t="s">
        <v>27</v>
      </c>
      <c r="Q60" s="5">
        <v>1197</v>
      </c>
      <c r="R60" s="5">
        <v>752</v>
      </c>
      <c r="S60" s="5">
        <v>1182</v>
      </c>
      <c r="T60" s="5">
        <v>394</v>
      </c>
      <c r="U60" s="5">
        <v>339</v>
      </c>
      <c r="V60" s="5">
        <v>343</v>
      </c>
      <c r="W60" s="5">
        <v>113</v>
      </c>
      <c r="X60" s="5">
        <v>157</v>
      </c>
      <c r="Y60" s="5">
        <v>182</v>
      </c>
      <c r="Z60" s="5">
        <v>108</v>
      </c>
      <c r="AA60" s="5">
        <v>584</v>
      </c>
      <c r="AB60" s="5">
        <v>0</v>
      </c>
      <c r="AC60" s="5">
        <v>5351</v>
      </c>
      <c r="AD60" s="75"/>
    </row>
    <row r="61" spans="1:30" x14ac:dyDescent="0.3">
      <c r="A61" s="31" t="s">
        <v>28</v>
      </c>
      <c r="B61" s="5">
        <v>5919</v>
      </c>
      <c r="C61" s="5">
        <v>7430</v>
      </c>
      <c r="D61" s="5">
        <v>3799</v>
      </c>
      <c r="E61" s="5">
        <v>2355</v>
      </c>
      <c r="F61" s="5">
        <v>771</v>
      </c>
      <c r="G61" s="5">
        <v>2251</v>
      </c>
      <c r="H61" s="5">
        <v>794</v>
      </c>
      <c r="I61" s="5">
        <v>1033</v>
      </c>
      <c r="J61" s="5">
        <v>1115</v>
      </c>
      <c r="K61" s="5">
        <v>848</v>
      </c>
      <c r="L61" s="5">
        <v>3888</v>
      </c>
      <c r="M61" s="5">
        <v>0</v>
      </c>
      <c r="N61" s="5">
        <v>30203</v>
      </c>
      <c r="P61" s="31" t="s">
        <v>28</v>
      </c>
      <c r="Q61" s="5">
        <v>2275</v>
      </c>
      <c r="R61" s="5">
        <v>2998</v>
      </c>
      <c r="S61" s="5">
        <v>2441</v>
      </c>
      <c r="T61" s="5">
        <v>1147</v>
      </c>
      <c r="U61" s="5">
        <v>1039</v>
      </c>
      <c r="V61" s="5">
        <v>873</v>
      </c>
      <c r="W61" s="5">
        <v>280</v>
      </c>
      <c r="X61" s="5">
        <v>353</v>
      </c>
      <c r="Y61" s="5">
        <v>501</v>
      </c>
      <c r="Z61" s="5">
        <v>284</v>
      </c>
      <c r="AA61" s="5">
        <v>1528</v>
      </c>
      <c r="AB61" s="5">
        <v>0</v>
      </c>
      <c r="AC61" s="5">
        <v>13719</v>
      </c>
      <c r="AD61" s="75"/>
    </row>
    <row r="62" spans="1:30" x14ac:dyDescent="0.3">
      <c r="A62" s="31" t="s">
        <v>478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P62" s="31" t="s">
        <v>478</v>
      </c>
      <c r="Q62" s="5">
        <v>2763</v>
      </c>
      <c r="R62" s="5">
        <v>2701</v>
      </c>
      <c r="S62" s="5">
        <v>3196</v>
      </c>
      <c r="T62" s="5">
        <v>1304</v>
      </c>
      <c r="U62" s="5">
        <v>1073</v>
      </c>
      <c r="V62" s="5">
        <v>1323</v>
      </c>
      <c r="W62" s="5">
        <v>497</v>
      </c>
      <c r="X62" s="5">
        <v>530</v>
      </c>
      <c r="Y62" s="5">
        <v>413</v>
      </c>
      <c r="Z62" s="5">
        <v>293</v>
      </c>
      <c r="AA62" s="5">
        <v>1796</v>
      </c>
      <c r="AB62" s="5">
        <v>0</v>
      </c>
      <c r="AC62" s="5">
        <v>15889</v>
      </c>
      <c r="AD62" s="75"/>
    </row>
    <row r="63" spans="1:30" s="2" customFormat="1" x14ac:dyDescent="0.3">
      <c r="A63" s="29" t="s">
        <v>60</v>
      </c>
      <c r="B63" s="57">
        <v>914763</v>
      </c>
      <c r="C63" s="57">
        <v>880014</v>
      </c>
      <c r="D63" s="57">
        <v>529932</v>
      </c>
      <c r="E63" s="57">
        <v>282462</v>
      </c>
      <c r="F63" s="57">
        <v>216448</v>
      </c>
      <c r="G63" s="57">
        <v>174195</v>
      </c>
      <c r="H63" s="57">
        <v>123181</v>
      </c>
      <c r="I63" s="57">
        <v>125007</v>
      </c>
      <c r="J63" s="57">
        <v>91993</v>
      </c>
      <c r="K63" s="57">
        <v>104530</v>
      </c>
      <c r="L63" s="57">
        <v>423663</v>
      </c>
      <c r="M63" s="57">
        <v>24</v>
      </c>
      <c r="N63" s="57">
        <v>3866212</v>
      </c>
      <c r="O63" s="72"/>
      <c r="P63" s="29" t="s">
        <v>60</v>
      </c>
      <c r="Q63" s="57">
        <v>274887</v>
      </c>
      <c r="R63" s="57">
        <v>222543</v>
      </c>
      <c r="S63" s="57">
        <v>288306</v>
      </c>
      <c r="T63" s="57">
        <v>109695</v>
      </c>
      <c r="U63" s="57">
        <v>128205</v>
      </c>
      <c r="V63" s="57">
        <v>94643</v>
      </c>
      <c r="W63" s="57">
        <v>41163</v>
      </c>
      <c r="X63" s="57">
        <v>47048</v>
      </c>
      <c r="Y63" s="57">
        <v>38709</v>
      </c>
      <c r="Z63" s="57">
        <v>26415</v>
      </c>
      <c r="AA63" s="57">
        <v>158976</v>
      </c>
      <c r="AB63" s="57">
        <v>64</v>
      </c>
      <c r="AC63" s="57">
        <v>1430654</v>
      </c>
      <c r="AD63" s="72"/>
    </row>
    <row r="64" spans="1:30" x14ac:dyDescent="0.3"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</row>
    <row r="65" spans="1:20" x14ac:dyDescent="0.3">
      <c r="Q65" s="6"/>
      <c r="R65" s="6"/>
      <c r="S65" s="6"/>
      <c r="T65" s="6"/>
    </row>
    <row r="66" spans="1:20" x14ac:dyDescent="0.3">
      <c r="A66" s="7" t="s">
        <v>149</v>
      </c>
      <c r="Q66" s="6"/>
      <c r="R66" s="6"/>
      <c r="S66" s="6"/>
      <c r="T66" s="6"/>
    </row>
    <row r="67" spans="1:20" x14ac:dyDescent="0.3">
      <c r="A67" s="7" t="s">
        <v>386</v>
      </c>
      <c r="P67" s="7"/>
      <c r="Q67" s="6"/>
      <c r="R67" s="6"/>
      <c r="S67" s="6"/>
      <c r="T67" s="6"/>
    </row>
    <row r="68" spans="1:20" x14ac:dyDescent="0.3">
      <c r="A68" s="8" t="s">
        <v>208</v>
      </c>
      <c r="B68" s="8" t="s">
        <v>0</v>
      </c>
      <c r="C68" s="8" t="s">
        <v>1</v>
      </c>
      <c r="D68" s="8" t="s">
        <v>59</v>
      </c>
      <c r="P68" s="35"/>
      <c r="Q68" s="35"/>
      <c r="R68" s="35"/>
      <c r="S68" s="35"/>
      <c r="T68" s="6"/>
    </row>
    <row r="69" spans="1:20" x14ac:dyDescent="0.3">
      <c r="A69" s="31" t="s">
        <v>9</v>
      </c>
      <c r="B69" s="4">
        <v>15782071</v>
      </c>
      <c r="C69" s="4">
        <v>4423373</v>
      </c>
      <c r="D69" s="4">
        <v>20205444</v>
      </c>
      <c r="E69" s="54"/>
      <c r="F69" s="59"/>
      <c r="P69" s="34"/>
      <c r="Q69" s="17"/>
      <c r="R69" s="17"/>
      <c r="S69" s="17"/>
      <c r="T69" s="6"/>
    </row>
    <row r="70" spans="1:20" x14ac:dyDescent="0.3">
      <c r="A70" s="31" t="s">
        <v>10</v>
      </c>
      <c r="B70" s="5">
        <v>11627301</v>
      </c>
      <c r="C70" s="5">
        <v>2618519</v>
      </c>
      <c r="D70" s="5">
        <v>14245820</v>
      </c>
      <c r="E70" s="54"/>
      <c r="F70" s="59"/>
      <c r="P70" s="34"/>
      <c r="Q70" s="17"/>
      <c r="R70" s="17"/>
      <c r="S70" s="17"/>
      <c r="T70" s="6"/>
    </row>
    <row r="71" spans="1:20" x14ac:dyDescent="0.3">
      <c r="A71" s="31" t="s">
        <v>11</v>
      </c>
      <c r="B71" s="5">
        <v>2686073</v>
      </c>
      <c r="C71" s="5">
        <v>1107274</v>
      </c>
      <c r="D71" s="5">
        <v>3793347</v>
      </c>
      <c r="E71" s="54"/>
      <c r="F71" s="59"/>
      <c r="P71" s="34"/>
      <c r="Q71" s="17"/>
      <c r="R71" s="17"/>
      <c r="S71" s="17"/>
      <c r="T71" s="6"/>
    </row>
    <row r="72" spans="1:20" x14ac:dyDescent="0.3">
      <c r="A72" s="31" t="s">
        <v>12</v>
      </c>
      <c r="B72" s="5">
        <v>4548571</v>
      </c>
      <c r="C72" s="5">
        <v>1644719</v>
      </c>
      <c r="D72" s="5">
        <v>6193290</v>
      </c>
      <c r="E72" s="54"/>
      <c r="F72" s="59"/>
      <c r="P72" s="34"/>
      <c r="Q72" s="17"/>
      <c r="R72" s="17"/>
      <c r="S72" s="17"/>
      <c r="T72" s="6"/>
    </row>
    <row r="73" spans="1:20" x14ac:dyDescent="0.3">
      <c r="A73" s="31" t="s">
        <v>13</v>
      </c>
      <c r="B73" s="5">
        <v>886160</v>
      </c>
      <c r="C73" s="5">
        <v>404967</v>
      </c>
      <c r="D73" s="5">
        <v>1291127</v>
      </c>
      <c r="E73" s="54"/>
      <c r="F73" s="59"/>
      <c r="P73" s="34"/>
      <c r="Q73" s="17"/>
      <c r="R73" s="17"/>
      <c r="S73" s="17"/>
      <c r="T73" s="6"/>
    </row>
    <row r="74" spans="1:20" x14ac:dyDescent="0.3">
      <c r="A74" s="31" t="s">
        <v>223</v>
      </c>
      <c r="B74" s="5">
        <v>1666639</v>
      </c>
      <c r="C74" s="5">
        <v>631321</v>
      </c>
      <c r="D74" s="5">
        <v>2297960</v>
      </c>
      <c r="E74" s="54"/>
      <c r="F74" s="59"/>
      <c r="P74" s="34"/>
      <c r="Q74" s="17"/>
      <c r="R74" s="17"/>
      <c r="S74" s="17"/>
      <c r="T74" s="6"/>
    </row>
    <row r="75" spans="1:20" x14ac:dyDescent="0.3">
      <c r="A75" s="31" t="s">
        <v>224</v>
      </c>
      <c r="B75" s="5">
        <v>1883370</v>
      </c>
      <c r="C75" s="5">
        <v>560275</v>
      </c>
      <c r="D75" s="5">
        <v>2443645</v>
      </c>
      <c r="E75" s="54"/>
      <c r="F75" s="59"/>
      <c r="P75" s="34"/>
      <c r="Q75" s="17"/>
      <c r="R75" s="17"/>
      <c r="S75" s="17"/>
      <c r="T75" s="6"/>
    </row>
    <row r="76" spans="1:20" x14ac:dyDescent="0.3">
      <c r="A76" s="31" t="s">
        <v>225</v>
      </c>
      <c r="B76" s="5">
        <v>1433943</v>
      </c>
      <c r="C76" s="5">
        <v>380433</v>
      </c>
      <c r="D76" s="5">
        <v>1814376</v>
      </c>
      <c r="E76" s="54"/>
      <c r="F76" s="59"/>
      <c r="P76" s="45"/>
      <c r="Q76" s="17"/>
      <c r="R76" s="17"/>
      <c r="S76" s="17"/>
      <c r="T76" s="6"/>
    </row>
    <row r="77" spans="1:20" x14ac:dyDescent="0.3">
      <c r="A77" s="31" t="s">
        <v>226</v>
      </c>
      <c r="B77" s="5">
        <v>2552606</v>
      </c>
      <c r="C77" s="5">
        <v>911679</v>
      </c>
      <c r="D77" s="5">
        <v>3464285</v>
      </c>
      <c r="E77" s="54"/>
      <c r="F77" s="59"/>
      <c r="Q77" s="6"/>
      <c r="R77" s="6"/>
      <c r="S77" s="6"/>
      <c r="T77" s="6"/>
    </row>
    <row r="78" spans="1:20" x14ac:dyDescent="0.3">
      <c r="A78" s="31" t="s">
        <v>263</v>
      </c>
      <c r="B78" s="5">
        <v>2157954</v>
      </c>
      <c r="C78" s="5">
        <v>430730</v>
      </c>
      <c r="D78" s="5">
        <v>2588684</v>
      </c>
      <c r="E78" s="54"/>
      <c r="F78" s="59"/>
      <c r="Q78" s="6"/>
      <c r="R78" s="6"/>
      <c r="S78" s="6"/>
      <c r="T78" s="6"/>
    </row>
    <row r="79" spans="1:20" x14ac:dyDescent="0.3">
      <c r="A79" s="31" t="s">
        <v>31</v>
      </c>
      <c r="B79" s="5">
        <v>5199537</v>
      </c>
      <c r="C79" s="5">
        <v>1370475</v>
      </c>
      <c r="D79" s="5">
        <v>6570012</v>
      </c>
      <c r="E79" s="54"/>
      <c r="F79" s="59"/>
      <c r="Q79" s="6"/>
      <c r="R79" s="6"/>
      <c r="S79" s="6"/>
      <c r="T79" s="6"/>
    </row>
    <row r="80" spans="1:20" x14ac:dyDescent="0.3">
      <c r="A80" s="31" t="s">
        <v>478</v>
      </c>
      <c r="B80" s="5">
        <v>193</v>
      </c>
      <c r="C80" s="5">
        <v>157</v>
      </c>
      <c r="D80" s="5">
        <v>350</v>
      </c>
      <c r="E80" s="54"/>
      <c r="F80" s="59"/>
      <c r="Q80" s="6"/>
      <c r="R80" s="6"/>
      <c r="S80" s="6"/>
      <c r="T80" s="6"/>
    </row>
    <row r="81" spans="1:30" x14ac:dyDescent="0.3">
      <c r="A81" s="29" t="s">
        <v>60</v>
      </c>
      <c r="B81" s="57">
        <v>50424418</v>
      </c>
      <c r="C81" s="57">
        <v>14483922</v>
      </c>
      <c r="D81" s="57">
        <v>64908340</v>
      </c>
      <c r="E81" s="54"/>
      <c r="Q81" s="6"/>
      <c r="R81" s="6"/>
      <c r="S81" s="6"/>
      <c r="T81" s="6"/>
    </row>
    <row r="82" spans="1:30" x14ac:dyDescent="0.3">
      <c r="B82" s="73"/>
      <c r="C82" s="73"/>
      <c r="D82" s="73"/>
      <c r="Q82" s="6"/>
      <c r="R82" s="6"/>
      <c r="S82" s="6"/>
      <c r="T82" s="6"/>
    </row>
    <row r="83" spans="1:30" x14ac:dyDescent="0.3">
      <c r="Q83" s="6"/>
      <c r="R83" s="6"/>
      <c r="S83" s="6"/>
      <c r="T83" s="6"/>
    </row>
    <row r="84" spans="1:30" x14ac:dyDescent="0.3">
      <c r="A84" s="7" t="s">
        <v>150</v>
      </c>
      <c r="P84" s="7" t="s">
        <v>153</v>
      </c>
      <c r="Q84" s="6"/>
      <c r="R84" s="6"/>
      <c r="S84" s="6"/>
      <c r="T84" s="6"/>
    </row>
    <row r="85" spans="1:30" x14ac:dyDescent="0.3">
      <c r="A85" s="7" t="s">
        <v>387</v>
      </c>
      <c r="P85" s="7" t="s">
        <v>388</v>
      </c>
      <c r="Q85" s="6"/>
      <c r="R85" s="6"/>
      <c r="S85" s="6"/>
      <c r="T85" s="6"/>
    </row>
    <row r="86" spans="1:30" ht="41.4" x14ac:dyDescent="0.3">
      <c r="A86" s="44" t="s">
        <v>66</v>
      </c>
      <c r="B86" s="44" t="s">
        <v>9</v>
      </c>
      <c r="C86" s="44" t="s">
        <v>10</v>
      </c>
      <c r="D86" s="44" t="s">
        <v>11</v>
      </c>
      <c r="E86" s="44" t="s">
        <v>12</v>
      </c>
      <c r="F86" s="44" t="s">
        <v>13</v>
      </c>
      <c r="G86" s="44" t="s">
        <v>223</v>
      </c>
      <c r="H86" s="44" t="s">
        <v>224</v>
      </c>
      <c r="I86" s="44" t="s">
        <v>225</v>
      </c>
      <c r="J86" s="44" t="s">
        <v>226</v>
      </c>
      <c r="K86" s="44" t="s">
        <v>263</v>
      </c>
      <c r="L86" s="44" t="s">
        <v>31</v>
      </c>
      <c r="M86" s="44" t="s">
        <v>478</v>
      </c>
      <c r="N86" s="44" t="s">
        <v>64</v>
      </c>
      <c r="P86" s="44" t="s">
        <v>66</v>
      </c>
      <c r="Q86" s="44" t="s">
        <v>9</v>
      </c>
      <c r="R86" s="44" t="s">
        <v>10</v>
      </c>
      <c r="S86" s="44" t="s">
        <v>11</v>
      </c>
      <c r="T86" s="44" t="s">
        <v>12</v>
      </c>
      <c r="U86" s="44" t="s">
        <v>13</v>
      </c>
      <c r="V86" s="44" t="s">
        <v>223</v>
      </c>
      <c r="W86" s="44" t="s">
        <v>224</v>
      </c>
      <c r="X86" s="44" t="s">
        <v>225</v>
      </c>
      <c r="Y86" s="44" t="s">
        <v>226</v>
      </c>
      <c r="Z86" s="44" t="s">
        <v>263</v>
      </c>
      <c r="AA86" s="44" t="s">
        <v>31</v>
      </c>
      <c r="AB86" s="44" t="s">
        <v>478</v>
      </c>
      <c r="AC86" s="44" t="s">
        <v>64</v>
      </c>
    </row>
    <row r="87" spans="1:30" x14ac:dyDescent="0.3">
      <c r="A87" s="22" t="s">
        <v>5</v>
      </c>
      <c r="B87" s="4">
        <v>3834811</v>
      </c>
      <c r="C87" s="4">
        <v>5032877</v>
      </c>
      <c r="D87" s="23">
        <v>943841</v>
      </c>
      <c r="E87" s="23">
        <v>2808354</v>
      </c>
      <c r="F87" s="23">
        <v>377312</v>
      </c>
      <c r="G87" s="23">
        <v>860707</v>
      </c>
      <c r="H87" s="23">
        <v>0</v>
      </c>
      <c r="I87" s="23">
        <v>645042</v>
      </c>
      <c r="J87" s="23">
        <v>1237280</v>
      </c>
      <c r="K87" s="23">
        <v>1522359</v>
      </c>
      <c r="L87" s="23">
        <v>2431675</v>
      </c>
      <c r="M87" s="23">
        <v>17</v>
      </c>
      <c r="N87" s="23">
        <v>19694275</v>
      </c>
      <c r="O87" s="76"/>
      <c r="P87" s="22" t="s">
        <v>5</v>
      </c>
      <c r="Q87" s="4">
        <v>1722453</v>
      </c>
      <c r="R87" s="4">
        <v>1488812</v>
      </c>
      <c r="S87" s="23">
        <v>509207</v>
      </c>
      <c r="T87" s="23">
        <v>1152754</v>
      </c>
      <c r="U87" s="23">
        <v>220723</v>
      </c>
      <c r="V87" s="23">
        <v>364636</v>
      </c>
      <c r="W87" s="23">
        <v>35845</v>
      </c>
      <c r="X87" s="23">
        <v>161288</v>
      </c>
      <c r="Y87" s="23">
        <v>432462</v>
      </c>
      <c r="Z87" s="23">
        <v>293534</v>
      </c>
      <c r="AA87" s="23">
        <v>701785</v>
      </c>
      <c r="AB87" s="23">
        <v>59</v>
      </c>
      <c r="AC87" s="23">
        <v>7083558</v>
      </c>
      <c r="AD87" s="76"/>
    </row>
    <row r="88" spans="1:30" x14ac:dyDescent="0.3">
      <c r="A88" s="25" t="s">
        <v>6</v>
      </c>
      <c r="B88" s="5">
        <v>11947260</v>
      </c>
      <c r="C88" s="5">
        <v>6594424</v>
      </c>
      <c r="D88" s="14">
        <v>1742232</v>
      </c>
      <c r="E88" s="14">
        <v>1740217</v>
      </c>
      <c r="F88" s="14">
        <v>508848</v>
      </c>
      <c r="G88" s="14">
        <v>805932</v>
      </c>
      <c r="H88" s="14">
        <v>1883370</v>
      </c>
      <c r="I88" s="14">
        <v>788901</v>
      </c>
      <c r="J88" s="14">
        <v>1315326</v>
      </c>
      <c r="K88" s="14">
        <v>635595</v>
      </c>
      <c r="L88" s="14">
        <v>2767862</v>
      </c>
      <c r="M88" s="14">
        <v>176</v>
      </c>
      <c r="N88" s="14">
        <v>30730143</v>
      </c>
      <c r="O88" s="76"/>
      <c r="P88" s="25" t="s">
        <v>6</v>
      </c>
      <c r="Q88" s="5">
        <v>2700920</v>
      </c>
      <c r="R88" s="5">
        <v>1129707</v>
      </c>
      <c r="S88" s="14">
        <v>598067</v>
      </c>
      <c r="T88" s="14">
        <v>491965</v>
      </c>
      <c r="U88" s="14">
        <v>184244</v>
      </c>
      <c r="V88" s="14">
        <v>266685</v>
      </c>
      <c r="W88" s="14">
        <v>524430</v>
      </c>
      <c r="X88" s="14">
        <v>219145</v>
      </c>
      <c r="Y88" s="14">
        <v>479217</v>
      </c>
      <c r="Z88" s="14">
        <v>137196</v>
      </c>
      <c r="AA88" s="14">
        <v>668690</v>
      </c>
      <c r="AB88" s="14">
        <v>98</v>
      </c>
      <c r="AC88" s="14">
        <v>7400364</v>
      </c>
      <c r="AD88" s="75"/>
    </row>
    <row r="89" spans="1:30" x14ac:dyDescent="0.3">
      <c r="A89" s="25" t="s">
        <v>478</v>
      </c>
      <c r="B89" s="5">
        <v>0</v>
      </c>
      <c r="C89" s="5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76"/>
      <c r="P89" s="25" t="s">
        <v>478</v>
      </c>
      <c r="Q89" s="5">
        <v>0</v>
      </c>
      <c r="R89" s="5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75"/>
    </row>
    <row r="90" spans="1:30" s="2" customFormat="1" x14ac:dyDescent="0.3">
      <c r="A90" s="29" t="s">
        <v>60</v>
      </c>
      <c r="B90" s="57">
        <v>15782071</v>
      </c>
      <c r="C90" s="57">
        <v>11627301</v>
      </c>
      <c r="D90" s="57">
        <v>2686073</v>
      </c>
      <c r="E90" s="57">
        <v>4548571</v>
      </c>
      <c r="F90" s="57">
        <v>886160</v>
      </c>
      <c r="G90" s="57">
        <v>1666639</v>
      </c>
      <c r="H90" s="57">
        <v>1883370</v>
      </c>
      <c r="I90" s="57">
        <v>1433943</v>
      </c>
      <c r="J90" s="57">
        <v>2552606</v>
      </c>
      <c r="K90" s="57">
        <v>2157954</v>
      </c>
      <c r="L90" s="57">
        <v>5199537</v>
      </c>
      <c r="M90" s="57">
        <v>193</v>
      </c>
      <c r="N90" s="77">
        <v>50424418</v>
      </c>
      <c r="O90" s="72"/>
      <c r="P90" s="29" t="s">
        <v>60</v>
      </c>
      <c r="Q90" s="57">
        <v>4423373</v>
      </c>
      <c r="R90" s="57">
        <v>2618519</v>
      </c>
      <c r="S90" s="57">
        <v>1107274</v>
      </c>
      <c r="T90" s="57">
        <v>1644719</v>
      </c>
      <c r="U90" s="57">
        <v>404967</v>
      </c>
      <c r="V90" s="57">
        <v>631321</v>
      </c>
      <c r="W90" s="57">
        <v>560275</v>
      </c>
      <c r="X90" s="57">
        <v>380433</v>
      </c>
      <c r="Y90" s="57">
        <v>911679</v>
      </c>
      <c r="Z90" s="57">
        <v>430730</v>
      </c>
      <c r="AA90" s="57">
        <v>1370475</v>
      </c>
      <c r="AB90" s="57">
        <v>157</v>
      </c>
      <c r="AC90" s="77">
        <v>14483922</v>
      </c>
      <c r="AD90" s="72"/>
    </row>
    <row r="91" spans="1:30" x14ac:dyDescent="0.3"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</row>
    <row r="92" spans="1:30" x14ac:dyDescent="0.3">
      <c r="Q92" s="6"/>
      <c r="R92" s="6"/>
      <c r="S92" s="6"/>
      <c r="T92" s="6"/>
    </row>
    <row r="93" spans="1:30" x14ac:dyDescent="0.3">
      <c r="A93" s="7" t="s">
        <v>151</v>
      </c>
      <c r="P93" s="7" t="s">
        <v>154</v>
      </c>
      <c r="Q93" s="6"/>
      <c r="R93" s="6"/>
      <c r="S93" s="6"/>
      <c r="T93" s="6"/>
    </row>
    <row r="94" spans="1:30" x14ac:dyDescent="0.3">
      <c r="A94" s="7" t="s">
        <v>389</v>
      </c>
      <c r="P94" s="7" t="s">
        <v>390</v>
      </c>
      <c r="Q94" s="6"/>
      <c r="R94" s="6"/>
      <c r="S94" s="6"/>
      <c r="T94" s="6"/>
    </row>
    <row r="95" spans="1:30" ht="41.4" x14ac:dyDescent="0.3">
      <c r="A95" s="24" t="s">
        <v>67</v>
      </c>
      <c r="B95" s="44" t="s">
        <v>9</v>
      </c>
      <c r="C95" s="44" t="s">
        <v>10</v>
      </c>
      <c r="D95" s="44" t="s">
        <v>11</v>
      </c>
      <c r="E95" s="44" t="s">
        <v>12</v>
      </c>
      <c r="F95" s="44" t="s">
        <v>13</v>
      </c>
      <c r="G95" s="44" t="s">
        <v>223</v>
      </c>
      <c r="H95" s="44" t="s">
        <v>224</v>
      </c>
      <c r="I95" s="44" t="s">
        <v>225</v>
      </c>
      <c r="J95" s="44" t="s">
        <v>226</v>
      </c>
      <c r="K95" s="44" t="s">
        <v>263</v>
      </c>
      <c r="L95" s="44" t="s">
        <v>31</v>
      </c>
      <c r="M95" s="44" t="s">
        <v>478</v>
      </c>
      <c r="N95" s="44" t="s">
        <v>64</v>
      </c>
      <c r="P95" s="24" t="s">
        <v>67</v>
      </c>
      <c r="Q95" s="44" t="s">
        <v>9</v>
      </c>
      <c r="R95" s="44" t="s">
        <v>10</v>
      </c>
      <c r="S95" s="44" t="s">
        <v>11</v>
      </c>
      <c r="T95" s="44" t="s">
        <v>12</v>
      </c>
      <c r="U95" s="44" t="s">
        <v>13</v>
      </c>
      <c r="V95" s="44" t="s">
        <v>223</v>
      </c>
      <c r="W95" s="44" t="s">
        <v>224</v>
      </c>
      <c r="X95" s="44" t="s">
        <v>225</v>
      </c>
      <c r="Y95" s="44" t="s">
        <v>226</v>
      </c>
      <c r="Z95" s="44" t="s">
        <v>263</v>
      </c>
      <c r="AA95" s="44" t="s">
        <v>31</v>
      </c>
      <c r="AB95" s="44" t="s">
        <v>478</v>
      </c>
      <c r="AC95" s="44" t="s">
        <v>64</v>
      </c>
    </row>
    <row r="96" spans="1:30" x14ac:dyDescent="0.3">
      <c r="A96" s="22" t="s">
        <v>53</v>
      </c>
      <c r="B96" s="4">
        <v>45836</v>
      </c>
      <c r="C96" s="4">
        <v>41555</v>
      </c>
      <c r="D96" s="4">
        <v>20813</v>
      </c>
      <c r="E96" s="4">
        <v>49692</v>
      </c>
      <c r="F96" s="4">
        <v>11386</v>
      </c>
      <c r="G96" s="4">
        <v>11224</v>
      </c>
      <c r="H96" s="4">
        <v>21261</v>
      </c>
      <c r="I96" s="4">
        <v>7562</v>
      </c>
      <c r="J96" s="4">
        <v>1997</v>
      </c>
      <c r="K96" s="4">
        <v>1917</v>
      </c>
      <c r="L96" s="4">
        <v>23428</v>
      </c>
      <c r="M96" s="4">
        <v>0</v>
      </c>
      <c r="N96" s="4">
        <v>236671</v>
      </c>
      <c r="O96" s="76"/>
      <c r="P96" s="22" t="s">
        <v>53</v>
      </c>
      <c r="Q96" s="4">
        <v>2399</v>
      </c>
      <c r="R96" s="4">
        <v>2506</v>
      </c>
      <c r="S96" s="4">
        <v>1588</v>
      </c>
      <c r="T96" s="4">
        <v>3416</v>
      </c>
      <c r="U96" s="4">
        <v>799</v>
      </c>
      <c r="V96" s="4">
        <v>521</v>
      </c>
      <c r="W96" s="4">
        <v>370</v>
      </c>
      <c r="X96" s="4">
        <v>314</v>
      </c>
      <c r="Y96" s="4">
        <v>176</v>
      </c>
      <c r="Z96" s="4">
        <v>117</v>
      </c>
      <c r="AA96" s="4">
        <v>1173</v>
      </c>
      <c r="AB96" s="4">
        <v>0</v>
      </c>
      <c r="AC96" s="4">
        <v>13379</v>
      </c>
      <c r="AD96" s="76"/>
    </row>
    <row r="97" spans="1:30" x14ac:dyDescent="0.3">
      <c r="A97" s="25" t="s">
        <v>2</v>
      </c>
      <c r="B97" s="5">
        <v>1068563</v>
      </c>
      <c r="C97" s="5">
        <v>477995</v>
      </c>
      <c r="D97" s="5">
        <v>197762</v>
      </c>
      <c r="E97" s="5">
        <v>396473</v>
      </c>
      <c r="F97" s="5">
        <v>99986</v>
      </c>
      <c r="G97" s="5">
        <v>97696</v>
      </c>
      <c r="H97" s="5">
        <v>302554</v>
      </c>
      <c r="I97" s="5">
        <v>73702</v>
      </c>
      <c r="J97" s="5">
        <v>31533</v>
      </c>
      <c r="K97" s="5">
        <v>23147</v>
      </c>
      <c r="L97" s="5">
        <v>236468</v>
      </c>
      <c r="M97" s="5">
        <v>11</v>
      </c>
      <c r="N97" s="5">
        <v>3005890</v>
      </c>
      <c r="P97" s="25" t="s">
        <v>2</v>
      </c>
      <c r="Q97" s="5">
        <v>122667</v>
      </c>
      <c r="R97" s="5">
        <v>72156</v>
      </c>
      <c r="S97" s="5">
        <v>37855</v>
      </c>
      <c r="T97" s="5">
        <v>86247</v>
      </c>
      <c r="U97" s="5">
        <v>23561</v>
      </c>
      <c r="V97" s="5">
        <v>18968</v>
      </c>
      <c r="W97" s="5">
        <v>18963</v>
      </c>
      <c r="X97" s="5">
        <v>9646</v>
      </c>
      <c r="Y97" s="5">
        <v>6005</v>
      </c>
      <c r="Z97" s="5">
        <v>4278</v>
      </c>
      <c r="AA97" s="5">
        <v>37911</v>
      </c>
      <c r="AB97" s="5">
        <v>4</v>
      </c>
      <c r="AC97" s="5">
        <v>438261</v>
      </c>
      <c r="AD97" s="75"/>
    </row>
    <row r="98" spans="1:30" x14ac:dyDescent="0.3">
      <c r="A98" s="25" t="s">
        <v>54</v>
      </c>
      <c r="B98" s="5">
        <v>5623677</v>
      </c>
      <c r="C98" s="5">
        <v>1971228</v>
      </c>
      <c r="D98" s="5">
        <v>727653</v>
      </c>
      <c r="E98" s="5">
        <v>1032620</v>
      </c>
      <c r="F98" s="5">
        <v>309361</v>
      </c>
      <c r="G98" s="5">
        <v>347787</v>
      </c>
      <c r="H98" s="5">
        <v>1128660</v>
      </c>
      <c r="I98" s="5">
        <v>288271</v>
      </c>
      <c r="J98" s="5">
        <v>200099</v>
      </c>
      <c r="K98" s="5">
        <v>120762</v>
      </c>
      <c r="L98" s="5">
        <v>929411</v>
      </c>
      <c r="M98" s="5">
        <v>30</v>
      </c>
      <c r="N98" s="5">
        <v>12679559</v>
      </c>
      <c r="P98" s="25" t="s">
        <v>54</v>
      </c>
      <c r="Q98" s="5">
        <v>1550723</v>
      </c>
      <c r="R98" s="5">
        <v>620623</v>
      </c>
      <c r="S98" s="5">
        <v>369060</v>
      </c>
      <c r="T98" s="5">
        <v>525502</v>
      </c>
      <c r="U98" s="5">
        <v>177160</v>
      </c>
      <c r="V98" s="5">
        <v>179021</v>
      </c>
      <c r="W98" s="5">
        <v>336146</v>
      </c>
      <c r="X98" s="5">
        <v>98347</v>
      </c>
      <c r="Y98" s="5">
        <v>99346</v>
      </c>
      <c r="Z98" s="5">
        <v>47521</v>
      </c>
      <c r="AA98" s="5">
        <v>362928</v>
      </c>
      <c r="AB98" s="5">
        <v>49</v>
      </c>
      <c r="AC98" s="5">
        <v>4366426</v>
      </c>
      <c r="AD98" s="75"/>
    </row>
    <row r="99" spans="1:30" x14ac:dyDescent="0.3">
      <c r="A99" s="25" t="s">
        <v>55</v>
      </c>
      <c r="B99" s="5">
        <v>4347849</v>
      </c>
      <c r="C99" s="5">
        <v>2385345</v>
      </c>
      <c r="D99" s="5">
        <v>591634</v>
      </c>
      <c r="E99" s="5">
        <v>941614</v>
      </c>
      <c r="F99" s="5">
        <v>191426</v>
      </c>
      <c r="G99" s="5">
        <v>366998</v>
      </c>
      <c r="H99" s="5">
        <v>421286</v>
      </c>
      <c r="I99" s="5">
        <v>302757</v>
      </c>
      <c r="J99" s="5">
        <v>405677</v>
      </c>
      <c r="K99" s="5">
        <v>240828</v>
      </c>
      <c r="L99" s="5">
        <v>1065723</v>
      </c>
      <c r="M99" s="5">
        <v>56</v>
      </c>
      <c r="N99" s="5">
        <v>11261193</v>
      </c>
      <c r="P99" s="25" t="s">
        <v>55</v>
      </c>
      <c r="Q99" s="5">
        <v>1443906</v>
      </c>
      <c r="R99" s="5">
        <v>709359</v>
      </c>
      <c r="S99" s="5">
        <v>311113</v>
      </c>
      <c r="T99" s="5">
        <v>441032</v>
      </c>
      <c r="U99" s="5">
        <v>110515</v>
      </c>
      <c r="V99" s="5">
        <v>176803</v>
      </c>
      <c r="W99" s="5">
        <v>199474</v>
      </c>
      <c r="X99" s="5">
        <v>110437</v>
      </c>
      <c r="Y99" s="5">
        <v>203627</v>
      </c>
      <c r="Z99" s="5">
        <v>85747</v>
      </c>
      <c r="AA99" s="5">
        <v>367810</v>
      </c>
      <c r="AB99" s="5">
        <v>50</v>
      </c>
      <c r="AC99" s="5">
        <v>4159873</v>
      </c>
      <c r="AD99" s="75"/>
    </row>
    <row r="100" spans="1:30" x14ac:dyDescent="0.3">
      <c r="A100" s="25" t="s">
        <v>56</v>
      </c>
      <c r="B100" s="5">
        <v>2641604</v>
      </c>
      <c r="C100" s="5">
        <v>3264120</v>
      </c>
      <c r="D100" s="5">
        <v>538124</v>
      </c>
      <c r="E100" s="5">
        <v>1065542</v>
      </c>
      <c r="F100" s="5">
        <v>144273</v>
      </c>
      <c r="G100" s="5">
        <v>385434</v>
      </c>
      <c r="H100" s="5">
        <v>7889</v>
      </c>
      <c r="I100" s="5">
        <v>319143</v>
      </c>
      <c r="J100" s="5">
        <v>733321</v>
      </c>
      <c r="K100" s="5">
        <v>542251</v>
      </c>
      <c r="L100" s="5">
        <v>1330781</v>
      </c>
      <c r="M100" s="5">
        <v>93</v>
      </c>
      <c r="N100" s="5">
        <v>10972575</v>
      </c>
      <c r="P100" s="25" t="s">
        <v>56</v>
      </c>
      <c r="Q100" s="5">
        <v>725305</v>
      </c>
      <c r="R100" s="5">
        <v>625963</v>
      </c>
      <c r="S100" s="5">
        <v>197648</v>
      </c>
      <c r="T100" s="5">
        <v>321899</v>
      </c>
      <c r="U100" s="5">
        <v>53535</v>
      </c>
      <c r="V100" s="5">
        <v>134481</v>
      </c>
      <c r="W100" s="5">
        <v>5141</v>
      </c>
      <c r="X100" s="5">
        <v>81082</v>
      </c>
      <c r="Y100" s="5">
        <v>245185</v>
      </c>
      <c r="Z100" s="5">
        <v>110715</v>
      </c>
      <c r="AA100" s="5">
        <v>291572</v>
      </c>
      <c r="AB100" s="5">
        <v>52</v>
      </c>
      <c r="AC100" s="5">
        <v>2792578</v>
      </c>
      <c r="AD100" s="75"/>
    </row>
    <row r="101" spans="1:30" x14ac:dyDescent="0.3">
      <c r="A101" s="25" t="s">
        <v>57</v>
      </c>
      <c r="B101" s="5">
        <v>1700710</v>
      </c>
      <c r="C101" s="5">
        <v>2747408</v>
      </c>
      <c r="D101" s="5">
        <v>442658</v>
      </c>
      <c r="E101" s="5">
        <v>834985</v>
      </c>
      <c r="F101" s="5">
        <v>101281</v>
      </c>
      <c r="G101" s="5">
        <v>339126</v>
      </c>
      <c r="H101" s="5">
        <v>931</v>
      </c>
      <c r="I101" s="5">
        <v>288114</v>
      </c>
      <c r="J101" s="5">
        <v>783563</v>
      </c>
      <c r="K101" s="5">
        <v>796005</v>
      </c>
      <c r="L101" s="5">
        <v>1173889</v>
      </c>
      <c r="M101" s="5">
        <v>3</v>
      </c>
      <c r="N101" s="5">
        <v>9208673</v>
      </c>
      <c r="P101" s="25" t="s">
        <v>57</v>
      </c>
      <c r="Q101" s="5">
        <v>496261</v>
      </c>
      <c r="R101" s="5">
        <v>486814</v>
      </c>
      <c r="S101" s="5">
        <v>152376</v>
      </c>
      <c r="T101" s="5">
        <v>222985</v>
      </c>
      <c r="U101" s="5">
        <v>32511</v>
      </c>
      <c r="V101" s="5">
        <v>97182</v>
      </c>
      <c r="W101" s="5">
        <v>154</v>
      </c>
      <c r="X101" s="5">
        <v>59825</v>
      </c>
      <c r="Y101" s="5">
        <v>259665</v>
      </c>
      <c r="Z101" s="5">
        <v>127577</v>
      </c>
      <c r="AA101" s="5">
        <v>247131</v>
      </c>
      <c r="AB101" s="5">
        <v>2</v>
      </c>
      <c r="AC101" s="5">
        <v>2182483</v>
      </c>
      <c r="AD101" s="75"/>
    </row>
    <row r="102" spans="1:30" x14ac:dyDescent="0.3">
      <c r="A102" s="25" t="s">
        <v>3</v>
      </c>
      <c r="B102" s="5">
        <v>353832</v>
      </c>
      <c r="C102" s="5">
        <v>739650</v>
      </c>
      <c r="D102" s="5">
        <v>167429</v>
      </c>
      <c r="E102" s="5">
        <v>227645</v>
      </c>
      <c r="F102" s="5">
        <v>28447</v>
      </c>
      <c r="G102" s="5">
        <v>118374</v>
      </c>
      <c r="H102" s="5">
        <v>789</v>
      </c>
      <c r="I102" s="5">
        <v>154394</v>
      </c>
      <c r="J102" s="5">
        <v>396416</v>
      </c>
      <c r="K102" s="5">
        <v>433044</v>
      </c>
      <c r="L102" s="5">
        <v>439837</v>
      </c>
      <c r="M102" s="5">
        <v>0</v>
      </c>
      <c r="N102" s="5">
        <v>3059857</v>
      </c>
      <c r="P102" s="25" t="s">
        <v>3</v>
      </c>
      <c r="Q102" s="5">
        <v>82023</v>
      </c>
      <c r="R102" s="5">
        <v>101029</v>
      </c>
      <c r="S102" s="5">
        <v>37583</v>
      </c>
      <c r="T102" s="5">
        <v>43638</v>
      </c>
      <c r="U102" s="5">
        <v>6880</v>
      </c>
      <c r="V102" s="5">
        <v>24326</v>
      </c>
      <c r="W102" s="5">
        <v>27</v>
      </c>
      <c r="X102" s="5">
        <v>20782</v>
      </c>
      <c r="Y102" s="5">
        <v>97675</v>
      </c>
      <c r="Z102" s="5">
        <v>54775</v>
      </c>
      <c r="AA102" s="5">
        <v>61926</v>
      </c>
      <c r="AB102" s="5">
        <v>0</v>
      </c>
      <c r="AC102" s="5">
        <v>530664</v>
      </c>
      <c r="AD102" s="75"/>
    </row>
    <row r="103" spans="1:30" x14ac:dyDescent="0.3">
      <c r="A103" s="25" t="s">
        <v>478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P103" s="25" t="s">
        <v>478</v>
      </c>
      <c r="Q103" s="5">
        <v>89</v>
      </c>
      <c r="R103" s="5">
        <v>69</v>
      </c>
      <c r="S103" s="5">
        <v>51</v>
      </c>
      <c r="T103" s="5">
        <v>0</v>
      </c>
      <c r="U103" s="5">
        <v>6</v>
      </c>
      <c r="V103" s="5">
        <v>19</v>
      </c>
      <c r="W103" s="5">
        <v>0</v>
      </c>
      <c r="X103" s="5">
        <v>0</v>
      </c>
      <c r="Y103" s="5">
        <v>0</v>
      </c>
      <c r="Z103" s="5">
        <v>0</v>
      </c>
      <c r="AA103" s="5">
        <v>24</v>
      </c>
      <c r="AB103" s="5">
        <v>0</v>
      </c>
      <c r="AC103" s="5">
        <v>258</v>
      </c>
      <c r="AD103" s="75"/>
    </row>
    <row r="104" spans="1:30" s="2" customFormat="1" x14ac:dyDescent="0.3">
      <c r="A104" s="29" t="s">
        <v>60</v>
      </c>
      <c r="B104" s="57">
        <v>15782071</v>
      </c>
      <c r="C104" s="57">
        <v>11627301</v>
      </c>
      <c r="D104" s="57">
        <v>2686073</v>
      </c>
      <c r="E104" s="57">
        <v>4548571</v>
      </c>
      <c r="F104" s="57">
        <v>886160</v>
      </c>
      <c r="G104" s="57">
        <v>1666639</v>
      </c>
      <c r="H104" s="57">
        <v>1883370</v>
      </c>
      <c r="I104" s="57">
        <v>1433943</v>
      </c>
      <c r="J104" s="57">
        <v>2552606</v>
      </c>
      <c r="K104" s="57">
        <v>2157954</v>
      </c>
      <c r="L104" s="57">
        <v>5199537</v>
      </c>
      <c r="M104" s="57">
        <v>193</v>
      </c>
      <c r="N104" s="57">
        <v>50424418</v>
      </c>
      <c r="O104" s="72"/>
      <c r="P104" s="29" t="s">
        <v>60</v>
      </c>
      <c r="Q104" s="57">
        <v>4423373</v>
      </c>
      <c r="R104" s="57">
        <v>2618519</v>
      </c>
      <c r="S104" s="57">
        <v>1107274</v>
      </c>
      <c r="T104" s="57">
        <v>1644719</v>
      </c>
      <c r="U104" s="57">
        <v>404967</v>
      </c>
      <c r="V104" s="57">
        <v>631321</v>
      </c>
      <c r="W104" s="57">
        <v>560275</v>
      </c>
      <c r="X104" s="57">
        <v>380433</v>
      </c>
      <c r="Y104" s="57">
        <v>911679</v>
      </c>
      <c r="Z104" s="57">
        <v>430730</v>
      </c>
      <c r="AA104" s="57">
        <v>1370475</v>
      </c>
      <c r="AB104" s="57">
        <v>157</v>
      </c>
      <c r="AC104" s="57">
        <v>14483922</v>
      </c>
      <c r="AD104" s="72"/>
    </row>
    <row r="105" spans="1:30" x14ac:dyDescent="0.3"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</row>
    <row r="106" spans="1:30" x14ac:dyDescent="0.3">
      <c r="Q106" s="6"/>
      <c r="R106" s="6"/>
      <c r="S106" s="6"/>
      <c r="T106" s="6"/>
    </row>
    <row r="107" spans="1:30" x14ac:dyDescent="0.3">
      <c r="A107" s="7" t="s">
        <v>152</v>
      </c>
      <c r="P107" s="7" t="s">
        <v>155</v>
      </c>
      <c r="Q107" s="6"/>
      <c r="R107" s="6"/>
      <c r="S107" s="6"/>
      <c r="T107" s="6"/>
    </row>
    <row r="108" spans="1:30" x14ac:dyDescent="0.3">
      <c r="A108" s="7" t="s">
        <v>391</v>
      </c>
      <c r="P108" s="7" t="s">
        <v>392</v>
      </c>
      <c r="Q108" s="6"/>
      <c r="R108" s="6"/>
      <c r="S108" s="6"/>
      <c r="T108" s="6"/>
    </row>
    <row r="109" spans="1:30" ht="41.4" x14ac:dyDescent="0.3">
      <c r="A109" s="24" t="s">
        <v>209</v>
      </c>
      <c r="B109" s="44" t="s">
        <v>9</v>
      </c>
      <c r="C109" s="44" t="s">
        <v>10</v>
      </c>
      <c r="D109" s="44" t="s">
        <v>11</v>
      </c>
      <c r="E109" s="44" t="s">
        <v>12</v>
      </c>
      <c r="F109" s="44" t="s">
        <v>13</v>
      </c>
      <c r="G109" s="44" t="s">
        <v>223</v>
      </c>
      <c r="H109" s="44" t="s">
        <v>224</v>
      </c>
      <c r="I109" s="44" t="s">
        <v>225</v>
      </c>
      <c r="J109" s="44" t="s">
        <v>226</v>
      </c>
      <c r="K109" s="44" t="s">
        <v>263</v>
      </c>
      <c r="L109" s="44" t="s">
        <v>31</v>
      </c>
      <c r="M109" s="44" t="s">
        <v>478</v>
      </c>
      <c r="N109" s="44" t="s">
        <v>64</v>
      </c>
      <c r="P109" s="24" t="s">
        <v>209</v>
      </c>
      <c r="Q109" s="44" t="s">
        <v>9</v>
      </c>
      <c r="R109" s="44" t="s">
        <v>10</v>
      </c>
      <c r="S109" s="44" t="s">
        <v>11</v>
      </c>
      <c r="T109" s="44" t="s">
        <v>12</v>
      </c>
      <c r="U109" s="44" t="s">
        <v>13</v>
      </c>
      <c r="V109" s="44" t="s">
        <v>223</v>
      </c>
      <c r="W109" s="44" t="s">
        <v>224</v>
      </c>
      <c r="X109" s="44" t="s">
        <v>225</v>
      </c>
      <c r="Y109" s="44" t="s">
        <v>226</v>
      </c>
      <c r="Z109" s="44" t="s">
        <v>263</v>
      </c>
      <c r="AA109" s="44" t="s">
        <v>31</v>
      </c>
      <c r="AB109" s="44" t="s">
        <v>478</v>
      </c>
      <c r="AC109" s="44" t="s">
        <v>64</v>
      </c>
    </row>
    <row r="110" spans="1:30" x14ac:dyDescent="0.3">
      <c r="A110" s="30" t="s">
        <v>14</v>
      </c>
      <c r="B110" s="4">
        <v>41660</v>
      </c>
      <c r="C110" s="4">
        <v>54759</v>
      </c>
      <c r="D110" s="4">
        <v>27232</v>
      </c>
      <c r="E110" s="4">
        <v>41934</v>
      </c>
      <c r="F110" s="4">
        <v>9755</v>
      </c>
      <c r="G110" s="4">
        <v>20807</v>
      </c>
      <c r="H110" s="4">
        <v>31257</v>
      </c>
      <c r="I110" s="4">
        <v>17911</v>
      </c>
      <c r="J110" s="4">
        <v>23370</v>
      </c>
      <c r="K110" s="4">
        <v>20700</v>
      </c>
      <c r="L110" s="4">
        <v>32099</v>
      </c>
      <c r="M110" s="4">
        <v>0</v>
      </c>
      <c r="N110" s="4">
        <v>321484</v>
      </c>
      <c r="O110" s="76"/>
      <c r="P110" s="30" t="s">
        <v>14</v>
      </c>
      <c r="Q110" s="4">
        <v>15277</v>
      </c>
      <c r="R110" s="4">
        <v>13307</v>
      </c>
      <c r="S110" s="4">
        <v>8268</v>
      </c>
      <c r="T110" s="4">
        <v>8984</v>
      </c>
      <c r="U110" s="4">
        <v>2640</v>
      </c>
      <c r="V110" s="4">
        <v>5102</v>
      </c>
      <c r="W110" s="4">
        <v>6303</v>
      </c>
      <c r="X110" s="4">
        <v>3553</v>
      </c>
      <c r="Y110" s="4">
        <v>8797</v>
      </c>
      <c r="Z110" s="4">
        <v>2303</v>
      </c>
      <c r="AA110" s="4">
        <v>9684</v>
      </c>
      <c r="AB110" s="4">
        <v>0</v>
      </c>
      <c r="AC110" s="4">
        <v>84218</v>
      </c>
      <c r="AD110" s="76"/>
    </row>
    <row r="111" spans="1:30" x14ac:dyDescent="0.3">
      <c r="A111" s="31" t="s">
        <v>15</v>
      </c>
      <c r="B111" s="5">
        <v>274906</v>
      </c>
      <c r="C111" s="5">
        <v>180511</v>
      </c>
      <c r="D111" s="5">
        <v>35351</v>
      </c>
      <c r="E111" s="5">
        <v>67871</v>
      </c>
      <c r="F111" s="5">
        <v>17236</v>
      </c>
      <c r="G111" s="5">
        <v>27236</v>
      </c>
      <c r="H111" s="5">
        <v>25118</v>
      </c>
      <c r="I111" s="5">
        <v>28008</v>
      </c>
      <c r="J111" s="5">
        <v>45963</v>
      </c>
      <c r="K111" s="5">
        <v>34472</v>
      </c>
      <c r="L111" s="5">
        <v>65978</v>
      </c>
      <c r="M111" s="5">
        <v>0</v>
      </c>
      <c r="N111" s="5">
        <v>802650</v>
      </c>
      <c r="P111" s="31" t="s">
        <v>15</v>
      </c>
      <c r="Q111" s="5">
        <v>97789</v>
      </c>
      <c r="R111" s="5">
        <v>50855</v>
      </c>
      <c r="S111" s="5">
        <v>14167</v>
      </c>
      <c r="T111" s="5">
        <v>27672</v>
      </c>
      <c r="U111" s="5">
        <v>4517</v>
      </c>
      <c r="V111" s="5">
        <v>11695</v>
      </c>
      <c r="W111" s="5">
        <v>6829</v>
      </c>
      <c r="X111" s="5">
        <v>6768</v>
      </c>
      <c r="Y111" s="5">
        <v>14664</v>
      </c>
      <c r="Z111" s="5">
        <v>10134</v>
      </c>
      <c r="AA111" s="5">
        <v>28844</v>
      </c>
      <c r="AB111" s="5">
        <v>5</v>
      </c>
      <c r="AC111" s="5">
        <v>273939</v>
      </c>
      <c r="AD111" s="75"/>
    </row>
    <row r="112" spans="1:30" ht="15" customHeight="1" x14ac:dyDescent="0.3">
      <c r="A112" s="31" t="s">
        <v>16</v>
      </c>
      <c r="B112" s="5">
        <v>328691</v>
      </c>
      <c r="C112" s="5">
        <v>359333</v>
      </c>
      <c r="D112" s="5">
        <v>68592</v>
      </c>
      <c r="E112" s="5">
        <v>159342</v>
      </c>
      <c r="F112" s="5">
        <v>19591</v>
      </c>
      <c r="G112" s="5">
        <v>40426</v>
      </c>
      <c r="H112" s="5">
        <v>70227</v>
      </c>
      <c r="I112" s="5">
        <v>39280</v>
      </c>
      <c r="J112" s="5">
        <v>69295</v>
      </c>
      <c r="K112" s="5">
        <v>59984</v>
      </c>
      <c r="L112" s="5">
        <v>164204</v>
      </c>
      <c r="M112" s="5">
        <v>2</v>
      </c>
      <c r="N112" s="5">
        <v>1378967</v>
      </c>
      <c r="P112" s="31" t="s">
        <v>16</v>
      </c>
      <c r="Q112" s="5">
        <v>155520</v>
      </c>
      <c r="R112" s="5">
        <v>158329</v>
      </c>
      <c r="S112" s="5">
        <v>39816</v>
      </c>
      <c r="T112" s="5">
        <v>84895</v>
      </c>
      <c r="U112" s="5">
        <v>13016</v>
      </c>
      <c r="V112" s="5">
        <v>31548</v>
      </c>
      <c r="W112" s="5">
        <v>26608</v>
      </c>
      <c r="X112" s="5">
        <v>20413</v>
      </c>
      <c r="Y112" s="5">
        <v>37612</v>
      </c>
      <c r="Z112" s="5">
        <v>25064</v>
      </c>
      <c r="AA112" s="5">
        <v>66327</v>
      </c>
      <c r="AB112" s="5">
        <v>0</v>
      </c>
      <c r="AC112" s="5">
        <v>659148</v>
      </c>
      <c r="AD112" s="75"/>
    </row>
    <row r="113" spans="1:30" ht="15" customHeight="1" x14ac:dyDescent="0.3">
      <c r="A113" s="31" t="s">
        <v>17</v>
      </c>
      <c r="B113" s="5">
        <v>247042</v>
      </c>
      <c r="C113" s="5">
        <v>186937</v>
      </c>
      <c r="D113" s="5">
        <v>42662</v>
      </c>
      <c r="E113" s="5">
        <v>76355</v>
      </c>
      <c r="F113" s="5">
        <v>12994</v>
      </c>
      <c r="G113" s="5">
        <v>34510</v>
      </c>
      <c r="H113" s="5">
        <v>35377</v>
      </c>
      <c r="I113" s="5">
        <v>32845</v>
      </c>
      <c r="J113" s="5">
        <v>46652</v>
      </c>
      <c r="K113" s="5">
        <v>46366</v>
      </c>
      <c r="L113" s="5">
        <v>87171</v>
      </c>
      <c r="M113" s="5">
        <v>7</v>
      </c>
      <c r="N113" s="5">
        <v>848918</v>
      </c>
      <c r="P113" s="31" t="s">
        <v>17</v>
      </c>
      <c r="Q113" s="5">
        <v>51652</v>
      </c>
      <c r="R113" s="5">
        <v>43593</v>
      </c>
      <c r="S113" s="5">
        <v>13431</v>
      </c>
      <c r="T113" s="5">
        <v>23276</v>
      </c>
      <c r="U113" s="5">
        <v>3692</v>
      </c>
      <c r="V113" s="5">
        <v>8593</v>
      </c>
      <c r="W113" s="5">
        <v>6302</v>
      </c>
      <c r="X113" s="5">
        <v>6520</v>
      </c>
      <c r="Y113" s="5">
        <v>13169</v>
      </c>
      <c r="Z113" s="5">
        <v>7114</v>
      </c>
      <c r="AA113" s="5">
        <v>28253</v>
      </c>
      <c r="AB113" s="5">
        <v>0</v>
      </c>
      <c r="AC113" s="5">
        <v>205595</v>
      </c>
      <c r="AD113" s="75"/>
    </row>
    <row r="114" spans="1:30" ht="15" customHeight="1" x14ac:dyDescent="0.3">
      <c r="A114" s="31" t="s">
        <v>18</v>
      </c>
      <c r="B114" s="5">
        <v>500589</v>
      </c>
      <c r="C114" s="5">
        <v>251216</v>
      </c>
      <c r="D114" s="5">
        <v>68363</v>
      </c>
      <c r="E114" s="5">
        <v>107441</v>
      </c>
      <c r="F114" s="5">
        <v>17943</v>
      </c>
      <c r="G114" s="5">
        <v>54709</v>
      </c>
      <c r="H114" s="5">
        <v>57790</v>
      </c>
      <c r="I114" s="5">
        <v>35686</v>
      </c>
      <c r="J114" s="5">
        <v>81704</v>
      </c>
      <c r="K114" s="5">
        <v>58756</v>
      </c>
      <c r="L114" s="5">
        <v>165247</v>
      </c>
      <c r="M114" s="5">
        <v>5</v>
      </c>
      <c r="N114" s="5">
        <v>1399449</v>
      </c>
      <c r="P114" s="31" t="s">
        <v>18</v>
      </c>
      <c r="Q114" s="5">
        <v>67457</v>
      </c>
      <c r="R114" s="5">
        <v>30571</v>
      </c>
      <c r="S114" s="5">
        <v>14578</v>
      </c>
      <c r="T114" s="5">
        <v>20226</v>
      </c>
      <c r="U114" s="5">
        <v>4180</v>
      </c>
      <c r="V114" s="5">
        <v>8646</v>
      </c>
      <c r="W114" s="5">
        <v>7249</v>
      </c>
      <c r="X114" s="5">
        <v>5751</v>
      </c>
      <c r="Y114" s="5">
        <v>13450</v>
      </c>
      <c r="Z114" s="5">
        <v>4331</v>
      </c>
      <c r="AA114" s="5">
        <v>15128</v>
      </c>
      <c r="AB114" s="5">
        <v>0</v>
      </c>
      <c r="AC114" s="5">
        <v>191567</v>
      </c>
      <c r="AD114" s="75"/>
    </row>
    <row r="115" spans="1:30" ht="15" customHeight="1" x14ac:dyDescent="0.3">
      <c r="A115" s="31" t="s">
        <v>19</v>
      </c>
      <c r="B115" s="5">
        <v>1176271</v>
      </c>
      <c r="C115" s="5">
        <v>887455</v>
      </c>
      <c r="D115" s="5">
        <v>176194</v>
      </c>
      <c r="E115" s="5">
        <v>265683</v>
      </c>
      <c r="F115" s="5">
        <v>61335</v>
      </c>
      <c r="G115" s="5">
        <v>102636</v>
      </c>
      <c r="H115" s="5">
        <v>147189</v>
      </c>
      <c r="I115" s="5">
        <v>88166</v>
      </c>
      <c r="J115" s="5">
        <v>182286</v>
      </c>
      <c r="K115" s="5">
        <v>156928</v>
      </c>
      <c r="L115" s="5">
        <v>383143</v>
      </c>
      <c r="M115" s="5">
        <v>0</v>
      </c>
      <c r="N115" s="5">
        <v>3627286</v>
      </c>
      <c r="P115" s="31" t="s">
        <v>19</v>
      </c>
      <c r="Q115" s="5">
        <v>291162</v>
      </c>
      <c r="R115" s="5">
        <v>172070</v>
      </c>
      <c r="S115" s="5">
        <v>63020</v>
      </c>
      <c r="T115" s="5">
        <v>98920</v>
      </c>
      <c r="U115" s="5">
        <v>21496</v>
      </c>
      <c r="V115" s="5">
        <v>37769</v>
      </c>
      <c r="W115" s="5">
        <v>35494</v>
      </c>
      <c r="X115" s="5">
        <v>23073</v>
      </c>
      <c r="Y115" s="5">
        <v>54288</v>
      </c>
      <c r="Z115" s="5">
        <v>28784</v>
      </c>
      <c r="AA115" s="5">
        <v>75598</v>
      </c>
      <c r="AB115" s="5">
        <v>19</v>
      </c>
      <c r="AC115" s="5">
        <v>901693</v>
      </c>
      <c r="AD115" s="75"/>
    </row>
    <row r="116" spans="1:30" ht="15" customHeight="1" x14ac:dyDescent="0.3">
      <c r="A116" s="31" t="s">
        <v>20</v>
      </c>
      <c r="B116" s="5">
        <v>8722446</v>
      </c>
      <c r="C116" s="5">
        <v>6223713</v>
      </c>
      <c r="D116" s="5">
        <v>1476687</v>
      </c>
      <c r="E116" s="5">
        <v>2493994</v>
      </c>
      <c r="F116" s="5">
        <v>520502</v>
      </c>
      <c r="G116" s="5">
        <v>859543</v>
      </c>
      <c r="H116" s="5">
        <v>778027</v>
      </c>
      <c r="I116" s="5">
        <v>826788</v>
      </c>
      <c r="J116" s="5">
        <v>1322791</v>
      </c>
      <c r="K116" s="5">
        <v>1138745</v>
      </c>
      <c r="L116" s="5">
        <v>2875632</v>
      </c>
      <c r="M116" s="5">
        <v>146</v>
      </c>
      <c r="N116" s="5">
        <v>27239014</v>
      </c>
      <c r="P116" s="31" t="s">
        <v>20</v>
      </c>
      <c r="Q116" s="5">
        <v>2626188</v>
      </c>
      <c r="R116" s="5">
        <v>1541003</v>
      </c>
      <c r="S116" s="5">
        <v>696586</v>
      </c>
      <c r="T116" s="5">
        <v>1042751</v>
      </c>
      <c r="U116" s="5">
        <v>277597</v>
      </c>
      <c r="V116" s="5">
        <v>391017</v>
      </c>
      <c r="W116" s="5">
        <v>337688</v>
      </c>
      <c r="X116" s="5">
        <v>233556</v>
      </c>
      <c r="Y116" s="5">
        <v>573644</v>
      </c>
      <c r="Z116" s="5">
        <v>254385</v>
      </c>
      <c r="AA116" s="5">
        <v>842620</v>
      </c>
      <c r="AB116" s="5">
        <v>118</v>
      </c>
      <c r="AC116" s="5">
        <v>8817153</v>
      </c>
      <c r="AD116" s="75"/>
    </row>
    <row r="117" spans="1:30" ht="15" customHeight="1" x14ac:dyDescent="0.3">
      <c r="A117" s="31" t="s">
        <v>21</v>
      </c>
      <c r="B117" s="5">
        <v>924443</v>
      </c>
      <c r="C117" s="5">
        <v>748143</v>
      </c>
      <c r="D117" s="5">
        <v>105818</v>
      </c>
      <c r="E117" s="5">
        <v>229487</v>
      </c>
      <c r="F117" s="5">
        <v>31959</v>
      </c>
      <c r="G117" s="5">
        <v>100862</v>
      </c>
      <c r="H117" s="5">
        <v>217330</v>
      </c>
      <c r="I117" s="5">
        <v>77091</v>
      </c>
      <c r="J117" s="5">
        <v>142145</v>
      </c>
      <c r="K117" s="5">
        <v>138834</v>
      </c>
      <c r="L117" s="5">
        <v>251194</v>
      </c>
      <c r="M117" s="5">
        <v>0</v>
      </c>
      <c r="N117" s="5">
        <v>2967306</v>
      </c>
      <c r="P117" s="31" t="s">
        <v>21</v>
      </c>
      <c r="Q117" s="5">
        <v>196108</v>
      </c>
      <c r="R117" s="5">
        <v>107685</v>
      </c>
      <c r="S117" s="5">
        <v>29615</v>
      </c>
      <c r="T117" s="5">
        <v>54732</v>
      </c>
      <c r="U117" s="5">
        <v>9376</v>
      </c>
      <c r="V117" s="5">
        <v>20054</v>
      </c>
      <c r="W117" s="5">
        <v>29601</v>
      </c>
      <c r="X117" s="5">
        <v>13112</v>
      </c>
      <c r="Y117" s="5">
        <v>26796</v>
      </c>
      <c r="Z117" s="5">
        <v>17653</v>
      </c>
      <c r="AA117" s="5">
        <v>47755</v>
      </c>
      <c r="AB117" s="5">
        <v>7</v>
      </c>
      <c r="AC117" s="5">
        <v>552494</v>
      </c>
      <c r="AD117" s="75"/>
    </row>
    <row r="118" spans="1:30" ht="15" customHeight="1" x14ac:dyDescent="0.3">
      <c r="A118" s="31" t="s">
        <v>22</v>
      </c>
      <c r="B118" s="5">
        <v>702539</v>
      </c>
      <c r="C118" s="5">
        <v>510834</v>
      </c>
      <c r="D118" s="5">
        <v>110244</v>
      </c>
      <c r="E118" s="5">
        <v>187037</v>
      </c>
      <c r="F118" s="5">
        <v>19553</v>
      </c>
      <c r="G118" s="5">
        <v>84843</v>
      </c>
      <c r="H118" s="5">
        <v>105619</v>
      </c>
      <c r="I118" s="5">
        <v>56374</v>
      </c>
      <c r="J118" s="5">
        <v>120790</v>
      </c>
      <c r="K118" s="5">
        <v>89157</v>
      </c>
      <c r="L118" s="5">
        <v>171486</v>
      </c>
      <c r="M118" s="5">
        <v>0</v>
      </c>
      <c r="N118" s="5">
        <v>2158476</v>
      </c>
      <c r="P118" s="31" t="s">
        <v>22</v>
      </c>
      <c r="Q118" s="5">
        <v>121607</v>
      </c>
      <c r="R118" s="5">
        <v>69319</v>
      </c>
      <c r="S118" s="5">
        <v>30265</v>
      </c>
      <c r="T118" s="5">
        <v>42678</v>
      </c>
      <c r="U118" s="5">
        <v>8444</v>
      </c>
      <c r="V118" s="5">
        <v>16328</v>
      </c>
      <c r="W118" s="5">
        <v>12935</v>
      </c>
      <c r="X118" s="5">
        <v>9104</v>
      </c>
      <c r="Y118" s="5">
        <v>23240</v>
      </c>
      <c r="Z118" s="5">
        <v>10035</v>
      </c>
      <c r="AA118" s="5">
        <v>32991</v>
      </c>
      <c r="AB118" s="5">
        <v>0</v>
      </c>
      <c r="AC118" s="5">
        <v>376946</v>
      </c>
      <c r="AD118" s="75"/>
    </row>
    <row r="119" spans="1:30" ht="15" customHeight="1" x14ac:dyDescent="0.3">
      <c r="A119" s="31" t="s">
        <v>23</v>
      </c>
      <c r="B119" s="5">
        <v>1682988</v>
      </c>
      <c r="C119" s="5">
        <v>1335523</v>
      </c>
      <c r="D119" s="5">
        <v>306274</v>
      </c>
      <c r="E119" s="5">
        <v>540754</v>
      </c>
      <c r="F119" s="5">
        <v>89418</v>
      </c>
      <c r="G119" s="5">
        <v>184239</v>
      </c>
      <c r="H119" s="5">
        <v>293452</v>
      </c>
      <c r="I119" s="5">
        <v>131490</v>
      </c>
      <c r="J119" s="5">
        <v>267655</v>
      </c>
      <c r="K119" s="5">
        <v>227497</v>
      </c>
      <c r="L119" s="5">
        <v>538878</v>
      </c>
      <c r="M119" s="5">
        <v>33</v>
      </c>
      <c r="N119" s="5">
        <v>5598201</v>
      </c>
      <c r="P119" s="31" t="s">
        <v>23</v>
      </c>
      <c r="Q119" s="5">
        <v>374108</v>
      </c>
      <c r="R119" s="5">
        <v>197125</v>
      </c>
      <c r="S119" s="5">
        <v>85542</v>
      </c>
      <c r="T119" s="5">
        <v>104447</v>
      </c>
      <c r="U119" s="5">
        <v>25885</v>
      </c>
      <c r="V119" s="5">
        <v>40564</v>
      </c>
      <c r="W119" s="5">
        <v>48235</v>
      </c>
      <c r="X119" s="5">
        <v>27810</v>
      </c>
      <c r="Y119" s="5">
        <v>58551</v>
      </c>
      <c r="Z119" s="5">
        <v>29871</v>
      </c>
      <c r="AA119" s="5">
        <v>105034</v>
      </c>
      <c r="AB119" s="5">
        <v>3</v>
      </c>
      <c r="AC119" s="5">
        <v>1097175</v>
      </c>
      <c r="AD119" s="75"/>
    </row>
    <row r="120" spans="1:30" ht="15" customHeight="1" x14ac:dyDescent="0.3">
      <c r="A120" s="31" t="s">
        <v>24</v>
      </c>
      <c r="B120" s="5">
        <v>533693</v>
      </c>
      <c r="C120" s="5">
        <v>351375</v>
      </c>
      <c r="D120" s="5">
        <v>96250</v>
      </c>
      <c r="E120" s="5">
        <v>131392</v>
      </c>
      <c r="F120" s="5">
        <v>27092</v>
      </c>
      <c r="G120" s="5">
        <v>39847</v>
      </c>
      <c r="H120" s="5">
        <v>65900</v>
      </c>
      <c r="I120" s="5">
        <v>33757</v>
      </c>
      <c r="J120" s="5">
        <v>84446</v>
      </c>
      <c r="K120" s="5">
        <v>62907</v>
      </c>
      <c r="L120" s="5">
        <v>214847</v>
      </c>
      <c r="M120" s="5">
        <v>0</v>
      </c>
      <c r="N120" s="5">
        <v>1641506</v>
      </c>
      <c r="P120" s="31" t="s">
        <v>24</v>
      </c>
      <c r="Q120" s="5">
        <v>152150</v>
      </c>
      <c r="R120" s="5">
        <v>57997</v>
      </c>
      <c r="S120" s="5">
        <v>32625</v>
      </c>
      <c r="T120" s="5">
        <v>32705</v>
      </c>
      <c r="U120" s="5">
        <v>9169</v>
      </c>
      <c r="V120" s="5">
        <v>15714</v>
      </c>
      <c r="W120" s="5">
        <v>16291</v>
      </c>
      <c r="X120" s="5">
        <v>9693</v>
      </c>
      <c r="Y120" s="5">
        <v>27191</v>
      </c>
      <c r="Z120" s="5">
        <v>11293</v>
      </c>
      <c r="AA120" s="5">
        <v>34517</v>
      </c>
      <c r="AB120" s="5">
        <v>0</v>
      </c>
      <c r="AC120" s="5">
        <v>399345</v>
      </c>
      <c r="AD120" s="75"/>
    </row>
    <row r="121" spans="1:30" ht="15" customHeight="1" x14ac:dyDescent="0.3">
      <c r="A121" s="31" t="s">
        <v>25</v>
      </c>
      <c r="B121" s="5">
        <v>76870</v>
      </c>
      <c r="C121" s="5">
        <v>60511</v>
      </c>
      <c r="D121" s="5">
        <v>25331</v>
      </c>
      <c r="E121" s="5">
        <v>28756</v>
      </c>
      <c r="F121" s="5">
        <v>9341</v>
      </c>
      <c r="G121" s="5">
        <v>17933</v>
      </c>
      <c r="H121" s="5">
        <v>7924</v>
      </c>
      <c r="I121" s="5">
        <v>11198</v>
      </c>
      <c r="J121" s="5">
        <v>34355</v>
      </c>
      <c r="K121" s="5">
        <v>22135</v>
      </c>
      <c r="L121" s="5">
        <v>29710</v>
      </c>
      <c r="M121" s="5">
        <v>0</v>
      </c>
      <c r="N121" s="5">
        <v>324064</v>
      </c>
      <c r="P121" s="31" t="s">
        <v>25</v>
      </c>
      <c r="Q121" s="5">
        <v>38380</v>
      </c>
      <c r="R121" s="5">
        <v>21432</v>
      </c>
      <c r="S121" s="5">
        <v>11976</v>
      </c>
      <c r="T121" s="5">
        <v>12110</v>
      </c>
      <c r="U121" s="5">
        <v>4035</v>
      </c>
      <c r="V121" s="5">
        <v>6050</v>
      </c>
      <c r="W121" s="5">
        <v>2431</v>
      </c>
      <c r="X121" s="5">
        <v>2933</v>
      </c>
      <c r="Y121" s="5">
        <v>8779</v>
      </c>
      <c r="Z121" s="5">
        <v>4184</v>
      </c>
      <c r="AA121" s="5">
        <v>11474</v>
      </c>
      <c r="AB121" s="5">
        <v>0</v>
      </c>
      <c r="AC121" s="5">
        <v>123784</v>
      </c>
      <c r="AD121" s="75"/>
    </row>
    <row r="122" spans="1:30" ht="15" customHeight="1" x14ac:dyDescent="0.3">
      <c r="A122" s="31" t="s">
        <v>26</v>
      </c>
      <c r="B122" s="5">
        <v>411148</v>
      </c>
      <c r="C122" s="5">
        <v>340064</v>
      </c>
      <c r="D122" s="5">
        <v>116957</v>
      </c>
      <c r="E122" s="5">
        <v>157852</v>
      </c>
      <c r="F122" s="5">
        <v>40806</v>
      </c>
      <c r="G122" s="5">
        <v>72042</v>
      </c>
      <c r="H122" s="5">
        <v>33106</v>
      </c>
      <c r="I122" s="5">
        <v>36202</v>
      </c>
      <c r="J122" s="5">
        <v>88646</v>
      </c>
      <c r="K122" s="5">
        <v>73601</v>
      </c>
      <c r="L122" s="5">
        <v>151473</v>
      </c>
      <c r="M122" s="5">
        <v>0</v>
      </c>
      <c r="N122" s="5">
        <v>1521897</v>
      </c>
      <c r="P122" s="31" t="s">
        <v>26</v>
      </c>
      <c r="Q122" s="5">
        <v>131068</v>
      </c>
      <c r="R122" s="5">
        <v>73552</v>
      </c>
      <c r="S122" s="5">
        <v>41018</v>
      </c>
      <c r="T122" s="5">
        <v>47507</v>
      </c>
      <c r="U122" s="5">
        <v>12512</v>
      </c>
      <c r="V122" s="5">
        <v>21498</v>
      </c>
      <c r="W122" s="5">
        <v>12272</v>
      </c>
      <c r="X122" s="5">
        <v>9985</v>
      </c>
      <c r="Y122" s="5">
        <v>26034</v>
      </c>
      <c r="Z122" s="5">
        <v>14042</v>
      </c>
      <c r="AA122" s="5">
        <v>36242</v>
      </c>
      <c r="AB122" s="5">
        <v>5</v>
      </c>
      <c r="AC122" s="5">
        <v>425735</v>
      </c>
      <c r="AD122" s="75"/>
    </row>
    <row r="123" spans="1:30" ht="15" customHeight="1" x14ac:dyDescent="0.3">
      <c r="A123" s="31" t="s">
        <v>27</v>
      </c>
      <c r="B123" s="5">
        <v>58556</v>
      </c>
      <c r="C123" s="5">
        <v>36685</v>
      </c>
      <c r="D123" s="5">
        <v>11867</v>
      </c>
      <c r="E123" s="5">
        <v>22610</v>
      </c>
      <c r="F123" s="5">
        <v>4896</v>
      </c>
      <c r="G123" s="5">
        <v>8841</v>
      </c>
      <c r="H123" s="5">
        <v>4856</v>
      </c>
      <c r="I123" s="5">
        <v>7472</v>
      </c>
      <c r="J123" s="5">
        <v>13535</v>
      </c>
      <c r="K123" s="5">
        <v>9751</v>
      </c>
      <c r="L123" s="5">
        <v>20367</v>
      </c>
      <c r="M123" s="5">
        <v>0</v>
      </c>
      <c r="N123" s="5">
        <v>199436</v>
      </c>
      <c r="P123" s="31" t="s">
        <v>27</v>
      </c>
      <c r="Q123" s="5">
        <v>17977</v>
      </c>
      <c r="R123" s="5">
        <v>7917</v>
      </c>
      <c r="S123" s="5">
        <v>4634</v>
      </c>
      <c r="T123" s="5">
        <v>5838</v>
      </c>
      <c r="U123" s="5">
        <v>1053</v>
      </c>
      <c r="V123" s="5">
        <v>2056</v>
      </c>
      <c r="W123" s="5">
        <v>1447</v>
      </c>
      <c r="X123" s="5">
        <v>1031</v>
      </c>
      <c r="Y123" s="5">
        <v>3967</v>
      </c>
      <c r="Z123" s="5">
        <v>1735</v>
      </c>
      <c r="AA123" s="5">
        <v>5363</v>
      </c>
      <c r="AB123" s="5">
        <v>0</v>
      </c>
      <c r="AC123" s="5">
        <v>53018</v>
      </c>
      <c r="AD123" s="75"/>
    </row>
    <row r="124" spans="1:30" ht="15" customHeight="1" x14ac:dyDescent="0.3">
      <c r="A124" s="31" t="s">
        <v>28</v>
      </c>
      <c r="B124" s="5">
        <v>100229</v>
      </c>
      <c r="C124" s="5">
        <v>100242</v>
      </c>
      <c r="D124" s="5">
        <v>18251</v>
      </c>
      <c r="E124" s="5">
        <v>38063</v>
      </c>
      <c r="F124" s="5">
        <v>3739</v>
      </c>
      <c r="G124" s="5">
        <v>18165</v>
      </c>
      <c r="H124" s="5">
        <v>10198</v>
      </c>
      <c r="I124" s="5">
        <v>11675</v>
      </c>
      <c r="J124" s="5">
        <v>28973</v>
      </c>
      <c r="K124" s="5">
        <v>18121</v>
      </c>
      <c r="L124" s="5">
        <v>48108</v>
      </c>
      <c r="M124" s="5">
        <v>0</v>
      </c>
      <c r="N124" s="5">
        <v>395764</v>
      </c>
      <c r="P124" s="31" t="s">
        <v>28</v>
      </c>
      <c r="Q124" s="5">
        <v>42177</v>
      </c>
      <c r="R124" s="5">
        <v>41120</v>
      </c>
      <c r="S124" s="5">
        <v>9899</v>
      </c>
      <c r="T124" s="5">
        <v>18130</v>
      </c>
      <c r="U124" s="5">
        <v>3925</v>
      </c>
      <c r="V124" s="5">
        <v>6893</v>
      </c>
      <c r="W124" s="5">
        <v>3773</v>
      </c>
      <c r="X124" s="5">
        <v>3090</v>
      </c>
      <c r="Y124" s="5">
        <v>11962</v>
      </c>
      <c r="Z124" s="5">
        <v>4935</v>
      </c>
      <c r="AA124" s="5">
        <v>15210</v>
      </c>
      <c r="AB124" s="5">
        <v>0</v>
      </c>
      <c r="AC124" s="5">
        <v>161114</v>
      </c>
      <c r="AD124" s="75"/>
    </row>
    <row r="125" spans="1:30" ht="15" customHeight="1" x14ac:dyDescent="0.3">
      <c r="A125" s="31" t="s">
        <v>478</v>
      </c>
      <c r="B125" s="5">
        <v>0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P125" s="31" t="s">
        <v>478</v>
      </c>
      <c r="Q125" s="5">
        <v>44753</v>
      </c>
      <c r="R125" s="5">
        <v>32644</v>
      </c>
      <c r="S125" s="5">
        <v>11834</v>
      </c>
      <c r="T125" s="5">
        <v>19848</v>
      </c>
      <c r="U125" s="5">
        <v>3430</v>
      </c>
      <c r="V125" s="5">
        <v>7794</v>
      </c>
      <c r="W125" s="5">
        <v>6817</v>
      </c>
      <c r="X125" s="5">
        <v>4041</v>
      </c>
      <c r="Y125" s="5">
        <v>9535</v>
      </c>
      <c r="Z125" s="5">
        <v>4867</v>
      </c>
      <c r="AA125" s="5">
        <v>15435</v>
      </c>
      <c r="AB125" s="5">
        <v>0</v>
      </c>
      <c r="AC125" s="5">
        <v>160998</v>
      </c>
      <c r="AD125" s="75"/>
    </row>
    <row r="126" spans="1:30" s="2" customFormat="1" ht="15" customHeight="1" x14ac:dyDescent="0.3">
      <c r="A126" s="29" t="s">
        <v>60</v>
      </c>
      <c r="B126" s="57">
        <v>15782071</v>
      </c>
      <c r="C126" s="57">
        <v>11627301</v>
      </c>
      <c r="D126" s="57">
        <v>2686073</v>
      </c>
      <c r="E126" s="57">
        <v>4548571</v>
      </c>
      <c r="F126" s="57">
        <v>886160</v>
      </c>
      <c r="G126" s="57">
        <v>1666639</v>
      </c>
      <c r="H126" s="57">
        <v>1883370</v>
      </c>
      <c r="I126" s="57">
        <v>1433943</v>
      </c>
      <c r="J126" s="57">
        <v>2552606</v>
      </c>
      <c r="K126" s="57">
        <v>2157954</v>
      </c>
      <c r="L126" s="57">
        <v>5199537</v>
      </c>
      <c r="M126" s="57">
        <v>193</v>
      </c>
      <c r="N126" s="57">
        <v>50424418</v>
      </c>
      <c r="O126" s="72"/>
      <c r="P126" s="29" t="s">
        <v>60</v>
      </c>
      <c r="Q126" s="57">
        <v>4423373</v>
      </c>
      <c r="R126" s="57">
        <v>2618519</v>
      </c>
      <c r="S126" s="57">
        <v>1107274</v>
      </c>
      <c r="T126" s="57">
        <v>1644719</v>
      </c>
      <c r="U126" s="57">
        <v>404967</v>
      </c>
      <c r="V126" s="57">
        <v>631321</v>
      </c>
      <c r="W126" s="57">
        <v>560275</v>
      </c>
      <c r="X126" s="57">
        <v>380433</v>
      </c>
      <c r="Y126" s="57">
        <v>911679</v>
      </c>
      <c r="Z126" s="57">
        <v>430730</v>
      </c>
      <c r="AA126" s="57">
        <v>1370475</v>
      </c>
      <c r="AB126" s="57">
        <v>157</v>
      </c>
      <c r="AC126" s="57">
        <v>14483922</v>
      </c>
      <c r="AD126" s="72"/>
    </row>
    <row r="127" spans="1:30" ht="15" customHeight="1" x14ac:dyDescent="0.3"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</row>
    <row r="128" spans="1:30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6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860"/>
  <sheetViews>
    <sheetView showGridLines="0" tabSelected="1" topLeftCell="B29" zoomScaleNormal="100" workbookViewId="0">
      <selection activeCell="P27" sqref="P27"/>
    </sheetView>
  </sheetViews>
  <sheetFormatPr baseColWidth="10" defaultColWidth="33.109375" defaultRowHeight="13.8" x14ac:dyDescent="0.3"/>
  <cols>
    <col min="1" max="1" width="35.33203125" style="3" customWidth="1"/>
    <col min="2" max="5" width="15.6640625" style="6" customWidth="1"/>
    <col min="6" max="14" width="15.6640625" style="3" customWidth="1"/>
    <col min="15" max="15" width="10.6640625" style="3" customWidth="1"/>
    <col min="16" max="16" width="30.6640625" style="3" customWidth="1"/>
    <col min="17" max="47" width="15.6640625" style="3" customWidth="1"/>
    <col min="48" max="16384" width="33.109375" style="3"/>
  </cols>
  <sheetData>
    <row r="1" spans="1:4" ht="18" x14ac:dyDescent="0.35">
      <c r="A1" s="1" t="s">
        <v>204</v>
      </c>
    </row>
    <row r="2" spans="1:4" x14ac:dyDescent="0.3">
      <c r="A2" s="7"/>
    </row>
    <row r="3" spans="1:4" x14ac:dyDescent="0.3">
      <c r="A3" s="7" t="s">
        <v>156</v>
      </c>
    </row>
    <row r="4" spans="1:4" x14ac:dyDescent="0.3">
      <c r="A4" s="7" t="s">
        <v>566</v>
      </c>
    </row>
    <row r="5" spans="1:4" x14ac:dyDescent="0.3">
      <c r="A5" s="8" t="s">
        <v>208</v>
      </c>
      <c r="B5" s="8" t="s">
        <v>572</v>
      </c>
      <c r="C5" s="8" t="s">
        <v>573</v>
      </c>
      <c r="D5" s="8" t="s">
        <v>59</v>
      </c>
    </row>
    <row r="6" spans="1:4" x14ac:dyDescent="0.3">
      <c r="A6" s="31" t="s">
        <v>9</v>
      </c>
      <c r="B6" s="4">
        <v>811429</v>
      </c>
      <c r="C6" s="4">
        <v>237591.82446707261</v>
      </c>
      <c r="D6" s="4">
        <v>1049020.8244670727</v>
      </c>
    </row>
    <row r="7" spans="1:4" x14ac:dyDescent="0.3">
      <c r="A7" s="31" t="s">
        <v>10</v>
      </c>
      <c r="B7" s="5">
        <v>832356</v>
      </c>
      <c r="C7" s="5">
        <v>275646.94155906758</v>
      </c>
      <c r="D7" s="5">
        <v>1108002.9415590675</v>
      </c>
    </row>
    <row r="8" spans="1:4" x14ac:dyDescent="0.3">
      <c r="A8" s="31" t="s">
        <v>11</v>
      </c>
      <c r="B8" s="5">
        <v>522984</v>
      </c>
      <c r="C8" s="5">
        <v>410874.52567915339</v>
      </c>
      <c r="D8" s="5">
        <v>933858.52567915339</v>
      </c>
    </row>
    <row r="9" spans="1:4" x14ac:dyDescent="0.3">
      <c r="A9" s="31" t="s">
        <v>480</v>
      </c>
      <c r="B9" s="5">
        <v>274089</v>
      </c>
      <c r="C9" s="5">
        <v>145004.45497815058</v>
      </c>
      <c r="D9" s="5">
        <v>419093.45497815055</v>
      </c>
    </row>
    <row r="10" spans="1:4" x14ac:dyDescent="0.3">
      <c r="A10" s="31" t="s">
        <v>13</v>
      </c>
      <c r="B10" s="5">
        <v>213711</v>
      </c>
      <c r="C10" s="5">
        <v>182558.72916599712</v>
      </c>
      <c r="D10" s="5">
        <v>396269.72916599712</v>
      </c>
    </row>
    <row r="11" spans="1:4" x14ac:dyDescent="0.3">
      <c r="A11" s="31" t="s">
        <v>223</v>
      </c>
      <c r="B11" s="5">
        <v>170967</v>
      </c>
      <c r="C11" s="5">
        <v>134184.16140310976</v>
      </c>
      <c r="D11" s="5">
        <v>305151.16140310979</v>
      </c>
    </row>
    <row r="12" spans="1:4" x14ac:dyDescent="0.3">
      <c r="A12" s="31" t="s">
        <v>224</v>
      </c>
      <c r="B12" s="5">
        <v>120756</v>
      </c>
      <c r="C12" s="5">
        <v>56140.613984951378</v>
      </c>
      <c r="D12" s="5">
        <v>176896.61398495137</v>
      </c>
    </row>
    <row r="13" spans="1:4" x14ac:dyDescent="0.3">
      <c r="A13" s="31" t="s">
        <v>481</v>
      </c>
      <c r="B13" s="5">
        <v>121844</v>
      </c>
      <c r="C13" s="5">
        <v>65340.621140916643</v>
      </c>
      <c r="D13" s="5">
        <v>187184.62114091666</v>
      </c>
    </row>
    <row r="14" spans="1:4" x14ac:dyDescent="0.3">
      <c r="A14" s="31" t="s">
        <v>226</v>
      </c>
      <c r="B14" s="5">
        <v>89163</v>
      </c>
      <c r="C14" s="5">
        <v>52433.482131923898</v>
      </c>
      <c r="D14" s="5">
        <v>141596.4821319239</v>
      </c>
    </row>
    <row r="15" spans="1:4" x14ac:dyDescent="0.3">
      <c r="A15" s="31" t="s">
        <v>263</v>
      </c>
      <c r="B15" s="5">
        <v>99417</v>
      </c>
      <c r="C15" s="5">
        <v>35115.646237885579</v>
      </c>
      <c r="D15" s="5">
        <v>134532.64623788558</v>
      </c>
    </row>
    <row r="16" spans="1:4" x14ac:dyDescent="0.3">
      <c r="A16" s="31" t="s">
        <v>31</v>
      </c>
      <c r="B16" s="5">
        <v>407350</v>
      </c>
      <c r="C16" s="5">
        <v>213922.5254344134</v>
      </c>
      <c r="D16" s="5">
        <v>621272.52543441346</v>
      </c>
    </row>
    <row r="17" spans="1:30" x14ac:dyDescent="0.3">
      <c r="A17" s="31" t="s">
        <v>478</v>
      </c>
      <c r="B17" s="5">
        <v>6</v>
      </c>
      <c r="C17" s="5">
        <v>83.473817358077611</v>
      </c>
      <c r="D17" s="5">
        <v>89.473817358077611</v>
      </c>
    </row>
    <row r="18" spans="1:30" x14ac:dyDescent="0.3">
      <c r="A18" s="29" t="s">
        <v>60</v>
      </c>
      <c r="B18" s="57">
        <v>3664072</v>
      </c>
      <c r="C18" s="57">
        <v>1808896.9999999998</v>
      </c>
      <c r="D18" s="57">
        <v>5472969</v>
      </c>
    </row>
    <row r="19" spans="1:30" x14ac:dyDescent="0.3">
      <c r="A19" s="3" t="s">
        <v>79</v>
      </c>
      <c r="B19" s="73"/>
      <c r="C19" s="73"/>
      <c r="D19" s="73"/>
    </row>
    <row r="21" spans="1:30" x14ac:dyDescent="0.3">
      <c r="A21" s="7" t="s">
        <v>157</v>
      </c>
      <c r="P21" s="7" t="s">
        <v>160</v>
      </c>
      <c r="Q21" s="6"/>
      <c r="R21" s="6"/>
      <c r="S21" s="6"/>
      <c r="T21" s="6"/>
    </row>
    <row r="22" spans="1:30" x14ac:dyDescent="0.3">
      <c r="A22" s="7" t="s">
        <v>559</v>
      </c>
      <c r="P22" s="7" t="s">
        <v>393</v>
      </c>
      <c r="Q22" s="6"/>
      <c r="R22" s="6"/>
      <c r="S22" s="6"/>
      <c r="T22" s="6"/>
    </row>
    <row r="23" spans="1:30" ht="41.4" x14ac:dyDescent="0.3">
      <c r="A23" s="44" t="s">
        <v>66</v>
      </c>
      <c r="B23" s="44" t="str" cm="1">
        <f t="array" ref="B23:M23">TRANSPOSE(A6:A17)</f>
        <v>Trastornos mentales</v>
      </c>
      <c r="C23" s="44" t="str">
        <v>Enf. osteomusculares</v>
      </c>
      <c r="D23" s="44" t="str">
        <v>Enf. respiratorias</v>
      </c>
      <c r="E23" s="44" t="str">
        <v>Traumatismos, envenenamientos y otros</v>
      </c>
      <c r="F23" s="44" t="str">
        <v>Enf. infecciosas</v>
      </c>
      <c r="G23" s="44" t="str">
        <v>Enf. del Sistema Digestivo</v>
      </c>
      <c r="H23" s="44" t="str">
        <v>Afecciones del embarazo, Parto y Puerperio</v>
      </c>
      <c r="I23" s="44" t="str">
        <v>Enfermedades del Sist. Genito urinario</v>
      </c>
      <c r="J23" s="44" t="str">
        <v>Tumores y Cánceres</v>
      </c>
      <c r="K23" s="44" t="str">
        <v>Enf. cardiovasculares</v>
      </c>
      <c r="L23" s="44" t="str">
        <v>Otros diagnósticos</v>
      </c>
      <c r="M23" s="44" t="str">
        <v>Sin información</v>
      </c>
      <c r="N23" s="44" t="s">
        <v>64</v>
      </c>
      <c r="P23" s="44" t="s">
        <v>66</v>
      </c>
      <c r="Q23" s="44" t="s">
        <v>9</v>
      </c>
      <c r="R23" s="44" t="s">
        <v>10</v>
      </c>
      <c r="S23" s="44" t="s">
        <v>11</v>
      </c>
      <c r="T23" s="44" t="s">
        <v>480</v>
      </c>
      <c r="U23" s="44" t="s">
        <v>13</v>
      </c>
      <c r="V23" s="44" t="s">
        <v>223</v>
      </c>
      <c r="W23" s="44" t="s">
        <v>224</v>
      </c>
      <c r="X23" s="44" t="s">
        <v>481</v>
      </c>
      <c r="Y23" s="44" t="s">
        <v>226</v>
      </c>
      <c r="Z23" s="44" t="s">
        <v>263</v>
      </c>
      <c r="AA23" s="44" t="s">
        <v>31</v>
      </c>
      <c r="AB23" s="44" t="s">
        <v>478</v>
      </c>
      <c r="AC23" s="44" t="s">
        <v>64</v>
      </c>
    </row>
    <row r="24" spans="1:30" x14ac:dyDescent="0.3">
      <c r="A24" s="22" t="s">
        <v>574</v>
      </c>
      <c r="B24" s="4">
        <v>199892</v>
      </c>
      <c r="C24" s="4">
        <v>343087</v>
      </c>
      <c r="D24" s="23">
        <v>166587</v>
      </c>
      <c r="E24" s="23">
        <v>159800</v>
      </c>
      <c r="F24" s="23">
        <v>75951</v>
      </c>
      <c r="G24" s="23">
        <v>70525</v>
      </c>
      <c r="H24" s="23">
        <v>0</v>
      </c>
      <c r="I24" s="23">
        <v>37990</v>
      </c>
      <c r="J24" s="23">
        <v>41516</v>
      </c>
      <c r="K24" s="23">
        <v>63770</v>
      </c>
      <c r="L24" s="23">
        <v>162096</v>
      </c>
      <c r="M24" s="23">
        <v>2</v>
      </c>
      <c r="N24" s="23">
        <v>1321216</v>
      </c>
      <c r="O24" s="76"/>
      <c r="P24" s="22" t="s">
        <v>574</v>
      </c>
      <c r="Q24" s="4">
        <v>97199.297897955796</v>
      </c>
      <c r="R24" s="4">
        <v>155754.69017076583</v>
      </c>
      <c r="S24" s="23">
        <v>183515.69685785222</v>
      </c>
      <c r="T24" s="23">
        <v>97294.696546365012</v>
      </c>
      <c r="U24" s="23">
        <v>93113.55265905417</v>
      </c>
      <c r="V24" s="23">
        <v>69152.095265641721</v>
      </c>
      <c r="W24" s="23">
        <v>3851.7204295227239</v>
      </c>
      <c r="X24" s="23">
        <v>22926.978299724848</v>
      </c>
      <c r="Y24" s="23">
        <v>23866.058745003222</v>
      </c>
      <c r="Z24" s="23">
        <v>22543.89310220653</v>
      </c>
      <c r="AA24" s="23">
        <v>97484.003239302096</v>
      </c>
      <c r="AB24" s="23">
        <v>20.868454339519399</v>
      </c>
      <c r="AC24" s="23">
        <v>866723.55166773358</v>
      </c>
      <c r="AD24" s="76"/>
    </row>
    <row r="25" spans="1:30" x14ac:dyDescent="0.3">
      <c r="A25" s="25" t="s">
        <v>575</v>
      </c>
      <c r="B25" s="5">
        <v>611537</v>
      </c>
      <c r="C25" s="5">
        <v>489269</v>
      </c>
      <c r="D25" s="14">
        <v>356397</v>
      </c>
      <c r="E25" s="14">
        <v>114289</v>
      </c>
      <c r="F25" s="14">
        <v>137760</v>
      </c>
      <c r="G25" s="14">
        <v>100442</v>
      </c>
      <c r="H25" s="14">
        <v>120756</v>
      </c>
      <c r="I25" s="14">
        <v>83854</v>
      </c>
      <c r="J25" s="14">
        <v>47647</v>
      </c>
      <c r="K25" s="14">
        <v>35647</v>
      </c>
      <c r="L25" s="14">
        <v>245254</v>
      </c>
      <c r="M25" s="14">
        <v>4</v>
      </c>
      <c r="N25" s="14">
        <v>2342856</v>
      </c>
      <c r="O25" s="75"/>
      <c r="P25" s="25" t="s">
        <v>575</v>
      </c>
      <c r="Q25" s="5">
        <v>140392.52656911677</v>
      </c>
      <c r="R25" s="5">
        <v>119892.25138830175</v>
      </c>
      <c r="S25" s="14">
        <v>227358.82882130108</v>
      </c>
      <c r="T25" s="14">
        <v>47709.758431785536</v>
      </c>
      <c r="U25" s="14">
        <v>89445.176506942938</v>
      </c>
      <c r="V25" s="14">
        <v>65032.066137468028</v>
      </c>
      <c r="W25" s="14">
        <v>52288.893555428651</v>
      </c>
      <c r="X25" s="14">
        <v>42413.642841191788</v>
      </c>
      <c r="Y25" s="14">
        <v>28567.423386920669</v>
      </c>
      <c r="Z25" s="14">
        <v>12571.753135679044</v>
      </c>
      <c r="AA25" s="14">
        <v>116438.52219511128</v>
      </c>
      <c r="AB25" s="14">
        <v>62.605363018558201</v>
      </c>
      <c r="AC25" s="14">
        <v>942173.44833226595</v>
      </c>
      <c r="AD25" s="75"/>
    </row>
    <row r="26" spans="1:30" x14ac:dyDescent="0.3">
      <c r="A26" s="25" t="s">
        <v>576</v>
      </c>
      <c r="B26" s="5">
        <v>0</v>
      </c>
      <c r="C26" s="5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75"/>
      <c r="P26" s="25" t="s">
        <v>576</v>
      </c>
      <c r="Q26" s="5">
        <v>0</v>
      </c>
      <c r="R26" s="5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75"/>
    </row>
    <row r="27" spans="1:30" x14ac:dyDescent="0.3">
      <c r="A27" s="29" t="s">
        <v>60</v>
      </c>
      <c r="B27" s="57">
        <v>811429</v>
      </c>
      <c r="C27" s="57">
        <v>832356</v>
      </c>
      <c r="D27" s="57">
        <v>522984</v>
      </c>
      <c r="E27" s="57">
        <v>274089</v>
      </c>
      <c r="F27" s="57">
        <v>213711</v>
      </c>
      <c r="G27" s="57">
        <v>170967</v>
      </c>
      <c r="H27" s="57">
        <v>120756</v>
      </c>
      <c r="I27" s="57">
        <v>121844</v>
      </c>
      <c r="J27" s="57">
        <v>89163</v>
      </c>
      <c r="K27" s="57">
        <v>99417</v>
      </c>
      <c r="L27" s="57">
        <v>407350</v>
      </c>
      <c r="M27" s="57">
        <v>6</v>
      </c>
      <c r="N27" s="57">
        <v>3664072</v>
      </c>
      <c r="O27" s="75"/>
      <c r="P27" s="29" t="s">
        <v>60</v>
      </c>
      <c r="Q27" s="57">
        <v>237591.82446707255</v>
      </c>
      <c r="R27" s="57">
        <v>275646.94155906758</v>
      </c>
      <c r="S27" s="57">
        <v>410874.52567915327</v>
      </c>
      <c r="T27" s="57">
        <v>145004.45497815055</v>
      </c>
      <c r="U27" s="57">
        <v>182558.72916599712</v>
      </c>
      <c r="V27" s="57">
        <v>134184.16140310976</v>
      </c>
      <c r="W27" s="57">
        <v>56140.613984951371</v>
      </c>
      <c r="X27" s="57">
        <v>65340.621140916635</v>
      </c>
      <c r="Y27" s="57">
        <v>52433.482131923891</v>
      </c>
      <c r="Z27" s="57">
        <v>35115.646237885572</v>
      </c>
      <c r="AA27" s="57">
        <v>213922.52543441337</v>
      </c>
      <c r="AB27" s="57">
        <v>83.473817358077596</v>
      </c>
      <c r="AC27" s="77">
        <v>1808896.9999999995</v>
      </c>
      <c r="AD27" s="75"/>
    </row>
    <row r="28" spans="1:30" x14ac:dyDescent="0.3">
      <c r="A28" s="3" t="s">
        <v>79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P28" s="3" t="s">
        <v>79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</row>
    <row r="29" spans="1:30" x14ac:dyDescent="0.3">
      <c r="Q29" s="6"/>
      <c r="R29" s="6"/>
      <c r="S29" s="6"/>
      <c r="T29" s="6"/>
    </row>
    <row r="30" spans="1:30" x14ac:dyDescent="0.3">
      <c r="A30" s="7" t="s">
        <v>158</v>
      </c>
      <c r="P30" s="7" t="s">
        <v>161</v>
      </c>
      <c r="Q30" s="6"/>
      <c r="R30" s="6"/>
      <c r="S30" s="6"/>
      <c r="T30" s="6"/>
    </row>
    <row r="31" spans="1:30" x14ac:dyDescent="0.3">
      <c r="A31" s="7" t="s">
        <v>560</v>
      </c>
      <c r="P31" s="7" t="s">
        <v>394</v>
      </c>
      <c r="Q31" s="6"/>
      <c r="R31" s="6"/>
      <c r="S31" s="6"/>
      <c r="T31" s="6"/>
    </row>
    <row r="32" spans="1:30" ht="41.4" x14ac:dyDescent="0.3">
      <c r="A32" s="24" t="s">
        <v>67</v>
      </c>
      <c r="B32" s="44" t="s">
        <v>9</v>
      </c>
      <c r="C32" s="44" t="s">
        <v>10</v>
      </c>
      <c r="D32" s="44" t="s">
        <v>11</v>
      </c>
      <c r="E32" s="44" t="s">
        <v>480</v>
      </c>
      <c r="F32" s="44" t="s">
        <v>13</v>
      </c>
      <c r="G32" s="44" t="s">
        <v>223</v>
      </c>
      <c r="H32" s="44" t="s">
        <v>224</v>
      </c>
      <c r="I32" s="44" t="s">
        <v>481</v>
      </c>
      <c r="J32" s="44" t="s">
        <v>226</v>
      </c>
      <c r="K32" s="44" t="s">
        <v>263</v>
      </c>
      <c r="L32" s="44" t="s">
        <v>31</v>
      </c>
      <c r="M32" s="44" t="s">
        <v>478</v>
      </c>
      <c r="N32" s="44" t="s">
        <v>64</v>
      </c>
      <c r="P32" s="24" t="s">
        <v>67</v>
      </c>
      <c r="Q32" s="44" t="s">
        <v>9</v>
      </c>
      <c r="R32" s="44" t="s">
        <v>10</v>
      </c>
      <c r="S32" s="44" t="s">
        <v>11</v>
      </c>
      <c r="T32" s="44" t="s">
        <v>480</v>
      </c>
      <c r="U32" s="44" t="s">
        <v>13</v>
      </c>
      <c r="V32" s="44" t="s">
        <v>223</v>
      </c>
      <c r="W32" s="44" t="s">
        <v>224</v>
      </c>
      <c r="X32" s="44" t="s">
        <v>481</v>
      </c>
      <c r="Y32" s="44" t="s">
        <v>226</v>
      </c>
      <c r="Z32" s="44" t="s">
        <v>263</v>
      </c>
      <c r="AA32" s="44" t="s">
        <v>31</v>
      </c>
      <c r="AB32" s="44" t="s">
        <v>478</v>
      </c>
      <c r="AC32" s="44" t="s">
        <v>64</v>
      </c>
    </row>
    <row r="33" spans="1:30" x14ac:dyDescent="0.3">
      <c r="A33" s="22" t="s">
        <v>53</v>
      </c>
      <c r="B33" s="4">
        <v>3226</v>
      </c>
      <c r="C33" s="4">
        <v>4755</v>
      </c>
      <c r="D33" s="4">
        <v>4323</v>
      </c>
      <c r="E33" s="4">
        <v>3682</v>
      </c>
      <c r="F33" s="4">
        <v>2380</v>
      </c>
      <c r="G33" s="4">
        <v>1442</v>
      </c>
      <c r="H33" s="4">
        <v>1477</v>
      </c>
      <c r="I33" s="4">
        <v>887</v>
      </c>
      <c r="J33" s="4">
        <v>103</v>
      </c>
      <c r="K33" s="4">
        <v>155</v>
      </c>
      <c r="L33" s="4">
        <v>2763</v>
      </c>
      <c r="M33" s="4">
        <v>0</v>
      </c>
      <c r="N33" s="4">
        <v>25193</v>
      </c>
      <c r="O33" s="76"/>
      <c r="P33" s="22" t="s">
        <v>53</v>
      </c>
      <c r="Q33" s="4">
        <v>228.06239385331918</v>
      </c>
      <c r="R33" s="4">
        <v>386.06640528110893</v>
      </c>
      <c r="S33" s="4">
        <v>558.97645552284109</v>
      </c>
      <c r="T33" s="4">
        <v>359.23553541601251</v>
      </c>
      <c r="U33" s="4">
        <v>320.47983449976221</v>
      </c>
      <c r="V33" s="4">
        <v>159.49461530918398</v>
      </c>
      <c r="W33" s="4">
        <v>43.227512560433041</v>
      </c>
      <c r="X33" s="4">
        <v>53.66173973019275</v>
      </c>
      <c r="Y33" s="4">
        <v>10.4342271697597</v>
      </c>
      <c r="Z33" s="4">
        <v>13.415434932548187</v>
      </c>
      <c r="AA33" s="4">
        <v>269.79930253235796</v>
      </c>
      <c r="AB33" s="4">
        <v>0</v>
      </c>
      <c r="AC33" s="4">
        <v>2402.8534568075197</v>
      </c>
      <c r="AD33" s="76"/>
    </row>
    <row r="34" spans="1:30" x14ac:dyDescent="0.3">
      <c r="A34" s="25" t="s">
        <v>2</v>
      </c>
      <c r="B34" s="5">
        <v>62652</v>
      </c>
      <c r="C34" s="5">
        <v>51479</v>
      </c>
      <c r="D34" s="5">
        <v>42416</v>
      </c>
      <c r="E34" s="5">
        <v>28125</v>
      </c>
      <c r="F34" s="5">
        <v>24793</v>
      </c>
      <c r="G34" s="5">
        <v>14304</v>
      </c>
      <c r="H34" s="5">
        <v>19957</v>
      </c>
      <c r="I34" s="5">
        <v>8955</v>
      </c>
      <c r="J34" s="5">
        <v>1347</v>
      </c>
      <c r="K34" s="5">
        <v>1639</v>
      </c>
      <c r="L34" s="5">
        <v>26500</v>
      </c>
      <c r="M34" s="5">
        <v>1</v>
      </c>
      <c r="N34" s="5">
        <v>282168</v>
      </c>
      <c r="O34" s="75"/>
      <c r="P34" s="25" t="s">
        <v>2</v>
      </c>
      <c r="Q34" s="5">
        <v>8638.0494926796382</v>
      </c>
      <c r="R34" s="5">
        <v>10309.016443722585</v>
      </c>
      <c r="S34" s="5">
        <v>14680.957627851898</v>
      </c>
      <c r="T34" s="5">
        <v>8478.5548773704541</v>
      </c>
      <c r="U34" s="5">
        <v>10118.219146904121</v>
      </c>
      <c r="V34" s="5">
        <v>5076.9968200287913</v>
      </c>
      <c r="W34" s="5">
        <v>1957.1628962706409</v>
      </c>
      <c r="X34" s="5">
        <v>1735.0629179428988</v>
      </c>
      <c r="Y34" s="5">
        <v>450.16237218106136</v>
      </c>
      <c r="Z34" s="5">
        <v>447.18116441827283</v>
      </c>
      <c r="AA34" s="5">
        <v>7506.6811467014077</v>
      </c>
      <c r="AB34" s="5">
        <v>1.4906038813942428</v>
      </c>
      <c r="AC34" s="5">
        <v>69399.535509953159</v>
      </c>
      <c r="AD34" s="75"/>
    </row>
    <row r="35" spans="1:30" x14ac:dyDescent="0.3">
      <c r="A35" s="25" t="s">
        <v>54</v>
      </c>
      <c r="B35" s="5">
        <v>288448</v>
      </c>
      <c r="C35" s="5">
        <v>189817</v>
      </c>
      <c r="D35" s="5">
        <v>158430</v>
      </c>
      <c r="E35" s="5">
        <v>70524</v>
      </c>
      <c r="F35" s="5">
        <v>83926</v>
      </c>
      <c r="G35" s="5">
        <v>48730</v>
      </c>
      <c r="H35" s="5">
        <v>71969</v>
      </c>
      <c r="I35" s="5">
        <v>32802</v>
      </c>
      <c r="J35" s="5">
        <v>8096</v>
      </c>
      <c r="K35" s="5">
        <v>8182</v>
      </c>
      <c r="L35" s="5">
        <v>95688</v>
      </c>
      <c r="M35" s="5">
        <v>1</v>
      </c>
      <c r="N35" s="5">
        <v>1056613</v>
      </c>
      <c r="O35" s="75"/>
      <c r="P35" s="25" t="s">
        <v>54</v>
      </c>
      <c r="Q35" s="5">
        <v>84111.795819314342</v>
      </c>
      <c r="R35" s="5">
        <v>80514.968653510034</v>
      </c>
      <c r="S35" s="5">
        <v>146396.67900337279</v>
      </c>
      <c r="T35" s="5">
        <v>51303.604389827051</v>
      </c>
      <c r="U35" s="5">
        <v>85143.29370523915</v>
      </c>
      <c r="V35" s="5">
        <v>47261.086663485868</v>
      </c>
      <c r="W35" s="5">
        <v>33803.914822258645</v>
      </c>
      <c r="X35" s="5">
        <v>20169.361119145502</v>
      </c>
      <c r="Y35" s="5">
        <v>6733.0577322577956</v>
      </c>
      <c r="Z35" s="5">
        <v>5056.128365689272</v>
      </c>
      <c r="AA35" s="5">
        <v>69469.593892378703</v>
      </c>
      <c r="AB35" s="5">
        <v>31.3026815092791</v>
      </c>
      <c r="AC35" s="5">
        <v>629994.78684798849</v>
      </c>
      <c r="AD35" s="75"/>
    </row>
    <row r="36" spans="1:30" x14ac:dyDescent="0.3">
      <c r="A36" s="25" t="s">
        <v>55</v>
      </c>
      <c r="B36" s="5">
        <v>222580</v>
      </c>
      <c r="C36" s="5">
        <v>189656</v>
      </c>
      <c r="D36" s="5">
        <v>123113</v>
      </c>
      <c r="E36" s="5">
        <v>58244</v>
      </c>
      <c r="F36" s="5">
        <v>49357</v>
      </c>
      <c r="G36" s="5">
        <v>39951</v>
      </c>
      <c r="H36" s="5">
        <v>26677</v>
      </c>
      <c r="I36" s="5">
        <v>29529</v>
      </c>
      <c r="J36" s="5">
        <v>15443</v>
      </c>
      <c r="K36" s="5">
        <v>14213</v>
      </c>
      <c r="L36" s="5">
        <v>92114</v>
      </c>
      <c r="M36" s="5">
        <v>2</v>
      </c>
      <c r="N36" s="5">
        <v>860879</v>
      </c>
      <c r="O36" s="75"/>
      <c r="P36" s="25" t="s">
        <v>55</v>
      </c>
      <c r="Q36" s="5">
        <v>74789.559145074745</v>
      </c>
      <c r="R36" s="5">
        <v>78046.528625921172</v>
      </c>
      <c r="S36" s="5">
        <v>118568.59514162366</v>
      </c>
      <c r="T36" s="5">
        <v>38906.25190827113</v>
      </c>
      <c r="U36" s="5">
        <v>50829.592355543682</v>
      </c>
      <c r="V36" s="5">
        <v>37581.105057711648</v>
      </c>
      <c r="W36" s="5">
        <v>19814.597395373668</v>
      </c>
      <c r="X36" s="5">
        <v>20552.44631666382</v>
      </c>
      <c r="Y36" s="5">
        <v>12629.88668705342</v>
      </c>
      <c r="Z36" s="5">
        <v>8074.6012255126134</v>
      </c>
      <c r="AA36" s="5">
        <v>60330.70149555058</v>
      </c>
      <c r="AB36" s="5">
        <v>31.3026815092791</v>
      </c>
      <c r="AC36" s="5">
        <v>520155.16803580942</v>
      </c>
      <c r="AD36" s="75"/>
    </row>
    <row r="37" spans="1:30" x14ac:dyDescent="0.3">
      <c r="A37" s="25" t="s">
        <v>56</v>
      </c>
      <c r="B37" s="5">
        <v>139434</v>
      </c>
      <c r="C37" s="5">
        <v>210274</v>
      </c>
      <c r="D37" s="5">
        <v>102579</v>
      </c>
      <c r="E37" s="5">
        <v>59725</v>
      </c>
      <c r="F37" s="5">
        <v>31644</v>
      </c>
      <c r="G37" s="5">
        <v>34456</v>
      </c>
      <c r="H37" s="5">
        <v>559</v>
      </c>
      <c r="I37" s="5">
        <v>25664</v>
      </c>
      <c r="J37" s="5">
        <v>25594</v>
      </c>
      <c r="K37" s="5">
        <v>26058</v>
      </c>
      <c r="L37" s="5">
        <v>94667</v>
      </c>
      <c r="M37" s="5">
        <v>2</v>
      </c>
      <c r="N37" s="5">
        <v>750656</v>
      </c>
      <c r="O37" s="75"/>
      <c r="P37" s="25" t="s">
        <v>56</v>
      </c>
      <c r="Q37" s="5">
        <v>41329.973819418177</v>
      </c>
      <c r="R37" s="5">
        <v>58691.037226016924</v>
      </c>
      <c r="S37" s="5">
        <v>71653.328578621251</v>
      </c>
      <c r="T37" s="5">
        <v>26027.434373024873</v>
      </c>
      <c r="U37" s="5">
        <v>22230.866287113739</v>
      </c>
      <c r="V37" s="5">
        <v>24436.960031577219</v>
      </c>
      <c r="W37" s="5">
        <v>494.88048862288866</v>
      </c>
      <c r="X37" s="5">
        <v>12930.988671095056</v>
      </c>
      <c r="Y37" s="5">
        <v>13958.014745375691</v>
      </c>
      <c r="Z37" s="5">
        <v>8925.7360417887267</v>
      </c>
      <c r="AA37" s="5">
        <v>41173.460411871776</v>
      </c>
      <c r="AB37" s="5">
        <v>17.887246576730917</v>
      </c>
      <c r="AC37" s="5">
        <v>321870.56792110304</v>
      </c>
      <c r="AD37" s="75"/>
    </row>
    <row r="38" spans="1:30" x14ac:dyDescent="0.3">
      <c r="A38" s="25" t="s">
        <v>57</v>
      </c>
      <c r="B38" s="5">
        <v>79619</v>
      </c>
      <c r="C38" s="5">
        <v>149788</v>
      </c>
      <c r="D38" s="5">
        <v>71895</v>
      </c>
      <c r="E38" s="5">
        <v>42749</v>
      </c>
      <c r="F38" s="5">
        <v>17918</v>
      </c>
      <c r="G38" s="5">
        <v>25093</v>
      </c>
      <c r="H38" s="5">
        <v>70</v>
      </c>
      <c r="I38" s="5">
        <v>17038</v>
      </c>
      <c r="J38" s="5">
        <v>25983</v>
      </c>
      <c r="K38" s="5">
        <v>32912</v>
      </c>
      <c r="L38" s="5">
        <v>72344</v>
      </c>
      <c r="M38" s="5">
        <v>0</v>
      </c>
      <c r="N38" s="5">
        <v>535409</v>
      </c>
      <c r="O38" s="75"/>
      <c r="P38" s="25" t="s">
        <v>57</v>
      </c>
      <c r="Q38" s="5">
        <v>24775.327112653711</v>
      </c>
      <c r="R38" s="5">
        <v>39964.580664061046</v>
      </c>
      <c r="S38" s="5">
        <v>49520.842147679534</v>
      </c>
      <c r="T38" s="5">
        <v>16824.446009296818</v>
      </c>
      <c r="U38" s="5">
        <v>12072.400835411974</v>
      </c>
      <c r="V38" s="5">
        <v>16496.513155390086</v>
      </c>
      <c r="W38" s="5">
        <v>22.359058220913646</v>
      </c>
      <c r="X38" s="5">
        <v>8032.8643168335748</v>
      </c>
      <c r="Y38" s="5">
        <v>13916.277836696652</v>
      </c>
      <c r="Z38" s="5">
        <v>9425.0883420557984</v>
      </c>
      <c r="AA38" s="5">
        <v>28975.848850422688</v>
      </c>
      <c r="AB38" s="5">
        <v>1.4906038813942428</v>
      </c>
      <c r="AC38" s="5">
        <v>220028.03893260419</v>
      </c>
      <c r="AD38" s="75"/>
    </row>
    <row r="39" spans="1:30" x14ac:dyDescent="0.3">
      <c r="A39" s="25" t="s">
        <v>3</v>
      </c>
      <c r="B39" s="5">
        <v>15470</v>
      </c>
      <c r="C39" s="5">
        <v>36587</v>
      </c>
      <c r="D39" s="5">
        <v>20228</v>
      </c>
      <c r="E39" s="5">
        <v>11040</v>
      </c>
      <c r="F39" s="5">
        <v>3693</v>
      </c>
      <c r="G39" s="5">
        <v>6991</v>
      </c>
      <c r="H39" s="5">
        <v>47</v>
      </c>
      <c r="I39" s="5">
        <v>6969</v>
      </c>
      <c r="J39" s="5">
        <v>12597</v>
      </c>
      <c r="K39" s="5">
        <v>16258</v>
      </c>
      <c r="L39" s="5">
        <v>23274</v>
      </c>
      <c r="M39" s="5">
        <v>0</v>
      </c>
      <c r="N39" s="5">
        <v>153154</v>
      </c>
      <c r="O39" s="75"/>
      <c r="P39" s="25" t="s">
        <v>3</v>
      </c>
      <c r="Q39" s="5">
        <v>3717.5660801972422</v>
      </c>
      <c r="R39" s="5">
        <v>7733.2529366733315</v>
      </c>
      <c r="S39" s="5">
        <v>9492.1655167185399</v>
      </c>
      <c r="T39" s="5">
        <v>3104.927884944208</v>
      </c>
      <c r="U39" s="5">
        <v>1842.3863974032843</v>
      </c>
      <c r="V39" s="5">
        <v>3170.5144557255544</v>
      </c>
      <c r="W39" s="5">
        <v>4.4718116441827291</v>
      </c>
      <c r="X39" s="5">
        <v>1866.2360595055923</v>
      </c>
      <c r="Y39" s="5">
        <v>4735.6485311895094</v>
      </c>
      <c r="Z39" s="5">
        <v>3173.4956634883433</v>
      </c>
      <c r="AA39" s="5">
        <v>6196.4403349558679</v>
      </c>
      <c r="AB39" s="5">
        <v>0</v>
      </c>
      <c r="AC39" s="5">
        <v>45037.105672445658</v>
      </c>
      <c r="AD39" s="75"/>
    </row>
    <row r="40" spans="1:30" x14ac:dyDescent="0.3">
      <c r="A40" s="25" t="s">
        <v>478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75"/>
      <c r="P40" s="25" t="s">
        <v>478</v>
      </c>
      <c r="Q40" s="5">
        <v>1.4906038813942428</v>
      </c>
      <c r="R40" s="5">
        <v>1.4906038813942428</v>
      </c>
      <c r="S40" s="5">
        <v>2.9812077627884856</v>
      </c>
      <c r="T40" s="5">
        <v>0</v>
      </c>
      <c r="U40" s="5">
        <v>1.4906038813942428</v>
      </c>
      <c r="V40" s="5">
        <v>1.4906038813942428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8.9436232883654565</v>
      </c>
      <c r="AD40" s="75"/>
    </row>
    <row r="41" spans="1:30" x14ac:dyDescent="0.3">
      <c r="A41" s="29" t="s">
        <v>60</v>
      </c>
      <c r="B41" s="57">
        <v>811429</v>
      </c>
      <c r="C41" s="57">
        <v>832356</v>
      </c>
      <c r="D41" s="57">
        <v>522984</v>
      </c>
      <c r="E41" s="57">
        <v>274089</v>
      </c>
      <c r="F41" s="57">
        <v>213711</v>
      </c>
      <c r="G41" s="57">
        <v>170967</v>
      </c>
      <c r="H41" s="57">
        <v>120756</v>
      </c>
      <c r="I41" s="57">
        <v>121844</v>
      </c>
      <c r="J41" s="57">
        <v>89163</v>
      </c>
      <c r="K41" s="57">
        <v>99417</v>
      </c>
      <c r="L41" s="57">
        <v>407350</v>
      </c>
      <c r="M41" s="57">
        <v>6</v>
      </c>
      <c r="N41" s="57">
        <v>3664072</v>
      </c>
      <c r="O41" s="75"/>
      <c r="P41" s="29" t="s">
        <v>60</v>
      </c>
      <c r="Q41" s="57">
        <v>237591.82446707255</v>
      </c>
      <c r="R41" s="57">
        <v>275646.94155906764</v>
      </c>
      <c r="S41" s="57">
        <v>410874.52567915333</v>
      </c>
      <c r="T41" s="57">
        <v>145004.45497815055</v>
      </c>
      <c r="U41" s="57">
        <v>182558.72916599712</v>
      </c>
      <c r="V41" s="57">
        <v>134184.16140310973</v>
      </c>
      <c r="W41" s="57">
        <v>56140.613984951371</v>
      </c>
      <c r="X41" s="57">
        <v>65340.621140916635</v>
      </c>
      <c r="Y41" s="57">
        <v>52433.482131923884</v>
      </c>
      <c r="Z41" s="57">
        <v>35115.646237885579</v>
      </c>
      <c r="AA41" s="57">
        <v>213922.5254344134</v>
      </c>
      <c r="AB41" s="57">
        <v>83.473817358077596</v>
      </c>
      <c r="AC41" s="57">
        <v>1808896.9999999998</v>
      </c>
      <c r="AD41" s="75"/>
    </row>
    <row r="42" spans="1:30" x14ac:dyDescent="0.3">
      <c r="A42" s="3" t="s">
        <v>79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P42" s="3" t="s">
        <v>79</v>
      </c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</row>
    <row r="43" spans="1:30" x14ac:dyDescent="0.3">
      <c r="Q43" s="6"/>
      <c r="R43" s="54"/>
      <c r="S43" s="6"/>
      <c r="T43" s="6"/>
    </row>
    <row r="44" spans="1:30" x14ac:dyDescent="0.3">
      <c r="A44" s="7" t="s">
        <v>159</v>
      </c>
      <c r="P44" s="7" t="s">
        <v>162</v>
      </c>
      <c r="Q44" s="6"/>
      <c r="R44" s="6"/>
      <c r="S44" s="6"/>
      <c r="T44" s="6"/>
    </row>
    <row r="45" spans="1:30" x14ac:dyDescent="0.3">
      <c r="A45" s="7" t="s">
        <v>561</v>
      </c>
      <c r="P45" s="7" t="s">
        <v>395</v>
      </c>
      <c r="Q45" s="6"/>
      <c r="R45" s="6"/>
      <c r="S45" s="6"/>
      <c r="T45" s="6"/>
    </row>
    <row r="46" spans="1:30" ht="41.4" x14ac:dyDescent="0.3">
      <c r="A46" s="24" t="s">
        <v>209</v>
      </c>
      <c r="B46" s="44" t="s">
        <v>9</v>
      </c>
      <c r="C46" s="44" t="s">
        <v>10</v>
      </c>
      <c r="D46" s="44" t="s">
        <v>11</v>
      </c>
      <c r="E46" s="44" t="s">
        <v>480</v>
      </c>
      <c r="F46" s="44" t="s">
        <v>13</v>
      </c>
      <c r="G46" s="44" t="s">
        <v>223</v>
      </c>
      <c r="H46" s="44" t="s">
        <v>224</v>
      </c>
      <c r="I46" s="44" t="s">
        <v>481</v>
      </c>
      <c r="J46" s="44" t="s">
        <v>226</v>
      </c>
      <c r="K46" s="44" t="s">
        <v>263</v>
      </c>
      <c r="L46" s="44" t="s">
        <v>31</v>
      </c>
      <c r="M46" s="44" t="s">
        <v>478</v>
      </c>
      <c r="N46" s="44" t="s">
        <v>64</v>
      </c>
      <c r="P46" s="24" t="s">
        <v>209</v>
      </c>
      <c r="Q46" s="44" t="s">
        <v>9</v>
      </c>
      <c r="R46" s="44" t="s">
        <v>10</v>
      </c>
      <c r="S46" s="44" t="s">
        <v>11</v>
      </c>
      <c r="T46" s="44" t="s">
        <v>480</v>
      </c>
      <c r="U46" s="44" t="s">
        <v>13</v>
      </c>
      <c r="V46" s="44" t="s">
        <v>223</v>
      </c>
      <c r="W46" s="44" t="s">
        <v>224</v>
      </c>
      <c r="X46" s="44" t="s">
        <v>481</v>
      </c>
      <c r="Y46" s="44" t="s">
        <v>226</v>
      </c>
      <c r="Z46" s="44" t="s">
        <v>263</v>
      </c>
      <c r="AA46" s="44" t="s">
        <v>31</v>
      </c>
      <c r="AB46" s="44" t="s">
        <v>478</v>
      </c>
      <c r="AC46" s="44" t="s">
        <v>64</v>
      </c>
    </row>
    <row r="47" spans="1:30" x14ac:dyDescent="0.3">
      <c r="A47" s="30" t="s">
        <v>14</v>
      </c>
      <c r="B47" s="4">
        <v>3074</v>
      </c>
      <c r="C47" s="4">
        <v>5379</v>
      </c>
      <c r="D47" s="4">
        <v>5901</v>
      </c>
      <c r="E47" s="4">
        <v>2714</v>
      </c>
      <c r="F47" s="4">
        <v>2247</v>
      </c>
      <c r="G47" s="4">
        <v>3382</v>
      </c>
      <c r="H47" s="4">
        <v>1820</v>
      </c>
      <c r="I47" s="4">
        <v>1568</v>
      </c>
      <c r="J47" s="4">
        <v>915</v>
      </c>
      <c r="K47" s="4">
        <v>1059</v>
      </c>
      <c r="L47" s="4">
        <v>3422</v>
      </c>
      <c r="M47" s="4">
        <v>0</v>
      </c>
      <c r="N47" s="4">
        <v>31481</v>
      </c>
      <c r="O47" s="76"/>
      <c r="P47" s="30" t="s">
        <v>14</v>
      </c>
      <c r="Q47" s="4">
        <v>1012.1200354666909</v>
      </c>
      <c r="R47" s="4">
        <v>1569.6058871081379</v>
      </c>
      <c r="S47" s="4">
        <v>3028.9070869931015</v>
      </c>
      <c r="T47" s="4">
        <v>807.90730371567975</v>
      </c>
      <c r="U47" s="4">
        <v>1283.4099418804433</v>
      </c>
      <c r="V47" s="4">
        <v>1586.0025298034745</v>
      </c>
      <c r="W47" s="4">
        <v>511.27713131822532</v>
      </c>
      <c r="X47" s="4">
        <v>579.84490986236051</v>
      </c>
      <c r="Y47" s="4">
        <v>558.97645552284109</v>
      </c>
      <c r="Z47" s="4">
        <v>263.83688700678101</v>
      </c>
      <c r="AA47" s="4">
        <v>1590.4743414476573</v>
      </c>
      <c r="AB47" s="4">
        <v>0</v>
      </c>
      <c r="AC47" s="4">
        <v>12792.362510125395</v>
      </c>
      <c r="AD47" s="76"/>
    </row>
    <row r="48" spans="1:30" x14ac:dyDescent="0.3">
      <c r="A48" s="31" t="s">
        <v>15</v>
      </c>
      <c r="B48" s="5">
        <v>12802</v>
      </c>
      <c r="C48" s="5">
        <v>12793</v>
      </c>
      <c r="D48" s="5">
        <v>7155</v>
      </c>
      <c r="E48" s="5">
        <v>4013</v>
      </c>
      <c r="F48" s="5">
        <v>4160</v>
      </c>
      <c r="G48" s="5">
        <v>2568</v>
      </c>
      <c r="H48" s="5">
        <v>1504</v>
      </c>
      <c r="I48" s="5">
        <v>2407</v>
      </c>
      <c r="J48" s="5">
        <v>1570</v>
      </c>
      <c r="K48" s="5">
        <v>1579</v>
      </c>
      <c r="L48" s="5">
        <v>5547</v>
      </c>
      <c r="M48" s="5">
        <v>0</v>
      </c>
      <c r="N48" s="5">
        <v>56098</v>
      </c>
      <c r="O48" s="75"/>
      <c r="P48" s="31" t="s">
        <v>15</v>
      </c>
      <c r="Q48" s="5">
        <v>4379.3942035362861</v>
      </c>
      <c r="R48" s="5">
        <v>4698.3834341546535</v>
      </c>
      <c r="S48" s="5">
        <v>4719.2518884941728</v>
      </c>
      <c r="T48" s="5">
        <v>2229.9434065657874</v>
      </c>
      <c r="U48" s="5">
        <v>1784.2528460289088</v>
      </c>
      <c r="V48" s="5">
        <v>2590.6695458631943</v>
      </c>
      <c r="W48" s="5">
        <v>591.7697409135144</v>
      </c>
      <c r="X48" s="5">
        <v>1070.2535868410664</v>
      </c>
      <c r="Y48" s="5">
        <v>854.11602403890117</v>
      </c>
      <c r="Z48" s="5">
        <v>630.52544182976476</v>
      </c>
      <c r="AA48" s="5">
        <v>3453.7291931904606</v>
      </c>
      <c r="AB48" s="5">
        <v>2.9812077627884856</v>
      </c>
      <c r="AC48" s="5">
        <v>27005.270519219503</v>
      </c>
      <c r="AD48" s="75"/>
    </row>
    <row r="49" spans="1:30" x14ac:dyDescent="0.3">
      <c r="A49" s="31" t="s">
        <v>16</v>
      </c>
      <c r="B49" s="5">
        <v>16897</v>
      </c>
      <c r="C49" s="5">
        <v>23913</v>
      </c>
      <c r="D49" s="5">
        <v>12052</v>
      </c>
      <c r="E49" s="5">
        <v>9031</v>
      </c>
      <c r="F49" s="5">
        <v>4222</v>
      </c>
      <c r="G49" s="5">
        <v>4530</v>
      </c>
      <c r="H49" s="5">
        <v>4897</v>
      </c>
      <c r="I49" s="5">
        <v>3538</v>
      </c>
      <c r="J49" s="5">
        <v>2549</v>
      </c>
      <c r="K49" s="5">
        <v>2644</v>
      </c>
      <c r="L49" s="5">
        <v>12129</v>
      </c>
      <c r="M49" s="5">
        <v>0</v>
      </c>
      <c r="N49" s="5">
        <v>96402</v>
      </c>
      <c r="O49" s="75"/>
      <c r="P49" s="31" t="s">
        <v>16</v>
      </c>
      <c r="Q49" s="5">
        <v>7658.7227426036197</v>
      </c>
      <c r="R49" s="5">
        <v>14773.375068498341</v>
      </c>
      <c r="S49" s="5">
        <v>12391.390066030341</v>
      </c>
      <c r="T49" s="5">
        <v>7162.3516500993373</v>
      </c>
      <c r="U49" s="5">
        <v>4801.2351019708567</v>
      </c>
      <c r="V49" s="5">
        <v>5677.7101842306711</v>
      </c>
      <c r="W49" s="5">
        <v>2463.9682159446834</v>
      </c>
      <c r="X49" s="5">
        <v>3109.3996965883907</v>
      </c>
      <c r="Y49" s="5">
        <v>2186.7158940053546</v>
      </c>
      <c r="Z49" s="5">
        <v>1978.0313506101604</v>
      </c>
      <c r="AA49" s="5">
        <v>8433.8367609286252</v>
      </c>
      <c r="AB49" s="5">
        <v>0</v>
      </c>
      <c r="AC49" s="5">
        <v>70636.736731510377</v>
      </c>
      <c r="AD49" s="75"/>
    </row>
    <row r="50" spans="1:30" x14ac:dyDescent="0.3">
      <c r="A50" s="31" t="s">
        <v>17</v>
      </c>
      <c r="B50" s="5">
        <v>9784</v>
      </c>
      <c r="C50" s="5">
        <v>11762</v>
      </c>
      <c r="D50" s="5">
        <v>7352</v>
      </c>
      <c r="E50" s="5">
        <v>4243</v>
      </c>
      <c r="F50" s="5">
        <v>3042</v>
      </c>
      <c r="G50" s="5">
        <v>3111</v>
      </c>
      <c r="H50" s="5">
        <v>2283</v>
      </c>
      <c r="I50" s="5">
        <v>2554</v>
      </c>
      <c r="J50" s="5">
        <v>1531</v>
      </c>
      <c r="K50" s="5">
        <v>1949</v>
      </c>
      <c r="L50" s="5">
        <v>6018</v>
      </c>
      <c r="M50" s="5">
        <v>1</v>
      </c>
      <c r="N50" s="5">
        <v>53630</v>
      </c>
      <c r="O50" s="75"/>
      <c r="P50" s="31" t="s">
        <v>17</v>
      </c>
      <c r="Q50" s="5">
        <v>1948.2192729822755</v>
      </c>
      <c r="R50" s="5">
        <v>3640.054678364741</v>
      </c>
      <c r="S50" s="5">
        <v>4045.498934103975</v>
      </c>
      <c r="T50" s="5">
        <v>1773.8186188591492</v>
      </c>
      <c r="U50" s="5">
        <v>1568.1152832267435</v>
      </c>
      <c r="V50" s="5">
        <v>1644.1360811778497</v>
      </c>
      <c r="W50" s="5">
        <v>557.48585164144686</v>
      </c>
      <c r="X50" s="5">
        <v>867.53145897144941</v>
      </c>
      <c r="Y50" s="5">
        <v>772.13281056221786</v>
      </c>
      <c r="Z50" s="5">
        <v>617.11000689721652</v>
      </c>
      <c r="AA50" s="5">
        <v>3070.6439956721406</v>
      </c>
      <c r="AB50" s="5">
        <v>0</v>
      </c>
      <c r="AC50" s="5">
        <v>20504.746992459204</v>
      </c>
      <c r="AD50" s="75"/>
    </row>
    <row r="51" spans="1:30" x14ac:dyDescent="0.3">
      <c r="A51" s="31" t="s">
        <v>18</v>
      </c>
      <c r="B51" s="5">
        <v>20935</v>
      </c>
      <c r="C51" s="5">
        <v>18296</v>
      </c>
      <c r="D51" s="5">
        <v>12593</v>
      </c>
      <c r="E51" s="5">
        <v>6380</v>
      </c>
      <c r="F51" s="5">
        <v>4033</v>
      </c>
      <c r="G51" s="5">
        <v>5843</v>
      </c>
      <c r="H51" s="5">
        <v>3939</v>
      </c>
      <c r="I51" s="5">
        <v>3175</v>
      </c>
      <c r="J51" s="5">
        <v>2898</v>
      </c>
      <c r="K51" s="5">
        <v>2433</v>
      </c>
      <c r="L51" s="5">
        <v>10922</v>
      </c>
      <c r="M51" s="5">
        <v>1</v>
      </c>
      <c r="N51" s="5">
        <v>91448</v>
      </c>
      <c r="O51" s="75"/>
      <c r="P51" s="31" t="s">
        <v>18</v>
      </c>
      <c r="Q51" s="5">
        <v>3106.4184888256023</v>
      </c>
      <c r="R51" s="5">
        <v>3239.0822342696897</v>
      </c>
      <c r="S51" s="5">
        <v>4947.3142823474927</v>
      </c>
      <c r="T51" s="5">
        <v>1614.324003549965</v>
      </c>
      <c r="U51" s="5">
        <v>1802.1400926056397</v>
      </c>
      <c r="V51" s="5">
        <v>1924.3696108799675</v>
      </c>
      <c r="W51" s="5">
        <v>757.22677174827538</v>
      </c>
      <c r="X51" s="5">
        <v>919.70259482024778</v>
      </c>
      <c r="Y51" s="5">
        <v>790.02005713894869</v>
      </c>
      <c r="Z51" s="5">
        <v>390.53821692529164</v>
      </c>
      <c r="AA51" s="5">
        <v>2335.7762821447786</v>
      </c>
      <c r="AB51" s="5">
        <v>0</v>
      </c>
      <c r="AC51" s="5">
        <v>21826.9126352559</v>
      </c>
      <c r="AD51" s="75"/>
    </row>
    <row r="52" spans="1:30" x14ac:dyDescent="0.3">
      <c r="A52" s="31" t="s">
        <v>19</v>
      </c>
      <c r="B52" s="5">
        <v>54759</v>
      </c>
      <c r="C52" s="5">
        <v>55220</v>
      </c>
      <c r="D52" s="5">
        <v>32503</v>
      </c>
      <c r="E52" s="5">
        <v>15631</v>
      </c>
      <c r="F52" s="5">
        <v>13680</v>
      </c>
      <c r="G52" s="5">
        <v>9002</v>
      </c>
      <c r="H52" s="5">
        <v>9536</v>
      </c>
      <c r="I52" s="5">
        <v>7904</v>
      </c>
      <c r="J52" s="5">
        <v>5643</v>
      </c>
      <c r="K52" s="5">
        <v>6932</v>
      </c>
      <c r="L52" s="5">
        <v>26954</v>
      </c>
      <c r="M52" s="5">
        <v>0</v>
      </c>
      <c r="N52" s="5">
        <v>237764</v>
      </c>
      <c r="O52" s="75"/>
      <c r="P52" s="31" t="s">
        <v>19</v>
      </c>
      <c r="Q52" s="5">
        <v>12786.400094599814</v>
      </c>
      <c r="R52" s="5">
        <v>15757.173630218544</v>
      </c>
      <c r="S52" s="5">
        <v>21965.538796225563</v>
      </c>
      <c r="T52" s="5">
        <v>8076.0918293940085</v>
      </c>
      <c r="U52" s="5">
        <v>9141.8736045908918</v>
      </c>
      <c r="V52" s="5">
        <v>7546.9274514990511</v>
      </c>
      <c r="W52" s="5">
        <v>3452.2385893090668</v>
      </c>
      <c r="X52" s="5">
        <v>3841.2862023529638</v>
      </c>
      <c r="Y52" s="5">
        <v>2994.6231977210336</v>
      </c>
      <c r="Z52" s="5">
        <v>2192.6783095309311</v>
      </c>
      <c r="AA52" s="5">
        <v>11592.426385603028</v>
      </c>
      <c r="AB52" s="5">
        <v>4.4718116441827291</v>
      </c>
      <c r="AC52" s="5">
        <v>99351.729902689069</v>
      </c>
      <c r="AD52" s="75"/>
    </row>
    <row r="53" spans="1:30" x14ac:dyDescent="0.3">
      <c r="A53" s="31" t="s">
        <v>20</v>
      </c>
      <c r="B53" s="5">
        <v>484589</v>
      </c>
      <c r="C53" s="5">
        <v>461047</v>
      </c>
      <c r="D53" s="5">
        <v>302472</v>
      </c>
      <c r="E53" s="5">
        <v>153068</v>
      </c>
      <c r="F53" s="5">
        <v>133846</v>
      </c>
      <c r="G53" s="5">
        <v>90280</v>
      </c>
      <c r="H53" s="5">
        <v>53193</v>
      </c>
      <c r="I53" s="5">
        <v>68423</v>
      </c>
      <c r="J53" s="5">
        <v>46280</v>
      </c>
      <c r="K53" s="5">
        <v>53452</v>
      </c>
      <c r="L53" s="5">
        <v>232572</v>
      </c>
      <c r="M53" s="5">
        <v>2</v>
      </c>
      <c r="N53" s="5">
        <v>2079224</v>
      </c>
      <c r="O53" s="75"/>
      <c r="P53" s="31" t="s">
        <v>20</v>
      </c>
      <c r="Q53" s="5">
        <v>151221.76376744595</v>
      </c>
      <c r="R53" s="5">
        <v>168867.53251539098</v>
      </c>
      <c r="S53" s="5">
        <v>273095.02771412063</v>
      </c>
      <c r="T53" s="5">
        <v>94884.390070150534</v>
      </c>
      <c r="U53" s="5">
        <v>128679.3612691208</v>
      </c>
      <c r="V53" s="5">
        <v>83810.693835272701</v>
      </c>
      <c r="W53" s="5">
        <v>36100.935403487165</v>
      </c>
      <c r="X53" s="5">
        <v>41273.330871925187</v>
      </c>
      <c r="Y53" s="5">
        <v>32897.627662370942</v>
      </c>
      <c r="Z53" s="5">
        <v>21218.746251647048</v>
      </c>
      <c r="AA53" s="5">
        <v>138113.39323446498</v>
      </c>
      <c r="AB53" s="5">
        <v>74.530194069712138</v>
      </c>
      <c r="AC53" s="5">
        <v>1170237.3327894667</v>
      </c>
      <c r="AD53" s="75"/>
    </row>
    <row r="54" spans="1:30" x14ac:dyDescent="0.3">
      <c r="A54" s="31" t="s">
        <v>21</v>
      </c>
      <c r="B54" s="5">
        <v>37837</v>
      </c>
      <c r="C54" s="5">
        <v>38386</v>
      </c>
      <c r="D54" s="5">
        <v>14353</v>
      </c>
      <c r="E54" s="5">
        <v>11170</v>
      </c>
      <c r="F54" s="5">
        <v>5513</v>
      </c>
      <c r="G54" s="5">
        <v>6166</v>
      </c>
      <c r="H54" s="5">
        <v>12289</v>
      </c>
      <c r="I54" s="5">
        <v>5403</v>
      </c>
      <c r="J54" s="5">
        <v>4739</v>
      </c>
      <c r="K54" s="5">
        <v>5438</v>
      </c>
      <c r="L54" s="5">
        <v>14746</v>
      </c>
      <c r="M54" s="5">
        <v>0</v>
      </c>
      <c r="N54" s="5">
        <v>156040</v>
      </c>
      <c r="O54" s="75"/>
      <c r="P54" s="31" t="s">
        <v>21</v>
      </c>
      <c r="Q54" s="5">
        <v>7772.0086375895826</v>
      </c>
      <c r="R54" s="5">
        <v>9343.1051285791145</v>
      </c>
      <c r="S54" s="5">
        <v>8933.1890611956987</v>
      </c>
      <c r="T54" s="5">
        <v>4473.302248064123</v>
      </c>
      <c r="U54" s="5">
        <v>4128.9727514620527</v>
      </c>
      <c r="V54" s="5">
        <v>3690.7352103321455</v>
      </c>
      <c r="W54" s="5">
        <v>2304.4736006354997</v>
      </c>
      <c r="X54" s="5">
        <v>1989.9561816613141</v>
      </c>
      <c r="Y54" s="5">
        <v>1523.3971667849164</v>
      </c>
      <c r="Z54" s="5">
        <v>1346.0153048990014</v>
      </c>
      <c r="AA54" s="5">
        <v>6124.8913486489446</v>
      </c>
      <c r="AB54" s="5">
        <v>0</v>
      </c>
      <c r="AC54" s="5">
        <v>51630.0466398524</v>
      </c>
      <c r="AD54" s="75"/>
    </row>
    <row r="55" spans="1:30" x14ac:dyDescent="0.3">
      <c r="A55" s="31" t="s">
        <v>22</v>
      </c>
      <c r="B55" s="5">
        <v>36467</v>
      </c>
      <c r="C55" s="5">
        <v>33907</v>
      </c>
      <c r="D55" s="5">
        <v>17711</v>
      </c>
      <c r="E55" s="5">
        <v>10659</v>
      </c>
      <c r="F55" s="5">
        <v>2928</v>
      </c>
      <c r="G55" s="5">
        <v>9786</v>
      </c>
      <c r="H55" s="5">
        <v>6748</v>
      </c>
      <c r="I55" s="5">
        <v>4977</v>
      </c>
      <c r="J55" s="5">
        <v>4509</v>
      </c>
      <c r="K55" s="5">
        <v>4087</v>
      </c>
      <c r="L55" s="5">
        <v>13535</v>
      </c>
      <c r="M55" s="5">
        <v>0</v>
      </c>
      <c r="N55" s="5">
        <v>145314</v>
      </c>
      <c r="O55" s="75"/>
      <c r="P55" s="31" t="s">
        <v>22</v>
      </c>
      <c r="Q55" s="5">
        <v>6320.1604571115895</v>
      </c>
      <c r="R55" s="5">
        <v>7046.084547350586</v>
      </c>
      <c r="S55" s="5">
        <v>9861.8352793043123</v>
      </c>
      <c r="T55" s="5">
        <v>3309.1406166952193</v>
      </c>
      <c r="U55" s="5">
        <v>3648.9983016531069</v>
      </c>
      <c r="V55" s="5">
        <v>3786.133858741377</v>
      </c>
      <c r="W55" s="5">
        <v>1299.8065845757799</v>
      </c>
      <c r="X55" s="5">
        <v>1612.8333996685708</v>
      </c>
      <c r="Y55" s="5">
        <v>1399.6770446291939</v>
      </c>
      <c r="Z55" s="5">
        <v>821.32273864822787</v>
      </c>
      <c r="AA55" s="5">
        <v>5467.5350369540829</v>
      </c>
      <c r="AB55" s="5">
        <v>0</v>
      </c>
      <c r="AC55" s="5">
        <v>44573.527865332042</v>
      </c>
      <c r="AD55" s="75"/>
    </row>
    <row r="56" spans="1:30" x14ac:dyDescent="0.3">
      <c r="A56" s="31" t="s">
        <v>23</v>
      </c>
      <c r="B56" s="5">
        <v>71639</v>
      </c>
      <c r="C56" s="5">
        <v>93434</v>
      </c>
      <c r="D56" s="5">
        <v>54367</v>
      </c>
      <c r="E56" s="5">
        <v>31498</v>
      </c>
      <c r="F56" s="5">
        <v>18807</v>
      </c>
      <c r="G56" s="5">
        <v>18534</v>
      </c>
      <c r="H56" s="5">
        <v>15709</v>
      </c>
      <c r="I56" s="5">
        <v>11763</v>
      </c>
      <c r="J56" s="5">
        <v>9751</v>
      </c>
      <c r="K56" s="5">
        <v>10764</v>
      </c>
      <c r="L56" s="5">
        <v>41358</v>
      </c>
      <c r="M56" s="5">
        <v>2</v>
      </c>
      <c r="N56" s="5">
        <v>377626</v>
      </c>
      <c r="O56" s="75"/>
      <c r="P56" s="31" t="s">
        <v>23</v>
      </c>
      <c r="Q56" s="5">
        <v>18446.223032253754</v>
      </c>
      <c r="R56" s="5">
        <v>19732.614181896988</v>
      </c>
      <c r="S56" s="5">
        <v>28003.975119753639</v>
      </c>
      <c r="T56" s="5">
        <v>8547.1226559145889</v>
      </c>
      <c r="U56" s="5">
        <v>11088.602273691773</v>
      </c>
      <c r="V56" s="5">
        <v>8746.8635760214183</v>
      </c>
      <c r="W56" s="5">
        <v>3900.9103576087341</v>
      </c>
      <c r="X56" s="5">
        <v>4521.0015722687385</v>
      </c>
      <c r="Y56" s="5">
        <v>3425.4077194439701</v>
      </c>
      <c r="Z56" s="5">
        <v>2405.8346645703082</v>
      </c>
      <c r="AA56" s="5">
        <v>14722.694536530938</v>
      </c>
      <c r="AB56" s="5">
        <v>0</v>
      </c>
      <c r="AC56" s="5">
        <v>123541.24968995487</v>
      </c>
      <c r="AD56" s="75"/>
    </row>
    <row r="57" spans="1:30" x14ac:dyDescent="0.3">
      <c r="A57" s="31" t="s">
        <v>24</v>
      </c>
      <c r="B57" s="5">
        <v>27592</v>
      </c>
      <c r="C57" s="5">
        <v>29545</v>
      </c>
      <c r="D57" s="5">
        <v>18165</v>
      </c>
      <c r="E57" s="5">
        <v>8932</v>
      </c>
      <c r="F57" s="5">
        <v>6301</v>
      </c>
      <c r="G57" s="5">
        <v>5264</v>
      </c>
      <c r="H57" s="5">
        <v>4266</v>
      </c>
      <c r="I57" s="5">
        <v>3547</v>
      </c>
      <c r="J57" s="5">
        <v>2888</v>
      </c>
      <c r="K57" s="5">
        <v>3065</v>
      </c>
      <c r="L57" s="5">
        <v>16481</v>
      </c>
      <c r="M57" s="5">
        <v>0</v>
      </c>
      <c r="N57" s="5">
        <v>126046</v>
      </c>
      <c r="O57" s="75"/>
      <c r="P57" s="31" t="s">
        <v>24</v>
      </c>
      <c r="Q57" s="5">
        <v>7521.5871855153491</v>
      </c>
      <c r="R57" s="5">
        <v>7166.8234617435201</v>
      </c>
      <c r="S57" s="5">
        <v>11274.927758866053</v>
      </c>
      <c r="T57" s="5">
        <v>3049.7755413326208</v>
      </c>
      <c r="U57" s="5">
        <v>4275.0519318386887</v>
      </c>
      <c r="V57" s="5">
        <v>3677.3197753995969</v>
      </c>
      <c r="W57" s="5">
        <v>1492.094485275637</v>
      </c>
      <c r="X57" s="5">
        <v>1812.5743197753993</v>
      </c>
      <c r="Y57" s="5">
        <v>1498.0569008012142</v>
      </c>
      <c r="Z57" s="5">
        <v>912.24957541327672</v>
      </c>
      <c r="AA57" s="5">
        <v>5767.1464171143252</v>
      </c>
      <c r="AB57" s="5">
        <v>0</v>
      </c>
      <c r="AC57" s="5">
        <v>48447.607353075684</v>
      </c>
      <c r="AD57" s="75"/>
    </row>
    <row r="58" spans="1:30" x14ac:dyDescent="0.3">
      <c r="A58" s="31" t="s">
        <v>25</v>
      </c>
      <c r="B58" s="5">
        <v>4530</v>
      </c>
      <c r="C58" s="5">
        <v>6439</v>
      </c>
      <c r="D58" s="5">
        <v>6660</v>
      </c>
      <c r="E58" s="5">
        <v>2321</v>
      </c>
      <c r="F58" s="5">
        <v>2654</v>
      </c>
      <c r="G58" s="5">
        <v>2093</v>
      </c>
      <c r="H58" s="5">
        <v>733</v>
      </c>
      <c r="I58" s="5">
        <v>1153</v>
      </c>
      <c r="J58" s="5">
        <v>1289</v>
      </c>
      <c r="K58" s="5">
        <v>1069</v>
      </c>
      <c r="L58" s="5">
        <v>3576</v>
      </c>
      <c r="M58" s="5">
        <v>0</v>
      </c>
      <c r="N58" s="5">
        <v>32517</v>
      </c>
      <c r="O58" s="75"/>
      <c r="P58" s="31" t="s">
        <v>25</v>
      </c>
      <c r="Q58" s="5">
        <v>2586.1977342190116</v>
      </c>
      <c r="R58" s="5">
        <v>2900.7151531931963</v>
      </c>
      <c r="S58" s="5">
        <v>5300.5874022379285</v>
      </c>
      <c r="T58" s="5">
        <v>1317.6938311525107</v>
      </c>
      <c r="U58" s="5">
        <v>2130.0729465123732</v>
      </c>
      <c r="V58" s="5">
        <v>1554.6998482941954</v>
      </c>
      <c r="W58" s="5">
        <v>314.51741897418526</v>
      </c>
      <c r="X58" s="5">
        <v>626.05363018558194</v>
      </c>
      <c r="Y58" s="5">
        <v>555.99524776005262</v>
      </c>
      <c r="Z58" s="5">
        <v>372.65097034856075</v>
      </c>
      <c r="AA58" s="5">
        <v>2219.5091793960273</v>
      </c>
      <c r="AB58" s="5">
        <v>0</v>
      </c>
      <c r="AC58" s="5">
        <v>19878.693362273621</v>
      </c>
      <c r="AD58" s="75"/>
    </row>
    <row r="59" spans="1:30" x14ac:dyDescent="0.3">
      <c r="A59" s="31" t="s">
        <v>26</v>
      </c>
      <c r="B59" s="5">
        <v>22409</v>
      </c>
      <c r="C59" s="5">
        <v>31890</v>
      </c>
      <c r="D59" s="5">
        <v>25442</v>
      </c>
      <c r="E59" s="5">
        <v>10698</v>
      </c>
      <c r="F59" s="5">
        <v>10517</v>
      </c>
      <c r="G59" s="5">
        <v>7361</v>
      </c>
      <c r="H59" s="5">
        <v>2691</v>
      </c>
      <c r="I59" s="5">
        <v>3848</v>
      </c>
      <c r="J59" s="5">
        <v>3041</v>
      </c>
      <c r="K59" s="5">
        <v>3672</v>
      </c>
      <c r="L59" s="5">
        <v>14568</v>
      </c>
      <c r="M59" s="5">
        <v>0</v>
      </c>
      <c r="N59" s="5">
        <v>136137</v>
      </c>
      <c r="O59" s="75"/>
      <c r="P59" s="31" t="s">
        <v>26</v>
      </c>
      <c r="Q59" s="5">
        <v>7855.4824549476598</v>
      </c>
      <c r="R59" s="5">
        <v>9618.8668466370491</v>
      </c>
      <c r="S59" s="5">
        <v>15307.011258037479</v>
      </c>
      <c r="T59" s="5">
        <v>4425.6029238595074</v>
      </c>
      <c r="U59" s="5">
        <v>5546.5370426679774</v>
      </c>
      <c r="V59" s="5">
        <v>4707.3270574430189</v>
      </c>
      <c r="W59" s="5">
        <v>1328.1280583222704</v>
      </c>
      <c r="X59" s="5">
        <v>1848.348812928861</v>
      </c>
      <c r="Y59" s="5">
        <v>1636.6830617708788</v>
      </c>
      <c r="Z59" s="5">
        <v>1182.0488779456348</v>
      </c>
      <c r="AA59" s="5">
        <v>6406.6154822324561</v>
      </c>
      <c r="AB59" s="5">
        <v>1.4906038813942428</v>
      </c>
      <c r="AC59" s="5">
        <v>59864.142480674185</v>
      </c>
      <c r="AD59" s="75"/>
    </row>
    <row r="60" spans="1:30" x14ac:dyDescent="0.3">
      <c r="A60" s="31" t="s">
        <v>27</v>
      </c>
      <c r="B60" s="5">
        <v>3683</v>
      </c>
      <c r="C60" s="5">
        <v>3272</v>
      </c>
      <c r="D60" s="5">
        <v>2514</v>
      </c>
      <c r="E60" s="5">
        <v>1499</v>
      </c>
      <c r="F60" s="5">
        <v>1010</v>
      </c>
      <c r="G60" s="5">
        <v>838</v>
      </c>
      <c r="H60" s="5">
        <v>390</v>
      </c>
      <c r="I60" s="5">
        <v>580</v>
      </c>
      <c r="J60" s="5">
        <v>514</v>
      </c>
      <c r="K60" s="5">
        <v>475</v>
      </c>
      <c r="L60" s="5">
        <v>1863</v>
      </c>
      <c r="M60" s="5">
        <v>0</v>
      </c>
      <c r="N60" s="5">
        <v>16638</v>
      </c>
      <c r="O60" s="75"/>
      <c r="P60" s="31" t="s">
        <v>27</v>
      </c>
      <c r="Q60" s="5">
        <v>1129.8777420968361</v>
      </c>
      <c r="R60" s="5">
        <v>988.27037336438309</v>
      </c>
      <c r="S60" s="5">
        <v>1721.6474830103507</v>
      </c>
      <c r="T60" s="5">
        <v>538.10800118332179</v>
      </c>
      <c r="U60" s="5">
        <v>499.35230026707137</v>
      </c>
      <c r="V60" s="5">
        <v>496.3710925042829</v>
      </c>
      <c r="W60" s="5">
        <v>152.04159590221278</v>
      </c>
      <c r="X60" s="5">
        <v>223.59058220913641</v>
      </c>
      <c r="Y60" s="5">
        <v>235.51541326029039</v>
      </c>
      <c r="Z60" s="5">
        <v>135.64495320687612</v>
      </c>
      <c r="AA60" s="5">
        <v>776.60462220640056</v>
      </c>
      <c r="AB60" s="5">
        <v>0</v>
      </c>
      <c r="AC60" s="5">
        <v>6897.0241592111634</v>
      </c>
      <c r="AD60" s="75"/>
    </row>
    <row r="61" spans="1:30" x14ac:dyDescent="0.3">
      <c r="A61" s="31" t="s">
        <v>28</v>
      </c>
      <c r="B61" s="5">
        <v>4432</v>
      </c>
      <c r="C61" s="5">
        <v>7073</v>
      </c>
      <c r="D61" s="5">
        <v>3744</v>
      </c>
      <c r="E61" s="5">
        <v>2232</v>
      </c>
      <c r="F61" s="5">
        <v>751</v>
      </c>
      <c r="G61" s="5">
        <v>2209</v>
      </c>
      <c r="H61" s="5">
        <v>758</v>
      </c>
      <c r="I61" s="5">
        <v>1004</v>
      </c>
      <c r="J61" s="5">
        <v>1046</v>
      </c>
      <c r="K61" s="5">
        <v>799</v>
      </c>
      <c r="L61" s="5">
        <v>3659</v>
      </c>
      <c r="M61" s="5">
        <v>0</v>
      </c>
      <c r="N61" s="5">
        <v>27707</v>
      </c>
      <c r="O61" s="75"/>
      <c r="P61" s="31" t="s">
        <v>28</v>
      </c>
      <c r="Q61" s="5">
        <v>2036.1649019845358</v>
      </c>
      <c r="R61" s="5">
        <v>3672.8479637554146</v>
      </c>
      <c r="S61" s="5">
        <v>3499.9379135136824</v>
      </c>
      <c r="T61" s="5">
        <v>1517.4347512593392</v>
      </c>
      <c r="U61" s="5">
        <v>1495.0756930384257</v>
      </c>
      <c r="V61" s="5">
        <v>1235.7106176758273</v>
      </c>
      <c r="W61" s="5">
        <v>389.0476130438974</v>
      </c>
      <c r="X61" s="5">
        <v>491.89928086010019</v>
      </c>
      <c r="Y61" s="5">
        <v>655.86570781346688</v>
      </c>
      <c r="Z61" s="5">
        <v>356.25432765322404</v>
      </c>
      <c r="AA61" s="5">
        <v>2060.0145640868441</v>
      </c>
      <c r="AB61" s="5">
        <v>0</v>
      </c>
      <c r="AC61" s="5">
        <v>17410.253334684756</v>
      </c>
      <c r="AD61" s="75"/>
    </row>
    <row r="62" spans="1:30" x14ac:dyDescent="0.3">
      <c r="A62" s="31" t="s">
        <v>478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75"/>
      <c r="P62" s="31" t="s">
        <v>478</v>
      </c>
      <c r="Q62" s="5">
        <v>1811.0837158940051</v>
      </c>
      <c r="R62" s="5">
        <v>2632.406454542233</v>
      </c>
      <c r="S62" s="5">
        <v>2778.485634918869</v>
      </c>
      <c r="T62" s="5">
        <v>1277.4475263548661</v>
      </c>
      <c r="U62" s="5">
        <v>685.67778544135183</v>
      </c>
      <c r="V62" s="5">
        <v>1508.4911279709738</v>
      </c>
      <c r="W62" s="5">
        <v>524.69256625077344</v>
      </c>
      <c r="X62" s="5">
        <v>553.01403999726415</v>
      </c>
      <c r="Y62" s="5">
        <v>448.67176829966712</v>
      </c>
      <c r="Z62" s="5">
        <v>292.15836075327161</v>
      </c>
      <c r="AA62" s="5">
        <v>1787.2340537916971</v>
      </c>
      <c r="AB62" s="5">
        <v>0</v>
      </c>
      <c r="AC62" s="5">
        <v>14299.363034214974</v>
      </c>
      <c r="AD62" s="75"/>
    </row>
    <row r="63" spans="1:30" x14ac:dyDescent="0.3">
      <c r="A63" s="29" t="s">
        <v>60</v>
      </c>
      <c r="B63" s="57">
        <v>811429</v>
      </c>
      <c r="C63" s="57">
        <v>832356</v>
      </c>
      <c r="D63" s="57">
        <v>522984</v>
      </c>
      <c r="E63" s="57">
        <v>274089</v>
      </c>
      <c r="F63" s="57">
        <v>213711</v>
      </c>
      <c r="G63" s="57">
        <v>170967</v>
      </c>
      <c r="H63" s="57">
        <v>120756</v>
      </c>
      <c r="I63" s="57">
        <v>121844</v>
      </c>
      <c r="J63" s="57">
        <v>89163</v>
      </c>
      <c r="K63" s="57">
        <v>99417</v>
      </c>
      <c r="L63" s="57">
        <v>407350</v>
      </c>
      <c r="M63" s="57">
        <v>6</v>
      </c>
      <c r="N63" s="57">
        <v>3664072</v>
      </c>
      <c r="O63" s="75"/>
      <c r="P63" s="29" t="s">
        <v>60</v>
      </c>
      <c r="Q63" s="57">
        <v>237591.82446707261</v>
      </c>
      <c r="R63" s="57">
        <v>275646.94155906758</v>
      </c>
      <c r="S63" s="57">
        <v>410874.52567915327</v>
      </c>
      <c r="T63" s="57">
        <v>145004.45497815055</v>
      </c>
      <c r="U63" s="57">
        <v>182558.72916599707</v>
      </c>
      <c r="V63" s="57">
        <v>134184.16140310976</v>
      </c>
      <c r="W63" s="57">
        <v>56140.613984951371</v>
      </c>
      <c r="X63" s="57">
        <v>65340.621140916635</v>
      </c>
      <c r="Y63" s="57">
        <v>52433.482131923884</v>
      </c>
      <c r="Z63" s="57">
        <v>35115.646237885572</v>
      </c>
      <c r="AA63" s="57">
        <v>213922.5254344134</v>
      </c>
      <c r="AB63" s="57">
        <v>83.473817358077582</v>
      </c>
      <c r="AC63" s="57">
        <v>1808897</v>
      </c>
      <c r="AD63" s="75"/>
    </row>
    <row r="64" spans="1:30" x14ac:dyDescent="0.3">
      <c r="A64" s="3" t="s">
        <v>79</v>
      </c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P64" s="3" t="s">
        <v>79</v>
      </c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</row>
    <row r="65" spans="1:20" x14ac:dyDescent="0.3">
      <c r="Q65" s="6"/>
      <c r="R65" s="6"/>
      <c r="S65" s="6"/>
      <c r="T65" s="6"/>
    </row>
    <row r="66" spans="1:20" x14ac:dyDescent="0.3">
      <c r="A66" s="7" t="s">
        <v>163</v>
      </c>
      <c r="Q66" s="6"/>
      <c r="R66" s="6"/>
      <c r="S66" s="6"/>
      <c r="T66" s="6"/>
    </row>
    <row r="67" spans="1:20" x14ac:dyDescent="0.3">
      <c r="A67" s="7" t="s">
        <v>562</v>
      </c>
      <c r="P67" s="7"/>
      <c r="Q67" s="6"/>
      <c r="R67" s="6"/>
      <c r="S67" s="6"/>
      <c r="T67" s="6"/>
    </row>
    <row r="68" spans="1:20" x14ac:dyDescent="0.3">
      <c r="A68" s="8" t="s">
        <v>208</v>
      </c>
      <c r="B68" s="8" t="s">
        <v>0</v>
      </c>
      <c r="C68" s="8" t="s">
        <v>1</v>
      </c>
      <c r="D68" s="8" t="s">
        <v>59</v>
      </c>
      <c r="P68" s="35"/>
      <c r="Q68" s="35"/>
      <c r="R68" s="35"/>
      <c r="S68" s="35"/>
      <c r="T68" s="6"/>
    </row>
    <row r="69" spans="1:20" x14ac:dyDescent="0.3">
      <c r="A69" s="31" t="s">
        <v>9</v>
      </c>
      <c r="B69" s="4">
        <v>13325020</v>
      </c>
      <c r="C69" s="4">
        <v>2513609.2127154362</v>
      </c>
      <c r="D69" s="4">
        <v>15838629.212715436</v>
      </c>
      <c r="P69" s="34"/>
      <c r="Q69" s="17"/>
      <c r="R69" s="17"/>
      <c r="S69" s="17"/>
      <c r="T69" s="6"/>
    </row>
    <row r="70" spans="1:20" x14ac:dyDescent="0.3">
      <c r="A70" s="31" t="s">
        <v>10</v>
      </c>
      <c r="B70" s="5">
        <v>9684196</v>
      </c>
      <c r="C70" s="5">
        <v>2445542.7909874702</v>
      </c>
      <c r="D70" s="5">
        <v>12129738.790987469</v>
      </c>
      <c r="P70" s="34"/>
      <c r="Q70" s="17"/>
      <c r="R70" s="17"/>
      <c r="S70" s="17"/>
      <c r="T70" s="6"/>
    </row>
    <row r="71" spans="1:20" x14ac:dyDescent="0.3">
      <c r="A71" s="31" t="s">
        <v>11</v>
      </c>
      <c r="B71" s="5">
        <v>1422693</v>
      </c>
      <c r="C71" s="5">
        <v>546308.52310521097</v>
      </c>
      <c r="D71" s="5">
        <v>1969001.5231052111</v>
      </c>
      <c r="P71" s="34"/>
      <c r="Q71" s="17"/>
      <c r="R71" s="17"/>
      <c r="S71" s="17"/>
      <c r="T71" s="6"/>
    </row>
    <row r="72" spans="1:20" x14ac:dyDescent="0.3">
      <c r="A72" s="31" t="s">
        <v>12</v>
      </c>
      <c r="B72" s="5">
        <v>4148341</v>
      </c>
      <c r="C72" s="5">
        <v>2100146.6090189572</v>
      </c>
      <c r="D72" s="5">
        <v>6248487.6090189572</v>
      </c>
      <c r="P72" s="34"/>
      <c r="Q72" s="17"/>
      <c r="R72" s="17"/>
      <c r="S72" s="17"/>
      <c r="T72" s="6"/>
    </row>
    <row r="73" spans="1:20" x14ac:dyDescent="0.3">
      <c r="A73" s="31" t="s">
        <v>13</v>
      </c>
      <c r="B73" s="5">
        <v>394534</v>
      </c>
      <c r="C73" s="5">
        <v>173903.95005037959</v>
      </c>
      <c r="D73" s="5">
        <v>568437.95005037962</v>
      </c>
      <c r="P73" s="34"/>
      <c r="Q73" s="17"/>
      <c r="R73" s="17"/>
      <c r="S73" s="17"/>
      <c r="T73" s="6"/>
    </row>
    <row r="74" spans="1:20" x14ac:dyDescent="0.3">
      <c r="A74" s="31" t="s">
        <v>223</v>
      </c>
      <c r="B74" s="5">
        <v>1377793</v>
      </c>
      <c r="C74" s="5">
        <v>696350.18887150008</v>
      </c>
      <c r="D74" s="5">
        <v>2074143.1888715001</v>
      </c>
      <c r="P74" s="34"/>
      <c r="Q74" s="17"/>
      <c r="R74" s="17"/>
      <c r="S74" s="17"/>
      <c r="T74" s="6"/>
    </row>
    <row r="75" spans="1:20" x14ac:dyDescent="0.3">
      <c r="A75" s="31" t="s">
        <v>224</v>
      </c>
      <c r="B75" s="5">
        <v>1787510</v>
      </c>
      <c r="C75" s="5">
        <v>754865.99289615988</v>
      </c>
      <c r="D75" s="5">
        <v>2542375.9928961601</v>
      </c>
      <c r="P75" s="34"/>
      <c r="Q75" s="17"/>
      <c r="R75" s="17"/>
      <c r="S75" s="17"/>
      <c r="T75" s="6"/>
    </row>
    <row r="76" spans="1:20" x14ac:dyDescent="0.3">
      <c r="A76" s="31" t="s">
        <v>225</v>
      </c>
      <c r="B76" s="5">
        <v>1202667</v>
      </c>
      <c r="C76" s="5">
        <v>395687.54588808666</v>
      </c>
      <c r="D76" s="5">
        <v>1598354.5458880868</v>
      </c>
      <c r="P76" s="45"/>
      <c r="Q76" s="17"/>
      <c r="R76" s="17"/>
      <c r="S76" s="17"/>
      <c r="T76" s="6"/>
    </row>
    <row r="77" spans="1:20" x14ac:dyDescent="0.3">
      <c r="A77" s="31" t="s">
        <v>226</v>
      </c>
      <c r="B77" s="5">
        <v>2442881</v>
      </c>
      <c r="C77" s="5">
        <v>1308951.5494167355</v>
      </c>
      <c r="D77" s="5">
        <v>3751832.5494167358</v>
      </c>
      <c r="Q77" s="6"/>
      <c r="R77" s="6"/>
      <c r="S77" s="6"/>
      <c r="T77" s="6"/>
    </row>
    <row r="78" spans="1:20" x14ac:dyDescent="0.3">
      <c r="A78" s="31" t="s">
        <v>263</v>
      </c>
      <c r="B78" s="5">
        <v>1960423</v>
      </c>
      <c r="C78" s="5">
        <v>552328.01470358053</v>
      </c>
      <c r="D78" s="5">
        <v>2512751.0147035806</v>
      </c>
      <c r="Q78" s="6"/>
      <c r="R78" s="6"/>
      <c r="S78" s="6"/>
      <c r="T78" s="6"/>
    </row>
    <row r="79" spans="1:20" x14ac:dyDescent="0.3">
      <c r="A79" s="31" t="s">
        <v>31</v>
      </c>
      <c r="B79" s="5">
        <v>4412101</v>
      </c>
      <c r="C79" s="5">
        <v>1380465.319901363</v>
      </c>
      <c r="D79" s="5">
        <v>5792566.319901363</v>
      </c>
      <c r="Q79" s="6"/>
      <c r="R79" s="6"/>
      <c r="S79" s="6"/>
      <c r="T79" s="6"/>
    </row>
    <row r="80" spans="1:20" x14ac:dyDescent="0.3">
      <c r="A80" s="31" t="s">
        <v>478</v>
      </c>
      <c r="B80" s="5">
        <v>65</v>
      </c>
      <c r="C80" s="5">
        <v>30.302445120604879</v>
      </c>
      <c r="D80" s="5">
        <v>95.302445120604887</v>
      </c>
      <c r="Q80" s="6"/>
      <c r="R80" s="6"/>
      <c r="S80" s="6"/>
      <c r="T80" s="6"/>
    </row>
    <row r="81" spans="1:30" x14ac:dyDescent="0.3">
      <c r="A81" s="29" t="s">
        <v>60</v>
      </c>
      <c r="B81" s="57">
        <v>42158224</v>
      </c>
      <c r="C81" s="57">
        <v>12868190.000000004</v>
      </c>
      <c r="D81" s="57">
        <v>55026414</v>
      </c>
      <c r="Q81" s="6"/>
      <c r="R81" s="6"/>
      <c r="S81" s="6"/>
      <c r="T81" s="6"/>
    </row>
    <row r="82" spans="1:30" x14ac:dyDescent="0.3">
      <c r="A82" s="3" t="s">
        <v>78</v>
      </c>
      <c r="B82" s="73"/>
      <c r="C82" s="73"/>
      <c r="D82" s="73"/>
      <c r="Q82" s="6"/>
      <c r="R82" s="6"/>
      <c r="S82" s="6"/>
      <c r="T82" s="6"/>
    </row>
    <row r="83" spans="1:30" x14ac:dyDescent="0.3">
      <c r="Q83" s="6"/>
      <c r="R83" s="6"/>
      <c r="S83" s="6"/>
      <c r="T83" s="6"/>
    </row>
    <row r="84" spans="1:30" x14ac:dyDescent="0.3">
      <c r="A84" s="7" t="s">
        <v>164</v>
      </c>
      <c r="P84" s="7" t="s">
        <v>167</v>
      </c>
      <c r="Q84" s="6"/>
      <c r="R84" s="6"/>
      <c r="S84" s="6"/>
      <c r="T84" s="6"/>
    </row>
    <row r="85" spans="1:30" x14ac:dyDescent="0.3">
      <c r="A85" s="7" t="s">
        <v>563</v>
      </c>
      <c r="P85" s="7" t="s">
        <v>396</v>
      </c>
      <c r="Q85" s="6"/>
      <c r="R85" s="6"/>
      <c r="S85" s="6"/>
      <c r="T85" s="6"/>
    </row>
    <row r="86" spans="1:30" ht="41.4" x14ac:dyDescent="0.3">
      <c r="A86" s="44" t="s">
        <v>66</v>
      </c>
      <c r="B86" s="44" t="s">
        <v>9</v>
      </c>
      <c r="C86" s="44" t="s">
        <v>10</v>
      </c>
      <c r="D86" s="44" t="s">
        <v>11</v>
      </c>
      <c r="E86" s="44" t="s">
        <v>12</v>
      </c>
      <c r="F86" s="44" t="s">
        <v>13</v>
      </c>
      <c r="G86" s="44" t="s">
        <v>223</v>
      </c>
      <c r="H86" s="44" t="s">
        <v>224</v>
      </c>
      <c r="I86" s="44" t="s">
        <v>225</v>
      </c>
      <c r="J86" s="44" t="s">
        <v>226</v>
      </c>
      <c r="K86" s="44" t="s">
        <v>263</v>
      </c>
      <c r="L86" s="44" t="s">
        <v>31</v>
      </c>
      <c r="M86" s="44" t="s">
        <v>478</v>
      </c>
      <c r="N86" s="44" t="s">
        <v>64</v>
      </c>
      <c r="P86" s="44" t="s">
        <v>66</v>
      </c>
      <c r="Q86" s="44" t="s">
        <v>9</v>
      </c>
      <c r="R86" s="44" t="s">
        <v>10</v>
      </c>
      <c r="S86" s="44" t="s">
        <v>11</v>
      </c>
      <c r="T86" s="44" t="s">
        <v>12</v>
      </c>
      <c r="U86" s="44" t="s">
        <v>13</v>
      </c>
      <c r="V86" s="44" t="s">
        <v>223</v>
      </c>
      <c r="W86" s="44" t="s">
        <v>224</v>
      </c>
      <c r="X86" s="44" t="s">
        <v>225</v>
      </c>
      <c r="Y86" s="44" t="s">
        <v>226</v>
      </c>
      <c r="Z86" s="44" t="s">
        <v>263</v>
      </c>
      <c r="AA86" s="44" t="s">
        <v>31</v>
      </c>
      <c r="AB86" s="44" t="s">
        <v>478</v>
      </c>
      <c r="AC86" s="44" t="s">
        <v>64</v>
      </c>
    </row>
    <row r="87" spans="1:30" x14ac:dyDescent="0.3">
      <c r="A87" s="22" t="s">
        <v>5</v>
      </c>
      <c r="B87" s="4">
        <v>3316842</v>
      </c>
      <c r="C87" s="4">
        <v>4251593</v>
      </c>
      <c r="D87" s="23">
        <v>543241</v>
      </c>
      <c r="E87" s="23">
        <v>2582047</v>
      </c>
      <c r="F87" s="23">
        <v>204932</v>
      </c>
      <c r="G87" s="23">
        <v>748951</v>
      </c>
      <c r="H87" s="23">
        <v>0</v>
      </c>
      <c r="I87" s="23">
        <v>580222</v>
      </c>
      <c r="J87" s="23">
        <v>1182035</v>
      </c>
      <c r="K87" s="23">
        <v>1392363</v>
      </c>
      <c r="L87" s="23">
        <v>2125480</v>
      </c>
      <c r="M87" s="23">
        <v>0</v>
      </c>
      <c r="N87" s="23">
        <v>16927706</v>
      </c>
      <c r="O87" s="76"/>
      <c r="P87" s="22" t="s">
        <v>5</v>
      </c>
      <c r="Q87" s="4">
        <v>1023160.277000452</v>
      </c>
      <c r="R87" s="4">
        <v>1435052.5010409753</v>
      </c>
      <c r="S87" s="23">
        <v>267463.64060863311</v>
      </c>
      <c r="T87" s="23">
        <v>1505890.7052490907</v>
      </c>
      <c r="U87" s="23">
        <v>111004.98646386289</v>
      </c>
      <c r="V87" s="23">
        <v>425162.91250657634</v>
      </c>
      <c r="W87" s="23">
        <v>42799.529987696704</v>
      </c>
      <c r="X87" s="23">
        <v>181647.11602708008</v>
      </c>
      <c r="Y87" s="23">
        <v>626380.06059125182</v>
      </c>
      <c r="Z87" s="23">
        <v>385188.63990218309</v>
      </c>
      <c r="AA87" s="23">
        <v>731317.42804390646</v>
      </c>
      <c r="AB87" s="23">
        <v>3.5649935436005751</v>
      </c>
      <c r="AC87" s="23">
        <v>6735071.3624152513</v>
      </c>
      <c r="AD87" s="76"/>
    </row>
    <row r="88" spans="1:30" x14ac:dyDescent="0.3">
      <c r="A88" s="25" t="s">
        <v>6</v>
      </c>
      <c r="B88" s="5">
        <v>10008178</v>
      </c>
      <c r="C88" s="5">
        <v>5432603</v>
      </c>
      <c r="D88" s="14">
        <v>879452</v>
      </c>
      <c r="E88" s="14">
        <v>1566294</v>
      </c>
      <c r="F88" s="14">
        <v>189602</v>
      </c>
      <c r="G88" s="14">
        <v>628842</v>
      </c>
      <c r="H88" s="14">
        <v>1787510</v>
      </c>
      <c r="I88" s="14">
        <v>622445</v>
      </c>
      <c r="J88" s="14">
        <v>1260846</v>
      </c>
      <c r="K88" s="14">
        <v>568060</v>
      </c>
      <c r="L88" s="14">
        <v>2286621</v>
      </c>
      <c r="M88" s="14">
        <v>65</v>
      </c>
      <c r="N88" s="14">
        <v>25230518</v>
      </c>
      <c r="O88" s="75"/>
      <c r="P88" s="25" t="s">
        <v>6</v>
      </c>
      <c r="Q88" s="5">
        <v>1490448.9357149848</v>
      </c>
      <c r="R88" s="5">
        <v>1010490.2899464957</v>
      </c>
      <c r="S88" s="14">
        <v>278844.88249657798</v>
      </c>
      <c r="T88" s="14">
        <v>594255.90376986703</v>
      </c>
      <c r="U88" s="14">
        <v>62898.963586516737</v>
      </c>
      <c r="V88" s="14">
        <v>271187.27636492392</v>
      </c>
      <c r="W88" s="14">
        <v>712066.46290846344</v>
      </c>
      <c r="X88" s="14">
        <v>214040.42986100671</v>
      </c>
      <c r="Y88" s="14">
        <v>682571.48882548406</v>
      </c>
      <c r="Z88" s="14">
        <v>167139.37480139753</v>
      </c>
      <c r="AA88" s="14">
        <v>649147.89185745677</v>
      </c>
      <c r="AB88" s="14">
        <v>26.737451577004311</v>
      </c>
      <c r="AC88" s="14">
        <v>6133118.6375847505</v>
      </c>
      <c r="AD88" s="75"/>
    </row>
    <row r="89" spans="1:30" x14ac:dyDescent="0.3">
      <c r="A89" s="25" t="s">
        <v>478</v>
      </c>
      <c r="B89" s="5">
        <v>0</v>
      </c>
      <c r="C89" s="5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75"/>
      <c r="P89" s="25" t="s">
        <v>478</v>
      </c>
      <c r="Q89" s="5">
        <v>0</v>
      </c>
      <c r="R89" s="5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75"/>
    </row>
    <row r="90" spans="1:30" x14ac:dyDescent="0.3">
      <c r="A90" s="29" t="s">
        <v>60</v>
      </c>
      <c r="B90" s="57">
        <v>13325020</v>
      </c>
      <c r="C90" s="57">
        <v>9684196</v>
      </c>
      <c r="D90" s="57">
        <v>1422693</v>
      </c>
      <c r="E90" s="57">
        <v>4148341</v>
      </c>
      <c r="F90" s="57">
        <v>394534</v>
      </c>
      <c r="G90" s="57">
        <v>1377793</v>
      </c>
      <c r="H90" s="57">
        <v>1787510</v>
      </c>
      <c r="I90" s="57">
        <v>1202667</v>
      </c>
      <c r="J90" s="57">
        <v>2442881</v>
      </c>
      <c r="K90" s="57">
        <v>1960423</v>
      </c>
      <c r="L90" s="57">
        <v>4412101</v>
      </c>
      <c r="M90" s="57">
        <v>65</v>
      </c>
      <c r="N90" s="77">
        <v>42158224</v>
      </c>
      <c r="O90" s="75"/>
      <c r="P90" s="29" t="s">
        <v>60</v>
      </c>
      <c r="Q90" s="57">
        <v>2513609.2127154367</v>
      </c>
      <c r="R90" s="57">
        <v>2445542.7909874711</v>
      </c>
      <c r="S90" s="57">
        <v>546308.52310521109</v>
      </c>
      <c r="T90" s="57">
        <v>2100146.6090189577</v>
      </c>
      <c r="U90" s="57">
        <v>173903.95005037962</v>
      </c>
      <c r="V90" s="57">
        <v>696350.18887150032</v>
      </c>
      <c r="W90" s="57">
        <v>754865.99289616011</v>
      </c>
      <c r="X90" s="57">
        <v>395687.54588808678</v>
      </c>
      <c r="Y90" s="57">
        <v>1308951.5494167358</v>
      </c>
      <c r="Z90" s="57">
        <v>552328.01470358064</v>
      </c>
      <c r="AA90" s="57">
        <v>1380465.3199013632</v>
      </c>
      <c r="AB90" s="57">
        <v>30.302445120604887</v>
      </c>
      <c r="AC90" s="77">
        <v>12868190.000000002</v>
      </c>
      <c r="AD90" s="75"/>
    </row>
    <row r="91" spans="1:30" x14ac:dyDescent="0.3">
      <c r="A91" s="3" t="s">
        <v>78</v>
      </c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P91" s="3" t="s">
        <v>78</v>
      </c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</row>
    <row r="92" spans="1:30" x14ac:dyDescent="0.3">
      <c r="Q92" s="6"/>
      <c r="R92" s="6"/>
      <c r="S92" s="6"/>
      <c r="T92" s="6"/>
    </row>
    <row r="93" spans="1:30" x14ac:dyDescent="0.3">
      <c r="A93" s="7" t="s">
        <v>165</v>
      </c>
      <c r="P93" s="7" t="s">
        <v>168</v>
      </c>
      <c r="Q93" s="6"/>
      <c r="R93" s="6"/>
      <c r="S93" s="6"/>
      <c r="T93" s="6"/>
    </row>
    <row r="94" spans="1:30" x14ac:dyDescent="0.3">
      <c r="A94" s="7" t="s">
        <v>564</v>
      </c>
      <c r="P94" s="7" t="s">
        <v>397</v>
      </c>
      <c r="Q94" s="6"/>
      <c r="R94" s="6"/>
      <c r="S94" s="6"/>
      <c r="T94" s="6"/>
    </row>
    <row r="95" spans="1:30" ht="41.4" x14ac:dyDescent="0.3">
      <c r="A95" s="24" t="s">
        <v>67</v>
      </c>
      <c r="B95" s="44" t="s">
        <v>9</v>
      </c>
      <c r="C95" s="44" t="s">
        <v>10</v>
      </c>
      <c r="D95" s="44" t="s">
        <v>11</v>
      </c>
      <c r="E95" s="44" t="s">
        <v>12</v>
      </c>
      <c r="F95" s="44" t="s">
        <v>13</v>
      </c>
      <c r="G95" s="44" t="s">
        <v>223</v>
      </c>
      <c r="H95" s="44" t="s">
        <v>224</v>
      </c>
      <c r="I95" s="44" t="s">
        <v>225</v>
      </c>
      <c r="J95" s="44" t="s">
        <v>226</v>
      </c>
      <c r="K95" s="44" t="s">
        <v>263</v>
      </c>
      <c r="L95" s="44" t="s">
        <v>31</v>
      </c>
      <c r="M95" s="44" t="s">
        <v>478</v>
      </c>
      <c r="N95" s="44" t="s">
        <v>64</v>
      </c>
      <c r="P95" s="24" t="s">
        <v>67</v>
      </c>
      <c r="Q95" s="44" t="s">
        <v>9</v>
      </c>
      <c r="R95" s="44" t="s">
        <v>10</v>
      </c>
      <c r="S95" s="44" t="s">
        <v>11</v>
      </c>
      <c r="T95" s="44" t="s">
        <v>12</v>
      </c>
      <c r="U95" s="44" t="s">
        <v>13</v>
      </c>
      <c r="V95" s="44" t="s">
        <v>223</v>
      </c>
      <c r="W95" s="44" t="s">
        <v>224</v>
      </c>
      <c r="X95" s="44" t="s">
        <v>225</v>
      </c>
      <c r="Y95" s="44" t="s">
        <v>226</v>
      </c>
      <c r="Z95" s="44" t="s">
        <v>263</v>
      </c>
      <c r="AA95" s="44" t="s">
        <v>31</v>
      </c>
      <c r="AB95" s="44" t="s">
        <v>478</v>
      </c>
      <c r="AC95" s="44" t="s">
        <v>64</v>
      </c>
    </row>
    <row r="96" spans="1:30" x14ac:dyDescent="0.3">
      <c r="A96" s="22" t="s">
        <v>53</v>
      </c>
      <c r="B96" s="4">
        <v>40071</v>
      </c>
      <c r="C96" s="4">
        <v>31147</v>
      </c>
      <c r="D96" s="4">
        <v>8923</v>
      </c>
      <c r="E96" s="4">
        <v>43301</v>
      </c>
      <c r="F96" s="4">
        <v>5446</v>
      </c>
      <c r="G96" s="4">
        <v>7810</v>
      </c>
      <c r="H96" s="4">
        <v>19218</v>
      </c>
      <c r="I96" s="4">
        <v>5534</v>
      </c>
      <c r="J96" s="4">
        <v>1805</v>
      </c>
      <c r="K96" s="4">
        <v>1638</v>
      </c>
      <c r="L96" s="4">
        <v>16583</v>
      </c>
      <c r="M96" s="4">
        <v>0</v>
      </c>
      <c r="N96" s="4">
        <v>181476</v>
      </c>
      <c r="O96" s="76"/>
      <c r="P96" s="22" t="s">
        <v>53</v>
      </c>
      <c r="Q96" s="4">
        <v>1614.9420752510605</v>
      </c>
      <c r="R96" s="4">
        <v>1811.016720149092</v>
      </c>
      <c r="S96" s="4">
        <v>777.1685925049253</v>
      </c>
      <c r="T96" s="4">
        <v>4359.9871038235033</v>
      </c>
      <c r="U96" s="4">
        <v>408.19176074226579</v>
      </c>
      <c r="V96" s="4">
        <v>363.62934144725858</v>
      </c>
      <c r="W96" s="4">
        <v>499.0990961040805</v>
      </c>
      <c r="X96" s="4">
        <v>254.89703836744113</v>
      </c>
      <c r="Y96" s="4">
        <v>254.89703836744113</v>
      </c>
      <c r="Z96" s="4">
        <v>162.20720623382616</v>
      </c>
      <c r="AA96" s="4">
        <v>809.25353439733044</v>
      </c>
      <c r="AB96" s="4">
        <v>0</v>
      </c>
      <c r="AC96" s="4">
        <v>11315.289507388225</v>
      </c>
      <c r="AD96" s="76"/>
    </row>
    <row r="97" spans="1:30" x14ac:dyDescent="0.3">
      <c r="A97" s="25" t="s">
        <v>2</v>
      </c>
      <c r="B97" s="5">
        <v>927518</v>
      </c>
      <c r="C97" s="5">
        <v>375574</v>
      </c>
      <c r="D97" s="5">
        <v>88183</v>
      </c>
      <c r="E97" s="5">
        <v>354033</v>
      </c>
      <c r="F97" s="5">
        <v>40584</v>
      </c>
      <c r="G97" s="5">
        <v>68150</v>
      </c>
      <c r="H97" s="5">
        <v>283770</v>
      </c>
      <c r="I97" s="5">
        <v>54286</v>
      </c>
      <c r="J97" s="5">
        <v>30245</v>
      </c>
      <c r="K97" s="5">
        <v>20371</v>
      </c>
      <c r="L97" s="5">
        <v>181021</v>
      </c>
      <c r="M97" s="5">
        <v>0</v>
      </c>
      <c r="N97" s="5">
        <v>2423735</v>
      </c>
      <c r="O97" s="75"/>
      <c r="P97" s="25" t="s">
        <v>2</v>
      </c>
      <c r="Q97" s="5">
        <v>70540.527247224571</v>
      </c>
      <c r="R97" s="5">
        <v>50635.385796530762</v>
      </c>
      <c r="S97" s="5">
        <v>15878.48124319696</v>
      </c>
      <c r="T97" s="5">
        <v>106978.32625636604</v>
      </c>
      <c r="U97" s="5">
        <v>10067.541767128023</v>
      </c>
      <c r="V97" s="5">
        <v>15928.391152807368</v>
      </c>
      <c r="W97" s="5">
        <v>25229.459308061265</v>
      </c>
      <c r="X97" s="5">
        <v>8618.3718916543894</v>
      </c>
      <c r="Y97" s="5">
        <v>9429.4079228235205</v>
      </c>
      <c r="Z97" s="5">
        <v>6117.5289208185859</v>
      </c>
      <c r="AA97" s="5">
        <v>33477.071871181201</v>
      </c>
      <c r="AB97" s="5">
        <v>0</v>
      </c>
      <c r="AC97" s="5">
        <v>352900.49337779271</v>
      </c>
      <c r="AD97" s="75"/>
    </row>
    <row r="98" spans="1:30" x14ac:dyDescent="0.3">
      <c r="A98" s="25" t="s">
        <v>54</v>
      </c>
      <c r="B98" s="5">
        <v>4738337</v>
      </c>
      <c r="C98" s="5">
        <v>1589096</v>
      </c>
      <c r="D98" s="5">
        <v>333170</v>
      </c>
      <c r="E98" s="5">
        <v>934442</v>
      </c>
      <c r="F98" s="5">
        <v>115835</v>
      </c>
      <c r="G98" s="5">
        <v>257587</v>
      </c>
      <c r="H98" s="5">
        <v>1072467</v>
      </c>
      <c r="I98" s="5">
        <v>221415</v>
      </c>
      <c r="J98" s="5">
        <v>191728</v>
      </c>
      <c r="K98" s="5">
        <v>108433</v>
      </c>
      <c r="L98" s="5">
        <v>740427</v>
      </c>
      <c r="M98" s="5">
        <v>4</v>
      </c>
      <c r="N98" s="5">
        <v>10302941</v>
      </c>
      <c r="O98" s="75"/>
      <c r="P98" s="25" t="s">
        <v>54</v>
      </c>
      <c r="Q98" s="5">
        <v>825076.75824060163</v>
      </c>
      <c r="R98" s="5">
        <v>516298.40745518141</v>
      </c>
      <c r="S98" s="5">
        <v>165212.49579108143</v>
      </c>
      <c r="T98" s="5">
        <v>669783.85698458878</v>
      </c>
      <c r="U98" s="5">
        <v>68045.031766704167</v>
      </c>
      <c r="V98" s="5">
        <v>173561.71067019398</v>
      </c>
      <c r="W98" s="5">
        <v>453878.93550027895</v>
      </c>
      <c r="X98" s="5">
        <v>91224.619787195101</v>
      </c>
      <c r="Y98" s="5">
        <v>146767.21919649208</v>
      </c>
      <c r="Z98" s="5">
        <v>61683.300788148947</v>
      </c>
      <c r="AA98" s="5">
        <v>350650.98245178076</v>
      </c>
      <c r="AB98" s="5">
        <v>0</v>
      </c>
      <c r="AC98" s="5">
        <v>3522183.3186322474</v>
      </c>
      <c r="AD98" s="75"/>
    </row>
    <row r="99" spans="1:30" x14ac:dyDescent="0.3">
      <c r="A99" s="25" t="s">
        <v>55</v>
      </c>
      <c r="B99" s="5">
        <v>3672603</v>
      </c>
      <c r="C99" s="5">
        <v>1987384</v>
      </c>
      <c r="D99" s="5">
        <v>291583</v>
      </c>
      <c r="E99" s="5">
        <v>861734</v>
      </c>
      <c r="F99" s="5">
        <v>78170</v>
      </c>
      <c r="G99" s="5">
        <v>301300</v>
      </c>
      <c r="H99" s="5">
        <v>403237</v>
      </c>
      <c r="I99" s="5">
        <v>248254</v>
      </c>
      <c r="J99" s="5">
        <v>390640</v>
      </c>
      <c r="K99" s="5">
        <v>219016</v>
      </c>
      <c r="L99" s="5">
        <v>897335</v>
      </c>
      <c r="M99" s="5">
        <v>30</v>
      </c>
      <c r="N99" s="5">
        <v>9351286</v>
      </c>
      <c r="O99" s="75"/>
      <c r="P99" s="25" t="s">
        <v>55</v>
      </c>
      <c r="Q99" s="5">
        <v>811743.68238753546</v>
      </c>
      <c r="R99" s="5">
        <v>657129.91240157851</v>
      </c>
      <c r="S99" s="5">
        <v>146319.81250677019</v>
      </c>
      <c r="T99" s="5">
        <v>566919.53327753779</v>
      </c>
      <c r="U99" s="5">
        <v>43156.029342056754</v>
      </c>
      <c r="V99" s="5">
        <v>198005.08890189131</v>
      </c>
      <c r="W99" s="5">
        <v>268297.84909783566</v>
      </c>
      <c r="X99" s="5">
        <v>111420.30821169236</v>
      </c>
      <c r="Y99" s="5">
        <v>301129.65713762515</v>
      </c>
      <c r="Z99" s="5">
        <v>111602.12288241599</v>
      </c>
      <c r="AA99" s="5">
        <v>366155.13937289966</v>
      </c>
      <c r="AB99" s="5">
        <v>0</v>
      </c>
      <c r="AC99" s="5">
        <v>3581879.1355198389</v>
      </c>
      <c r="AD99" s="75"/>
    </row>
    <row r="100" spans="1:30" x14ac:dyDescent="0.3">
      <c r="A100" s="25" t="s">
        <v>56</v>
      </c>
      <c r="B100" s="5">
        <v>2257881</v>
      </c>
      <c r="C100" s="5">
        <v>2765298</v>
      </c>
      <c r="D100" s="5">
        <v>296821</v>
      </c>
      <c r="E100" s="5">
        <v>980193</v>
      </c>
      <c r="F100" s="5">
        <v>72331</v>
      </c>
      <c r="G100" s="5">
        <v>333417</v>
      </c>
      <c r="H100" s="5">
        <v>7297</v>
      </c>
      <c r="I100" s="5">
        <v>274516</v>
      </c>
      <c r="J100" s="5">
        <v>706953</v>
      </c>
      <c r="K100" s="5">
        <v>500221</v>
      </c>
      <c r="L100" s="5">
        <v>1154138</v>
      </c>
      <c r="M100" s="5">
        <v>31</v>
      </c>
      <c r="N100" s="5">
        <v>9349097</v>
      </c>
      <c r="O100" s="75"/>
      <c r="P100" s="25" t="s">
        <v>56</v>
      </c>
      <c r="Q100" s="5">
        <v>466008.82603237987</v>
      </c>
      <c r="R100" s="5">
        <v>619677.87272928271</v>
      </c>
      <c r="S100" s="5">
        <v>103170.91315180063</v>
      </c>
      <c r="T100" s="5">
        <v>419482.09529484884</v>
      </c>
      <c r="U100" s="5">
        <v>27452.232782496227</v>
      </c>
      <c r="V100" s="5">
        <v>163629.63865772277</v>
      </c>
      <c r="W100" s="5">
        <v>6814.4851585924989</v>
      </c>
      <c r="X100" s="5">
        <v>90246.029059476743</v>
      </c>
      <c r="Y100" s="5">
        <v>361353.09306966967</v>
      </c>
      <c r="Z100" s="5">
        <v>146817.12910610248</v>
      </c>
      <c r="AA100" s="5">
        <v>307805.10754801723</v>
      </c>
      <c r="AB100" s="5">
        <v>30.302445120604887</v>
      </c>
      <c r="AC100" s="5">
        <v>2712487.72503551</v>
      </c>
      <c r="AD100" s="75"/>
    </row>
    <row r="101" spans="1:30" x14ac:dyDescent="0.3">
      <c r="A101" s="25" t="s">
        <v>57</v>
      </c>
      <c r="B101" s="5">
        <v>1398145</v>
      </c>
      <c r="C101" s="5">
        <v>2316280</v>
      </c>
      <c r="D101" s="5">
        <v>278902</v>
      </c>
      <c r="E101" s="5">
        <v>767409</v>
      </c>
      <c r="F101" s="5">
        <v>61420</v>
      </c>
      <c r="G101" s="5">
        <v>301953</v>
      </c>
      <c r="H101" s="5">
        <v>826</v>
      </c>
      <c r="I101" s="5">
        <v>257789</v>
      </c>
      <c r="J101" s="5">
        <v>750215</v>
      </c>
      <c r="K101" s="5">
        <v>726391</v>
      </c>
      <c r="L101" s="5">
        <v>1036399</v>
      </c>
      <c r="M101" s="5">
        <v>0</v>
      </c>
      <c r="N101" s="5">
        <v>7895729</v>
      </c>
      <c r="O101" s="75"/>
      <c r="P101" s="25" t="s">
        <v>57</v>
      </c>
      <c r="Q101" s="5">
        <v>297049.5220269743</v>
      </c>
      <c r="R101" s="5">
        <v>489824.76540040359</v>
      </c>
      <c r="S101" s="5">
        <v>88960.848887008746</v>
      </c>
      <c r="T101" s="5">
        <v>280809.19393910182</v>
      </c>
      <c r="U101" s="5">
        <v>19520.122147984948</v>
      </c>
      <c r="V101" s="5">
        <v>116487.94653392058</v>
      </c>
      <c r="W101" s="5">
        <v>115.86229016701868</v>
      </c>
      <c r="X101" s="5">
        <v>70870.289150007622</v>
      </c>
      <c r="Y101" s="5">
        <v>368101.62584770558</v>
      </c>
      <c r="Z101" s="5">
        <v>166936.1701694123</v>
      </c>
      <c r="AA101" s="5">
        <v>260535.07565664541</v>
      </c>
      <c r="AB101" s="5">
        <v>0</v>
      </c>
      <c r="AC101" s="5">
        <v>2159211.4220493319</v>
      </c>
      <c r="AD101" s="75"/>
    </row>
    <row r="102" spans="1:30" x14ac:dyDescent="0.3">
      <c r="A102" s="25" t="s">
        <v>3</v>
      </c>
      <c r="B102" s="5">
        <v>290465</v>
      </c>
      <c r="C102" s="5">
        <v>619417</v>
      </c>
      <c r="D102" s="5">
        <v>125111</v>
      </c>
      <c r="E102" s="5">
        <v>207229</v>
      </c>
      <c r="F102" s="5">
        <v>20748</v>
      </c>
      <c r="G102" s="5">
        <v>107576</v>
      </c>
      <c r="H102" s="5">
        <v>695</v>
      </c>
      <c r="I102" s="5">
        <v>140873</v>
      </c>
      <c r="J102" s="5">
        <v>371295</v>
      </c>
      <c r="K102" s="5">
        <v>384353</v>
      </c>
      <c r="L102" s="5">
        <v>386198</v>
      </c>
      <c r="M102" s="5">
        <v>0</v>
      </c>
      <c r="N102" s="5">
        <v>2653960</v>
      </c>
      <c r="O102" s="75"/>
      <c r="P102" s="25" t="s">
        <v>3</v>
      </c>
      <c r="Q102" s="5">
        <v>41562.477228067299</v>
      </c>
      <c r="R102" s="5">
        <v>110147.60551662695</v>
      </c>
      <c r="S102" s="5">
        <v>25988.80293284819</v>
      </c>
      <c r="T102" s="5">
        <v>51813.616162690756</v>
      </c>
      <c r="U102" s="5">
        <v>5254.8004832672468</v>
      </c>
      <c r="V102" s="5">
        <v>28373.783613516978</v>
      </c>
      <c r="W102" s="5">
        <v>30.302445120604887</v>
      </c>
      <c r="X102" s="5">
        <v>23053.030749693116</v>
      </c>
      <c r="Y102" s="5">
        <v>121915.64920405246</v>
      </c>
      <c r="Z102" s="5">
        <v>59009.555630448514</v>
      </c>
      <c r="AA102" s="5">
        <v>61032.689466441836</v>
      </c>
      <c r="AB102" s="5">
        <v>0</v>
      </c>
      <c r="AC102" s="5">
        <v>528182.31343277392</v>
      </c>
      <c r="AD102" s="75"/>
    </row>
    <row r="103" spans="1:30" x14ac:dyDescent="0.3">
      <c r="A103" s="25" t="s">
        <v>478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75"/>
      <c r="P103" s="25" t="s">
        <v>478</v>
      </c>
      <c r="Q103" s="5">
        <v>12.477477402602013</v>
      </c>
      <c r="R103" s="5">
        <v>17.824967718002874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30.302445120604887</v>
      </c>
      <c r="AD103" s="75"/>
    </row>
    <row r="104" spans="1:30" x14ac:dyDescent="0.3">
      <c r="A104" s="29" t="s">
        <v>60</v>
      </c>
      <c r="B104" s="57">
        <v>13325020</v>
      </c>
      <c r="C104" s="57">
        <v>9684196</v>
      </c>
      <c r="D104" s="57">
        <v>1422693</v>
      </c>
      <c r="E104" s="57">
        <v>4148341</v>
      </c>
      <c r="F104" s="57">
        <v>394534</v>
      </c>
      <c r="G104" s="57">
        <v>1377793</v>
      </c>
      <c r="H104" s="57">
        <v>1787510</v>
      </c>
      <c r="I104" s="57">
        <v>1202667</v>
      </c>
      <c r="J104" s="57">
        <v>2442881</v>
      </c>
      <c r="K104" s="57">
        <v>1960423</v>
      </c>
      <c r="L104" s="57">
        <v>4412101</v>
      </c>
      <c r="M104" s="57">
        <v>65</v>
      </c>
      <c r="N104" s="57">
        <v>42158224</v>
      </c>
      <c r="O104" s="75"/>
      <c r="P104" s="29" t="s">
        <v>60</v>
      </c>
      <c r="Q104" s="57">
        <v>2513609.2127154367</v>
      </c>
      <c r="R104" s="57">
        <v>2445542.7909874716</v>
      </c>
      <c r="S104" s="57">
        <v>546308.52310521109</v>
      </c>
      <c r="T104" s="57">
        <v>2100146.6090189572</v>
      </c>
      <c r="U104" s="57">
        <v>173903.95005037964</v>
      </c>
      <c r="V104" s="57">
        <v>696350.1888715002</v>
      </c>
      <c r="W104" s="57">
        <v>754865.99289616011</v>
      </c>
      <c r="X104" s="57">
        <v>395687.54588808672</v>
      </c>
      <c r="Y104" s="57">
        <v>1308951.549416736</v>
      </c>
      <c r="Z104" s="57">
        <v>552328.01470358064</v>
      </c>
      <c r="AA104" s="57">
        <v>1380465.3199013635</v>
      </c>
      <c r="AB104" s="57">
        <v>30.302445120604887</v>
      </c>
      <c r="AC104" s="57">
        <v>12868190.000000006</v>
      </c>
      <c r="AD104" s="75"/>
    </row>
    <row r="105" spans="1:30" x14ac:dyDescent="0.3">
      <c r="A105" s="3" t="s">
        <v>78</v>
      </c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P105" s="3" t="s">
        <v>78</v>
      </c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</row>
    <row r="106" spans="1:30" x14ac:dyDescent="0.3">
      <c r="Q106" s="6"/>
      <c r="R106" s="6"/>
      <c r="S106" s="6"/>
      <c r="T106" s="6"/>
    </row>
    <row r="107" spans="1:30" x14ac:dyDescent="0.3">
      <c r="A107" s="7" t="s">
        <v>166</v>
      </c>
      <c r="P107" s="7" t="s">
        <v>169</v>
      </c>
      <c r="Q107" s="6"/>
      <c r="R107" s="6"/>
      <c r="S107" s="6"/>
      <c r="T107" s="6"/>
    </row>
    <row r="108" spans="1:30" x14ac:dyDescent="0.3">
      <c r="A108" s="7" t="s">
        <v>565</v>
      </c>
      <c r="P108" s="7" t="s">
        <v>398</v>
      </c>
      <c r="Q108" s="6"/>
      <c r="R108" s="6"/>
      <c r="S108" s="6"/>
      <c r="T108" s="6"/>
    </row>
    <row r="109" spans="1:30" ht="41.4" x14ac:dyDescent="0.3">
      <c r="A109" s="24" t="s">
        <v>209</v>
      </c>
      <c r="B109" s="44" t="s">
        <v>9</v>
      </c>
      <c r="C109" s="44" t="s">
        <v>10</v>
      </c>
      <c r="D109" s="44" t="s">
        <v>11</v>
      </c>
      <c r="E109" s="44" t="s">
        <v>12</v>
      </c>
      <c r="F109" s="44" t="s">
        <v>13</v>
      </c>
      <c r="G109" s="44" t="s">
        <v>223</v>
      </c>
      <c r="H109" s="44" t="s">
        <v>224</v>
      </c>
      <c r="I109" s="44" t="s">
        <v>225</v>
      </c>
      <c r="J109" s="44" t="s">
        <v>226</v>
      </c>
      <c r="K109" s="44" t="s">
        <v>263</v>
      </c>
      <c r="L109" s="44" t="s">
        <v>31</v>
      </c>
      <c r="M109" s="44" t="s">
        <v>478</v>
      </c>
      <c r="N109" s="44" t="s">
        <v>64</v>
      </c>
      <c r="P109" s="24" t="s">
        <v>209</v>
      </c>
      <c r="Q109" s="44" t="s">
        <v>9</v>
      </c>
      <c r="R109" s="44" t="s">
        <v>10</v>
      </c>
      <c r="S109" s="44" t="s">
        <v>11</v>
      </c>
      <c r="T109" s="44" t="s">
        <v>12</v>
      </c>
      <c r="U109" s="44" t="s">
        <v>13</v>
      </c>
      <c r="V109" s="44" t="s">
        <v>223</v>
      </c>
      <c r="W109" s="44" t="s">
        <v>224</v>
      </c>
      <c r="X109" s="44" t="s">
        <v>225</v>
      </c>
      <c r="Y109" s="44" t="s">
        <v>226</v>
      </c>
      <c r="Z109" s="44" t="s">
        <v>263</v>
      </c>
      <c r="AA109" s="44" t="s">
        <v>31</v>
      </c>
      <c r="AB109" s="44" t="s">
        <v>478</v>
      </c>
      <c r="AC109" s="44" t="s">
        <v>64</v>
      </c>
    </row>
    <row r="110" spans="1:30" x14ac:dyDescent="0.3">
      <c r="A110" s="30" t="s">
        <v>14</v>
      </c>
      <c r="B110" s="4">
        <v>31778</v>
      </c>
      <c r="C110" s="4">
        <v>44351</v>
      </c>
      <c r="D110" s="4">
        <v>11383</v>
      </c>
      <c r="E110" s="4">
        <v>38454</v>
      </c>
      <c r="F110" s="4">
        <v>4356</v>
      </c>
      <c r="G110" s="4">
        <v>14418</v>
      </c>
      <c r="H110" s="4">
        <v>29828</v>
      </c>
      <c r="I110" s="4">
        <v>14401</v>
      </c>
      <c r="J110" s="4">
        <v>22570</v>
      </c>
      <c r="K110" s="4">
        <v>19465</v>
      </c>
      <c r="L110" s="4">
        <v>25454</v>
      </c>
      <c r="M110" s="4">
        <v>0</v>
      </c>
      <c r="N110" s="4">
        <v>256458</v>
      </c>
      <c r="O110" s="76"/>
      <c r="P110" s="30" t="s">
        <v>14</v>
      </c>
      <c r="Q110" s="4">
        <v>7876.8532345854701</v>
      </c>
      <c r="R110" s="4">
        <v>12165.540467536961</v>
      </c>
      <c r="S110" s="4">
        <v>3967.8378140274394</v>
      </c>
      <c r="T110" s="4">
        <v>11147.734810838996</v>
      </c>
      <c r="U110" s="4">
        <v>1114.0604823751796</v>
      </c>
      <c r="V110" s="4">
        <v>3878.7129754374255</v>
      </c>
      <c r="W110" s="4">
        <v>6736.0553006332857</v>
      </c>
      <c r="X110" s="4">
        <v>3019.5495314296868</v>
      </c>
      <c r="Y110" s="4">
        <v>11402.631849206438</v>
      </c>
      <c r="Z110" s="4">
        <v>2570.3603449360144</v>
      </c>
      <c r="AA110" s="4">
        <v>9393.7579873875147</v>
      </c>
      <c r="AB110" s="4">
        <v>0</v>
      </c>
      <c r="AC110" s="4">
        <v>73273.094798394421</v>
      </c>
      <c r="AD110" s="76"/>
    </row>
    <row r="111" spans="1:30" x14ac:dyDescent="0.3">
      <c r="A111" s="31" t="s">
        <v>15</v>
      </c>
      <c r="B111" s="5">
        <v>229381</v>
      </c>
      <c r="C111" s="5">
        <v>147052</v>
      </c>
      <c r="D111" s="5">
        <v>17161</v>
      </c>
      <c r="E111" s="5">
        <v>61333</v>
      </c>
      <c r="F111" s="5">
        <v>7346</v>
      </c>
      <c r="G111" s="5">
        <v>23417</v>
      </c>
      <c r="H111" s="5">
        <v>23949</v>
      </c>
      <c r="I111" s="5">
        <v>22540</v>
      </c>
      <c r="J111" s="5">
        <v>44169</v>
      </c>
      <c r="K111" s="5">
        <v>31180</v>
      </c>
      <c r="L111" s="5">
        <v>54335</v>
      </c>
      <c r="M111" s="5">
        <v>0</v>
      </c>
      <c r="N111" s="5">
        <v>661863</v>
      </c>
      <c r="O111" s="75"/>
      <c r="P111" s="31" t="s">
        <v>15</v>
      </c>
      <c r="Q111" s="5">
        <v>49428.635482021964</v>
      </c>
      <c r="R111" s="5">
        <v>46464.343350518095</v>
      </c>
      <c r="S111" s="5">
        <v>7800.2058733980566</v>
      </c>
      <c r="T111" s="5">
        <v>33418.24947771179</v>
      </c>
      <c r="U111" s="5">
        <v>2563.2303578488131</v>
      </c>
      <c r="V111" s="5">
        <v>12318.835189911786</v>
      </c>
      <c r="W111" s="5">
        <v>9424.0604325081185</v>
      </c>
      <c r="X111" s="5">
        <v>7311.801757924778</v>
      </c>
      <c r="Y111" s="5">
        <v>22010.27013818995</v>
      </c>
      <c r="Z111" s="5">
        <v>10867.882817666352</v>
      </c>
      <c r="AA111" s="5">
        <v>28494.993393999393</v>
      </c>
      <c r="AB111" s="5">
        <v>0</v>
      </c>
      <c r="AC111" s="5">
        <v>230102.50827169913</v>
      </c>
      <c r="AD111" s="75"/>
    </row>
    <row r="112" spans="1:30" ht="15" customHeight="1" x14ac:dyDescent="0.3">
      <c r="A112" s="31" t="s">
        <v>16</v>
      </c>
      <c r="B112" s="5">
        <v>275432</v>
      </c>
      <c r="C112" s="5">
        <v>299160</v>
      </c>
      <c r="D112" s="5">
        <v>37304</v>
      </c>
      <c r="E112" s="5">
        <v>142199</v>
      </c>
      <c r="F112" s="5">
        <v>9817</v>
      </c>
      <c r="G112" s="5">
        <v>31188</v>
      </c>
      <c r="H112" s="5">
        <v>64151</v>
      </c>
      <c r="I112" s="5">
        <v>31007</v>
      </c>
      <c r="J112" s="5">
        <v>67260</v>
      </c>
      <c r="K112" s="5">
        <v>54182</v>
      </c>
      <c r="L112" s="5">
        <v>137504</v>
      </c>
      <c r="M112" s="5">
        <v>0</v>
      </c>
      <c r="N112" s="5">
        <v>1149204</v>
      </c>
      <c r="O112" s="75"/>
      <c r="P112" s="31" t="s">
        <v>16</v>
      </c>
      <c r="Q112" s="5">
        <v>81527.837348601548</v>
      </c>
      <c r="R112" s="5">
        <v>153811.6464386468</v>
      </c>
      <c r="S112" s="5">
        <v>23200.977981752538</v>
      </c>
      <c r="T112" s="5">
        <v>110028.17823291633</v>
      </c>
      <c r="U112" s="5">
        <v>7126.4220936575484</v>
      </c>
      <c r="V112" s="5">
        <v>36327.284209289857</v>
      </c>
      <c r="W112" s="5">
        <v>34063.513309103495</v>
      </c>
      <c r="X112" s="5">
        <v>21712.593177299299</v>
      </c>
      <c r="Y112" s="5">
        <v>52496.312426290264</v>
      </c>
      <c r="Z112" s="5">
        <v>30013.68064357324</v>
      </c>
      <c r="AA112" s="5">
        <v>69180.482210340953</v>
      </c>
      <c r="AB112" s="5">
        <v>0</v>
      </c>
      <c r="AC112" s="5">
        <v>619488.92807147186</v>
      </c>
      <c r="AD112" s="75"/>
    </row>
    <row r="113" spans="1:30" ht="15" customHeight="1" x14ac:dyDescent="0.3">
      <c r="A113" s="31" t="s">
        <v>17</v>
      </c>
      <c r="B113" s="5">
        <v>191695</v>
      </c>
      <c r="C113" s="5">
        <v>158434</v>
      </c>
      <c r="D113" s="5">
        <v>23783</v>
      </c>
      <c r="E113" s="5">
        <v>68774</v>
      </c>
      <c r="F113" s="5">
        <v>5606</v>
      </c>
      <c r="G113" s="5">
        <v>29671</v>
      </c>
      <c r="H113" s="5">
        <v>33807</v>
      </c>
      <c r="I113" s="5">
        <v>28595</v>
      </c>
      <c r="J113" s="5">
        <v>43645</v>
      </c>
      <c r="K113" s="5">
        <v>41795</v>
      </c>
      <c r="L113" s="5">
        <v>65700</v>
      </c>
      <c r="M113" s="5">
        <v>4</v>
      </c>
      <c r="N113" s="5">
        <v>691509</v>
      </c>
      <c r="O113" s="75"/>
      <c r="P113" s="31" t="s">
        <v>17</v>
      </c>
      <c r="Q113" s="5">
        <v>20297.290740489872</v>
      </c>
      <c r="R113" s="5">
        <v>37787.149065394289</v>
      </c>
      <c r="S113" s="5">
        <v>8039.0604408192958</v>
      </c>
      <c r="T113" s="5">
        <v>29662.528779528584</v>
      </c>
      <c r="U113" s="5">
        <v>1746.8468363642817</v>
      </c>
      <c r="V113" s="5">
        <v>9147.7734328790757</v>
      </c>
      <c r="W113" s="5">
        <v>6919.6524681287156</v>
      </c>
      <c r="X113" s="5">
        <v>6181.6988046033966</v>
      </c>
      <c r="Y113" s="5">
        <v>18479.144033253579</v>
      </c>
      <c r="Z113" s="5">
        <v>8445.4697047897607</v>
      </c>
      <c r="AA113" s="5">
        <v>25074.382088914641</v>
      </c>
      <c r="AB113" s="5">
        <v>0</v>
      </c>
      <c r="AC113" s="5">
        <v>171780.99639516545</v>
      </c>
      <c r="AD113" s="75"/>
    </row>
    <row r="114" spans="1:30" ht="15" customHeight="1" x14ac:dyDescent="0.3">
      <c r="A114" s="31" t="s">
        <v>18</v>
      </c>
      <c r="B114" s="5">
        <v>402838</v>
      </c>
      <c r="C114" s="5">
        <v>216593</v>
      </c>
      <c r="D114" s="5">
        <v>36617</v>
      </c>
      <c r="E114" s="5">
        <v>99356</v>
      </c>
      <c r="F114" s="5">
        <v>8841</v>
      </c>
      <c r="G114" s="5">
        <v>44823</v>
      </c>
      <c r="H114" s="5">
        <v>51467</v>
      </c>
      <c r="I114" s="5">
        <v>28104</v>
      </c>
      <c r="J114" s="5">
        <v>77831</v>
      </c>
      <c r="K114" s="5">
        <v>52402</v>
      </c>
      <c r="L114" s="5">
        <v>146065</v>
      </c>
      <c r="M114" s="5">
        <v>0</v>
      </c>
      <c r="N114" s="5">
        <v>1164937</v>
      </c>
      <c r="O114" s="75"/>
      <c r="P114" s="31" t="s">
        <v>18</v>
      </c>
      <c r="Q114" s="5">
        <v>33626.801600012419</v>
      </c>
      <c r="R114" s="5">
        <v>26817.663931735326</v>
      </c>
      <c r="S114" s="5">
        <v>6944.6074229339192</v>
      </c>
      <c r="T114" s="5">
        <v>26097.535235928008</v>
      </c>
      <c r="U114" s="5">
        <v>1971.4414296111177</v>
      </c>
      <c r="V114" s="5">
        <v>8955.2637815246435</v>
      </c>
      <c r="W114" s="5">
        <v>9609.4400967753481</v>
      </c>
      <c r="X114" s="5">
        <v>4925.0385804841935</v>
      </c>
      <c r="Y114" s="5">
        <v>19760.759212177985</v>
      </c>
      <c r="Z114" s="5">
        <v>5459.7876120242809</v>
      </c>
      <c r="AA114" s="5">
        <v>14719.858341526771</v>
      </c>
      <c r="AB114" s="5">
        <v>0</v>
      </c>
      <c r="AC114" s="5">
        <v>158888.19724473401</v>
      </c>
      <c r="AD114" s="75"/>
    </row>
    <row r="115" spans="1:30" ht="15" customHeight="1" x14ac:dyDescent="0.3">
      <c r="A115" s="31" t="s">
        <v>19</v>
      </c>
      <c r="B115" s="5">
        <v>959647</v>
      </c>
      <c r="C115" s="5">
        <v>722925</v>
      </c>
      <c r="D115" s="5">
        <v>92440</v>
      </c>
      <c r="E115" s="5">
        <v>241129</v>
      </c>
      <c r="F115" s="5">
        <v>28289</v>
      </c>
      <c r="G115" s="5">
        <v>85781</v>
      </c>
      <c r="H115" s="5">
        <v>141123</v>
      </c>
      <c r="I115" s="5">
        <v>72234</v>
      </c>
      <c r="J115" s="5">
        <v>172988</v>
      </c>
      <c r="K115" s="5">
        <v>138840</v>
      </c>
      <c r="L115" s="5">
        <v>323122</v>
      </c>
      <c r="M115" s="5">
        <v>0</v>
      </c>
      <c r="N115" s="5">
        <v>2978518</v>
      </c>
      <c r="O115" s="75"/>
      <c r="P115" s="31" t="s">
        <v>19</v>
      </c>
      <c r="Q115" s="5">
        <v>145531.94893363447</v>
      </c>
      <c r="R115" s="5">
        <v>161647.50224748085</v>
      </c>
      <c r="S115" s="5">
        <v>32869.240471997298</v>
      </c>
      <c r="T115" s="5">
        <v>123790.83580798635</v>
      </c>
      <c r="U115" s="5">
        <v>9875.0321157735925</v>
      </c>
      <c r="V115" s="5">
        <v>42961.737193930523</v>
      </c>
      <c r="W115" s="5">
        <v>51401.859408404889</v>
      </c>
      <c r="X115" s="5">
        <v>23808.809380936436</v>
      </c>
      <c r="Y115" s="5">
        <v>76560.018845594139</v>
      </c>
      <c r="Z115" s="5">
        <v>36920.855634299347</v>
      </c>
      <c r="AA115" s="5">
        <v>77707.946766633526</v>
      </c>
      <c r="AB115" s="5">
        <v>26.737451577004311</v>
      </c>
      <c r="AC115" s="5">
        <v>783102.52425824839</v>
      </c>
      <c r="AD115" s="75"/>
    </row>
    <row r="116" spans="1:30" ht="15" customHeight="1" x14ac:dyDescent="0.3">
      <c r="A116" s="31" t="s">
        <v>20</v>
      </c>
      <c r="B116" s="5">
        <v>7609186</v>
      </c>
      <c r="C116" s="5">
        <v>5231855</v>
      </c>
      <c r="D116" s="5">
        <v>771899</v>
      </c>
      <c r="E116" s="5">
        <v>2289625</v>
      </c>
      <c r="F116" s="5">
        <v>219160</v>
      </c>
      <c r="G116" s="5">
        <v>715328</v>
      </c>
      <c r="H116" s="5">
        <v>748968</v>
      </c>
      <c r="I116" s="5">
        <v>703127</v>
      </c>
      <c r="J116" s="5">
        <v>1283947</v>
      </c>
      <c r="K116" s="5">
        <v>1042730</v>
      </c>
      <c r="L116" s="5">
        <v>2459554</v>
      </c>
      <c r="M116" s="5">
        <v>31</v>
      </c>
      <c r="N116" s="5">
        <v>23075410</v>
      </c>
      <c r="O116" s="75"/>
      <c r="P116" s="31" t="s">
        <v>20</v>
      </c>
      <c r="Q116" s="5">
        <v>1546028.9675564894</v>
      </c>
      <c r="R116" s="5">
        <v>1426307.5718785231</v>
      </c>
      <c r="S116" s="5">
        <v>328277.08297214349</v>
      </c>
      <c r="T116" s="5">
        <v>1340687.1219418682</v>
      </c>
      <c r="U116" s="5">
        <v>112816.00318401199</v>
      </c>
      <c r="V116" s="5">
        <v>440904.14149834472</v>
      </c>
      <c r="W116" s="5">
        <v>470538.15032952448</v>
      </c>
      <c r="X116" s="5">
        <v>246390.96377241012</v>
      </c>
      <c r="Y116" s="5">
        <v>838169.19702947477</v>
      </c>
      <c r="Z116" s="5">
        <v>334170.01729971525</v>
      </c>
      <c r="AA116" s="5">
        <v>849848.11587831029</v>
      </c>
      <c r="AB116" s="5">
        <v>0</v>
      </c>
      <c r="AC116" s="5">
        <v>7934137.3333408162</v>
      </c>
      <c r="AD116" s="75"/>
    </row>
    <row r="117" spans="1:30" ht="15" customHeight="1" x14ac:dyDescent="0.3">
      <c r="A117" s="31" t="s">
        <v>21</v>
      </c>
      <c r="B117" s="5">
        <v>700828</v>
      </c>
      <c r="C117" s="5">
        <v>627851</v>
      </c>
      <c r="D117" s="5">
        <v>69693</v>
      </c>
      <c r="E117" s="5">
        <v>203168</v>
      </c>
      <c r="F117" s="5">
        <v>18810</v>
      </c>
      <c r="G117" s="5">
        <v>88356</v>
      </c>
      <c r="H117" s="5">
        <v>206737</v>
      </c>
      <c r="I117" s="5">
        <v>65269</v>
      </c>
      <c r="J117" s="5">
        <v>131216</v>
      </c>
      <c r="K117" s="5">
        <v>122838</v>
      </c>
      <c r="L117" s="5">
        <v>216893</v>
      </c>
      <c r="M117" s="5">
        <v>0</v>
      </c>
      <c r="N117" s="5">
        <v>2451659</v>
      </c>
      <c r="O117" s="75"/>
      <c r="P117" s="31" t="s">
        <v>21</v>
      </c>
      <c r="Q117" s="5">
        <v>86242.541310013301</v>
      </c>
      <c r="R117" s="5">
        <v>107243.91827536428</v>
      </c>
      <c r="S117" s="5">
        <v>18591.441329876998</v>
      </c>
      <c r="T117" s="5">
        <v>71996.827109785416</v>
      </c>
      <c r="U117" s="5">
        <v>5153.1981672746306</v>
      </c>
      <c r="V117" s="5">
        <v>23006.685833626307</v>
      </c>
      <c r="W117" s="5">
        <v>33897.741109326067</v>
      </c>
      <c r="X117" s="5">
        <v>14017.554613437462</v>
      </c>
      <c r="Y117" s="5">
        <v>35952.9598872118</v>
      </c>
      <c r="Z117" s="5">
        <v>22373.89947963721</v>
      </c>
      <c r="AA117" s="5">
        <v>51886.698530334565</v>
      </c>
      <c r="AB117" s="5">
        <v>0</v>
      </c>
      <c r="AC117" s="5">
        <v>470363.46564588806</v>
      </c>
      <c r="AD117" s="75"/>
    </row>
    <row r="118" spans="1:30" ht="15" customHeight="1" x14ac:dyDescent="0.3">
      <c r="A118" s="31" t="s">
        <v>22</v>
      </c>
      <c r="B118" s="5">
        <v>610140</v>
      </c>
      <c r="C118" s="5">
        <v>453687</v>
      </c>
      <c r="D118" s="5">
        <v>69381</v>
      </c>
      <c r="E118" s="5">
        <v>177617</v>
      </c>
      <c r="F118" s="5">
        <v>13734</v>
      </c>
      <c r="G118" s="5">
        <v>67526</v>
      </c>
      <c r="H118" s="5">
        <v>94219</v>
      </c>
      <c r="I118" s="5">
        <v>48706</v>
      </c>
      <c r="J118" s="5">
        <v>114631</v>
      </c>
      <c r="K118" s="5">
        <v>81754</v>
      </c>
      <c r="L118" s="5">
        <v>148820</v>
      </c>
      <c r="M118" s="5">
        <v>0</v>
      </c>
      <c r="N118" s="5">
        <v>1880215</v>
      </c>
      <c r="O118" s="75"/>
      <c r="P118" s="31" t="s">
        <v>22</v>
      </c>
      <c r="Q118" s="5">
        <v>55531.904428666152</v>
      </c>
      <c r="R118" s="5">
        <v>63223.377998984397</v>
      </c>
      <c r="S118" s="5">
        <v>13744.832607352015</v>
      </c>
      <c r="T118" s="5">
        <v>49448.242946511775</v>
      </c>
      <c r="U118" s="5">
        <v>3401.0038405949485</v>
      </c>
      <c r="V118" s="5">
        <v>14477.438780561934</v>
      </c>
      <c r="W118" s="5">
        <v>15083.487682974031</v>
      </c>
      <c r="X118" s="5">
        <v>8655.8043238621958</v>
      </c>
      <c r="Y118" s="5">
        <v>30388.0049656513</v>
      </c>
      <c r="Z118" s="5">
        <v>10978.397617517969</v>
      </c>
      <c r="AA118" s="5">
        <v>28232.966368544752</v>
      </c>
      <c r="AB118" s="5">
        <v>0</v>
      </c>
      <c r="AC118" s="5">
        <v>293165.46156122145</v>
      </c>
      <c r="AD118" s="75"/>
    </row>
    <row r="119" spans="1:30" ht="15" customHeight="1" x14ac:dyDescent="0.3">
      <c r="A119" s="31" t="s">
        <v>23</v>
      </c>
      <c r="B119" s="5">
        <v>1375599</v>
      </c>
      <c r="C119" s="5">
        <v>1096603</v>
      </c>
      <c r="D119" s="5">
        <v>173817</v>
      </c>
      <c r="E119" s="5">
        <v>492338</v>
      </c>
      <c r="F119" s="5">
        <v>46382</v>
      </c>
      <c r="G119" s="5">
        <v>152698</v>
      </c>
      <c r="H119" s="5">
        <v>282861</v>
      </c>
      <c r="I119" s="5">
        <v>109543</v>
      </c>
      <c r="J119" s="5">
        <v>252262</v>
      </c>
      <c r="K119" s="5">
        <v>207549</v>
      </c>
      <c r="L119" s="5">
        <v>452812</v>
      </c>
      <c r="M119" s="5">
        <v>30</v>
      </c>
      <c r="N119" s="5">
        <v>4642494</v>
      </c>
      <c r="O119" s="75"/>
      <c r="P119" s="31" t="s">
        <v>23</v>
      </c>
      <c r="Q119" s="5">
        <v>251920.26875853463</v>
      </c>
      <c r="R119" s="5">
        <v>194880.37206092541</v>
      </c>
      <c r="S119" s="5">
        <v>51861.743575529363</v>
      </c>
      <c r="T119" s="5">
        <v>135535.70703737845</v>
      </c>
      <c r="U119" s="5">
        <v>14536.261174031344</v>
      </c>
      <c r="V119" s="5">
        <v>45508.925080833134</v>
      </c>
      <c r="W119" s="5">
        <v>63749.214546665477</v>
      </c>
      <c r="X119" s="5">
        <v>30352.355030215294</v>
      </c>
      <c r="Y119" s="5">
        <v>83308.551623630032</v>
      </c>
      <c r="Z119" s="5">
        <v>39462.69603088656</v>
      </c>
      <c r="AA119" s="5">
        <v>108685.95816375072</v>
      </c>
      <c r="AB119" s="5">
        <v>0</v>
      </c>
      <c r="AC119" s="5">
        <v>1019802.0530823804</v>
      </c>
      <c r="AD119" s="75"/>
    </row>
    <row r="120" spans="1:30" ht="15" customHeight="1" x14ac:dyDescent="0.3">
      <c r="A120" s="31" t="s">
        <v>24</v>
      </c>
      <c r="B120" s="5">
        <v>429422</v>
      </c>
      <c r="C120" s="5">
        <v>273346</v>
      </c>
      <c r="D120" s="5">
        <v>49194</v>
      </c>
      <c r="E120" s="5">
        <v>118301</v>
      </c>
      <c r="F120" s="5">
        <v>12118</v>
      </c>
      <c r="G120" s="5">
        <v>29457</v>
      </c>
      <c r="H120" s="5">
        <v>61958</v>
      </c>
      <c r="I120" s="5">
        <v>25903</v>
      </c>
      <c r="J120" s="5">
        <v>77074</v>
      </c>
      <c r="K120" s="5">
        <v>55531</v>
      </c>
      <c r="L120" s="5">
        <v>187217</v>
      </c>
      <c r="M120" s="5">
        <v>0</v>
      </c>
      <c r="N120" s="5">
        <v>1319521</v>
      </c>
      <c r="O120" s="75"/>
      <c r="P120" s="31" t="s">
        <v>24</v>
      </c>
      <c r="Q120" s="5">
        <v>77533.262082997098</v>
      </c>
      <c r="R120" s="5">
        <v>50072.116816641872</v>
      </c>
      <c r="S120" s="5">
        <v>16288.455500711027</v>
      </c>
      <c r="T120" s="5">
        <v>41072.290615822218</v>
      </c>
      <c r="U120" s="5">
        <v>3504.3886533593654</v>
      </c>
      <c r="V120" s="5">
        <v>15687.754088614329</v>
      </c>
      <c r="W120" s="5">
        <v>20789.259849506754</v>
      </c>
      <c r="X120" s="5">
        <v>9181.640871543279</v>
      </c>
      <c r="Y120" s="5">
        <v>37368.262324021227</v>
      </c>
      <c r="Z120" s="5">
        <v>14177.979322899486</v>
      </c>
      <c r="AA120" s="5">
        <v>34721.254617897794</v>
      </c>
      <c r="AB120" s="5">
        <v>0</v>
      </c>
      <c r="AC120" s="5">
        <v>320396.6647440145</v>
      </c>
      <c r="AD120" s="75"/>
    </row>
    <row r="121" spans="1:30" ht="15" customHeight="1" x14ac:dyDescent="0.3">
      <c r="A121" s="31" t="s">
        <v>25</v>
      </c>
      <c r="B121" s="5">
        <v>60618</v>
      </c>
      <c r="C121" s="5">
        <v>42568</v>
      </c>
      <c r="D121" s="5">
        <v>7750</v>
      </c>
      <c r="E121" s="5">
        <v>24453</v>
      </c>
      <c r="F121" s="5">
        <v>2764</v>
      </c>
      <c r="G121" s="5">
        <v>14428</v>
      </c>
      <c r="H121" s="5">
        <v>6580</v>
      </c>
      <c r="I121" s="5">
        <v>9067</v>
      </c>
      <c r="J121" s="5">
        <v>33325</v>
      </c>
      <c r="K121" s="5">
        <v>20331</v>
      </c>
      <c r="L121" s="5">
        <v>21963</v>
      </c>
      <c r="M121" s="5">
        <v>0</v>
      </c>
      <c r="N121" s="5">
        <v>243847</v>
      </c>
      <c r="O121" s="75"/>
      <c r="P121" s="31" t="s">
        <v>25</v>
      </c>
      <c r="Q121" s="5">
        <v>25397.014004610497</v>
      </c>
      <c r="R121" s="5">
        <v>20070.913650471233</v>
      </c>
      <c r="S121" s="5">
        <v>4208.4748782204788</v>
      </c>
      <c r="T121" s="5">
        <v>14716.293347983172</v>
      </c>
      <c r="U121" s="5">
        <v>1201.4028241933938</v>
      </c>
      <c r="V121" s="5">
        <v>5065.8558254564168</v>
      </c>
      <c r="W121" s="5">
        <v>2622.0527513182228</v>
      </c>
      <c r="X121" s="5">
        <v>2889.427267088266</v>
      </c>
      <c r="Y121" s="5">
        <v>12267.142783529578</v>
      </c>
      <c r="Z121" s="5">
        <v>5752.1170825995268</v>
      </c>
      <c r="AA121" s="5">
        <v>10614.768276070712</v>
      </c>
      <c r="AB121" s="5">
        <v>0</v>
      </c>
      <c r="AC121" s="5">
        <v>104805.46269154147</v>
      </c>
      <c r="AD121" s="75"/>
    </row>
    <row r="122" spans="1:30" ht="15" customHeight="1" x14ac:dyDescent="0.3">
      <c r="A122" s="31" t="s">
        <v>26</v>
      </c>
      <c r="B122" s="5">
        <v>330294</v>
      </c>
      <c r="C122" s="5">
        <v>257337</v>
      </c>
      <c r="D122" s="5">
        <v>48849</v>
      </c>
      <c r="E122" s="5">
        <v>138418</v>
      </c>
      <c r="F122" s="5">
        <v>13226</v>
      </c>
      <c r="G122" s="5">
        <v>59298</v>
      </c>
      <c r="H122" s="5">
        <v>29081</v>
      </c>
      <c r="I122" s="5">
        <v>28069</v>
      </c>
      <c r="J122" s="5">
        <v>82652</v>
      </c>
      <c r="K122" s="5">
        <v>66981</v>
      </c>
      <c r="L122" s="5">
        <v>116588</v>
      </c>
      <c r="M122" s="5">
        <v>0</v>
      </c>
      <c r="N122" s="5">
        <v>1170793</v>
      </c>
      <c r="O122" s="75"/>
      <c r="P122" s="31" t="s">
        <v>26</v>
      </c>
      <c r="Q122" s="5">
        <v>83937.772984075535</v>
      </c>
      <c r="R122" s="5">
        <v>72126.949374126823</v>
      </c>
      <c r="S122" s="5">
        <v>19044.195509914269</v>
      </c>
      <c r="T122" s="5">
        <v>62699.323948075107</v>
      </c>
      <c r="U122" s="5">
        <v>5240.5405090928452</v>
      </c>
      <c r="V122" s="5">
        <v>22142.174899303169</v>
      </c>
      <c r="W122" s="5">
        <v>16117.3358106182</v>
      </c>
      <c r="X122" s="5">
        <v>9400.8879744747155</v>
      </c>
      <c r="Y122" s="5">
        <v>39523.300921127775</v>
      </c>
      <c r="Z122" s="5">
        <v>19136.885342047884</v>
      </c>
      <c r="AA122" s="5">
        <v>36758.648428065528</v>
      </c>
      <c r="AB122" s="5">
        <v>3.5649935436005751</v>
      </c>
      <c r="AC122" s="5">
        <v>386131.58069446549</v>
      </c>
      <c r="AD122" s="75"/>
    </row>
    <row r="123" spans="1:30" ht="15" customHeight="1" x14ac:dyDescent="0.3">
      <c r="A123" s="31" t="s">
        <v>27</v>
      </c>
      <c r="B123" s="5">
        <v>52260</v>
      </c>
      <c r="C123" s="5">
        <v>28892</v>
      </c>
      <c r="D123" s="5">
        <v>5018</v>
      </c>
      <c r="E123" s="5">
        <v>20330</v>
      </c>
      <c r="F123" s="5">
        <v>2386</v>
      </c>
      <c r="G123" s="5">
        <v>7615</v>
      </c>
      <c r="H123" s="5">
        <v>3935</v>
      </c>
      <c r="I123" s="5">
        <v>6445</v>
      </c>
      <c r="J123" s="5">
        <v>13010</v>
      </c>
      <c r="K123" s="5">
        <v>8810</v>
      </c>
      <c r="L123" s="5">
        <v>16390</v>
      </c>
      <c r="M123" s="5">
        <v>0</v>
      </c>
      <c r="N123" s="5">
        <v>165091</v>
      </c>
      <c r="O123" s="75"/>
      <c r="P123" s="31" t="s">
        <v>27</v>
      </c>
      <c r="Q123" s="5">
        <v>10420.476127944481</v>
      </c>
      <c r="R123" s="5">
        <v>8081.8403633425023</v>
      </c>
      <c r="S123" s="5">
        <v>2064.1312617447329</v>
      </c>
      <c r="T123" s="5">
        <v>7661.1711251976349</v>
      </c>
      <c r="U123" s="5">
        <v>329.76190278305319</v>
      </c>
      <c r="V123" s="5">
        <v>1975.0064231547185</v>
      </c>
      <c r="W123" s="5">
        <v>1536.5122172918477</v>
      </c>
      <c r="X123" s="5">
        <v>942.94079228235194</v>
      </c>
      <c r="Y123" s="5">
        <v>4154.9999750664701</v>
      </c>
      <c r="Z123" s="5">
        <v>1495.5147915404411</v>
      </c>
      <c r="AA123" s="5">
        <v>4916.126096625193</v>
      </c>
      <c r="AB123" s="5">
        <v>0</v>
      </c>
      <c r="AC123" s="5">
        <v>43578.481076973425</v>
      </c>
      <c r="AD123" s="75"/>
    </row>
    <row r="124" spans="1:30" ht="15" customHeight="1" x14ac:dyDescent="0.3">
      <c r="A124" s="31" t="s">
        <v>28</v>
      </c>
      <c r="B124" s="5">
        <v>65902</v>
      </c>
      <c r="C124" s="5">
        <v>83542</v>
      </c>
      <c r="D124" s="5">
        <v>8404</v>
      </c>
      <c r="E124" s="5">
        <v>32846</v>
      </c>
      <c r="F124" s="5">
        <v>1699</v>
      </c>
      <c r="G124" s="5">
        <v>13789</v>
      </c>
      <c r="H124" s="5">
        <v>8846</v>
      </c>
      <c r="I124" s="5">
        <v>9657</v>
      </c>
      <c r="J124" s="5">
        <v>26301</v>
      </c>
      <c r="K124" s="5">
        <v>16035</v>
      </c>
      <c r="L124" s="5">
        <v>39684</v>
      </c>
      <c r="M124" s="5">
        <v>0</v>
      </c>
      <c r="N124" s="5">
        <v>306705</v>
      </c>
      <c r="O124" s="75"/>
      <c r="P124" s="31" t="s">
        <v>28</v>
      </c>
      <c r="Q124" s="5">
        <v>23651.949665018012</v>
      </c>
      <c r="R124" s="5">
        <v>39370.006198752941</v>
      </c>
      <c r="S124" s="5">
        <v>4996.338451356206</v>
      </c>
      <c r="T124" s="5">
        <v>22559.279143904438</v>
      </c>
      <c r="U124" s="5">
        <v>2028.4813263087269</v>
      </c>
      <c r="V124" s="5">
        <v>7589.8712543256233</v>
      </c>
      <c r="W124" s="5">
        <v>4932.1685675713952</v>
      </c>
      <c r="X124" s="5">
        <v>3361.7889116153419</v>
      </c>
      <c r="Y124" s="5">
        <v>15810.746365868548</v>
      </c>
      <c r="Z124" s="5">
        <v>5864.4143792229452</v>
      </c>
      <c r="AA124" s="5">
        <v>16775.077119412505</v>
      </c>
      <c r="AB124" s="5">
        <v>0</v>
      </c>
      <c r="AC124" s="5">
        <v>146940.12138335669</v>
      </c>
      <c r="AD124" s="75"/>
    </row>
    <row r="125" spans="1:30" ht="15" customHeight="1" x14ac:dyDescent="0.3">
      <c r="A125" s="31" t="s">
        <v>478</v>
      </c>
      <c r="B125" s="5">
        <v>0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75"/>
      <c r="P125" s="31" t="s">
        <v>478</v>
      </c>
      <c r="Q125" s="5">
        <v>14655.688457741964</v>
      </c>
      <c r="R125" s="5">
        <v>25471.878869026106</v>
      </c>
      <c r="S125" s="5">
        <v>4409.8970134339115</v>
      </c>
      <c r="T125" s="5">
        <v>19625.289457521165</v>
      </c>
      <c r="U125" s="5">
        <v>1295.8751530988088</v>
      </c>
      <c r="V125" s="5">
        <v>6402.728404306632</v>
      </c>
      <c r="W125" s="5">
        <v>7445.4890158097996</v>
      </c>
      <c r="X125" s="5">
        <v>3534.6910984799702</v>
      </c>
      <c r="Y125" s="5">
        <v>11299.247036442022</v>
      </c>
      <c r="Z125" s="5">
        <v>4638.0566002243477</v>
      </c>
      <c r="AA125" s="5">
        <v>13454.28563354857</v>
      </c>
      <c r="AB125" s="5">
        <v>0</v>
      </c>
      <c r="AC125" s="5">
        <v>112233.1267396333</v>
      </c>
      <c r="AD125" s="75"/>
    </row>
    <row r="126" spans="1:30" ht="15" customHeight="1" x14ac:dyDescent="0.3">
      <c r="A126" s="29" t="s">
        <v>60</v>
      </c>
      <c r="B126" s="57">
        <v>13325020</v>
      </c>
      <c r="C126" s="57">
        <v>9684196</v>
      </c>
      <c r="D126" s="57">
        <v>1422693</v>
      </c>
      <c r="E126" s="57">
        <v>4148341</v>
      </c>
      <c r="F126" s="57">
        <v>394534</v>
      </c>
      <c r="G126" s="57">
        <v>1377793</v>
      </c>
      <c r="H126" s="57">
        <v>1787510</v>
      </c>
      <c r="I126" s="57">
        <v>1202667</v>
      </c>
      <c r="J126" s="57">
        <v>2442881</v>
      </c>
      <c r="K126" s="57">
        <v>1960423</v>
      </c>
      <c r="L126" s="57">
        <v>4412101</v>
      </c>
      <c r="M126" s="57">
        <v>65</v>
      </c>
      <c r="N126" s="57">
        <v>42158224</v>
      </c>
      <c r="O126" s="75"/>
      <c r="P126" s="29" t="s">
        <v>60</v>
      </c>
      <c r="Q126" s="57">
        <v>2513609.2127154367</v>
      </c>
      <c r="R126" s="57">
        <v>2445542.7909874707</v>
      </c>
      <c r="S126" s="57">
        <v>546308.52310521097</v>
      </c>
      <c r="T126" s="57">
        <v>2100146.6090189577</v>
      </c>
      <c r="U126" s="57">
        <v>173903.95005037964</v>
      </c>
      <c r="V126" s="57">
        <v>696350.18887150032</v>
      </c>
      <c r="W126" s="57">
        <v>754865.99289616023</v>
      </c>
      <c r="X126" s="57">
        <v>395687.54588808666</v>
      </c>
      <c r="Y126" s="57">
        <v>1308951.5494167358</v>
      </c>
      <c r="Z126" s="57">
        <v>552328.01470358064</v>
      </c>
      <c r="AA126" s="57">
        <v>1380465.3199013637</v>
      </c>
      <c r="AB126" s="57">
        <v>30.302445120604887</v>
      </c>
      <c r="AC126" s="57">
        <v>12868190.000000004</v>
      </c>
      <c r="AD126" s="75"/>
    </row>
    <row r="127" spans="1:30" ht="15" customHeight="1" x14ac:dyDescent="0.3">
      <c r="A127" s="3" t="s">
        <v>78</v>
      </c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P127" s="3" t="s">
        <v>78</v>
      </c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</row>
    <row r="128" spans="1:30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6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860"/>
  <sheetViews>
    <sheetView showGridLines="0" zoomScaleNormal="100" workbookViewId="0"/>
  </sheetViews>
  <sheetFormatPr baseColWidth="10" defaultColWidth="33.109375" defaultRowHeight="13.8" x14ac:dyDescent="0.3"/>
  <cols>
    <col min="1" max="1" width="35" style="3" customWidth="1"/>
    <col min="2" max="5" width="15.6640625" style="6" customWidth="1"/>
    <col min="6" max="14" width="15.6640625" style="3" customWidth="1"/>
    <col min="15" max="15" width="11" style="3" customWidth="1"/>
    <col min="16" max="16" width="30.6640625" style="3" customWidth="1"/>
    <col min="17" max="30" width="15.6640625" style="3" customWidth="1"/>
    <col min="31" max="31" width="25.6640625" style="3" customWidth="1"/>
    <col min="32" max="32" width="17.109375" style="3" customWidth="1"/>
    <col min="33" max="33" width="16.88671875" style="3" customWidth="1"/>
    <col min="34" max="35" width="18.88671875" style="3" bestFit="1" customWidth="1"/>
    <col min="36" max="47" width="15.6640625" style="3" customWidth="1"/>
    <col min="48" max="16384" width="33.109375" style="3"/>
  </cols>
  <sheetData>
    <row r="1" spans="1:5" ht="18" x14ac:dyDescent="0.35">
      <c r="A1" s="1" t="s">
        <v>205</v>
      </c>
    </row>
    <row r="2" spans="1:5" x14ac:dyDescent="0.3">
      <c r="A2" s="7"/>
    </row>
    <row r="3" spans="1:5" x14ac:dyDescent="0.3">
      <c r="A3" s="7" t="s">
        <v>170</v>
      </c>
    </row>
    <row r="4" spans="1:5" x14ac:dyDescent="0.3">
      <c r="A4" s="7" t="s">
        <v>399</v>
      </c>
    </row>
    <row r="5" spans="1:5" x14ac:dyDescent="0.3">
      <c r="A5" s="8" t="s">
        <v>208</v>
      </c>
      <c r="B5" s="8" t="s">
        <v>0</v>
      </c>
      <c r="C5" s="8" t="s">
        <v>1</v>
      </c>
      <c r="D5" s="8" t="s">
        <v>59</v>
      </c>
    </row>
    <row r="6" spans="1:5" x14ac:dyDescent="0.3">
      <c r="A6" s="31" t="s">
        <v>9</v>
      </c>
      <c r="B6" s="4">
        <v>103327</v>
      </c>
      <c r="C6" s="4">
        <v>115494</v>
      </c>
      <c r="D6" s="4">
        <v>218821</v>
      </c>
      <c r="E6" s="54"/>
    </row>
    <row r="7" spans="1:5" x14ac:dyDescent="0.3">
      <c r="A7" s="31" t="s">
        <v>10</v>
      </c>
      <c r="B7" s="5">
        <v>47648</v>
      </c>
      <c r="C7" s="5">
        <v>37620</v>
      </c>
      <c r="D7" s="5">
        <v>85268</v>
      </c>
      <c r="E7" s="54"/>
    </row>
    <row r="8" spans="1:5" x14ac:dyDescent="0.3">
      <c r="A8" s="31" t="s">
        <v>11</v>
      </c>
      <c r="B8" s="5">
        <v>6946</v>
      </c>
      <c r="C8" s="5">
        <v>12663</v>
      </c>
      <c r="D8" s="5">
        <v>19609</v>
      </c>
      <c r="E8" s="54"/>
    </row>
    <row r="9" spans="1:5" x14ac:dyDescent="0.3">
      <c r="A9" s="31" t="s">
        <v>480</v>
      </c>
      <c r="B9" s="5">
        <v>8368</v>
      </c>
      <c r="C9" s="5">
        <v>12416</v>
      </c>
      <c r="D9" s="5">
        <v>20784</v>
      </c>
      <c r="E9" s="54"/>
    </row>
    <row r="10" spans="1:5" x14ac:dyDescent="0.3">
      <c r="A10" s="31" t="s">
        <v>13</v>
      </c>
      <c r="B10" s="5">
        <v>2737</v>
      </c>
      <c r="C10" s="5">
        <v>5732</v>
      </c>
      <c r="D10" s="5">
        <v>8469</v>
      </c>
      <c r="E10" s="54"/>
    </row>
    <row r="11" spans="1:5" x14ac:dyDescent="0.3">
      <c r="A11" s="31" t="s">
        <v>223</v>
      </c>
      <c r="B11" s="5">
        <v>3228</v>
      </c>
      <c r="C11" s="5">
        <v>4623</v>
      </c>
      <c r="D11" s="5">
        <v>7851</v>
      </c>
      <c r="E11" s="54"/>
    </row>
    <row r="12" spans="1:5" x14ac:dyDescent="0.3">
      <c r="A12" s="31" t="s">
        <v>224</v>
      </c>
      <c r="B12" s="5">
        <v>2424</v>
      </c>
      <c r="C12" s="5">
        <v>3500</v>
      </c>
      <c r="D12" s="5">
        <v>5924</v>
      </c>
      <c r="E12" s="54"/>
    </row>
    <row r="13" spans="1:5" x14ac:dyDescent="0.3">
      <c r="A13" s="31" t="s">
        <v>481</v>
      </c>
      <c r="B13" s="5">
        <v>3163</v>
      </c>
      <c r="C13" s="5">
        <v>3213</v>
      </c>
      <c r="D13" s="5">
        <v>6376</v>
      </c>
      <c r="E13" s="54"/>
    </row>
    <row r="14" spans="1:5" x14ac:dyDescent="0.3">
      <c r="A14" s="31" t="s">
        <v>226</v>
      </c>
      <c r="B14" s="5">
        <v>2830</v>
      </c>
      <c r="C14" s="5">
        <v>3533</v>
      </c>
      <c r="D14" s="5">
        <v>6363</v>
      </c>
      <c r="E14" s="54"/>
    </row>
    <row r="15" spans="1:5" x14ac:dyDescent="0.3">
      <c r="A15" s="31" t="s">
        <v>263</v>
      </c>
      <c r="B15" s="5">
        <v>5113</v>
      </c>
      <c r="C15" s="5">
        <v>2857</v>
      </c>
      <c r="D15" s="5">
        <v>7970</v>
      </c>
      <c r="E15" s="54"/>
    </row>
    <row r="16" spans="1:5" x14ac:dyDescent="0.3">
      <c r="A16" s="31" t="s">
        <v>31</v>
      </c>
      <c r="B16" s="5">
        <v>16310</v>
      </c>
      <c r="C16" s="5">
        <v>15462</v>
      </c>
      <c r="D16" s="5">
        <v>31772</v>
      </c>
      <c r="E16" s="54"/>
    </row>
    <row r="17" spans="1:30" x14ac:dyDescent="0.3">
      <c r="A17" s="31" t="s">
        <v>478</v>
      </c>
      <c r="B17" s="5">
        <v>0</v>
      </c>
      <c r="C17" s="5">
        <v>8</v>
      </c>
      <c r="D17" s="5">
        <v>8</v>
      </c>
      <c r="E17" s="54"/>
    </row>
    <row r="18" spans="1:30" x14ac:dyDescent="0.3">
      <c r="A18" s="29" t="s">
        <v>60</v>
      </c>
      <c r="B18" s="57">
        <v>202094</v>
      </c>
      <c r="C18" s="57">
        <v>217121</v>
      </c>
      <c r="D18" s="57">
        <v>419215</v>
      </c>
      <c r="E18" s="54"/>
    </row>
    <row r="19" spans="1:30" x14ac:dyDescent="0.3">
      <c r="B19" s="73"/>
      <c r="C19" s="73"/>
      <c r="D19" s="73"/>
    </row>
    <row r="21" spans="1:30" x14ac:dyDescent="0.3">
      <c r="A21" s="7" t="s">
        <v>171</v>
      </c>
      <c r="P21" s="7" t="s">
        <v>174</v>
      </c>
      <c r="Q21" s="6"/>
      <c r="R21" s="6"/>
      <c r="S21" s="6"/>
      <c r="T21" s="6"/>
    </row>
    <row r="22" spans="1:30" x14ac:dyDescent="0.3">
      <c r="A22" s="7" t="s">
        <v>400</v>
      </c>
      <c r="P22" s="7" t="s">
        <v>401</v>
      </c>
      <c r="Q22" s="6"/>
      <c r="R22" s="6"/>
      <c r="S22" s="6"/>
      <c r="T22" s="6"/>
    </row>
    <row r="23" spans="1:30" ht="41.4" x14ac:dyDescent="0.3">
      <c r="A23" s="44" t="s">
        <v>66</v>
      </c>
      <c r="B23" s="44" t="s">
        <v>9</v>
      </c>
      <c r="C23" s="44" t="s">
        <v>10</v>
      </c>
      <c r="D23" s="44" t="s">
        <v>11</v>
      </c>
      <c r="E23" s="44" t="s">
        <v>12</v>
      </c>
      <c r="F23" s="44" t="s">
        <v>13</v>
      </c>
      <c r="G23" s="44" t="s">
        <v>223</v>
      </c>
      <c r="H23" s="44" t="s">
        <v>224</v>
      </c>
      <c r="I23" s="44" t="s">
        <v>225</v>
      </c>
      <c r="J23" s="44" t="s">
        <v>226</v>
      </c>
      <c r="K23" s="44" t="s">
        <v>263</v>
      </c>
      <c r="L23" s="44" t="s">
        <v>31</v>
      </c>
      <c r="M23" s="44" t="s">
        <v>478</v>
      </c>
      <c r="N23" s="44" t="s">
        <v>64</v>
      </c>
      <c r="P23" s="44" t="s">
        <v>66</v>
      </c>
      <c r="Q23" s="44" t="s">
        <v>9</v>
      </c>
      <c r="R23" s="44" t="s">
        <v>10</v>
      </c>
      <c r="S23" s="44" t="s">
        <v>11</v>
      </c>
      <c r="T23" s="44" t="s">
        <v>12</v>
      </c>
      <c r="U23" s="44" t="s">
        <v>13</v>
      </c>
      <c r="V23" s="44" t="s">
        <v>223</v>
      </c>
      <c r="W23" s="44" t="s">
        <v>224</v>
      </c>
      <c r="X23" s="44" t="s">
        <v>225</v>
      </c>
      <c r="Y23" s="44" t="s">
        <v>226</v>
      </c>
      <c r="Z23" s="44" t="s">
        <v>263</v>
      </c>
      <c r="AA23" s="44" t="s">
        <v>31</v>
      </c>
      <c r="AB23" s="44" t="s">
        <v>478</v>
      </c>
      <c r="AC23" s="44" t="s">
        <v>64</v>
      </c>
    </row>
    <row r="24" spans="1:30" x14ac:dyDescent="0.3">
      <c r="A24" s="22" t="s">
        <v>5</v>
      </c>
      <c r="B24" s="4">
        <v>20471</v>
      </c>
      <c r="C24" s="4">
        <v>18509</v>
      </c>
      <c r="D24" s="23">
        <v>2618</v>
      </c>
      <c r="E24" s="23">
        <v>4899</v>
      </c>
      <c r="F24" s="23">
        <v>1149</v>
      </c>
      <c r="G24" s="23">
        <v>1701</v>
      </c>
      <c r="H24" s="23">
        <v>0</v>
      </c>
      <c r="I24" s="23">
        <v>1171</v>
      </c>
      <c r="J24" s="23">
        <v>1429</v>
      </c>
      <c r="K24" s="23">
        <v>3494</v>
      </c>
      <c r="L24" s="23">
        <v>7135</v>
      </c>
      <c r="M24" s="23">
        <v>0</v>
      </c>
      <c r="N24" s="23">
        <v>62576</v>
      </c>
      <c r="O24" s="76"/>
      <c r="P24" s="22" t="s">
        <v>5</v>
      </c>
      <c r="Q24" s="4">
        <v>43886</v>
      </c>
      <c r="R24" s="4">
        <v>21955</v>
      </c>
      <c r="S24" s="23">
        <v>6397</v>
      </c>
      <c r="T24" s="23">
        <v>8622</v>
      </c>
      <c r="U24" s="23">
        <v>3390</v>
      </c>
      <c r="V24" s="23">
        <v>2730</v>
      </c>
      <c r="W24" s="23">
        <v>35</v>
      </c>
      <c r="X24" s="23">
        <v>1334</v>
      </c>
      <c r="Y24" s="23">
        <v>1839</v>
      </c>
      <c r="Z24" s="23">
        <v>1923</v>
      </c>
      <c r="AA24" s="23">
        <v>8042</v>
      </c>
      <c r="AB24" s="23">
        <v>5</v>
      </c>
      <c r="AC24" s="23">
        <v>100158</v>
      </c>
      <c r="AD24" s="76"/>
    </row>
    <row r="25" spans="1:30" x14ac:dyDescent="0.3">
      <c r="A25" s="25" t="s">
        <v>6</v>
      </c>
      <c r="B25" s="5">
        <v>82856</v>
      </c>
      <c r="C25" s="5">
        <v>29139</v>
      </c>
      <c r="D25" s="14">
        <v>4328</v>
      </c>
      <c r="E25" s="14">
        <v>3469</v>
      </c>
      <c r="F25" s="14">
        <v>1588</v>
      </c>
      <c r="G25" s="14">
        <v>1527</v>
      </c>
      <c r="H25" s="14">
        <v>2424</v>
      </c>
      <c r="I25" s="14">
        <v>1992</v>
      </c>
      <c r="J25" s="14">
        <v>1401</v>
      </c>
      <c r="K25" s="14">
        <v>1619</v>
      </c>
      <c r="L25" s="14">
        <v>9175</v>
      </c>
      <c r="M25" s="14">
        <v>0</v>
      </c>
      <c r="N25" s="14">
        <v>139518</v>
      </c>
      <c r="O25" s="75"/>
      <c r="P25" s="25" t="s">
        <v>6</v>
      </c>
      <c r="Q25" s="5">
        <v>71608</v>
      </c>
      <c r="R25" s="5">
        <v>15665</v>
      </c>
      <c r="S25" s="14">
        <v>6266</v>
      </c>
      <c r="T25" s="14">
        <v>3794</v>
      </c>
      <c r="U25" s="14">
        <v>2342</v>
      </c>
      <c r="V25" s="14">
        <v>1893</v>
      </c>
      <c r="W25" s="14">
        <v>3465</v>
      </c>
      <c r="X25" s="14">
        <v>1879</v>
      </c>
      <c r="Y25" s="14">
        <v>1694</v>
      </c>
      <c r="Z25" s="14">
        <v>934</v>
      </c>
      <c r="AA25" s="14">
        <v>7420</v>
      </c>
      <c r="AB25" s="14">
        <v>3</v>
      </c>
      <c r="AC25" s="14">
        <v>116963</v>
      </c>
      <c r="AD25" s="75"/>
    </row>
    <row r="26" spans="1:30" x14ac:dyDescent="0.3">
      <c r="A26" s="25" t="s">
        <v>478</v>
      </c>
      <c r="B26" s="5">
        <v>0</v>
      </c>
      <c r="C26" s="5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75"/>
      <c r="P26" s="25" t="s">
        <v>478</v>
      </c>
      <c r="Q26" s="5">
        <v>0</v>
      </c>
      <c r="R26" s="5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75"/>
    </row>
    <row r="27" spans="1:30" x14ac:dyDescent="0.3">
      <c r="A27" s="29" t="s">
        <v>60</v>
      </c>
      <c r="B27" s="57">
        <v>103327</v>
      </c>
      <c r="C27" s="57">
        <v>47648</v>
      </c>
      <c r="D27" s="57">
        <v>6946</v>
      </c>
      <c r="E27" s="57">
        <v>8368</v>
      </c>
      <c r="F27" s="57">
        <v>2737</v>
      </c>
      <c r="G27" s="57">
        <v>3228</v>
      </c>
      <c r="H27" s="57">
        <v>2424</v>
      </c>
      <c r="I27" s="57">
        <v>3163</v>
      </c>
      <c r="J27" s="57">
        <v>2830</v>
      </c>
      <c r="K27" s="57">
        <v>5113</v>
      </c>
      <c r="L27" s="57">
        <v>16310</v>
      </c>
      <c r="M27" s="57">
        <v>0</v>
      </c>
      <c r="N27" s="57">
        <v>202094</v>
      </c>
      <c r="O27" s="75"/>
      <c r="P27" s="29" t="s">
        <v>60</v>
      </c>
      <c r="Q27" s="57">
        <v>115494</v>
      </c>
      <c r="R27" s="57">
        <v>37620</v>
      </c>
      <c r="S27" s="57">
        <v>12663</v>
      </c>
      <c r="T27" s="57">
        <v>12416</v>
      </c>
      <c r="U27" s="57">
        <v>5732</v>
      </c>
      <c r="V27" s="57">
        <v>4623</v>
      </c>
      <c r="W27" s="57">
        <v>3500</v>
      </c>
      <c r="X27" s="57">
        <v>3213</v>
      </c>
      <c r="Y27" s="57">
        <v>3533</v>
      </c>
      <c r="Z27" s="57">
        <v>2857</v>
      </c>
      <c r="AA27" s="57">
        <v>15462</v>
      </c>
      <c r="AB27" s="57">
        <v>8</v>
      </c>
      <c r="AC27" s="77">
        <v>217121</v>
      </c>
      <c r="AD27" s="75"/>
    </row>
    <row r="28" spans="1:30" x14ac:dyDescent="0.3"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</row>
    <row r="29" spans="1:30" x14ac:dyDescent="0.3">
      <c r="Q29" s="6"/>
      <c r="R29" s="6"/>
      <c r="S29" s="6"/>
      <c r="T29" s="6"/>
    </row>
    <row r="30" spans="1:30" x14ac:dyDescent="0.3">
      <c r="A30" s="7" t="s">
        <v>172</v>
      </c>
      <c r="P30" s="7" t="s">
        <v>175</v>
      </c>
      <c r="Q30" s="6"/>
      <c r="R30" s="6"/>
      <c r="S30" s="6"/>
      <c r="T30" s="6"/>
    </row>
    <row r="31" spans="1:30" x14ac:dyDescent="0.3">
      <c r="A31" s="7" t="s">
        <v>402</v>
      </c>
      <c r="P31" s="7" t="s">
        <v>403</v>
      </c>
      <c r="Q31" s="6"/>
      <c r="R31" s="6"/>
      <c r="S31" s="6"/>
      <c r="T31" s="6"/>
    </row>
    <row r="32" spans="1:30" ht="41.4" x14ac:dyDescent="0.3">
      <c r="A32" s="24" t="s">
        <v>67</v>
      </c>
      <c r="B32" s="44" t="s">
        <v>9</v>
      </c>
      <c r="C32" s="44" t="s">
        <v>10</v>
      </c>
      <c r="D32" s="44" t="s">
        <v>11</v>
      </c>
      <c r="E32" s="44" t="s">
        <v>12</v>
      </c>
      <c r="F32" s="44" t="s">
        <v>13</v>
      </c>
      <c r="G32" s="44" t="s">
        <v>223</v>
      </c>
      <c r="H32" s="44" t="s">
        <v>224</v>
      </c>
      <c r="I32" s="44" t="s">
        <v>225</v>
      </c>
      <c r="J32" s="44" t="s">
        <v>226</v>
      </c>
      <c r="K32" s="44" t="s">
        <v>263</v>
      </c>
      <c r="L32" s="44" t="s">
        <v>31</v>
      </c>
      <c r="M32" s="44" t="s">
        <v>478</v>
      </c>
      <c r="N32" s="44" t="s">
        <v>64</v>
      </c>
      <c r="P32" s="24" t="s">
        <v>67</v>
      </c>
      <c r="Q32" s="44" t="s">
        <v>9</v>
      </c>
      <c r="R32" s="44" t="s">
        <v>10</v>
      </c>
      <c r="S32" s="44" t="s">
        <v>11</v>
      </c>
      <c r="T32" s="44" t="s">
        <v>12</v>
      </c>
      <c r="U32" s="44" t="s">
        <v>13</v>
      </c>
      <c r="V32" s="44" t="s">
        <v>223</v>
      </c>
      <c r="W32" s="44" t="s">
        <v>224</v>
      </c>
      <c r="X32" s="44" t="s">
        <v>225</v>
      </c>
      <c r="Y32" s="44" t="s">
        <v>226</v>
      </c>
      <c r="Z32" s="44" t="s">
        <v>263</v>
      </c>
      <c r="AA32" s="44" t="s">
        <v>31</v>
      </c>
      <c r="AB32" s="44" t="s">
        <v>478</v>
      </c>
      <c r="AC32" s="44" t="s">
        <v>64</v>
      </c>
    </row>
    <row r="33" spans="1:30" x14ac:dyDescent="0.3">
      <c r="A33" s="22" t="s">
        <v>53</v>
      </c>
      <c r="B33" s="4">
        <v>153</v>
      </c>
      <c r="C33" s="4">
        <v>148</v>
      </c>
      <c r="D33" s="4">
        <v>124</v>
      </c>
      <c r="E33" s="4">
        <v>107</v>
      </c>
      <c r="F33" s="4">
        <v>56</v>
      </c>
      <c r="G33" s="4">
        <v>45</v>
      </c>
      <c r="H33" s="4">
        <v>41</v>
      </c>
      <c r="I33" s="4">
        <v>31</v>
      </c>
      <c r="J33" s="4">
        <v>3</v>
      </c>
      <c r="K33" s="4">
        <v>5</v>
      </c>
      <c r="L33" s="4">
        <v>163</v>
      </c>
      <c r="M33" s="4">
        <v>0</v>
      </c>
      <c r="N33" s="4">
        <v>876</v>
      </c>
      <c r="O33" s="75"/>
      <c r="P33" s="22" t="s">
        <v>53</v>
      </c>
      <c r="Q33" s="4">
        <v>54</v>
      </c>
      <c r="R33" s="4">
        <v>61</v>
      </c>
      <c r="S33" s="4">
        <v>21</v>
      </c>
      <c r="T33" s="4">
        <v>29</v>
      </c>
      <c r="U33" s="4">
        <v>17</v>
      </c>
      <c r="V33" s="4">
        <v>10</v>
      </c>
      <c r="W33" s="4">
        <v>1</v>
      </c>
      <c r="X33" s="4">
        <v>10</v>
      </c>
      <c r="Y33" s="4">
        <v>1</v>
      </c>
      <c r="Z33" s="4">
        <v>1</v>
      </c>
      <c r="AA33" s="4">
        <v>26</v>
      </c>
      <c r="AB33" s="4">
        <v>0</v>
      </c>
      <c r="AC33" s="4">
        <v>231</v>
      </c>
      <c r="AD33" s="76"/>
    </row>
    <row r="34" spans="1:30" x14ac:dyDescent="0.3">
      <c r="A34" s="25" t="s">
        <v>2</v>
      </c>
      <c r="B34" s="5">
        <v>6120</v>
      </c>
      <c r="C34" s="5">
        <v>1743</v>
      </c>
      <c r="D34" s="5">
        <v>864</v>
      </c>
      <c r="E34" s="5">
        <v>761</v>
      </c>
      <c r="F34" s="5">
        <v>400</v>
      </c>
      <c r="G34" s="5">
        <v>276</v>
      </c>
      <c r="H34" s="5">
        <v>466</v>
      </c>
      <c r="I34" s="5">
        <v>247</v>
      </c>
      <c r="J34" s="5">
        <v>34</v>
      </c>
      <c r="K34" s="5">
        <v>59</v>
      </c>
      <c r="L34" s="5">
        <v>1145</v>
      </c>
      <c r="M34" s="5">
        <v>0</v>
      </c>
      <c r="N34" s="5">
        <v>12115</v>
      </c>
      <c r="O34" s="75"/>
      <c r="P34" s="25" t="s">
        <v>2</v>
      </c>
      <c r="Q34" s="5">
        <v>3278</v>
      </c>
      <c r="R34" s="5">
        <v>1760</v>
      </c>
      <c r="S34" s="5">
        <v>733</v>
      </c>
      <c r="T34" s="5">
        <v>859</v>
      </c>
      <c r="U34" s="5">
        <v>476</v>
      </c>
      <c r="V34" s="5">
        <v>286</v>
      </c>
      <c r="W34" s="5">
        <v>159</v>
      </c>
      <c r="X34" s="5">
        <v>132</v>
      </c>
      <c r="Y34" s="5">
        <v>14</v>
      </c>
      <c r="Z34" s="5">
        <v>21</v>
      </c>
      <c r="AA34" s="5">
        <v>650</v>
      </c>
      <c r="AB34" s="5">
        <v>1</v>
      </c>
      <c r="AC34" s="5">
        <v>8369</v>
      </c>
      <c r="AD34" s="75"/>
    </row>
    <row r="35" spans="1:30" x14ac:dyDescent="0.3">
      <c r="A35" s="25" t="s">
        <v>54</v>
      </c>
      <c r="B35" s="5">
        <v>38970</v>
      </c>
      <c r="C35" s="5">
        <v>7723</v>
      </c>
      <c r="D35" s="5">
        <v>2282</v>
      </c>
      <c r="E35" s="5">
        <v>1715</v>
      </c>
      <c r="F35" s="5">
        <v>1131</v>
      </c>
      <c r="G35" s="5">
        <v>799</v>
      </c>
      <c r="H35" s="5">
        <v>1468</v>
      </c>
      <c r="I35" s="5">
        <v>839</v>
      </c>
      <c r="J35" s="5">
        <v>172</v>
      </c>
      <c r="K35" s="5">
        <v>228</v>
      </c>
      <c r="L35" s="5">
        <v>3536</v>
      </c>
      <c r="M35" s="5">
        <v>0</v>
      </c>
      <c r="N35" s="5">
        <v>58863</v>
      </c>
      <c r="O35" s="75"/>
      <c r="P35" s="25" t="s">
        <v>54</v>
      </c>
      <c r="Q35" s="5">
        <v>42212</v>
      </c>
      <c r="R35" s="5">
        <v>10477</v>
      </c>
      <c r="S35" s="5">
        <v>4635</v>
      </c>
      <c r="T35" s="5">
        <v>3988</v>
      </c>
      <c r="U35" s="5">
        <v>2745</v>
      </c>
      <c r="V35" s="5">
        <v>1685</v>
      </c>
      <c r="W35" s="5">
        <v>2104</v>
      </c>
      <c r="X35" s="5">
        <v>983</v>
      </c>
      <c r="Y35" s="5">
        <v>291</v>
      </c>
      <c r="Z35" s="5">
        <v>282</v>
      </c>
      <c r="AA35" s="5">
        <v>4484</v>
      </c>
      <c r="AB35" s="5">
        <v>5</v>
      </c>
      <c r="AC35" s="5">
        <v>73891</v>
      </c>
      <c r="AD35" s="75"/>
    </row>
    <row r="36" spans="1:30" x14ac:dyDescent="0.3">
      <c r="A36" s="25" t="s">
        <v>55</v>
      </c>
      <c r="B36" s="5">
        <v>28915</v>
      </c>
      <c r="C36" s="5">
        <v>9078</v>
      </c>
      <c r="D36" s="5">
        <v>1438</v>
      </c>
      <c r="E36" s="5">
        <v>1632</v>
      </c>
      <c r="F36" s="5">
        <v>575</v>
      </c>
      <c r="G36" s="5">
        <v>674</v>
      </c>
      <c r="H36" s="5">
        <v>429</v>
      </c>
      <c r="I36" s="5">
        <v>655</v>
      </c>
      <c r="J36" s="5">
        <v>378</v>
      </c>
      <c r="K36" s="5">
        <v>470</v>
      </c>
      <c r="L36" s="5">
        <v>3256</v>
      </c>
      <c r="M36" s="5">
        <v>0</v>
      </c>
      <c r="N36" s="5">
        <v>47500</v>
      </c>
      <c r="O36" s="75"/>
      <c r="P36" s="25" t="s">
        <v>55</v>
      </c>
      <c r="Q36" s="5">
        <v>38553</v>
      </c>
      <c r="R36" s="5">
        <v>10428</v>
      </c>
      <c r="S36" s="5">
        <v>3478</v>
      </c>
      <c r="T36" s="5">
        <v>3318</v>
      </c>
      <c r="U36" s="5">
        <v>1549</v>
      </c>
      <c r="V36" s="5">
        <v>1218</v>
      </c>
      <c r="W36" s="5">
        <v>1207</v>
      </c>
      <c r="X36" s="5">
        <v>931</v>
      </c>
      <c r="Y36" s="5">
        <v>702</v>
      </c>
      <c r="Z36" s="5">
        <v>583</v>
      </c>
      <c r="AA36" s="5">
        <v>4200</v>
      </c>
      <c r="AB36" s="5">
        <v>1</v>
      </c>
      <c r="AC36" s="5">
        <v>66168</v>
      </c>
      <c r="AD36" s="75"/>
    </row>
    <row r="37" spans="1:30" x14ac:dyDescent="0.3">
      <c r="A37" s="25" t="s">
        <v>56</v>
      </c>
      <c r="B37" s="5">
        <v>15284</v>
      </c>
      <c r="C37" s="5">
        <v>13197</v>
      </c>
      <c r="D37" s="5">
        <v>1010</v>
      </c>
      <c r="E37" s="5">
        <v>1951</v>
      </c>
      <c r="F37" s="5">
        <v>308</v>
      </c>
      <c r="G37" s="5">
        <v>631</v>
      </c>
      <c r="H37" s="5">
        <v>15</v>
      </c>
      <c r="I37" s="5">
        <v>550</v>
      </c>
      <c r="J37" s="5">
        <v>669</v>
      </c>
      <c r="K37" s="5">
        <v>1043</v>
      </c>
      <c r="L37" s="5">
        <v>3776</v>
      </c>
      <c r="M37" s="5">
        <v>0</v>
      </c>
      <c r="N37" s="5">
        <v>38434</v>
      </c>
      <c r="O37" s="75"/>
      <c r="P37" s="25" t="s">
        <v>56</v>
      </c>
      <c r="Q37" s="5">
        <v>17646</v>
      </c>
      <c r="R37" s="5">
        <v>8200</v>
      </c>
      <c r="S37" s="5">
        <v>2017</v>
      </c>
      <c r="T37" s="5">
        <v>2313</v>
      </c>
      <c r="U37" s="5">
        <v>602</v>
      </c>
      <c r="V37" s="5">
        <v>766</v>
      </c>
      <c r="W37" s="5">
        <v>27</v>
      </c>
      <c r="X37" s="5">
        <v>627</v>
      </c>
      <c r="Y37" s="5">
        <v>877</v>
      </c>
      <c r="Z37" s="5">
        <v>700</v>
      </c>
      <c r="AA37" s="5">
        <v>2992</v>
      </c>
      <c r="AB37" s="5">
        <v>1</v>
      </c>
      <c r="AC37" s="5">
        <v>36768</v>
      </c>
      <c r="AD37" s="75"/>
    </row>
    <row r="38" spans="1:30" x14ac:dyDescent="0.3">
      <c r="A38" s="25" t="s">
        <v>57</v>
      </c>
      <c r="B38" s="5">
        <v>11450</v>
      </c>
      <c r="C38" s="5">
        <v>12256</v>
      </c>
      <c r="D38" s="5">
        <v>850</v>
      </c>
      <c r="E38" s="5">
        <v>1702</v>
      </c>
      <c r="F38" s="5">
        <v>220</v>
      </c>
      <c r="G38" s="5">
        <v>552</v>
      </c>
      <c r="H38" s="5">
        <v>2</v>
      </c>
      <c r="I38" s="5">
        <v>532</v>
      </c>
      <c r="J38" s="5">
        <v>880</v>
      </c>
      <c r="K38" s="5">
        <v>1899</v>
      </c>
      <c r="L38" s="5">
        <v>3088</v>
      </c>
      <c r="M38" s="5">
        <v>0</v>
      </c>
      <c r="N38" s="5">
        <v>33431</v>
      </c>
      <c r="O38" s="75"/>
      <c r="P38" s="25" t="s">
        <v>57</v>
      </c>
      <c r="Q38" s="5">
        <v>11757</v>
      </c>
      <c r="R38" s="5">
        <v>5748</v>
      </c>
      <c r="S38" s="5">
        <v>1380</v>
      </c>
      <c r="T38" s="5">
        <v>1601</v>
      </c>
      <c r="U38" s="5">
        <v>274</v>
      </c>
      <c r="V38" s="5">
        <v>514</v>
      </c>
      <c r="W38" s="5">
        <v>1</v>
      </c>
      <c r="X38" s="5">
        <v>367</v>
      </c>
      <c r="Y38" s="5">
        <v>1018</v>
      </c>
      <c r="Z38" s="5">
        <v>782</v>
      </c>
      <c r="AA38" s="5">
        <v>2448</v>
      </c>
      <c r="AB38" s="5">
        <v>0</v>
      </c>
      <c r="AC38" s="5">
        <v>25890</v>
      </c>
      <c r="AD38" s="75"/>
    </row>
    <row r="39" spans="1:30" x14ac:dyDescent="0.3">
      <c r="A39" s="25" t="s">
        <v>3</v>
      </c>
      <c r="B39" s="5">
        <v>2435</v>
      </c>
      <c r="C39" s="5">
        <v>3503</v>
      </c>
      <c r="D39" s="5">
        <v>378</v>
      </c>
      <c r="E39" s="5">
        <v>500</v>
      </c>
      <c r="F39" s="5">
        <v>47</v>
      </c>
      <c r="G39" s="5">
        <v>251</v>
      </c>
      <c r="H39" s="5">
        <v>3</v>
      </c>
      <c r="I39" s="5">
        <v>309</v>
      </c>
      <c r="J39" s="5">
        <v>694</v>
      </c>
      <c r="K39" s="5">
        <v>1409</v>
      </c>
      <c r="L39" s="5">
        <v>1346</v>
      </c>
      <c r="M39" s="5">
        <v>0</v>
      </c>
      <c r="N39" s="5">
        <v>10875</v>
      </c>
      <c r="O39" s="75"/>
      <c r="P39" s="25" t="s">
        <v>3</v>
      </c>
      <c r="Q39" s="5">
        <v>1991</v>
      </c>
      <c r="R39" s="5">
        <v>942</v>
      </c>
      <c r="S39" s="5">
        <v>399</v>
      </c>
      <c r="T39" s="5">
        <v>308</v>
      </c>
      <c r="U39" s="5">
        <v>68</v>
      </c>
      <c r="V39" s="5">
        <v>142</v>
      </c>
      <c r="W39" s="5">
        <v>1</v>
      </c>
      <c r="X39" s="5">
        <v>163</v>
      </c>
      <c r="Y39" s="5">
        <v>630</v>
      </c>
      <c r="Z39" s="5">
        <v>488</v>
      </c>
      <c r="AA39" s="5">
        <v>659</v>
      </c>
      <c r="AB39" s="5">
        <v>0</v>
      </c>
      <c r="AC39" s="5">
        <v>5791</v>
      </c>
      <c r="AD39" s="75"/>
    </row>
    <row r="40" spans="1:30" x14ac:dyDescent="0.3">
      <c r="A40" s="25" t="s">
        <v>478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75"/>
      <c r="P40" s="25" t="s">
        <v>478</v>
      </c>
      <c r="Q40" s="5">
        <v>3</v>
      </c>
      <c r="R40" s="5">
        <v>4</v>
      </c>
      <c r="S40" s="5">
        <v>0</v>
      </c>
      <c r="T40" s="5">
        <v>0</v>
      </c>
      <c r="U40" s="5">
        <v>1</v>
      </c>
      <c r="V40" s="5">
        <v>2</v>
      </c>
      <c r="W40" s="5">
        <v>0</v>
      </c>
      <c r="X40" s="5">
        <v>0</v>
      </c>
      <c r="Y40" s="5">
        <v>0</v>
      </c>
      <c r="Z40" s="5">
        <v>0</v>
      </c>
      <c r="AA40" s="5">
        <v>3</v>
      </c>
      <c r="AB40" s="5">
        <v>0</v>
      </c>
      <c r="AC40" s="5">
        <v>13</v>
      </c>
      <c r="AD40" s="75"/>
    </row>
    <row r="41" spans="1:30" x14ac:dyDescent="0.3">
      <c r="A41" s="29" t="s">
        <v>60</v>
      </c>
      <c r="B41" s="57">
        <v>103327</v>
      </c>
      <c r="C41" s="57">
        <v>47648</v>
      </c>
      <c r="D41" s="57">
        <v>6946</v>
      </c>
      <c r="E41" s="57">
        <v>8368</v>
      </c>
      <c r="F41" s="57">
        <v>2737</v>
      </c>
      <c r="G41" s="57">
        <v>3228</v>
      </c>
      <c r="H41" s="57">
        <v>2424</v>
      </c>
      <c r="I41" s="57">
        <v>3163</v>
      </c>
      <c r="J41" s="57">
        <v>2830</v>
      </c>
      <c r="K41" s="57">
        <v>5113</v>
      </c>
      <c r="L41" s="57">
        <v>16310</v>
      </c>
      <c r="M41" s="57">
        <v>0</v>
      </c>
      <c r="N41" s="57">
        <v>202094</v>
      </c>
      <c r="O41" s="75"/>
      <c r="P41" s="29" t="s">
        <v>60</v>
      </c>
      <c r="Q41" s="57">
        <v>115494</v>
      </c>
      <c r="R41" s="57">
        <v>37620</v>
      </c>
      <c r="S41" s="57">
        <v>12663</v>
      </c>
      <c r="T41" s="57">
        <v>12416</v>
      </c>
      <c r="U41" s="57">
        <v>5732</v>
      </c>
      <c r="V41" s="57">
        <v>4623</v>
      </c>
      <c r="W41" s="57">
        <v>3500</v>
      </c>
      <c r="X41" s="57">
        <v>3213</v>
      </c>
      <c r="Y41" s="57">
        <v>3533</v>
      </c>
      <c r="Z41" s="57">
        <v>2857</v>
      </c>
      <c r="AA41" s="57">
        <v>15462</v>
      </c>
      <c r="AB41" s="57">
        <v>8</v>
      </c>
      <c r="AC41" s="57">
        <v>217121</v>
      </c>
      <c r="AD41" s="75"/>
    </row>
    <row r="42" spans="1:30" x14ac:dyDescent="0.3"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</row>
    <row r="43" spans="1:30" x14ac:dyDescent="0.3">
      <c r="Q43" s="6"/>
      <c r="R43" s="54"/>
      <c r="S43" s="6"/>
      <c r="T43" s="6"/>
    </row>
    <row r="44" spans="1:30" x14ac:dyDescent="0.3">
      <c r="A44" s="7" t="s">
        <v>173</v>
      </c>
      <c r="P44" s="7" t="s">
        <v>176</v>
      </c>
      <c r="Q44" s="6"/>
      <c r="R44" s="6"/>
      <c r="S44" s="6"/>
      <c r="T44" s="6"/>
    </row>
    <row r="45" spans="1:30" x14ac:dyDescent="0.3">
      <c r="A45" s="7" t="s">
        <v>404</v>
      </c>
      <c r="P45" s="7" t="s">
        <v>405</v>
      </c>
      <c r="Q45" s="6"/>
      <c r="R45" s="6"/>
      <c r="S45" s="6"/>
      <c r="T45" s="6"/>
    </row>
    <row r="46" spans="1:30" ht="41.4" x14ac:dyDescent="0.3">
      <c r="A46" s="24" t="s">
        <v>209</v>
      </c>
      <c r="B46" s="44" t="s">
        <v>9</v>
      </c>
      <c r="C46" s="44" t="s">
        <v>10</v>
      </c>
      <c r="D46" s="44" t="s">
        <v>11</v>
      </c>
      <c r="E46" s="44" t="s">
        <v>12</v>
      </c>
      <c r="F46" s="44" t="s">
        <v>13</v>
      </c>
      <c r="G46" s="44" t="s">
        <v>223</v>
      </c>
      <c r="H46" s="44" t="s">
        <v>224</v>
      </c>
      <c r="I46" s="44" t="s">
        <v>225</v>
      </c>
      <c r="J46" s="44" t="s">
        <v>226</v>
      </c>
      <c r="K46" s="44" t="s">
        <v>263</v>
      </c>
      <c r="L46" s="44" t="s">
        <v>31</v>
      </c>
      <c r="M46" s="44" t="s">
        <v>478</v>
      </c>
      <c r="N46" s="44" t="s">
        <v>64</v>
      </c>
      <c r="P46" s="24" t="s">
        <v>209</v>
      </c>
      <c r="Q46" s="44" t="s">
        <v>9</v>
      </c>
      <c r="R46" s="44" t="s">
        <v>10</v>
      </c>
      <c r="S46" s="44" t="s">
        <v>11</v>
      </c>
      <c r="T46" s="44" t="s">
        <v>12</v>
      </c>
      <c r="U46" s="44" t="s">
        <v>13</v>
      </c>
      <c r="V46" s="44" t="s">
        <v>223</v>
      </c>
      <c r="W46" s="44" t="s">
        <v>224</v>
      </c>
      <c r="X46" s="44" t="s">
        <v>225</v>
      </c>
      <c r="Y46" s="44" t="s">
        <v>226</v>
      </c>
      <c r="Z46" s="44" t="s">
        <v>263</v>
      </c>
      <c r="AA46" s="44" t="s">
        <v>31</v>
      </c>
      <c r="AB46" s="44" t="s">
        <v>478</v>
      </c>
      <c r="AC46" s="44" t="s">
        <v>64</v>
      </c>
    </row>
    <row r="47" spans="1:30" x14ac:dyDescent="0.3">
      <c r="A47" s="30" t="s">
        <v>14</v>
      </c>
      <c r="B47" s="4">
        <v>445</v>
      </c>
      <c r="C47" s="4">
        <v>217</v>
      </c>
      <c r="D47" s="4">
        <v>202</v>
      </c>
      <c r="E47" s="4">
        <v>61</v>
      </c>
      <c r="F47" s="4">
        <v>95</v>
      </c>
      <c r="G47" s="4">
        <v>134</v>
      </c>
      <c r="H47" s="4">
        <v>33</v>
      </c>
      <c r="I47" s="4">
        <v>69</v>
      </c>
      <c r="J47" s="4">
        <v>17</v>
      </c>
      <c r="K47" s="4">
        <v>34</v>
      </c>
      <c r="L47" s="4">
        <v>171</v>
      </c>
      <c r="M47" s="4">
        <v>0</v>
      </c>
      <c r="N47" s="4">
        <v>1478</v>
      </c>
      <c r="O47" s="76"/>
      <c r="P47" s="30" t="s">
        <v>14</v>
      </c>
      <c r="Q47" s="4">
        <v>400</v>
      </c>
      <c r="R47" s="4">
        <v>141</v>
      </c>
      <c r="S47" s="4">
        <v>75</v>
      </c>
      <c r="T47" s="4">
        <v>59</v>
      </c>
      <c r="U47" s="4">
        <v>30</v>
      </c>
      <c r="V47" s="4">
        <v>38</v>
      </c>
      <c r="W47" s="4">
        <v>58</v>
      </c>
      <c r="X47" s="4">
        <v>28</v>
      </c>
      <c r="Y47" s="4">
        <v>19</v>
      </c>
      <c r="Z47" s="4">
        <v>12</v>
      </c>
      <c r="AA47" s="4">
        <v>86</v>
      </c>
      <c r="AB47" s="4">
        <v>0</v>
      </c>
      <c r="AC47" s="4">
        <v>946</v>
      </c>
      <c r="AD47" s="76"/>
    </row>
    <row r="48" spans="1:30" x14ac:dyDescent="0.3">
      <c r="A48" s="31" t="s">
        <v>15</v>
      </c>
      <c r="B48" s="5">
        <v>1918</v>
      </c>
      <c r="C48" s="5">
        <v>996</v>
      </c>
      <c r="D48" s="5">
        <v>307</v>
      </c>
      <c r="E48" s="5">
        <v>172</v>
      </c>
      <c r="F48" s="5">
        <v>211</v>
      </c>
      <c r="G48" s="5">
        <v>68</v>
      </c>
      <c r="H48" s="5">
        <v>32</v>
      </c>
      <c r="I48" s="5">
        <v>129</v>
      </c>
      <c r="J48" s="5">
        <v>51</v>
      </c>
      <c r="K48" s="5">
        <v>96</v>
      </c>
      <c r="L48" s="5">
        <v>287</v>
      </c>
      <c r="M48" s="5">
        <v>0</v>
      </c>
      <c r="N48" s="5">
        <v>4267</v>
      </c>
      <c r="O48" s="75"/>
      <c r="P48" s="31" t="s">
        <v>15</v>
      </c>
      <c r="Q48" s="5">
        <v>2429</v>
      </c>
      <c r="R48" s="5">
        <v>863</v>
      </c>
      <c r="S48" s="5">
        <v>147</v>
      </c>
      <c r="T48" s="5">
        <v>280</v>
      </c>
      <c r="U48" s="5">
        <v>52</v>
      </c>
      <c r="V48" s="5">
        <v>93</v>
      </c>
      <c r="W48" s="5">
        <v>36</v>
      </c>
      <c r="X48" s="5">
        <v>54</v>
      </c>
      <c r="Y48" s="5">
        <v>50</v>
      </c>
      <c r="Z48" s="5">
        <v>113</v>
      </c>
      <c r="AA48" s="5">
        <v>403</v>
      </c>
      <c r="AB48" s="5">
        <v>0</v>
      </c>
      <c r="AC48" s="5">
        <v>4520</v>
      </c>
      <c r="AD48" s="75"/>
    </row>
    <row r="49" spans="1:30" x14ac:dyDescent="0.3">
      <c r="A49" s="31" t="s">
        <v>16</v>
      </c>
      <c r="B49" s="5">
        <v>2411</v>
      </c>
      <c r="C49" s="5">
        <v>1852</v>
      </c>
      <c r="D49" s="5">
        <v>369</v>
      </c>
      <c r="E49" s="5">
        <v>630</v>
      </c>
      <c r="F49" s="5">
        <v>113</v>
      </c>
      <c r="G49" s="5">
        <v>155</v>
      </c>
      <c r="H49" s="5">
        <v>145</v>
      </c>
      <c r="I49" s="5">
        <v>172</v>
      </c>
      <c r="J49" s="5">
        <v>43</v>
      </c>
      <c r="K49" s="5">
        <v>153</v>
      </c>
      <c r="L49" s="5">
        <v>728</v>
      </c>
      <c r="M49" s="5">
        <v>0</v>
      </c>
      <c r="N49" s="5">
        <v>6771</v>
      </c>
      <c r="O49" s="75"/>
      <c r="P49" s="31" t="s">
        <v>16</v>
      </c>
      <c r="Q49" s="5">
        <v>4304</v>
      </c>
      <c r="R49" s="5">
        <v>2224</v>
      </c>
      <c r="S49" s="5">
        <v>480</v>
      </c>
      <c r="T49" s="5">
        <v>680</v>
      </c>
      <c r="U49" s="5">
        <v>187</v>
      </c>
      <c r="V49" s="5">
        <v>271</v>
      </c>
      <c r="W49" s="5">
        <v>217</v>
      </c>
      <c r="X49" s="5">
        <v>189</v>
      </c>
      <c r="Y49" s="5">
        <v>171</v>
      </c>
      <c r="Z49" s="5">
        <v>210</v>
      </c>
      <c r="AA49" s="5">
        <v>744</v>
      </c>
      <c r="AB49" s="5">
        <v>0</v>
      </c>
      <c r="AC49" s="5">
        <v>9677</v>
      </c>
      <c r="AD49" s="75"/>
    </row>
    <row r="50" spans="1:30" x14ac:dyDescent="0.3">
      <c r="A50" s="31" t="s">
        <v>17</v>
      </c>
      <c r="B50" s="5">
        <v>2071</v>
      </c>
      <c r="C50" s="5">
        <v>590</v>
      </c>
      <c r="D50" s="5">
        <v>80</v>
      </c>
      <c r="E50" s="5">
        <v>149</v>
      </c>
      <c r="F50" s="5">
        <v>18</v>
      </c>
      <c r="G50" s="5">
        <v>37</v>
      </c>
      <c r="H50" s="5">
        <v>26</v>
      </c>
      <c r="I50" s="5">
        <v>47</v>
      </c>
      <c r="J50" s="5">
        <v>63</v>
      </c>
      <c r="K50" s="5">
        <v>112</v>
      </c>
      <c r="L50" s="5">
        <v>903</v>
      </c>
      <c r="M50" s="5">
        <v>0</v>
      </c>
      <c r="N50" s="5">
        <v>4096</v>
      </c>
      <c r="O50" s="75"/>
      <c r="P50" s="31" t="s">
        <v>17</v>
      </c>
      <c r="Q50" s="5">
        <v>1300</v>
      </c>
      <c r="R50" s="5">
        <v>701</v>
      </c>
      <c r="S50" s="5">
        <v>134</v>
      </c>
      <c r="T50" s="5">
        <v>184</v>
      </c>
      <c r="U50" s="5">
        <v>30</v>
      </c>
      <c r="V50" s="5">
        <v>70</v>
      </c>
      <c r="W50" s="5">
        <v>37</v>
      </c>
      <c r="X50" s="5">
        <v>66</v>
      </c>
      <c r="Y50" s="5">
        <v>59</v>
      </c>
      <c r="Z50" s="5">
        <v>55</v>
      </c>
      <c r="AA50" s="5">
        <v>405</v>
      </c>
      <c r="AB50" s="5">
        <v>0</v>
      </c>
      <c r="AC50" s="5">
        <v>3041</v>
      </c>
      <c r="AD50" s="75"/>
    </row>
    <row r="51" spans="1:30" x14ac:dyDescent="0.3">
      <c r="A51" s="31" t="s">
        <v>18</v>
      </c>
      <c r="B51" s="5">
        <v>3455</v>
      </c>
      <c r="C51" s="5">
        <v>561</v>
      </c>
      <c r="D51" s="5">
        <v>113</v>
      </c>
      <c r="E51" s="5">
        <v>125</v>
      </c>
      <c r="F51" s="5">
        <v>45</v>
      </c>
      <c r="G51" s="5">
        <v>53</v>
      </c>
      <c r="H51" s="5">
        <v>273</v>
      </c>
      <c r="I51" s="5">
        <v>94</v>
      </c>
      <c r="J51" s="5">
        <v>91</v>
      </c>
      <c r="K51" s="5">
        <v>165</v>
      </c>
      <c r="L51" s="5">
        <v>425</v>
      </c>
      <c r="M51" s="5">
        <v>0</v>
      </c>
      <c r="N51" s="5">
        <v>5400</v>
      </c>
      <c r="O51" s="75"/>
      <c r="P51" s="31" t="s">
        <v>18</v>
      </c>
      <c r="Q51" s="5">
        <v>1438</v>
      </c>
      <c r="R51" s="5">
        <v>333</v>
      </c>
      <c r="S51" s="5">
        <v>134</v>
      </c>
      <c r="T51" s="5">
        <v>132</v>
      </c>
      <c r="U51" s="5">
        <v>47</v>
      </c>
      <c r="V51" s="5">
        <v>62</v>
      </c>
      <c r="W51" s="5">
        <v>38</v>
      </c>
      <c r="X51" s="5">
        <v>51</v>
      </c>
      <c r="Y51" s="5">
        <v>41</v>
      </c>
      <c r="Z51" s="5">
        <v>13</v>
      </c>
      <c r="AA51" s="5">
        <v>152</v>
      </c>
      <c r="AB51" s="5">
        <v>0</v>
      </c>
      <c r="AC51" s="5">
        <v>2441</v>
      </c>
      <c r="AD51" s="75"/>
    </row>
    <row r="52" spans="1:30" x14ac:dyDescent="0.3">
      <c r="A52" s="31" t="s">
        <v>19</v>
      </c>
      <c r="B52" s="5">
        <v>8797</v>
      </c>
      <c r="C52" s="5">
        <v>4748</v>
      </c>
      <c r="D52" s="5">
        <v>720</v>
      </c>
      <c r="E52" s="5">
        <v>576</v>
      </c>
      <c r="F52" s="5">
        <v>260</v>
      </c>
      <c r="G52" s="5">
        <v>262</v>
      </c>
      <c r="H52" s="5">
        <v>175</v>
      </c>
      <c r="I52" s="5">
        <v>239</v>
      </c>
      <c r="J52" s="5">
        <v>231</v>
      </c>
      <c r="K52" s="5">
        <v>464</v>
      </c>
      <c r="L52" s="5">
        <v>1948</v>
      </c>
      <c r="M52" s="5">
        <v>0</v>
      </c>
      <c r="N52" s="5">
        <v>18420</v>
      </c>
      <c r="O52" s="75"/>
      <c r="P52" s="31" t="s">
        <v>19</v>
      </c>
      <c r="Q52" s="5">
        <v>7507</v>
      </c>
      <c r="R52" s="5">
        <v>2291</v>
      </c>
      <c r="S52" s="5">
        <v>626</v>
      </c>
      <c r="T52" s="5">
        <v>714</v>
      </c>
      <c r="U52" s="5">
        <v>203</v>
      </c>
      <c r="V52" s="5">
        <v>222</v>
      </c>
      <c r="W52" s="5">
        <v>167</v>
      </c>
      <c r="X52" s="5">
        <v>178</v>
      </c>
      <c r="Y52" s="5">
        <v>207</v>
      </c>
      <c r="Z52" s="5">
        <v>163</v>
      </c>
      <c r="AA52" s="5">
        <v>744</v>
      </c>
      <c r="AB52" s="5">
        <v>0</v>
      </c>
      <c r="AC52" s="5">
        <v>13022</v>
      </c>
      <c r="AD52" s="75"/>
    </row>
    <row r="53" spans="1:30" x14ac:dyDescent="0.3">
      <c r="A53" s="31" t="s">
        <v>20</v>
      </c>
      <c r="B53" s="5">
        <v>47021</v>
      </c>
      <c r="C53" s="5">
        <v>20667</v>
      </c>
      <c r="D53" s="5">
        <v>1621</v>
      </c>
      <c r="E53" s="5">
        <v>3065</v>
      </c>
      <c r="F53" s="5">
        <v>373</v>
      </c>
      <c r="G53" s="5">
        <v>883</v>
      </c>
      <c r="H53" s="5">
        <v>188</v>
      </c>
      <c r="I53" s="5">
        <v>1184</v>
      </c>
      <c r="J53" s="5">
        <v>855</v>
      </c>
      <c r="K53" s="5">
        <v>2205</v>
      </c>
      <c r="L53" s="5">
        <v>5634</v>
      </c>
      <c r="M53" s="5">
        <v>0</v>
      </c>
      <c r="N53" s="5">
        <v>83696</v>
      </c>
      <c r="O53" s="75"/>
      <c r="P53" s="31" t="s">
        <v>20</v>
      </c>
      <c r="Q53" s="5">
        <v>71558</v>
      </c>
      <c r="R53" s="5">
        <v>23085</v>
      </c>
      <c r="S53" s="5">
        <v>7771</v>
      </c>
      <c r="T53" s="5">
        <v>7734</v>
      </c>
      <c r="U53" s="5">
        <v>3822</v>
      </c>
      <c r="V53" s="5">
        <v>2734</v>
      </c>
      <c r="W53" s="5">
        <v>1947</v>
      </c>
      <c r="X53" s="5">
        <v>1890</v>
      </c>
      <c r="Y53" s="5">
        <v>2205</v>
      </c>
      <c r="Z53" s="5">
        <v>1604</v>
      </c>
      <c r="AA53" s="5">
        <v>9446</v>
      </c>
      <c r="AB53" s="5">
        <v>6</v>
      </c>
      <c r="AC53" s="5">
        <v>133802</v>
      </c>
      <c r="AD53" s="75"/>
    </row>
    <row r="54" spans="1:30" x14ac:dyDescent="0.3">
      <c r="A54" s="31" t="s">
        <v>21</v>
      </c>
      <c r="B54" s="5">
        <v>9987</v>
      </c>
      <c r="C54" s="5">
        <v>4317</v>
      </c>
      <c r="D54" s="5">
        <v>779</v>
      </c>
      <c r="E54" s="5">
        <v>1007</v>
      </c>
      <c r="F54" s="5">
        <v>287</v>
      </c>
      <c r="G54" s="5">
        <v>417</v>
      </c>
      <c r="H54" s="5">
        <v>516</v>
      </c>
      <c r="I54" s="5">
        <v>394</v>
      </c>
      <c r="J54" s="5">
        <v>366</v>
      </c>
      <c r="K54" s="5">
        <v>536</v>
      </c>
      <c r="L54" s="5">
        <v>1238</v>
      </c>
      <c r="M54" s="5">
        <v>0</v>
      </c>
      <c r="N54" s="5">
        <v>19844</v>
      </c>
      <c r="O54" s="75"/>
      <c r="P54" s="31" t="s">
        <v>21</v>
      </c>
      <c r="Q54" s="5">
        <v>5600</v>
      </c>
      <c r="R54" s="5">
        <v>1393</v>
      </c>
      <c r="S54" s="5">
        <v>249</v>
      </c>
      <c r="T54" s="5">
        <v>382</v>
      </c>
      <c r="U54" s="5">
        <v>87</v>
      </c>
      <c r="V54" s="5">
        <v>130</v>
      </c>
      <c r="W54" s="5">
        <v>277</v>
      </c>
      <c r="X54" s="5">
        <v>117</v>
      </c>
      <c r="Y54" s="5">
        <v>110</v>
      </c>
      <c r="Z54" s="5">
        <v>128</v>
      </c>
      <c r="AA54" s="5">
        <v>507</v>
      </c>
      <c r="AB54" s="5">
        <v>1</v>
      </c>
      <c r="AC54" s="5">
        <v>8981</v>
      </c>
      <c r="AD54" s="75"/>
    </row>
    <row r="55" spans="1:30" x14ac:dyDescent="0.3">
      <c r="A55" s="31" t="s">
        <v>22</v>
      </c>
      <c r="B55" s="5">
        <v>4188</v>
      </c>
      <c r="C55" s="5">
        <v>1258</v>
      </c>
      <c r="D55" s="5">
        <v>144</v>
      </c>
      <c r="E55" s="5">
        <v>164</v>
      </c>
      <c r="F55" s="5">
        <v>25</v>
      </c>
      <c r="G55" s="5">
        <v>86</v>
      </c>
      <c r="H55" s="5">
        <v>395</v>
      </c>
      <c r="I55" s="5">
        <v>77</v>
      </c>
      <c r="J55" s="5">
        <v>172</v>
      </c>
      <c r="K55" s="5">
        <v>190</v>
      </c>
      <c r="L55" s="5">
        <v>391</v>
      </c>
      <c r="M55" s="5">
        <v>0</v>
      </c>
      <c r="N55" s="5">
        <v>7090</v>
      </c>
      <c r="O55" s="75"/>
      <c r="P55" s="31" t="s">
        <v>22</v>
      </c>
      <c r="Q55" s="5">
        <v>3129</v>
      </c>
      <c r="R55" s="5">
        <v>705</v>
      </c>
      <c r="S55" s="5">
        <v>246</v>
      </c>
      <c r="T55" s="5">
        <v>324</v>
      </c>
      <c r="U55" s="5">
        <v>90</v>
      </c>
      <c r="V55" s="5">
        <v>103</v>
      </c>
      <c r="W55" s="5">
        <v>80</v>
      </c>
      <c r="X55" s="5">
        <v>64</v>
      </c>
      <c r="Y55" s="5">
        <v>70</v>
      </c>
      <c r="Z55" s="5">
        <v>68</v>
      </c>
      <c r="AA55" s="5">
        <v>334</v>
      </c>
      <c r="AB55" s="5">
        <v>0</v>
      </c>
      <c r="AC55" s="5">
        <v>5213</v>
      </c>
      <c r="AD55" s="75"/>
    </row>
    <row r="56" spans="1:30" x14ac:dyDescent="0.3">
      <c r="A56" s="31" t="s">
        <v>23</v>
      </c>
      <c r="B56" s="5">
        <v>12278</v>
      </c>
      <c r="C56" s="5">
        <v>7195</v>
      </c>
      <c r="D56" s="5">
        <v>978</v>
      </c>
      <c r="E56" s="5">
        <v>1282</v>
      </c>
      <c r="F56" s="5">
        <v>413</v>
      </c>
      <c r="G56" s="5">
        <v>477</v>
      </c>
      <c r="H56" s="5">
        <v>359</v>
      </c>
      <c r="I56" s="5">
        <v>361</v>
      </c>
      <c r="J56" s="5">
        <v>427</v>
      </c>
      <c r="K56" s="5">
        <v>623</v>
      </c>
      <c r="L56" s="5">
        <v>2354</v>
      </c>
      <c r="M56" s="5">
        <v>0</v>
      </c>
      <c r="N56" s="5">
        <v>26747</v>
      </c>
      <c r="O56" s="75"/>
      <c r="P56" s="31" t="s">
        <v>23</v>
      </c>
      <c r="Q56" s="5">
        <v>7800</v>
      </c>
      <c r="R56" s="5">
        <v>2520</v>
      </c>
      <c r="S56" s="5">
        <v>645</v>
      </c>
      <c r="T56" s="5">
        <v>756</v>
      </c>
      <c r="U56" s="5">
        <v>252</v>
      </c>
      <c r="V56" s="5">
        <v>248</v>
      </c>
      <c r="W56" s="5">
        <v>300</v>
      </c>
      <c r="X56" s="5">
        <v>220</v>
      </c>
      <c r="Y56" s="5">
        <v>218</v>
      </c>
      <c r="Z56" s="5">
        <v>179</v>
      </c>
      <c r="AA56" s="5">
        <v>1096</v>
      </c>
      <c r="AB56" s="5">
        <v>1</v>
      </c>
      <c r="AC56" s="5">
        <v>14235</v>
      </c>
      <c r="AD56" s="75"/>
    </row>
    <row r="57" spans="1:30" x14ac:dyDescent="0.3">
      <c r="A57" s="31" t="s">
        <v>24</v>
      </c>
      <c r="B57" s="5">
        <v>4704</v>
      </c>
      <c r="C57" s="5">
        <v>2080</v>
      </c>
      <c r="D57" s="5">
        <v>401</v>
      </c>
      <c r="E57" s="5">
        <v>306</v>
      </c>
      <c r="F57" s="5">
        <v>173</v>
      </c>
      <c r="G57" s="5">
        <v>174</v>
      </c>
      <c r="H57" s="5">
        <v>121</v>
      </c>
      <c r="I57" s="5">
        <v>140</v>
      </c>
      <c r="J57" s="5">
        <v>246</v>
      </c>
      <c r="K57" s="5">
        <v>225</v>
      </c>
      <c r="L57" s="5">
        <v>630</v>
      </c>
      <c r="M57" s="5">
        <v>0</v>
      </c>
      <c r="N57" s="5">
        <v>9200</v>
      </c>
      <c r="O57" s="75"/>
      <c r="P57" s="31" t="s">
        <v>24</v>
      </c>
      <c r="Q57" s="5">
        <v>3590</v>
      </c>
      <c r="R57" s="5">
        <v>764</v>
      </c>
      <c r="S57" s="5">
        <v>312</v>
      </c>
      <c r="T57" s="5">
        <v>195</v>
      </c>
      <c r="U57" s="5">
        <v>118</v>
      </c>
      <c r="V57" s="5">
        <v>112</v>
      </c>
      <c r="W57" s="5">
        <v>101</v>
      </c>
      <c r="X57" s="5">
        <v>67</v>
      </c>
      <c r="Y57" s="5">
        <v>114</v>
      </c>
      <c r="Z57" s="5">
        <v>67</v>
      </c>
      <c r="AA57" s="5">
        <v>313</v>
      </c>
      <c r="AB57" s="5">
        <v>0</v>
      </c>
      <c r="AC57" s="5">
        <v>5753</v>
      </c>
      <c r="AD57" s="75"/>
    </row>
    <row r="58" spans="1:30" x14ac:dyDescent="0.3">
      <c r="A58" s="31" t="s">
        <v>25</v>
      </c>
      <c r="B58" s="5">
        <v>764</v>
      </c>
      <c r="C58" s="5">
        <v>511</v>
      </c>
      <c r="D58" s="5">
        <v>329</v>
      </c>
      <c r="E58" s="5">
        <v>94</v>
      </c>
      <c r="F58" s="5">
        <v>212</v>
      </c>
      <c r="G58" s="5">
        <v>124</v>
      </c>
      <c r="H58" s="5">
        <v>15</v>
      </c>
      <c r="I58" s="5">
        <v>57</v>
      </c>
      <c r="J58" s="5">
        <v>36</v>
      </c>
      <c r="K58" s="5">
        <v>56</v>
      </c>
      <c r="L58" s="5">
        <v>299</v>
      </c>
      <c r="M58" s="5">
        <v>0</v>
      </c>
      <c r="N58" s="5">
        <v>2497</v>
      </c>
      <c r="O58" s="75"/>
      <c r="P58" s="31" t="s">
        <v>25</v>
      </c>
      <c r="Q58" s="5">
        <v>841</v>
      </c>
      <c r="R58" s="5">
        <v>218</v>
      </c>
      <c r="S58" s="5">
        <v>96</v>
      </c>
      <c r="T58" s="5">
        <v>79</v>
      </c>
      <c r="U58" s="5">
        <v>39</v>
      </c>
      <c r="V58" s="5">
        <v>37</v>
      </c>
      <c r="W58" s="5">
        <v>12</v>
      </c>
      <c r="X58" s="5">
        <v>16</v>
      </c>
      <c r="Y58" s="5">
        <v>29</v>
      </c>
      <c r="Z58" s="5">
        <v>18</v>
      </c>
      <c r="AA58" s="5">
        <v>104</v>
      </c>
      <c r="AB58" s="5">
        <v>0</v>
      </c>
      <c r="AC58" s="5">
        <v>1489</v>
      </c>
      <c r="AD58" s="75"/>
    </row>
    <row r="59" spans="1:30" x14ac:dyDescent="0.3">
      <c r="A59" s="31" t="s">
        <v>26</v>
      </c>
      <c r="B59" s="5">
        <v>3539</v>
      </c>
      <c r="C59" s="5">
        <v>2079</v>
      </c>
      <c r="D59" s="5">
        <v>745</v>
      </c>
      <c r="E59" s="5">
        <v>561</v>
      </c>
      <c r="F59" s="5">
        <v>453</v>
      </c>
      <c r="G59" s="5">
        <v>286</v>
      </c>
      <c r="H59" s="5">
        <v>83</v>
      </c>
      <c r="I59" s="5">
        <v>147</v>
      </c>
      <c r="J59" s="5">
        <v>151</v>
      </c>
      <c r="K59" s="5">
        <v>173</v>
      </c>
      <c r="L59" s="5">
        <v>957</v>
      </c>
      <c r="M59" s="5">
        <v>0</v>
      </c>
      <c r="N59" s="5">
        <v>9174</v>
      </c>
      <c r="O59" s="75"/>
      <c r="P59" s="31" t="s">
        <v>26</v>
      </c>
      <c r="Q59" s="5">
        <v>2702</v>
      </c>
      <c r="R59" s="5">
        <v>824</v>
      </c>
      <c r="S59" s="5">
        <v>296</v>
      </c>
      <c r="T59" s="5">
        <v>288</v>
      </c>
      <c r="U59" s="5">
        <v>122</v>
      </c>
      <c r="V59" s="5">
        <v>138</v>
      </c>
      <c r="W59" s="5">
        <v>55</v>
      </c>
      <c r="X59" s="5">
        <v>84</v>
      </c>
      <c r="Y59" s="5">
        <v>43</v>
      </c>
      <c r="Z59" s="5">
        <v>68</v>
      </c>
      <c r="AA59" s="5">
        <v>322</v>
      </c>
      <c r="AB59" s="5">
        <v>0</v>
      </c>
      <c r="AC59" s="5">
        <v>4942</v>
      </c>
      <c r="AD59" s="75"/>
    </row>
    <row r="60" spans="1:30" x14ac:dyDescent="0.3">
      <c r="A60" s="31" t="s">
        <v>27</v>
      </c>
      <c r="B60" s="5">
        <v>262</v>
      </c>
      <c r="C60" s="5">
        <v>220</v>
      </c>
      <c r="D60" s="5">
        <v>103</v>
      </c>
      <c r="E60" s="5">
        <v>53</v>
      </c>
      <c r="F60" s="5">
        <v>39</v>
      </c>
      <c r="G60" s="5">
        <v>30</v>
      </c>
      <c r="H60" s="5">
        <v>27</v>
      </c>
      <c r="I60" s="5">
        <v>24</v>
      </c>
      <c r="J60" s="5">
        <v>12</v>
      </c>
      <c r="K60" s="5">
        <v>32</v>
      </c>
      <c r="L60" s="5">
        <v>116</v>
      </c>
      <c r="M60" s="5">
        <v>0</v>
      </c>
      <c r="N60" s="5">
        <v>918</v>
      </c>
      <c r="O60" s="75"/>
      <c r="P60" s="31" t="s">
        <v>27</v>
      </c>
      <c r="Q60" s="5">
        <v>439</v>
      </c>
      <c r="R60" s="5">
        <v>89</v>
      </c>
      <c r="S60" s="5">
        <v>27</v>
      </c>
      <c r="T60" s="5">
        <v>33</v>
      </c>
      <c r="U60" s="5">
        <v>4</v>
      </c>
      <c r="V60" s="5">
        <v>10</v>
      </c>
      <c r="W60" s="5">
        <v>11</v>
      </c>
      <c r="X60" s="5">
        <v>7</v>
      </c>
      <c r="Y60" s="5">
        <v>24</v>
      </c>
      <c r="Z60" s="5">
        <v>17</v>
      </c>
      <c r="AA60" s="5">
        <v>63</v>
      </c>
      <c r="AB60" s="5">
        <v>0</v>
      </c>
      <c r="AC60" s="5">
        <v>724</v>
      </c>
      <c r="AD60" s="75"/>
    </row>
    <row r="61" spans="1:30" x14ac:dyDescent="0.3">
      <c r="A61" s="31" t="s">
        <v>28</v>
      </c>
      <c r="B61" s="5">
        <v>1487</v>
      </c>
      <c r="C61" s="5">
        <v>357</v>
      </c>
      <c r="D61" s="5">
        <v>55</v>
      </c>
      <c r="E61" s="5">
        <v>123</v>
      </c>
      <c r="F61" s="5">
        <v>20</v>
      </c>
      <c r="G61" s="5">
        <v>42</v>
      </c>
      <c r="H61" s="5">
        <v>36</v>
      </c>
      <c r="I61" s="5">
        <v>29</v>
      </c>
      <c r="J61" s="5">
        <v>69</v>
      </c>
      <c r="K61" s="5">
        <v>49</v>
      </c>
      <c r="L61" s="5">
        <v>229</v>
      </c>
      <c r="M61" s="5">
        <v>0</v>
      </c>
      <c r="N61" s="5">
        <v>2496</v>
      </c>
      <c r="O61" s="75"/>
      <c r="P61" s="31" t="s">
        <v>28</v>
      </c>
      <c r="Q61" s="5">
        <v>909</v>
      </c>
      <c r="R61" s="5">
        <v>534</v>
      </c>
      <c r="S61" s="5">
        <v>93</v>
      </c>
      <c r="T61" s="5">
        <v>129</v>
      </c>
      <c r="U61" s="5">
        <v>36</v>
      </c>
      <c r="V61" s="5">
        <v>44</v>
      </c>
      <c r="W61" s="5">
        <v>19</v>
      </c>
      <c r="X61" s="5">
        <v>23</v>
      </c>
      <c r="Y61" s="5">
        <v>61</v>
      </c>
      <c r="Z61" s="5">
        <v>45</v>
      </c>
      <c r="AA61" s="5">
        <v>146</v>
      </c>
      <c r="AB61" s="5">
        <v>0</v>
      </c>
      <c r="AC61" s="5">
        <v>2039</v>
      </c>
      <c r="AD61" s="75"/>
    </row>
    <row r="62" spans="1:30" x14ac:dyDescent="0.3">
      <c r="A62" s="31" t="s">
        <v>478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75"/>
      <c r="P62" s="31" t="s">
        <v>478</v>
      </c>
      <c r="Q62" s="5">
        <v>1548</v>
      </c>
      <c r="R62" s="5">
        <v>935</v>
      </c>
      <c r="S62" s="5">
        <v>1332</v>
      </c>
      <c r="T62" s="5">
        <v>447</v>
      </c>
      <c r="U62" s="5">
        <v>613</v>
      </c>
      <c r="V62" s="5">
        <v>311</v>
      </c>
      <c r="W62" s="5">
        <v>145</v>
      </c>
      <c r="X62" s="5">
        <v>159</v>
      </c>
      <c r="Y62" s="5">
        <v>112</v>
      </c>
      <c r="Z62" s="5">
        <v>97</v>
      </c>
      <c r="AA62" s="5">
        <v>597</v>
      </c>
      <c r="AB62" s="5">
        <v>0</v>
      </c>
      <c r="AC62" s="5">
        <v>6296</v>
      </c>
      <c r="AD62" s="75"/>
    </row>
    <row r="63" spans="1:30" x14ac:dyDescent="0.3">
      <c r="A63" s="29" t="s">
        <v>60</v>
      </c>
      <c r="B63" s="57">
        <v>103327</v>
      </c>
      <c r="C63" s="57">
        <v>47648</v>
      </c>
      <c r="D63" s="57">
        <v>6946</v>
      </c>
      <c r="E63" s="57">
        <v>8368</v>
      </c>
      <c r="F63" s="57">
        <v>2737</v>
      </c>
      <c r="G63" s="57">
        <v>3228</v>
      </c>
      <c r="H63" s="57">
        <v>2424</v>
      </c>
      <c r="I63" s="57">
        <v>3163</v>
      </c>
      <c r="J63" s="57">
        <v>2830</v>
      </c>
      <c r="K63" s="57">
        <v>5113</v>
      </c>
      <c r="L63" s="57">
        <v>16310</v>
      </c>
      <c r="M63" s="57">
        <v>0</v>
      </c>
      <c r="N63" s="57">
        <v>202094</v>
      </c>
      <c r="O63" s="75"/>
      <c r="P63" s="29" t="s">
        <v>60</v>
      </c>
      <c r="Q63" s="57">
        <v>115494</v>
      </c>
      <c r="R63" s="57">
        <v>37620</v>
      </c>
      <c r="S63" s="57">
        <v>12663</v>
      </c>
      <c r="T63" s="57">
        <v>12416</v>
      </c>
      <c r="U63" s="57">
        <v>5732</v>
      </c>
      <c r="V63" s="57">
        <v>4623</v>
      </c>
      <c r="W63" s="57">
        <v>3500</v>
      </c>
      <c r="X63" s="57">
        <v>3213</v>
      </c>
      <c r="Y63" s="57">
        <v>3533</v>
      </c>
      <c r="Z63" s="57">
        <v>2857</v>
      </c>
      <c r="AA63" s="57">
        <v>15462</v>
      </c>
      <c r="AB63" s="57">
        <v>8</v>
      </c>
      <c r="AC63" s="57">
        <v>217121</v>
      </c>
      <c r="AD63" s="75"/>
    </row>
    <row r="64" spans="1:30" x14ac:dyDescent="0.3"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</row>
    <row r="65" spans="1:20" x14ac:dyDescent="0.3">
      <c r="Q65" s="6"/>
      <c r="R65" s="6"/>
      <c r="S65" s="6"/>
      <c r="T65" s="6"/>
    </row>
    <row r="66" spans="1:20" x14ac:dyDescent="0.3">
      <c r="A66" s="7" t="s">
        <v>177</v>
      </c>
      <c r="Q66" s="6"/>
      <c r="R66" s="6"/>
      <c r="S66" s="6"/>
      <c r="T66" s="6"/>
    </row>
    <row r="67" spans="1:20" x14ac:dyDescent="0.3">
      <c r="A67" s="7" t="s">
        <v>406</v>
      </c>
      <c r="P67" s="7"/>
      <c r="Q67" s="6"/>
      <c r="R67" s="6"/>
      <c r="S67" s="6"/>
      <c r="T67" s="6"/>
    </row>
    <row r="68" spans="1:20" x14ac:dyDescent="0.3">
      <c r="A68" s="8" t="s">
        <v>208</v>
      </c>
      <c r="B68" s="8" t="s">
        <v>0</v>
      </c>
      <c r="C68" s="8" t="s">
        <v>1</v>
      </c>
      <c r="D68" s="8" t="s">
        <v>59</v>
      </c>
      <c r="P68" s="35"/>
      <c r="Q68" s="35"/>
      <c r="R68" s="35"/>
      <c r="S68" s="35"/>
      <c r="T68" s="6"/>
    </row>
    <row r="69" spans="1:20" x14ac:dyDescent="0.3">
      <c r="A69" s="31" t="s">
        <v>9</v>
      </c>
      <c r="B69" s="4">
        <v>2153891</v>
      </c>
      <c r="C69" s="4">
        <v>2141694</v>
      </c>
      <c r="D69" s="4">
        <v>4295585</v>
      </c>
      <c r="P69" s="34"/>
      <c r="Q69" s="17"/>
      <c r="R69" s="17"/>
      <c r="S69" s="17"/>
      <c r="T69" s="6"/>
    </row>
    <row r="70" spans="1:20" x14ac:dyDescent="0.3">
      <c r="A70" s="31" t="s">
        <v>10</v>
      </c>
      <c r="B70" s="5">
        <v>1037464</v>
      </c>
      <c r="C70" s="5">
        <v>605526</v>
      </c>
      <c r="D70" s="5">
        <v>1642990</v>
      </c>
      <c r="P70" s="34"/>
      <c r="Q70" s="17"/>
      <c r="R70" s="17"/>
      <c r="S70" s="17"/>
      <c r="T70" s="6"/>
    </row>
    <row r="71" spans="1:20" x14ac:dyDescent="0.3">
      <c r="A71" s="31" t="s">
        <v>11</v>
      </c>
      <c r="B71" s="5">
        <v>57834</v>
      </c>
      <c r="C71" s="5">
        <v>65397</v>
      </c>
      <c r="D71" s="5">
        <v>123231</v>
      </c>
      <c r="P71" s="34"/>
      <c r="Q71" s="17"/>
      <c r="R71" s="17"/>
      <c r="S71" s="17"/>
      <c r="T71" s="6"/>
    </row>
    <row r="72" spans="1:20" x14ac:dyDescent="0.3">
      <c r="A72" s="31" t="s">
        <v>12</v>
      </c>
      <c r="B72" s="5">
        <v>180404</v>
      </c>
      <c r="C72" s="5">
        <v>212696</v>
      </c>
      <c r="D72" s="5">
        <v>393100</v>
      </c>
      <c r="P72" s="34"/>
      <c r="Q72" s="17"/>
      <c r="R72" s="17"/>
      <c r="S72" s="17"/>
      <c r="T72" s="6"/>
    </row>
    <row r="73" spans="1:20" x14ac:dyDescent="0.3">
      <c r="A73" s="31" t="s">
        <v>13</v>
      </c>
      <c r="B73" s="5">
        <v>16516</v>
      </c>
      <c r="C73" s="5">
        <v>25448</v>
      </c>
      <c r="D73" s="5">
        <v>41964</v>
      </c>
      <c r="P73" s="34"/>
      <c r="Q73" s="17"/>
      <c r="R73" s="17"/>
      <c r="S73" s="17"/>
      <c r="T73" s="6"/>
    </row>
    <row r="74" spans="1:20" x14ac:dyDescent="0.3">
      <c r="A74" s="31" t="s">
        <v>223</v>
      </c>
      <c r="B74" s="5">
        <v>46962</v>
      </c>
      <c r="C74" s="5">
        <v>39475</v>
      </c>
      <c r="D74" s="5">
        <v>86437</v>
      </c>
      <c r="P74" s="34"/>
      <c r="Q74" s="17"/>
      <c r="R74" s="17"/>
      <c r="S74" s="17"/>
      <c r="T74" s="6"/>
    </row>
    <row r="75" spans="1:20" x14ac:dyDescent="0.3">
      <c r="A75" s="31" t="s">
        <v>224</v>
      </c>
      <c r="B75" s="5">
        <v>38497</v>
      </c>
      <c r="C75" s="5">
        <v>53386</v>
      </c>
      <c r="D75" s="5">
        <v>91883</v>
      </c>
      <c r="P75" s="34"/>
      <c r="Q75" s="17"/>
      <c r="R75" s="17"/>
      <c r="S75" s="17"/>
      <c r="T75" s="6"/>
    </row>
    <row r="76" spans="1:20" x14ac:dyDescent="0.3">
      <c r="A76" s="31" t="s">
        <v>225</v>
      </c>
      <c r="B76" s="5">
        <v>58555</v>
      </c>
      <c r="C76" s="5">
        <v>37952</v>
      </c>
      <c r="D76" s="5">
        <v>96507</v>
      </c>
      <c r="P76" s="45"/>
      <c r="Q76" s="17"/>
      <c r="R76" s="17"/>
      <c r="S76" s="17"/>
      <c r="T76" s="6"/>
    </row>
    <row r="77" spans="1:20" x14ac:dyDescent="0.3">
      <c r="A77" s="31" t="s">
        <v>226</v>
      </c>
      <c r="B77" s="5">
        <v>84671</v>
      </c>
      <c r="C77" s="5">
        <v>94557</v>
      </c>
      <c r="D77" s="5">
        <v>179228</v>
      </c>
      <c r="Q77" s="6"/>
      <c r="R77" s="6"/>
      <c r="S77" s="6"/>
      <c r="T77" s="6"/>
    </row>
    <row r="78" spans="1:20" x14ac:dyDescent="0.3">
      <c r="A78" s="31" t="s">
        <v>263</v>
      </c>
      <c r="B78" s="5">
        <v>140649</v>
      </c>
      <c r="C78" s="5">
        <v>63191</v>
      </c>
      <c r="D78" s="5">
        <v>203840</v>
      </c>
      <c r="Q78" s="6"/>
      <c r="R78" s="6"/>
      <c r="S78" s="6"/>
      <c r="T78" s="6"/>
    </row>
    <row r="79" spans="1:20" x14ac:dyDescent="0.3">
      <c r="A79" s="31" t="s">
        <v>31</v>
      </c>
      <c r="B79" s="5">
        <v>310925</v>
      </c>
      <c r="C79" s="5">
        <v>226650</v>
      </c>
      <c r="D79" s="5">
        <v>537575</v>
      </c>
      <c r="Q79" s="6"/>
      <c r="R79" s="6"/>
      <c r="S79" s="6"/>
      <c r="T79" s="6"/>
    </row>
    <row r="80" spans="1:20" x14ac:dyDescent="0.3">
      <c r="A80" s="31" t="s">
        <v>478</v>
      </c>
      <c r="B80" s="5">
        <v>0</v>
      </c>
      <c r="C80" s="5">
        <v>34</v>
      </c>
      <c r="D80" s="5">
        <v>34</v>
      </c>
      <c r="Q80" s="6"/>
      <c r="R80" s="6"/>
      <c r="S80" s="6"/>
      <c r="T80" s="6"/>
    </row>
    <row r="81" spans="1:30" x14ac:dyDescent="0.3">
      <c r="A81" s="29" t="s">
        <v>60</v>
      </c>
      <c r="B81" s="57">
        <v>4126368</v>
      </c>
      <c r="C81" s="57">
        <v>3566006</v>
      </c>
      <c r="D81" s="57">
        <v>7692374</v>
      </c>
      <c r="Q81" s="6"/>
      <c r="R81" s="6"/>
      <c r="S81" s="6"/>
      <c r="T81" s="6"/>
    </row>
    <row r="82" spans="1:30" x14ac:dyDescent="0.3">
      <c r="B82" s="73"/>
      <c r="C82" s="73"/>
      <c r="D82" s="73"/>
      <c r="Q82" s="6"/>
      <c r="R82" s="6"/>
      <c r="S82" s="6"/>
      <c r="T82" s="6"/>
    </row>
    <row r="83" spans="1:30" x14ac:dyDescent="0.3">
      <c r="Q83" s="6"/>
      <c r="R83" s="6"/>
      <c r="S83" s="6"/>
      <c r="T83" s="6"/>
    </row>
    <row r="84" spans="1:30" x14ac:dyDescent="0.3">
      <c r="A84" s="7" t="s">
        <v>178</v>
      </c>
      <c r="P84" s="7" t="s">
        <v>181</v>
      </c>
      <c r="Q84" s="6"/>
      <c r="R84" s="6"/>
      <c r="S84" s="6"/>
      <c r="T84" s="6"/>
    </row>
    <row r="85" spans="1:30" x14ac:dyDescent="0.3">
      <c r="A85" s="7" t="s">
        <v>407</v>
      </c>
      <c r="P85" s="7" t="s">
        <v>408</v>
      </c>
      <c r="Q85" s="6"/>
      <c r="R85" s="6"/>
      <c r="S85" s="6"/>
      <c r="T85" s="6"/>
    </row>
    <row r="86" spans="1:30" ht="41.4" x14ac:dyDescent="0.3">
      <c r="A86" s="44" t="s">
        <v>66</v>
      </c>
      <c r="B86" s="44" t="s">
        <v>9</v>
      </c>
      <c r="C86" s="44" t="s">
        <v>10</v>
      </c>
      <c r="D86" s="44" t="s">
        <v>11</v>
      </c>
      <c r="E86" s="44" t="s">
        <v>12</v>
      </c>
      <c r="F86" s="44" t="s">
        <v>13</v>
      </c>
      <c r="G86" s="44" t="s">
        <v>223</v>
      </c>
      <c r="H86" s="44" t="s">
        <v>224</v>
      </c>
      <c r="I86" s="44" t="s">
        <v>225</v>
      </c>
      <c r="J86" s="44" t="s">
        <v>226</v>
      </c>
      <c r="K86" s="44" t="s">
        <v>263</v>
      </c>
      <c r="L86" s="44" t="s">
        <v>31</v>
      </c>
      <c r="M86" s="44" t="s">
        <v>478</v>
      </c>
      <c r="N86" s="44" t="s">
        <v>64</v>
      </c>
      <c r="P86" s="44" t="s">
        <v>66</v>
      </c>
      <c r="Q86" s="44" t="s">
        <v>9</v>
      </c>
      <c r="R86" s="44" t="s">
        <v>10</v>
      </c>
      <c r="S86" s="44" t="s">
        <v>11</v>
      </c>
      <c r="T86" s="44" t="s">
        <v>12</v>
      </c>
      <c r="U86" s="44" t="s">
        <v>13</v>
      </c>
      <c r="V86" s="44" t="s">
        <v>223</v>
      </c>
      <c r="W86" s="44" t="s">
        <v>224</v>
      </c>
      <c r="X86" s="44" t="s">
        <v>225</v>
      </c>
      <c r="Y86" s="44" t="s">
        <v>226</v>
      </c>
      <c r="Z86" s="44" t="s">
        <v>263</v>
      </c>
      <c r="AA86" s="44" t="s">
        <v>31</v>
      </c>
      <c r="AB86" s="44" t="s">
        <v>478</v>
      </c>
      <c r="AC86" s="44" t="s">
        <v>64</v>
      </c>
    </row>
    <row r="87" spans="1:30" x14ac:dyDescent="0.3">
      <c r="A87" s="22" t="s">
        <v>5</v>
      </c>
      <c r="B87" s="4">
        <v>439933</v>
      </c>
      <c r="C87" s="4">
        <v>419844</v>
      </c>
      <c r="D87" s="23">
        <v>24408</v>
      </c>
      <c r="E87" s="23">
        <v>106924</v>
      </c>
      <c r="F87" s="23">
        <v>8695</v>
      </c>
      <c r="G87" s="23">
        <v>28253</v>
      </c>
      <c r="H87" s="23">
        <v>0</v>
      </c>
      <c r="I87" s="23">
        <v>28739</v>
      </c>
      <c r="J87" s="23">
        <v>43352</v>
      </c>
      <c r="K87" s="23">
        <v>101896</v>
      </c>
      <c r="L87" s="23">
        <v>145471</v>
      </c>
      <c r="M87" s="23">
        <v>0</v>
      </c>
      <c r="N87" s="23">
        <v>1347515</v>
      </c>
      <c r="O87" s="76"/>
      <c r="P87" s="22" t="s">
        <v>5</v>
      </c>
      <c r="Q87" s="4">
        <v>798050</v>
      </c>
      <c r="R87" s="4">
        <v>338511</v>
      </c>
      <c r="S87" s="23">
        <v>34466</v>
      </c>
      <c r="T87" s="23">
        <v>150023</v>
      </c>
      <c r="U87" s="23">
        <v>15789</v>
      </c>
      <c r="V87" s="23">
        <v>25091</v>
      </c>
      <c r="W87" s="23">
        <v>449</v>
      </c>
      <c r="X87" s="23">
        <v>18955</v>
      </c>
      <c r="Y87" s="23">
        <v>50349</v>
      </c>
      <c r="Z87" s="23">
        <v>43301</v>
      </c>
      <c r="AA87" s="23">
        <v>123530</v>
      </c>
      <c r="AB87" s="23">
        <v>28</v>
      </c>
      <c r="AC87" s="23">
        <v>1598542</v>
      </c>
      <c r="AD87" s="76"/>
    </row>
    <row r="88" spans="1:30" x14ac:dyDescent="0.3">
      <c r="A88" s="25" t="s">
        <v>6</v>
      </c>
      <c r="B88" s="5">
        <v>1713958</v>
      </c>
      <c r="C88" s="5">
        <v>617620</v>
      </c>
      <c r="D88" s="14">
        <v>33426</v>
      </c>
      <c r="E88" s="14">
        <v>73480</v>
      </c>
      <c r="F88" s="14">
        <v>7821</v>
      </c>
      <c r="G88" s="14">
        <v>18709</v>
      </c>
      <c r="H88" s="14">
        <v>38497</v>
      </c>
      <c r="I88" s="14">
        <v>29816</v>
      </c>
      <c r="J88" s="14">
        <v>41319</v>
      </c>
      <c r="K88" s="14">
        <v>38753</v>
      </c>
      <c r="L88" s="14">
        <v>165454</v>
      </c>
      <c r="M88" s="14">
        <v>0</v>
      </c>
      <c r="N88" s="14">
        <v>2778853</v>
      </c>
      <c r="O88" s="75"/>
      <c r="P88" s="25" t="s">
        <v>6</v>
      </c>
      <c r="Q88" s="5">
        <v>1343644</v>
      </c>
      <c r="R88" s="5">
        <v>267015</v>
      </c>
      <c r="S88" s="14">
        <v>30931</v>
      </c>
      <c r="T88" s="14">
        <v>62673</v>
      </c>
      <c r="U88" s="14">
        <v>9659</v>
      </c>
      <c r="V88" s="14">
        <v>14384</v>
      </c>
      <c r="W88" s="14">
        <v>52937</v>
      </c>
      <c r="X88" s="14">
        <v>18997</v>
      </c>
      <c r="Y88" s="14">
        <v>44208</v>
      </c>
      <c r="Z88" s="14">
        <v>19890</v>
      </c>
      <c r="AA88" s="14">
        <v>103120</v>
      </c>
      <c r="AB88" s="14">
        <v>6</v>
      </c>
      <c r="AC88" s="14">
        <v>1967464</v>
      </c>
      <c r="AD88" s="75"/>
    </row>
    <row r="89" spans="1:30" x14ac:dyDescent="0.3">
      <c r="A89" s="25" t="s">
        <v>478</v>
      </c>
      <c r="B89" s="5">
        <v>0</v>
      </c>
      <c r="C89" s="5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75"/>
      <c r="P89" s="25" t="s">
        <v>478</v>
      </c>
      <c r="Q89" s="5">
        <v>0</v>
      </c>
      <c r="R89" s="5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75"/>
    </row>
    <row r="90" spans="1:30" x14ac:dyDescent="0.3">
      <c r="A90" s="29" t="s">
        <v>60</v>
      </c>
      <c r="B90" s="57">
        <v>2153891</v>
      </c>
      <c r="C90" s="57">
        <v>1037464</v>
      </c>
      <c r="D90" s="57">
        <v>57834</v>
      </c>
      <c r="E90" s="57">
        <v>180404</v>
      </c>
      <c r="F90" s="57">
        <v>16516</v>
      </c>
      <c r="G90" s="57">
        <v>46962</v>
      </c>
      <c r="H90" s="57">
        <v>38497</v>
      </c>
      <c r="I90" s="57">
        <v>58555</v>
      </c>
      <c r="J90" s="57">
        <v>84671</v>
      </c>
      <c r="K90" s="57">
        <v>140649</v>
      </c>
      <c r="L90" s="57">
        <v>310925</v>
      </c>
      <c r="M90" s="57">
        <v>0</v>
      </c>
      <c r="N90" s="77">
        <v>4126368</v>
      </c>
      <c r="O90" s="75"/>
      <c r="P90" s="29" t="s">
        <v>60</v>
      </c>
      <c r="Q90" s="57">
        <v>2141694</v>
      </c>
      <c r="R90" s="57">
        <v>605526</v>
      </c>
      <c r="S90" s="57">
        <v>65397</v>
      </c>
      <c r="T90" s="57">
        <v>212696</v>
      </c>
      <c r="U90" s="57">
        <v>25448</v>
      </c>
      <c r="V90" s="57">
        <v>39475</v>
      </c>
      <c r="W90" s="57">
        <v>53386</v>
      </c>
      <c r="X90" s="57">
        <v>37952</v>
      </c>
      <c r="Y90" s="57">
        <v>94557</v>
      </c>
      <c r="Z90" s="57">
        <v>63191</v>
      </c>
      <c r="AA90" s="57">
        <v>226650</v>
      </c>
      <c r="AB90" s="57">
        <v>34</v>
      </c>
      <c r="AC90" s="77">
        <v>3566006</v>
      </c>
      <c r="AD90" s="75"/>
    </row>
    <row r="91" spans="1:30" x14ac:dyDescent="0.3"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</row>
    <row r="92" spans="1:30" x14ac:dyDescent="0.3">
      <c r="Q92" s="6"/>
      <c r="R92" s="6"/>
      <c r="S92" s="6"/>
      <c r="T92" s="6"/>
    </row>
    <row r="93" spans="1:30" x14ac:dyDescent="0.3">
      <c r="A93" s="7" t="s">
        <v>179</v>
      </c>
      <c r="P93" s="7" t="s">
        <v>182</v>
      </c>
      <c r="Q93" s="6"/>
      <c r="R93" s="6"/>
      <c r="S93" s="6"/>
      <c r="T93" s="6"/>
    </row>
    <row r="94" spans="1:30" x14ac:dyDescent="0.3">
      <c r="A94" s="7" t="s">
        <v>409</v>
      </c>
      <c r="P94" s="7" t="s">
        <v>410</v>
      </c>
      <c r="Q94" s="6"/>
      <c r="R94" s="6"/>
      <c r="S94" s="6"/>
      <c r="T94" s="6"/>
    </row>
    <row r="95" spans="1:30" ht="41.4" x14ac:dyDescent="0.3">
      <c r="A95" s="24" t="s">
        <v>67</v>
      </c>
      <c r="B95" s="44" t="s">
        <v>9</v>
      </c>
      <c r="C95" s="44" t="s">
        <v>10</v>
      </c>
      <c r="D95" s="44" t="s">
        <v>11</v>
      </c>
      <c r="E95" s="44" t="s">
        <v>12</v>
      </c>
      <c r="F95" s="44" t="s">
        <v>13</v>
      </c>
      <c r="G95" s="44" t="s">
        <v>223</v>
      </c>
      <c r="H95" s="44" t="s">
        <v>224</v>
      </c>
      <c r="I95" s="44" t="s">
        <v>225</v>
      </c>
      <c r="J95" s="44" t="s">
        <v>226</v>
      </c>
      <c r="K95" s="44" t="s">
        <v>263</v>
      </c>
      <c r="L95" s="44" t="s">
        <v>31</v>
      </c>
      <c r="M95" s="44" t="s">
        <v>478</v>
      </c>
      <c r="N95" s="44" t="s">
        <v>64</v>
      </c>
      <c r="P95" s="24" t="s">
        <v>67</v>
      </c>
      <c r="Q95" s="44" t="s">
        <v>9</v>
      </c>
      <c r="R95" s="44" t="s">
        <v>10</v>
      </c>
      <c r="S95" s="44" t="s">
        <v>11</v>
      </c>
      <c r="T95" s="44" t="s">
        <v>12</v>
      </c>
      <c r="U95" s="44" t="s">
        <v>13</v>
      </c>
      <c r="V95" s="44" t="s">
        <v>223</v>
      </c>
      <c r="W95" s="44" t="s">
        <v>224</v>
      </c>
      <c r="X95" s="44" t="s">
        <v>225</v>
      </c>
      <c r="Y95" s="44" t="s">
        <v>226</v>
      </c>
      <c r="Z95" s="44" t="s">
        <v>263</v>
      </c>
      <c r="AA95" s="44" t="s">
        <v>31</v>
      </c>
      <c r="AB95" s="44" t="s">
        <v>478</v>
      </c>
      <c r="AC95" s="44" t="s">
        <v>64</v>
      </c>
    </row>
    <row r="96" spans="1:30" x14ac:dyDescent="0.3">
      <c r="A96" s="22" t="s">
        <v>53</v>
      </c>
      <c r="B96" s="4">
        <v>2717</v>
      </c>
      <c r="C96" s="4">
        <v>1453</v>
      </c>
      <c r="D96" s="4">
        <v>635</v>
      </c>
      <c r="E96" s="4">
        <v>1329</v>
      </c>
      <c r="F96" s="4">
        <v>286</v>
      </c>
      <c r="G96" s="4">
        <v>356</v>
      </c>
      <c r="H96" s="4">
        <v>637</v>
      </c>
      <c r="I96" s="4">
        <v>228</v>
      </c>
      <c r="J96" s="4">
        <v>67</v>
      </c>
      <c r="K96" s="4">
        <v>58</v>
      </c>
      <c r="L96" s="4">
        <v>1316</v>
      </c>
      <c r="M96" s="4">
        <v>0</v>
      </c>
      <c r="N96" s="4">
        <v>9082</v>
      </c>
      <c r="O96" s="76"/>
      <c r="P96" s="22" t="s">
        <v>53</v>
      </c>
      <c r="Q96" s="4">
        <v>648</v>
      </c>
      <c r="R96" s="4">
        <v>525</v>
      </c>
      <c r="S96" s="4">
        <v>94</v>
      </c>
      <c r="T96" s="4">
        <v>397</v>
      </c>
      <c r="U96" s="4">
        <v>56</v>
      </c>
      <c r="V96" s="4">
        <v>53</v>
      </c>
      <c r="W96" s="4">
        <v>14</v>
      </c>
      <c r="X96" s="4">
        <v>68</v>
      </c>
      <c r="Y96" s="4">
        <v>30</v>
      </c>
      <c r="Z96" s="4">
        <v>11</v>
      </c>
      <c r="AA96" s="4">
        <v>172</v>
      </c>
      <c r="AB96" s="4">
        <v>0</v>
      </c>
      <c r="AC96" s="4">
        <v>2068</v>
      </c>
      <c r="AD96" s="76"/>
    </row>
    <row r="97" spans="1:30" x14ac:dyDescent="0.3">
      <c r="A97" s="25" t="s">
        <v>2</v>
      </c>
      <c r="B97" s="5">
        <v>111720</v>
      </c>
      <c r="C97" s="5">
        <v>21606</v>
      </c>
      <c r="D97" s="5">
        <v>5305</v>
      </c>
      <c r="E97" s="5">
        <v>12240</v>
      </c>
      <c r="F97" s="5">
        <v>1921</v>
      </c>
      <c r="G97" s="5">
        <v>2157</v>
      </c>
      <c r="H97" s="5">
        <v>7109</v>
      </c>
      <c r="I97" s="5">
        <v>2648</v>
      </c>
      <c r="J97" s="5">
        <v>641</v>
      </c>
      <c r="K97" s="5">
        <v>838</v>
      </c>
      <c r="L97" s="5">
        <v>11920</v>
      </c>
      <c r="M97" s="5">
        <v>0</v>
      </c>
      <c r="N97" s="5">
        <v>178105</v>
      </c>
      <c r="O97" s="75"/>
      <c r="P97" s="25" t="s">
        <v>2</v>
      </c>
      <c r="Q97" s="5">
        <v>50736</v>
      </c>
      <c r="R97" s="5">
        <v>17747</v>
      </c>
      <c r="S97" s="5">
        <v>3158</v>
      </c>
      <c r="T97" s="5">
        <v>11620</v>
      </c>
      <c r="U97" s="5">
        <v>1973</v>
      </c>
      <c r="V97" s="5">
        <v>1808</v>
      </c>
      <c r="W97" s="5">
        <v>2231</v>
      </c>
      <c r="X97" s="5">
        <v>1386</v>
      </c>
      <c r="Y97" s="5">
        <v>223</v>
      </c>
      <c r="Z97" s="5">
        <v>240</v>
      </c>
      <c r="AA97" s="5">
        <v>6017</v>
      </c>
      <c r="AB97" s="5">
        <v>3</v>
      </c>
      <c r="AC97" s="5">
        <v>97142</v>
      </c>
      <c r="AD97" s="75"/>
    </row>
    <row r="98" spans="1:30" x14ac:dyDescent="0.3">
      <c r="A98" s="25" t="s">
        <v>54</v>
      </c>
      <c r="B98" s="5">
        <v>783009</v>
      </c>
      <c r="C98" s="5">
        <v>113362</v>
      </c>
      <c r="D98" s="5">
        <v>14920</v>
      </c>
      <c r="E98" s="5">
        <v>30074</v>
      </c>
      <c r="F98" s="5">
        <v>4889</v>
      </c>
      <c r="G98" s="5">
        <v>7254</v>
      </c>
      <c r="H98" s="5">
        <v>23656</v>
      </c>
      <c r="I98" s="5">
        <v>10878</v>
      </c>
      <c r="J98" s="5">
        <v>4465</v>
      </c>
      <c r="K98" s="5">
        <v>4083</v>
      </c>
      <c r="L98" s="5">
        <v>49486</v>
      </c>
      <c r="M98" s="5">
        <v>0</v>
      </c>
      <c r="N98" s="5">
        <v>1046076</v>
      </c>
      <c r="O98" s="75"/>
      <c r="P98" s="25" t="s">
        <v>54</v>
      </c>
      <c r="Q98" s="5">
        <v>755649</v>
      </c>
      <c r="R98" s="5">
        <v>135809</v>
      </c>
      <c r="S98" s="5">
        <v>20275</v>
      </c>
      <c r="T98" s="5">
        <v>61172</v>
      </c>
      <c r="U98" s="5">
        <v>10517</v>
      </c>
      <c r="V98" s="5">
        <v>10253</v>
      </c>
      <c r="W98" s="5">
        <v>31769</v>
      </c>
      <c r="X98" s="5">
        <v>9151</v>
      </c>
      <c r="Y98" s="5">
        <v>6921</v>
      </c>
      <c r="Z98" s="5">
        <v>4506</v>
      </c>
      <c r="AA98" s="5">
        <v>51234</v>
      </c>
      <c r="AB98" s="5">
        <v>13</v>
      </c>
      <c r="AC98" s="5">
        <v>1097269</v>
      </c>
      <c r="AD98" s="75"/>
    </row>
    <row r="99" spans="1:30" x14ac:dyDescent="0.3">
      <c r="A99" s="25" t="s">
        <v>55</v>
      </c>
      <c r="B99" s="5">
        <v>594594</v>
      </c>
      <c r="C99" s="5">
        <v>177666</v>
      </c>
      <c r="D99" s="5">
        <v>10215</v>
      </c>
      <c r="E99" s="5">
        <v>33427</v>
      </c>
      <c r="F99" s="5">
        <v>3000</v>
      </c>
      <c r="G99" s="5">
        <v>9503</v>
      </c>
      <c r="H99" s="5">
        <v>6807</v>
      </c>
      <c r="I99" s="5">
        <v>9849</v>
      </c>
      <c r="J99" s="5">
        <v>10574</v>
      </c>
      <c r="K99" s="5">
        <v>9796</v>
      </c>
      <c r="L99" s="5">
        <v>54891</v>
      </c>
      <c r="M99" s="5">
        <v>0</v>
      </c>
      <c r="N99" s="5">
        <v>920322</v>
      </c>
      <c r="O99" s="75"/>
      <c r="P99" s="25" t="s">
        <v>55</v>
      </c>
      <c r="Q99" s="5">
        <v>717084</v>
      </c>
      <c r="R99" s="5">
        <v>162685</v>
      </c>
      <c r="S99" s="5">
        <v>16434</v>
      </c>
      <c r="T99" s="5">
        <v>57059</v>
      </c>
      <c r="U99" s="5">
        <v>7044</v>
      </c>
      <c r="V99" s="5">
        <v>10661</v>
      </c>
      <c r="W99" s="5">
        <v>18960</v>
      </c>
      <c r="X99" s="5">
        <v>9281</v>
      </c>
      <c r="Y99" s="5">
        <v>17672</v>
      </c>
      <c r="Z99" s="5">
        <v>10372</v>
      </c>
      <c r="AA99" s="5">
        <v>58198</v>
      </c>
      <c r="AB99" s="5">
        <v>7</v>
      </c>
      <c r="AC99" s="5">
        <v>1085457</v>
      </c>
      <c r="AD99" s="75"/>
    </row>
    <row r="100" spans="1:30" x14ac:dyDescent="0.3">
      <c r="A100" s="25" t="s">
        <v>56</v>
      </c>
      <c r="B100" s="5">
        <v>328166</v>
      </c>
      <c r="C100" s="5">
        <v>309263</v>
      </c>
      <c r="D100" s="5">
        <v>8684</v>
      </c>
      <c r="E100" s="5">
        <v>46149</v>
      </c>
      <c r="F100" s="5">
        <v>2980</v>
      </c>
      <c r="G100" s="5">
        <v>10394</v>
      </c>
      <c r="H100" s="5">
        <v>191</v>
      </c>
      <c r="I100" s="5">
        <v>11457</v>
      </c>
      <c r="J100" s="5">
        <v>19895</v>
      </c>
      <c r="K100" s="5">
        <v>26865</v>
      </c>
      <c r="L100" s="5">
        <v>80233</v>
      </c>
      <c r="M100" s="5">
        <v>0</v>
      </c>
      <c r="N100" s="5">
        <v>844277</v>
      </c>
      <c r="O100" s="75"/>
      <c r="P100" s="25" t="s">
        <v>56</v>
      </c>
      <c r="Q100" s="5">
        <v>330837</v>
      </c>
      <c r="R100" s="5">
        <v>149420</v>
      </c>
      <c r="S100" s="5">
        <v>10758</v>
      </c>
      <c r="T100" s="5">
        <v>43557</v>
      </c>
      <c r="U100" s="5">
        <v>3309</v>
      </c>
      <c r="V100" s="5">
        <v>7793</v>
      </c>
      <c r="W100" s="5">
        <v>399</v>
      </c>
      <c r="X100" s="5">
        <v>8324</v>
      </c>
      <c r="Y100" s="5">
        <v>23165</v>
      </c>
      <c r="Z100" s="5">
        <v>15128</v>
      </c>
      <c r="AA100" s="5">
        <v>49357</v>
      </c>
      <c r="AB100" s="5">
        <v>11</v>
      </c>
      <c r="AC100" s="5">
        <v>642058</v>
      </c>
      <c r="AD100" s="75"/>
    </row>
    <row r="101" spans="1:30" x14ac:dyDescent="0.3">
      <c r="A101" s="25" t="s">
        <v>57</v>
      </c>
      <c r="B101" s="5">
        <v>274385</v>
      </c>
      <c r="C101" s="5">
        <v>317289</v>
      </c>
      <c r="D101" s="5">
        <v>10809</v>
      </c>
      <c r="E101" s="5">
        <v>43185</v>
      </c>
      <c r="F101" s="5">
        <v>2720</v>
      </c>
      <c r="G101" s="5">
        <v>11462</v>
      </c>
      <c r="H101" s="5">
        <v>22</v>
      </c>
      <c r="I101" s="5">
        <v>13980</v>
      </c>
      <c r="J101" s="5">
        <v>27303</v>
      </c>
      <c r="K101" s="5">
        <v>55647</v>
      </c>
      <c r="L101" s="5">
        <v>74866</v>
      </c>
      <c r="M101" s="5">
        <v>0</v>
      </c>
      <c r="N101" s="5">
        <v>831668</v>
      </c>
      <c r="O101" s="75"/>
      <c r="P101" s="25" t="s">
        <v>57</v>
      </c>
      <c r="Q101" s="5">
        <v>244367</v>
      </c>
      <c r="R101" s="5">
        <v>119603</v>
      </c>
      <c r="S101" s="5">
        <v>10048</v>
      </c>
      <c r="T101" s="5">
        <v>32377</v>
      </c>
      <c r="U101" s="5">
        <v>1714</v>
      </c>
      <c r="V101" s="5">
        <v>6313</v>
      </c>
      <c r="W101" s="5">
        <v>5</v>
      </c>
      <c r="X101" s="5">
        <v>5968</v>
      </c>
      <c r="Y101" s="5">
        <v>28561</v>
      </c>
      <c r="Z101" s="5">
        <v>18794</v>
      </c>
      <c r="AA101" s="5">
        <v>47877</v>
      </c>
      <c r="AB101" s="5">
        <v>0</v>
      </c>
      <c r="AC101" s="5">
        <v>515627</v>
      </c>
      <c r="AD101" s="75"/>
    </row>
    <row r="102" spans="1:30" x14ac:dyDescent="0.3">
      <c r="A102" s="25" t="s">
        <v>3</v>
      </c>
      <c r="B102" s="5">
        <v>59300</v>
      </c>
      <c r="C102" s="5">
        <v>96825</v>
      </c>
      <c r="D102" s="5">
        <v>7266</v>
      </c>
      <c r="E102" s="5">
        <v>14000</v>
      </c>
      <c r="F102" s="5">
        <v>720</v>
      </c>
      <c r="G102" s="5">
        <v>5836</v>
      </c>
      <c r="H102" s="5">
        <v>75</v>
      </c>
      <c r="I102" s="5">
        <v>9515</v>
      </c>
      <c r="J102" s="5">
        <v>21726</v>
      </c>
      <c r="K102" s="5">
        <v>43362</v>
      </c>
      <c r="L102" s="5">
        <v>38213</v>
      </c>
      <c r="M102" s="5">
        <v>0</v>
      </c>
      <c r="N102" s="5">
        <v>296838</v>
      </c>
      <c r="O102" s="75"/>
      <c r="P102" s="25" t="s">
        <v>3</v>
      </c>
      <c r="Q102" s="5">
        <v>42305</v>
      </c>
      <c r="R102" s="5">
        <v>19689</v>
      </c>
      <c r="S102" s="5">
        <v>4630</v>
      </c>
      <c r="T102" s="5">
        <v>6514</v>
      </c>
      <c r="U102" s="5">
        <v>832</v>
      </c>
      <c r="V102" s="5">
        <v>2576</v>
      </c>
      <c r="W102" s="5">
        <v>8</v>
      </c>
      <c r="X102" s="5">
        <v>3774</v>
      </c>
      <c r="Y102" s="5">
        <v>17985</v>
      </c>
      <c r="Z102" s="5">
        <v>14140</v>
      </c>
      <c r="AA102" s="5">
        <v>13771</v>
      </c>
      <c r="AB102" s="5">
        <v>0</v>
      </c>
      <c r="AC102" s="5">
        <v>126224</v>
      </c>
      <c r="AD102" s="75"/>
    </row>
    <row r="103" spans="1:30" x14ac:dyDescent="0.3">
      <c r="A103" s="25" t="s">
        <v>478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75"/>
      <c r="P103" s="25" t="s">
        <v>478</v>
      </c>
      <c r="Q103" s="5">
        <v>68</v>
      </c>
      <c r="R103" s="5">
        <v>48</v>
      </c>
      <c r="S103" s="5">
        <v>0</v>
      </c>
      <c r="T103" s="5">
        <v>0</v>
      </c>
      <c r="U103" s="5">
        <v>3</v>
      </c>
      <c r="V103" s="5">
        <v>18</v>
      </c>
      <c r="W103" s="5">
        <v>0</v>
      </c>
      <c r="X103" s="5">
        <v>0</v>
      </c>
      <c r="Y103" s="5">
        <v>0</v>
      </c>
      <c r="Z103" s="5">
        <v>0</v>
      </c>
      <c r="AA103" s="5">
        <v>24</v>
      </c>
      <c r="AB103" s="5">
        <v>0</v>
      </c>
      <c r="AC103" s="5">
        <v>161</v>
      </c>
      <c r="AD103" s="75"/>
    </row>
    <row r="104" spans="1:30" x14ac:dyDescent="0.3">
      <c r="A104" s="29" t="s">
        <v>60</v>
      </c>
      <c r="B104" s="57">
        <v>2153891</v>
      </c>
      <c r="C104" s="57">
        <v>1037464</v>
      </c>
      <c r="D104" s="57">
        <v>57834</v>
      </c>
      <c r="E104" s="57">
        <v>180404</v>
      </c>
      <c r="F104" s="57">
        <v>16516</v>
      </c>
      <c r="G104" s="57">
        <v>46962</v>
      </c>
      <c r="H104" s="57">
        <v>38497</v>
      </c>
      <c r="I104" s="57">
        <v>58555</v>
      </c>
      <c r="J104" s="57">
        <v>84671</v>
      </c>
      <c r="K104" s="57">
        <v>140649</v>
      </c>
      <c r="L104" s="57">
        <v>310925</v>
      </c>
      <c r="M104" s="57">
        <v>0</v>
      </c>
      <c r="N104" s="57">
        <v>4126368</v>
      </c>
      <c r="O104" s="75"/>
      <c r="P104" s="29" t="s">
        <v>60</v>
      </c>
      <c r="Q104" s="57">
        <v>2141694</v>
      </c>
      <c r="R104" s="57">
        <v>605526</v>
      </c>
      <c r="S104" s="57">
        <v>65397</v>
      </c>
      <c r="T104" s="57">
        <v>212696</v>
      </c>
      <c r="U104" s="57">
        <v>25448</v>
      </c>
      <c r="V104" s="57">
        <v>39475</v>
      </c>
      <c r="W104" s="57">
        <v>53386</v>
      </c>
      <c r="X104" s="57">
        <v>37952</v>
      </c>
      <c r="Y104" s="57">
        <v>94557</v>
      </c>
      <c r="Z104" s="57">
        <v>63191</v>
      </c>
      <c r="AA104" s="57">
        <v>226650</v>
      </c>
      <c r="AB104" s="57">
        <v>34</v>
      </c>
      <c r="AC104" s="57">
        <v>3566006</v>
      </c>
      <c r="AD104" s="75"/>
    </row>
    <row r="105" spans="1:30" x14ac:dyDescent="0.3"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</row>
    <row r="106" spans="1:30" x14ac:dyDescent="0.3">
      <c r="Q106" s="6"/>
      <c r="R106" s="6"/>
      <c r="S106" s="6"/>
      <c r="T106" s="6"/>
    </row>
    <row r="107" spans="1:30" x14ac:dyDescent="0.3">
      <c r="A107" s="7" t="s">
        <v>180</v>
      </c>
      <c r="P107" s="7" t="s">
        <v>183</v>
      </c>
      <c r="Q107" s="6"/>
      <c r="R107" s="6"/>
      <c r="S107" s="6"/>
      <c r="T107" s="6"/>
    </row>
    <row r="108" spans="1:30" x14ac:dyDescent="0.3">
      <c r="A108" s="7" t="s">
        <v>411</v>
      </c>
      <c r="P108" s="7" t="s">
        <v>412</v>
      </c>
      <c r="Q108" s="6"/>
      <c r="R108" s="6"/>
      <c r="S108" s="6"/>
      <c r="T108" s="6"/>
    </row>
    <row r="109" spans="1:30" ht="41.4" x14ac:dyDescent="0.3">
      <c r="A109" s="24" t="s">
        <v>209</v>
      </c>
      <c r="B109" s="44" t="s">
        <v>9</v>
      </c>
      <c r="C109" s="44" t="s">
        <v>10</v>
      </c>
      <c r="D109" s="44" t="s">
        <v>11</v>
      </c>
      <c r="E109" s="44" t="s">
        <v>12</v>
      </c>
      <c r="F109" s="44" t="s">
        <v>13</v>
      </c>
      <c r="G109" s="44" t="s">
        <v>223</v>
      </c>
      <c r="H109" s="44" t="s">
        <v>224</v>
      </c>
      <c r="I109" s="44" t="s">
        <v>225</v>
      </c>
      <c r="J109" s="44" t="s">
        <v>226</v>
      </c>
      <c r="K109" s="44" t="s">
        <v>263</v>
      </c>
      <c r="L109" s="44" t="s">
        <v>31</v>
      </c>
      <c r="M109" s="44" t="s">
        <v>478</v>
      </c>
      <c r="N109" s="44" t="s">
        <v>64</v>
      </c>
      <c r="P109" s="24" t="s">
        <v>209</v>
      </c>
      <c r="Q109" s="44" t="s">
        <v>9</v>
      </c>
      <c r="R109" s="44" t="s">
        <v>10</v>
      </c>
      <c r="S109" s="44" t="s">
        <v>11</v>
      </c>
      <c r="T109" s="44" t="s">
        <v>12</v>
      </c>
      <c r="U109" s="44" t="s">
        <v>13</v>
      </c>
      <c r="V109" s="44" t="s">
        <v>223</v>
      </c>
      <c r="W109" s="44" t="s">
        <v>224</v>
      </c>
      <c r="X109" s="44" t="s">
        <v>225</v>
      </c>
      <c r="Y109" s="44" t="s">
        <v>226</v>
      </c>
      <c r="Z109" s="44" t="s">
        <v>264</v>
      </c>
      <c r="AA109" s="44" t="s">
        <v>31</v>
      </c>
      <c r="AB109" s="44" t="s">
        <v>478</v>
      </c>
      <c r="AC109" s="44" t="s">
        <v>64</v>
      </c>
    </row>
    <row r="110" spans="1:30" x14ac:dyDescent="0.3">
      <c r="A110" s="30" t="s">
        <v>14</v>
      </c>
      <c r="B110" s="4">
        <v>6755</v>
      </c>
      <c r="C110" s="4">
        <v>2018</v>
      </c>
      <c r="D110" s="4">
        <v>1186</v>
      </c>
      <c r="E110" s="4">
        <v>953</v>
      </c>
      <c r="F110" s="4">
        <v>503</v>
      </c>
      <c r="G110" s="4">
        <v>583</v>
      </c>
      <c r="H110" s="4">
        <v>527</v>
      </c>
      <c r="I110" s="4">
        <v>1174</v>
      </c>
      <c r="J110" s="4">
        <v>343</v>
      </c>
      <c r="K110" s="4">
        <v>535</v>
      </c>
      <c r="L110" s="4">
        <v>1415</v>
      </c>
      <c r="M110" s="4">
        <v>0</v>
      </c>
      <c r="N110" s="4">
        <v>15992</v>
      </c>
      <c r="O110" s="76"/>
      <c r="P110" s="30" t="s">
        <v>14</v>
      </c>
      <c r="Q110" s="4">
        <v>6565</v>
      </c>
      <c r="R110" s="4">
        <v>1826</v>
      </c>
      <c r="S110" s="4">
        <v>329</v>
      </c>
      <c r="T110" s="4">
        <v>871</v>
      </c>
      <c r="U110" s="4">
        <v>106</v>
      </c>
      <c r="V110" s="4">
        <v>259</v>
      </c>
      <c r="W110" s="4">
        <v>817</v>
      </c>
      <c r="X110" s="4">
        <v>307</v>
      </c>
      <c r="Y110" s="4">
        <v>389</v>
      </c>
      <c r="Z110" s="4">
        <v>117</v>
      </c>
      <c r="AA110" s="4">
        <v>1094</v>
      </c>
      <c r="AB110" s="4">
        <v>0</v>
      </c>
      <c r="AC110" s="4">
        <v>12680</v>
      </c>
      <c r="AD110" s="76"/>
    </row>
    <row r="111" spans="1:30" x14ac:dyDescent="0.3">
      <c r="A111" s="31" t="s">
        <v>15</v>
      </c>
      <c r="B111" s="5">
        <v>41727</v>
      </c>
      <c r="C111" s="5">
        <v>19535</v>
      </c>
      <c r="D111" s="5">
        <v>1576</v>
      </c>
      <c r="E111" s="5">
        <v>3551</v>
      </c>
      <c r="F111" s="5">
        <v>971</v>
      </c>
      <c r="G111" s="5">
        <v>457</v>
      </c>
      <c r="H111" s="5">
        <v>484</v>
      </c>
      <c r="I111" s="5">
        <v>1989</v>
      </c>
      <c r="J111" s="5">
        <v>1391</v>
      </c>
      <c r="K111" s="5">
        <v>2231</v>
      </c>
      <c r="L111" s="5">
        <v>4649</v>
      </c>
      <c r="M111" s="5">
        <v>0</v>
      </c>
      <c r="N111" s="5">
        <v>78561</v>
      </c>
      <c r="O111" s="75"/>
      <c r="P111" s="31" t="s">
        <v>15</v>
      </c>
      <c r="Q111" s="5">
        <v>48889</v>
      </c>
      <c r="R111" s="5">
        <v>13917</v>
      </c>
      <c r="S111" s="5">
        <v>802</v>
      </c>
      <c r="T111" s="5">
        <v>4903</v>
      </c>
      <c r="U111" s="5">
        <v>329</v>
      </c>
      <c r="V111" s="5">
        <v>824</v>
      </c>
      <c r="W111" s="5">
        <v>559</v>
      </c>
      <c r="X111" s="5">
        <v>668</v>
      </c>
      <c r="Y111" s="5">
        <v>1385</v>
      </c>
      <c r="Z111" s="5">
        <v>3017</v>
      </c>
      <c r="AA111" s="5">
        <v>6584</v>
      </c>
      <c r="AB111" s="5">
        <v>0</v>
      </c>
      <c r="AC111" s="5">
        <v>81877</v>
      </c>
      <c r="AD111" s="75"/>
    </row>
    <row r="112" spans="1:30" ht="15" customHeight="1" x14ac:dyDescent="0.3">
      <c r="A112" s="31" t="s">
        <v>16</v>
      </c>
      <c r="B112" s="5">
        <v>46320</v>
      </c>
      <c r="C112" s="5">
        <v>36132</v>
      </c>
      <c r="D112" s="5">
        <v>2622</v>
      </c>
      <c r="E112" s="5">
        <v>10903</v>
      </c>
      <c r="F112" s="5">
        <v>577</v>
      </c>
      <c r="G112" s="5">
        <v>1560</v>
      </c>
      <c r="H112" s="5">
        <v>2125</v>
      </c>
      <c r="I112" s="5">
        <v>2751</v>
      </c>
      <c r="J112" s="5">
        <v>1088</v>
      </c>
      <c r="K112" s="5">
        <v>3825</v>
      </c>
      <c r="L112" s="5">
        <v>12325</v>
      </c>
      <c r="M112" s="5">
        <v>0</v>
      </c>
      <c r="N112" s="5">
        <v>120228</v>
      </c>
      <c r="O112" s="75"/>
      <c r="P112" s="31" t="s">
        <v>16</v>
      </c>
      <c r="Q112" s="5">
        <v>79666</v>
      </c>
      <c r="R112" s="5">
        <v>39023</v>
      </c>
      <c r="S112" s="5">
        <v>3230</v>
      </c>
      <c r="T112" s="5">
        <v>11780</v>
      </c>
      <c r="U112" s="5">
        <v>1318</v>
      </c>
      <c r="V112" s="5">
        <v>2580</v>
      </c>
      <c r="W112" s="5">
        <v>3296</v>
      </c>
      <c r="X112" s="5">
        <v>2505</v>
      </c>
      <c r="Y112" s="5">
        <v>4597</v>
      </c>
      <c r="Z112" s="5">
        <v>4467</v>
      </c>
      <c r="AA112" s="5">
        <v>12693</v>
      </c>
      <c r="AB112" s="5">
        <v>0</v>
      </c>
      <c r="AC112" s="5">
        <v>165155</v>
      </c>
      <c r="AD112" s="75"/>
    </row>
    <row r="113" spans="1:30" ht="15" customHeight="1" x14ac:dyDescent="0.3">
      <c r="A113" s="31" t="s">
        <v>17</v>
      </c>
      <c r="B113" s="5">
        <v>51760</v>
      </c>
      <c r="C113" s="5">
        <v>15701</v>
      </c>
      <c r="D113" s="5">
        <v>1216</v>
      </c>
      <c r="E113" s="5">
        <v>3854</v>
      </c>
      <c r="F113" s="5">
        <v>89</v>
      </c>
      <c r="G113" s="5">
        <v>439</v>
      </c>
      <c r="H113" s="5">
        <v>438</v>
      </c>
      <c r="I113" s="5">
        <v>941</v>
      </c>
      <c r="J113" s="5">
        <v>2386</v>
      </c>
      <c r="K113" s="5">
        <v>3276</v>
      </c>
      <c r="L113" s="5">
        <v>13659</v>
      </c>
      <c r="M113" s="5">
        <v>0</v>
      </c>
      <c r="N113" s="5">
        <v>93759</v>
      </c>
      <c r="O113" s="75"/>
      <c r="P113" s="31" t="s">
        <v>17</v>
      </c>
      <c r="Q113" s="5">
        <v>29192</v>
      </c>
      <c r="R113" s="5">
        <v>13054</v>
      </c>
      <c r="S113" s="5">
        <v>909</v>
      </c>
      <c r="T113" s="5">
        <v>3530</v>
      </c>
      <c r="U113" s="5">
        <v>166</v>
      </c>
      <c r="V113" s="5">
        <v>716</v>
      </c>
      <c r="W113" s="5">
        <v>700</v>
      </c>
      <c r="X113" s="5">
        <v>1139</v>
      </c>
      <c r="Y113" s="5">
        <v>1668</v>
      </c>
      <c r="Z113" s="5">
        <v>1142</v>
      </c>
      <c r="AA113" s="5">
        <v>7823</v>
      </c>
      <c r="AB113" s="5">
        <v>0</v>
      </c>
      <c r="AC113" s="5">
        <v>60039</v>
      </c>
      <c r="AD113" s="75"/>
    </row>
    <row r="114" spans="1:30" ht="15" customHeight="1" x14ac:dyDescent="0.3">
      <c r="A114" s="31" t="s">
        <v>18</v>
      </c>
      <c r="B114" s="5">
        <v>89960</v>
      </c>
      <c r="C114" s="5">
        <v>12540</v>
      </c>
      <c r="D114" s="5">
        <v>1124</v>
      </c>
      <c r="E114" s="5">
        <v>2910</v>
      </c>
      <c r="F114" s="5">
        <v>311</v>
      </c>
      <c r="G114" s="5">
        <v>783</v>
      </c>
      <c r="H114" s="5">
        <v>4067</v>
      </c>
      <c r="I114" s="5">
        <v>2202</v>
      </c>
      <c r="J114" s="5">
        <v>2751</v>
      </c>
      <c r="K114" s="5">
        <v>5042</v>
      </c>
      <c r="L114" s="5">
        <v>8371</v>
      </c>
      <c r="M114" s="5">
        <v>0</v>
      </c>
      <c r="N114" s="5">
        <v>130061</v>
      </c>
      <c r="O114" s="75"/>
      <c r="P114" s="31" t="s">
        <v>18</v>
      </c>
      <c r="Q114" s="5">
        <v>31963</v>
      </c>
      <c r="R114" s="5">
        <v>6253</v>
      </c>
      <c r="S114" s="5">
        <v>847</v>
      </c>
      <c r="T114" s="5">
        <v>2068</v>
      </c>
      <c r="U114" s="5">
        <v>205</v>
      </c>
      <c r="V114" s="5">
        <v>405</v>
      </c>
      <c r="W114" s="5">
        <v>574</v>
      </c>
      <c r="X114" s="5">
        <v>693</v>
      </c>
      <c r="Y114" s="5">
        <v>1027</v>
      </c>
      <c r="Z114" s="5">
        <v>253</v>
      </c>
      <c r="AA114" s="5">
        <v>2139</v>
      </c>
      <c r="AB114" s="5">
        <v>0</v>
      </c>
      <c r="AC114" s="5">
        <v>46427</v>
      </c>
      <c r="AD114" s="75"/>
    </row>
    <row r="115" spans="1:30" ht="15" customHeight="1" x14ac:dyDescent="0.3">
      <c r="A115" s="31" t="s">
        <v>19</v>
      </c>
      <c r="B115" s="5">
        <v>196762</v>
      </c>
      <c r="C115" s="5">
        <v>110052</v>
      </c>
      <c r="D115" s="5">
        <v>5499</v>
      </c>
      <c r="E115" s="5">
        <v>11973</v>
      </c>
      <c r="F115" s="5">
        <v>1604</v>
      </c>
      <c r="G115" s="5">
        <v>4365</v>
      </c>
      <c r="H115" s="5">
        <v>2821</v>
      </c>
      <c r="I115" s="5">
        <v>4261</v>
      </c>
      <c r="J115" s="5">
        <v>7675</v>
      </c>
      <c r="K115" s="5">
        <v>12954</v>
      </c>
      <c r="L115" s="5">
        <v>30177</v>
      </c>
      <c r="M115" s="5">
        <v>0</v>
      </c>
      <c r="N115" s="5">
        <v>388143</v>
      </c>
      <c r="O115" s="75"/>
      <c r="P115" s="31" t="s">
        <v>19</v>
      </c>
      <c r="Q115" s="5">
        <v>157787</v>
      </c>
      <c r="R115" s="5">
        <v>42559</v>
      </c>
      <c r="S115" s="5">
        <v>3901</v>
      </c>
      <c r="T115" s="5">
        <v>14610</v>
      </c>
      <c r="U115" s="5">
        <v>1219</v>
      </c>
      <c r="V115" s="5">
        <v>2035</v>
      </c>
      <c r="W115" s="5">
        <v>2422</v>
      </c>
      <c r="X115" s="5">
        <v>2172</v>
      </c>
      <c r="Y115" s="5">
        <v>5645</v>
      </c>
      <c r="Z115" s="5">
        <v>4440</v>
      </c>
      <c r="AA115" s="5">
        <v>11113</v>
      </c>
      <c r="AB115" s="5">
        <v>0</v>
      </c>
      <c r="AC115" s="5">
        <v>247903</v>
      </c>
      <c r="AD115" s="75"/>
    </row>
    <row r="116" spans="1:30" ht="15" customHeight="1" x14ac:dyDescent="0.3">
      <c r="A116" s="31" t="s">
        <v>20</v>
      </c>
      <c r="B116" s="5">
        <v>933426</v>
      </c>
      <c r="C116" s="5">
        <v>483959</v>
      </c>
      <c r="D116" s="5">
        <v>20870</v>
      </c>
      <c r="E116" s="5">
        <v>76119</v>
      </c>
      <c r="F116" s="5">
        <v>3933</v>
      </c>
      <c r="G116" s="5">
        <v>17923</v>
      </c>
      <c r="H116" s="5">
        <v>2888</v>
      </c>
      <c r="I116" s="5">
        <v>26326</v>
      </c>
      <c r="J116" s="5">
        <v>26431</v>
      </c>
      <c r="K116" s="5">
        <v>65175</v>
      </c>
      <c r="L116" s="5">
        <v>137612</v>
      </c>
      <c r="M116" s="5">
        <v>0</v>
      </c>
      <c r="N116" s="5">
        <v>1794662</v>
      </c>
      <c r="O116" s="75"/>
      <c r="P116" s="31" t="s">
        <v>20</v>
      </c>
      <c r="Q116" s="5">
        <v>1253731</v>
      </c>
      <c r="R116" s="5">
        <v>357988</v>
      </c>
      <c r="S116" s="5">
        <v>38936</v>
      </c>
      <c r="T116" s="5">
        <v>130189</v>
      </c>
      <c r="U116" s="5">
        <v>16685</v>
      </c>
      <c r="V116" s="5">
        <v>22350</v>
      </c>
      <c r="W116" s="5">
        <v>28254</v>
      </c>
      <c r="X116" s="5">
        <v>21718</v>
      </c>
      <c r="Y116" s="5">
        <v>58789</v>
      </c>
      <c r="Z116" s="5">
        <v>34180</v>
      </c>
      <c r="AA116" s="5">
        <v>133016</v>
      </c>
      <c r="AB116" s="5">
        <v>24</v>
      </c>
      <c r="AC116" s="5">
        <v>2095860</v>
      </c>
      <c r="AD116" s="75"/>
    </row>
    <row r="117" spans="1:30" ht="15" customHeight="1" x14ac:dyDescent="0.3">
      <c r="A117" s="31" t="s">
        <v>21</v>
      </c>
      <c r="B117" s="5">
        <v>215049</v>
      </c>
      <c r="C117" s="5">
        <v>99869</v>
      </c>
      <c r="D117" s="5">
        <v>6820</v>
      </c>
      <c r="E117" s="5">
        <v>20699</v>
      </c>
      <c r="F117" s="5">
        <v>1930</v>
      </c>
      <c r="G117" s="5">
        <v>7576</v>
      </c>
      <c r="H117" s="5">
        <v>8928</v>
      </c>
      <c r="I117" s="5">
        <v>6707</v>
      </c>
      <c r="J117" s="5">
        <v>10378</v>
      </c>
      <c r="K117" s="5">
        <v>14305</v>
      </c>
      <c r="L117" s="5">
        <v>23470</v>
      </c>
      <c r="M117" s="5">
        <v>0</v>
      </c>
      <c r="N117" s="5">
        <v>415731</v>
      </c>
      <c r="O117" s="75"/>
      <c r="P117" s="31" t="s">
        <v>21</v>
      </c>
      <c r="Q117" s="5">
        <v>113560</v>
      </c>
      <c r="R117" s="5">
        <v>25551</v>
      </c>
      <c r="S117" s="5">
        <v>2043</v>
      </c>
      <c r="T117" s="5">
        <v>7130</v>
      </c>
      <c r="U117" s="5">
        <v>405</v>
      </c>
      <c r="V117" s="5">
        <v>1328</v>
      </c>
      <c r="W117" s="5">
        <v>5049</v>
      </c>
      <c r="X117" s="5">
        <v>1575</v>
      </c>
      <c r="Y117" s="5">
        <v>3020</v>
      </c>
      <c r="Z117" s="5">
        <v>3097</v>
      </c>
      <c r="AA117" s="5">
        <v>8636</v>
      </c>
      <c r="AB117" s="5">
        <v>7</v>
      </c>
      <c r="AC117" s="5">
        <v>171401</v>
      </c>
      <c r="AD117" s="75"/>
    </row>
    <row r="118" spans="1:30" ht="15" customHeight="1" x14ac:dyDescent="0.3">
      <c r="A118" s="31" t="s">
        <v>22</v>
      </c>
      <c r="B118" s="5">
        <v>83099</v>
      </c>
      <c r="C118" s="5">
        <v>29515</v>
      </c>
      <c r="D118" s="5">
        <v>1228</v>
      </c>
      <c r="E118" s="5">
        <v>3830</v>
      </c>
      <c r="F118" s="5">
        <v>180</v>
      </c>
      <c r="G118" s="5">
        <v>1082</v>
      </c>
      <c r="H118" s="5">
        <v>5540</v>
      </c>
      <c r="I118" s="5">
        <v>1389</v>
      </c>
      <c r="J118" s="5">
        <v>5038</v>
      </c>
      <c r="K118" s="5">
        <v>5601</v>
      </c>
      <c r="L118" s="5">
        <v>8130</v>
      </c>
      <c r="M118" s="5">
        <v>0</v>
      </c>
      <c r="N118" s="5">
        <v>144632</v>
      </c>
      <c r="O118" s="75"/>
      <c r="P118" s="31" t="s">
        <v>22</v>
      </c>
      <c r="Q118" s="5">
        <v>60067</v>
      </c>
      <c r="R118" s="5">
        <v>12061</v>
      </c>
      <c r="S118" s="5">
        <v>1407</v>
      </c>
      <c r="T118" s="5">
        <v>6013</v>
      </c>
      <c r="U118" s="5">
        <v>462</v>
      </c>
      <c r="V118" s="5">
        <v>1334</v>
      </c>
      <c r="W118" s="5">
        <v>1199</v>
      </c>
      <c r="X118" s="5">
        <v>562</v>
      </c>
      <c r="Y118" s="5">
        <v>1698</v>
      </c>
      <c r="Z118" s="5">
        <v>1677</v>
      </c>
      <c r="AA118" s="5">
        <v>4908</v>
      </c>
      <c r="AB118" s="5">
        <v>0</v>
      </c>
      <c r="AC118" s="5">
        <v>91388</v>
      </c>
      <c r="AD118" s="75"/>
    </row>
    <row r="119" spans="1:30" ht="15" customHeight="1" x14ac:dyDescent="0.3">
      <c r="A119" s="31" t="s">
        <v>23</v>
      </c>
      <c r="B119" s="5">
        <v>285165</v>
      </c>
      <c r="C119" s="5">
        <v>145945</v>
      </c>
      <c r="D119" s="5">
        <v>7041</v>
      </c>
      <c r="E119" s="5">
        <v>27452</v>
      </c>
      <c r="F119" s="5">
        <v>2614</v>
      </c>
      <c r="G119" s="5">
        <v>6702</v>
      </c>
      <c r="H119" s="5">
        <v>6564</v>
      </c>
      <c r="I119" s="5">
        <v>6324</v>
      </c>
      <c r="J119" s="5">
        <v>12410</v>
      </c>
      <c r="K119" s="5">
        <v>14608</v>
      </c>
      <c r="L119" s="5">
        <v>42054</v>
      </c>
      <c r="M119" s="5">
        <v>0</v>
      </c>
      <c r="N119" s="5">
        <v>556879</v>
      </c>
      <c r="O119" s="75"/>
      <c r="P119" s="31" t="s">
        <v>23</v>
      </c>
      <c r="Q119" s="5">
        <v>163294</v>
      </c>
      <c r="R119" s="5">
        <v>43451</v>
      </c>
      <c r="S119" s="5">
        <v>4193</v>
      </c>
      <c r="T119" s="5">
        <v>13803</v>
      </c>
      <c r="U119" s="5">
        <v>1286</v>
      </c>
      <c r="V119" s="5">
        <v>2489</v>
      </c>
      <c r="W119" s="5">
        <v>5579</v>
      </c>
      <c r="X119" s="5">
        <v>3016</v>
      </c>
      <c r="Y119" s="5">
        <v>6052</v>
      </c>
      <c r="Z119" s="5">
        <v>4262</v>
      </c>
      <c r="AA119" s="5">
        <v>20214</v>
      </c>
      <c r="AB119" s="5">
        <v>3</v>
      </c>
      <c r="AC119" s="5">
        <v>267642</v>
      </c>
      <c r="AD119" s="75"/>
    </row>
    <row r="120" spans="1:30" ht="15" customHeight="1" x14ac:dyDescent="0.3">
      <c r="A120" s="31" t="s">
        <v>24</v>
      </c>
      <c r="B120" s="5">
        <v>93303</v>
      </c>
      <c r="C120" s="5">
        <v>37206</v>
      </c>
      <c r="D120" s="5">
        <v>2449</v>
      </c>
      <c r="E120" s="5">
        <v>4550</v>
      </c>
      <c r="F120" s="5">
        <v>920</v>
      </c>
      <c r="G120" s="5">
        <v>1573</v>
      </c>
      <c r="H120" s="5">
        <v>1885</v>
      </c>
      <c r="I120" s="5">
        <v>1935</v>
      </c>
      <c r="J120" s="5">
        <v>6466</v>
      </c>
      <c r="K120" s="5">
        <v>5545</v>
      </c>
      <c r="L120" s="5">
        <v>9382</v>
      </c>
      <c r="M120" s="5">
        <v>0</v>
      </c>
      <c r="N120" s="5">
        <v>165214</v>
      </c>
      <c r="O120" s="75"/>
      <c r="P120" s="31" t="s">
        <v>24</v>
      </c>
      <c r="Q120" s="5">
        <v>74167</v>
      </c>
      <c r="R120" s="5">
        <v>11842</v>
      </c>
      <c r="S120" s="5">
        <v>1816</v>
      </c>
      <c r="T120" s="5">
        <v>3090</v>
      </c>
      <c r="U120" s="5">
        <v>738</v>
      </c>
      <c r="V120" s="5">
        <v>958</v>
      </c>
      <c r="W120" s="5">
        <v>1635</v>
      </c>
      <c r="X120" s="5">
        <v>888</v>
      </c>
      <c r="Y120" s="5">
        <v>3411</v>
      </c>
      <c r="Z120" s="5">
        <v>1668</v>
      </c>
      <c r="AA120" s="5">
        <v>4696</v>
      </c>
      <c r="AB120" s="5">
        <v>0</v>
      </c>
      <c r="AC120" s="5">
        <v>104909</v>
      </c>
      <c r="AD120" s="75"/>
    </row>
    <row r="121" spans="1:30" ht="15" customHeight="1" x14ac:dyDescent="0.3">
      <c r="A121" s="31" t="s">
        <v>25</v>
      </c>
      <c r="B121" s="5">
        <v>12553</v>
      </c>
      <c r="C121" s="5">
        <v>5971</v>
      </c>
      <c r="D121" s="5">
        <v>1187</v>
      </c>
      <c r="E121" s="5">
        <v>1407</v>
      </c>
      <c r="F121" s="5">
        <v>537</v>
      </c>
      <c r="G121" s="5">
        <v>528</v>
      </c>
      <c r="H121" s="5">
        <v>240</v>
      </c>
      <c r="I121" s="5">
        <v>281</v>
      </c>
      <c r="J121" s="5">
        <v>990</v>
      </c>
      <c r="K121" s="5">
        <v>1232</v>
      </c>
      <c r="L121" s="5">
        <v>1818</v>
      </c>
      <c r="M121" s="5">
        <v>0</v>
      </c>
      <c r="N121" s="5">
        <v>26744</v>
      </c>
      <c r="O121" s="75"/>
      <c r="P121" s="31" t="s">
        <v>25</v>
      </c>
      <c r="Q121" s="5">
        <v>15304</v>
      </c>
      <c r="R121" s="5">
        <v>3838</v>
      </c>
      <c r="S121" s="5">
        <v>428</v>
      </c>
      <c r="T121" s="5">
        <v>1294</v>
      </c>
      <c r="U121" s="5">
        <v>185</v>
      </c>
      <c r="V121" s="5">
        <v>408</v>
      </c>
      <c r="W121" s="5">
        <v>129</v>
      </c>
      <c r="X121" s="5">
        <v>174</v>
      </c>
      <c r="Y121" s="5">
        <v>798</v>
      </c>
      <c r="Z121" s="5">
        <v>428</v>
      </c>
      <c r="AA121" s="5">
        <v>1565</v>
      </c>
      <c r="AB121" s="5">
        <v>0</v>
      </c>
      <c r="AC121" s="5">
        <v>24551</v>
      </c>
      <c r="AD121" s="75"/>
    </row>
    <row r="122" spans="1:30" ht="15" customHeight="1" x14ac:dyDescent="0.3">
      <c r="A122" s="31" t="s">
        <v>26</v>
      </c>
      <c r="B122" s="5">
        <v>64130</v>
      </c>
      <c r="C122" s="5">
        <v>28284</v>
      </c>
      <c r="D122" s="5">
        <v>4067</v>
      </c>
      <c r="E122" s="5">
        <v>8541</v>
      </c>
      <c r="F122" s="5">
        <v>1975</v>
      </c>
      <c r="G122" s="5">
        <v>2624</v>
      </c>
      <c r="H122" s="5">
        <v>1156</v>
      </c>
      <c r="I122" s="5">
        <v>1456</v>
      </c>
      <c r="J122" s="5">
        <v>5107</v>
      </c>
      <c r="K122" s="5">
        <v>4386</v>
      </c>
      <c r="L122" s="5">
        <v>13033</v>
      </c>
      <c r="M122" s="5">
        <v>0</v>
      </c>
      <c r="N122" s="5">
        <v>134759</v>
      </c>
      <c r="O122" s="75"/>
      <c r="P122" s="31" t="s">
        <v>26</v>
      </c>
      <c r="Q122" s="5">
        <v>53176</v>
      </c>
      <c r="R122" s="5">
        <v>11374</v>
      </c>
      <c r="S122" s="5">
        <v>1618</v>
      </c>
      <c r="T122" s="5">
        <v>4461</v>
      </c>
      <c r="U122" s="5">
        <v>543</v>
      </c>
      <c r="V122" s="5">
        <v>1315</v>
      </c>
      <c r="W122" s="5">
        <v>888</v>
      </c>
      <c r="X122" s="5">
        <v>1079</v>
      </c>
      <c r="Y122" s="5">
        <v>1193</v>
      </c>
      <c r="Z122" s="5">
        <v>1266</v>
      </c>
      <c r="AA122" s="5">
        <v>4471</v>
      </c>
      <c r="AB122" s="5">
        <v>0</v>
      </c>
      <c r="AC122" s="5">
        <v>81384</v>
      </c>
      <c r="AD122" s="75"/>
    </row>
    <row r="123" spans="1:30" ht="15" customHeight="1" x14ac:dyDescent="0.3">
      <c r="A123" s="31" t="s">
        <v>27</v>
      </c>
      <c r="B123" s="5">
        <v>4410</v>
      </c>
      <c r="C123" s="5">
        <v>2999</v>
      </c>
      <c r="D123" s="5">
        <v>525</v>
      </c>
      <c r="E123" s="5">
        <v>735</v>
      </c>
      <c r="F123" s="5">
        <v>163</v>
      </c>
      <c r="G123" s="5">
        <v>267</v>
      </c>
      <c r="H123" s="5">
        <v>321</v>
      </c>
      <c r="I123" s="5">
        <v>285</v>
      </c>
      <c r="J123" s="5">
        <v>230</v>
      </c>
      <c r="K123" s="5">
        <v>570</v>
      </c>
      <c r="L123" s="5">
        <v>1286</v>
      </c>
      <c r="M123" s="5">
        <v>0</v>
      </c>
      <c r="N123" s="5">
        <v>11791</v>
      </c>
      <c r="O123" s="75"/>
      <c r="P123" s="31" t="s">
        <v>27</v>
      </c>
      <c r="Q123" s="5">
        <v>7550</v>
      </c>
      <c r="R123" s="5">
        <v>1186</v>
      </c>
      <c r="S123" s="5">
        <v>175</v>
      </c>
      <c r="T123" s="5">
        <v>481</v>
      </c>
      <c r="U123" s="5">
        <v>10</v>
      </c>
      <c r="V123" s="5">
        <v>85</v>
      </c>
      <c r="W123" s="5">
        <v>198</v>
      </c>
      <c r="X123" s="5">
        <v>73</v>
      </c>
      <c r="Y123" s="5">
        <v>731</v>
      </c>
      <c r="Z123" s="5">
        <v>523</v>
      </c>
      <c r="AA123" s="5">
        <v>1000</v>
      </c>
      <c r="AB123" s="5">
        <v>0</v>
      </c>
      <c r="AC123" s="5">
        <v>12012</v>
      </c>
      <c r="AD123" s="75"/>
    </row>
    <row r="124" spans="1:30" ht="15" customHeight="1" x14ac:dyDescent="0.3">
      <c r="A124" s="31" t="s">
        <v>28</v>
      </c>
      <c r="B124" s="5">
        <v>29472</v>
      </c>
      <c r="C124" s="5">
        <v>7738</v>
      </c>
      <c r="D124" s="5">
        <v>424</v>
      </c>
      <c r="E124" s="5">
        <v>2927</v>
      </c>
      <c r="F124" s="5">
        <v>209</v>
      </c>
      <c r="G124" s="5">
        <v>500</v>
      </c>
      <c r="H124" s="5">
        <v>513</v>
      </c>
      <c r="I124" s="5">
        <v>534</v>
      </c>
      <c r="J124" s="5">
        <v>1987</v>
      </c>
      <c r="K124" s="5">
        <v>1364</v>
      </c>
      <c r="L124" s="5">
        <v>3544</v>
      </c>
      <c r="M124" s="5">
        <v>0</v>
      </c>
      <c r="N124" s="5">
        <v>49212</v>
      </c>
      <c r="O124" s="75"/>
      <c r="P124" s="31" t="s">
        <v>28</v>
      </c>
      <c r="Q124" s="5">
        <v>20074</v>
      </c>
      <c r="R124" s="5">
        <v>9887</v>
      </c>
      <c r="S124" s="5">
        <v>557</v>
      </c>
      <c r="T124" s="5">
        <v>2416</v>
      </c>
      <c r="U124" s="5">
        <v>149</v>
      </c>
      <c r="V124" s="5">
        <v>622</v>
      </c>
      <c r="W124" s="5">
        <v>213</v>
      </c>
      <c r="X124" s="5">
        <v>319</v>
      </c>
      <c r="Y124" s="5">
        <v>1701</v>
      </c>
      <c r="Z124" s="5">
        <v>1089</v>
      </c>
      <c r="AA124" s="5">
        <v>2164</v>
      </c>
      <c r="AB124" s="5">
        <v>0</v>
      </c>
      <c r="AC124" s="5">
        <v>39191</v>
      </c>
      <c r="AD124" s="75"/>
    </row>
    <row r="125" spans="1:30" ht="15" customHeight="1" x14ac:dyDescent="0.3">
      <c r="A125" s="31" t="s">
        <v>478</v>
      </c>
      <c r="B125" s="5">
        <v>0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75"/>
      <c r="P125" s="31" t="s">
        <v>478</v>
      </c>
      <c r="Q125" s="5">
        <v>26709</v>
      </c>
      <c r="R125" s="5">
        <v>11716</v>
      </c>
      <c r="S125" s="5">
        <v>4206</v>
      </c>
      <c r="T125" s="5">
        <v>6057</v>
      </c>
      <c r="U125" s="5">
        <v>1642</v>
      </c>
      <c r="V125" s="5">
        <v>1767</v>
      </c>
      <c r="W125" s="5">
        <v>1874</v>
      </c>
      <c r="X125" s="5">
        <v>1064</v>
      </c>
      <c r="Y125" s="5">
        <v>2453</v>
      </c>
      <c r="Z125" s="5">
        <v>1565</v>
      </c>
      <c r="AA125" s="5">
        <v>4534</v>
      </c>
      <c r="AB125" s="5">
        <v>0</v>
      </c>
      <c r="AC125" s="5">
        <v>63587</v>
      </c>
      <c r="AD125" s="75"/>
    </row>
    <row r="126" spans="1:30" ht="15" customHeight="1" x14ac:dyDescent="0.3">
      <c r="A126" s="29" t="s">
        <v>60</v>
      </c>
      <c r="B126" s="57">
        <v>2153891</v>
      </c>
      <c r="C126" s="57">
        <v>1037464</v>
      </c>
      <c r="D126" s="57">
        <v>57834</v>
      </c>
      <c r="E126" s="57">
        <v>180404</v>
      </c>
      <c r="F126" s="57">
        <v>16516</v>
      </c>
      <c r="G126" s="57">
        <v>46962</v>
      </c>
      <c r="H126" s="57">
        <v>38497</v>
      </c>
      <c r="I126" s="57">
        <v>58555</v>
      </c>
      <c r="J126" s="57">
        <v>84671</v>
      </c>
      <c r="K126" s="57">
        <v>140649</v>
      </c>
      <c r="L126" s="57">
        <v>310925</v>
      </c>
      <c r="M126" s="57">
        <v>0</v>
      </c>
      <c r="N126" s="57">
        <v>4126368</v>
      </c>
      <c r="O126" s="75"/>
      <c r="P126" s="29" t="s">
        <v>60</v>
      </c>
      <c r="Q126" s="57">
        <v>2141694</v>
      </c>
      <c r="R126" s="57">
        <v>605526</v>
      </c>
      <c r="S126" s="57">
        <v>65397</v>
      </c>
      <c r="T126" s="57">
        <v>212696</v>
      </c>
      <c r="U126" s="57">
        <v>25448</v>
      </c>
      <c r="V126" s="57">
        <v>39475</v>
      </c>
      <c r="W126" s="57">
        <v>53386</v>
      </c>
      <c r="X126" s="57">
        <v>37952</v>
      </c>
      <c r="Y126" s="57">
        <v>94557</v>
      </c>
      <c r="Z126" s="57">
        <v>63191</v>
      </c>
      <c r="AA126" s="57">
        <v>226650</v>
      </c>
      <c r="AB126" s="57">
        <v>34</v>
      </c>
      <c r="AC126" s="57">
        <v>3566006</v>
      </c>
      <c r="AD126" s="75"/>
    </row>
    <row r="127" spans="1:30" ht="15" customHeight="1" x14ac:dyDescent="0.3"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</row>
    <row r="128" spans="1:30" ht="15" customHeight="1" x14ac:dyDescent="0.3"/>
    <row r="129" s="3" customFormat="1" ht="15" customHeight="1" x14ac:dyDescent="0.3"/>
    <row r="130" s="3" customFormat="1" ht="15" customHeight="1" x14ac:dyDescent="0.3"/>
    <row r="131" s="3" customFormat="1" x14ac:dyDescent="0.3"/>
    <row r="132" s="3" customFormat="1" ht="15" customHeight="1" x14ac:dyDescent="0.3"/>
    <row r="133" s="3" customFormat="1" ht="15" customHeight="1" x14ac:dyDescent="0.3"/>
    <row r="134" s="3" customFormat="1" ht="15" customHeight="1" x14ac:dyDescent="0.3"/>
    <row r="135" s="3" customFormat="1" ht="15" customHeight="1" x14ac:dyDescent="0.3"/>
    <row r="136" s="3" customFormat="1" ht="15" customHeight="1" x14ac:dyDescent="0.3"/>
    <row r="137" s="3" customFormat="1" ht="15" customHeight="1" x14ac:dyDescent="0.3"/>
    <row r="138" s="3" customFormat="1" ht="15" customHeight="1" x14ac:dyDescent="0.3"/>
    <row r="139" s="3" customFormat="1" ht="15" customHeight="1" x14ac:dyDescent="0.3"/>
    <row r="140" s="3" customFormat="1" ht="15" customHeight="1" x14ac:dyDescent="0.3"/>
    <row r="141" s="3" customFormat="1" ht="15" customHeight="1" x14ac:dyDescent="0.3"/>
    <row r="142" s="3" customFormat="1" ht="15" customHeight="1" x14ac:dyDescent="0.3"/>
    <row r="143" s="3" customFormat="1" ht="15" customHeight="1" x14ac:dyDescent="0.3"/>
    <row r="144" s="3" customFormat="1" ht="15" customHeight="1" x14ac:dyDescent="0.3"/>
    <row r="145" spans="2:5" ht="15" customHeight="1" x14ac:dyDescent="0.3">
      <c r="B145" s="3"/>
      <c r="C145" s="3"/>
      <c r="D145" s="3"/>
      <c r="E145" s="3"/>
    </row>
    <row r="146" spans="2:5" ht="15" customHeight="1" x14ac:dyDescent="0.3">
      <c r="B146" s="3"/>
      <c r="C146" s="3"/>
      <c r="D146" s="3"/>
      <c r="E146" s="3"/>
    </row>
    <row r="147" spans="2:5" ht="15" customHeight="1" x14ac:dyDescent="0.3">
      <c r="B147" s="3"/>
      <c r="C147" s="3"/>
      <c r="D147" s="3"/>
      <c r="E147" s="3"/>
    </row>
    <row r="148" spans="2:5" ht="15" customHeight="1" x14ac:dyDescent="0.3"/>
    <row r="149" spans="2:5" ht="15" customHeight="1" x14ac:dyDescent="0.3"/>
    <row r="150" spans="2:5" ht="15" customHeight="1" x14ac:dyDescent="0.3"/>
    <row r="151" spans="2:5" ht="15" customHeight="1" x14ac:dyDescent="0.3"/>
    <row r="152" spans="2:5" ht="15" customHeight="1" x14ac:dyDescent="0.3"/>
    <row r="153" spans="2:5" ht="15" customHeight="1" x14ac:dyDescent="0.3"/>
    <row r="154" spans="2:5" ht="15" customHeight="1" x14ac:dyDescent="0.3"/>
    <row r="155" spans="2:5" ht="15" customHeight="1" x14ac:dyDescent="0.3"/>
    <row r="156" spans="2:5" ht="15" customHeight="1" x14ac:dyDescent="0.3"/>
    <row r="157" spans="2:5" ht="15" customHeight="1" x14ac:dyDescent="0.3"/>
    <row r="158" spans="2:5" ht="15" customHeight="1" x14ac:dyDescent="0.3"/>
    <row r="159" spans="2:5" ht="15" customHeight="1" x14ac:dyDescent="0.3"/>
    <row r="160" spans="2:5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6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W85"/>
  <sheetViews>
    <sheetView showGridLines="0" zoomScaleNormal="100" workbookViewId="0"/>
  </sheetViews>
  <sheetFormatPr baseColWidth="10" defaultColWidth="33.109375" defaultRowHeight="13.8" x14ac:dyDescent="0.3"/>
  <cols>
    <col min="1" max="1" width="38.88671875" style="3" customWidth="1"/>
    <col min="2" max="5" width="15.6640625" style="6" customWidth="1"/>
    <col min="6" max="6" width="11.109375" style="6" customWidth="1"/>
    <col min="7" max="7" width="11.109375" style="3" customWidth="1"/>
    <col min="8" max="8" width="38.5546875" style="3" customWidth="1"/>
    <col min="9" max="15" width="15.6640625" style="3" customWidth="1"/>
    <col min="16" max="16" width="22.33203125" style="3" customWidth="1"/>
    <col min="17" max="19" width="15.6640625" style="3" customWidth="1"/>
    <col min="20" max="20" width="11.33203125" style="3" customWidth="1"/>
    <col min="21" max="34" width="15.6640625" style="3" customWidth="1"/>
    <col min="35" max="16384" width="33.109375" style="3"/>
  </cols>
  <sheetData>
    <row r="1" spans="1:9" ht="18" x14ac:dyDescent="0.35">
      <c r="A1" s="1" t="s">
        <v>206</v>
      </c>
    </row>
    <row r="3" spans="1:9" x14ac:dyDescent="0.3">
      <c r="A3" s="2" t="s">
        <v>87</v>
      </c>
    </row>
    <row r="4" spans="1:9" x14ac:dyDescent="0.3">
      <c r="A4" s="2" t="s">
        <v>567</v>
      </c>
    </row>
    <row r="5" spans="1:9" x14ac:dyDescent="0.3">
      <c r="A5" s="8" t="s">
        <v>65</v>
      </c>
      <c r="B5" s="8" t="s">
        <v>0</v>
      </c>
      <c r="C5" s="8" t="s">
        <v>1</v>
      </c>
      <c r="D5" s="8" t="s">
        <v>59</v>
      </c>
    </row>
    <row r="6" spans="1:9" x14ac:dyDescent="0.3">
      <c r="A6" s="25">
        <v>2013</v>
      </c>
      <c r="B6" s="4">
        <v>399311437</v>
      </c>
      <c r="C6" s="4">
        <v>348361851</v>
      </c>
      <c r="D6" s="23">
        <v>747673288</v>
      </c>
      <c r="E6" s="73"/>
      <c r="F6" s="73"/>
    </row>
    <row r="7" spans="1:9" x14ac:dyDescent="0.3">
      <c r="A7" s="25">
        <v>2014</v>
      </c>
      <c r="B7" s="5">
        <v>473197696</v>
      </c>
      <c r="C7" s="5">
        <v>398656445</v>
      </c>
      <c r="D7" s="14">
        <v>871854141</v>
      </c>
      <c r="E7" s="73"/>
      <c r="F7" s="73"/>
      <c r="I7" s="59"/>
    </row>
    <row r="8" spans="1:9" x14ac:dyDescent="0.3">
      <c r="A8" s="25">
        <v>2015</v>
      </c>
      <c r="B8" s="5">
        <v>570889517</v>
      </c>
      <c r="C8" s="5">
        <v>420101986.505714</v>
      </c>
      <c r="D8" s="14">
        <v>990991503.50571394</v>
      </c>
      <c r="E8" s="73"/>
      <c r="F8" s="73"/>
      <c r="I8" s="59"/>
    </row>
    <row r="9" spans="1:9" x14ac:dyDescent="0.3">
      <c r="A9" s="25">
        <v>2016</v>
      </c>
      <c r="B9" s="5">
        <v>647982618</v>
      </c>
      <c r="C9" s="5">
        <v>445459559.17212099</v>
      </c>
      <c r="D9" s="14">
        <v>1093442177.172121</v>
      </c>
      <c r="E9" s="73"/>
      <c r="F9" s="73"/>
      <c r="G9" s="6"/>
      <c r="H9" s="6"/>
      <c r="I9" s="59"/>
    </row>
    <row r="10" spans="1:9" x14ac:dyDescent="0.3">
      <c r="A10" s="27">
        <v>2017</v>
      </c>
      <c r="B10" s="15">
        <v>717127372.00999999</v>
      </c>
      <c r="C10" s="15">
        <v>550637980.91363502</v>
      </c>
      <c r="D10" s="26">
        <v>1267765352.923635</v>
      </c>
      <c r="E10" s="73"/>
      <c r="F10" s="73"/>
      <c r="H10" s="6"/>
      <c r="I10" s="59"/>
    </row>
    <row r="11" spans="1:9" x14ac:dyDescent="0.3">
      <c r="A11" s="3" t="s">
        <v>79</v>
      </c>
      <c r="E11" s="63"/>
      <c r="F11" s="3"/>
    </row>
    <row r="12" spans="1:9" x14ac:dyDescent="0.3">
      <c r="F12" s="3"/>
    </row>
    <row r="13" spans="1:9" x14ac:dyDescent="0.3">
      <c r="A13" s="2" t="s">
        <v>88</v>
      </c>
      <c r="F13" s="3"/>
    </row>
    <row r="14" spans="1:9" x14ac:dyDescent="0.3">
      <c r="A14" s="2" t="s">
        <v>568</v>
      </c>
      <c r="F14" s="3"/>
    </row>
    <row r="15" spans="1:9" x14ac:dyDescent="0.3">
      <c r="A15" s="8" t="s">
        <v>65</v>
      </c>
      <c r="B15" s="58" t="s">
        <v>0</v>
      </c>
      <c r="C15" s="8" t="s">
        <v>1</v>
      </c>
      <c r="D15" s="8" t="s">
        <v>59</v>
      </c>
      <c r="F15" s="3"/>
    </row>
    <row r="16" spans="1:9" x14ac:dyDescent="0.3">
      <c r="A16" s="25">
        <v>2013</v>
      </c>
      <c r="B16" s="4">
        <v>458120480.27800208</v>
      </c>
      <c r="C16" s="4">
        <v>399667236.40488613</v>
      </c>
      <c r="D16" s="4">
        <v>857787716.68288827</v>
      </c>
      <c r="E16" s="73"/>
      <c r="F16" s="3"/>
    </row>
    <row r="17" spans="1:6" x14ac:dyDescent="0.3">
      <c r="A17" s="25">
        <v>2014</v>
      </c>
      <c r="B17" s="5">
        <v>518815700.20862353</v>
      </c>
      <c r="C17" s="5">
        <v>437088397.52118242</v>
      </c>
      <c r="D17" s="5">
        <v>955904097.72980595</v>
      </c>
      <c r="E17" s="73"/>
      <c r="F17" s="3"/>
    </row>
    <row r="18" spans="1:6" x14ac:dyDescent="0.3">
      <c r="A18" s="25">
        <v>2015</v>
      </c>
      <c r="B18" s="5">
        <v>599673429.69080901</v>
      </c>
      <c r="C18" s="5">
        <v>441283280.85555559</v>
      </c>
      <c r="D18" s="5">
        <v>1040956710.5463645</v>
      </c>
      <c r="E18" s="73"/>
      <c r="F18" s="3"/>
    </row>
    <row r="19" spans="1:6" x14ac:dyDescent="0.3">
      <c r="A19" s="25">
        <v>2016</v>
      </c>
      <c r="B19" s="5">
        <v>662662940.74710226</v>
      </c>
      <c r="C19" s="5">
        <v>455551635.59172124</v>
      </c>
      <c r="D19" s="5">
        <v>1118214576.3388236</v>
      </c>
      <c r="E19" s="73"/>
      <c r="F19" s="3"/>
    </row>
    <row r="20" spans="1:6" x14ac:dyDescent="0.3">
      <c r="A20" s="27">
        <v>2017</v>
      </c>
      <c r="B20" s="15">
        <v>717127372.00999999</v>
      </c>
      <c r="C20" s="15">
        <v>550637980.91363502</v>
      </c>
      <c r="D20" s="15">
        <v>1267765352.923635</v>
      </c>
      <c r="E20" s="73"/>
      <c r="F20" s="3"/>
    </row>
    <row r="21" spans="1:6" x14ac:dyDescent="0.3">
      <c r="A21" s="3" t="s">
        <v>79</v>
      </c>
      <c r="B21" s="63"/>
      <c r="C21" s="63"/>
      <c r="D21" s="63"/>
      <c r="F21" s="3"/>
    </row>
    <row r="22" spans="1:6" x14ac:dyDescent="0.3">
      <c r="F22" s="3"/>
    </row>
    <row r="23" spans="1:6" x14ac:dyDescent="0.3">
      <c r="A23" s="2" t="s">
        <v>89</v>
      </c>
      <c r="F23" s="3"/>
    </row>
    <row r="24" spans="1:6" x14ac:dyDescent="0.3">
      <c r="A24" s="7" t="s">
        <v>569</v>
      </c>
      <c r="F24" s="3"/>
    </row>
    <row r="25" spans="1:6" x14ac:dyDescent="0.3">
      <c r="A25" s="8" t="s">
        <v>208</v>
      </c>
      <c r="B25" s="8" t="s">
        <v>0</v>
      </c>
      <c r="C25" s="8" t="s">
        <v>1</v>
      </c>
      <c r="D25" s="8" t="s">
        <v>59</v>
      </c>
      <c r="F25" s="3"/>
    </row>
    <row r="26" spans="1:6" x14ac:dyDescent="0.3">
      <c r="A26" s="31" t="s">
        <v>9</v>
      </c>
      <c r="B26" s="4">
        <v>226663641.58463338</v>
      </c>
      <c r="C26" s="4">
        <v>97268792.367017433</v>
      </c>
      <c r="D26" s="4">
        <v>323932433.9516508</v>
      </c>
      <c r="E26" s="73"/>
      <c r="F26" s="3"/>
    </row>
    <row r="27" spans="1:6" x14ac:dyDescent="0.3">
      <c r="A27" s="31" t="s">
        <v>10</v>
      </c>
      <c r="B27" s="5">
        <v>164731845.14389774</v>
      </c>
      <c r="C27" s="5">
        <v>100435058.79453619</v>
      </c>
      <c r="D27" s="5">
        <v>265166903.93843395</v>
      </c>
      <c r="E27" s="73"/>
      <c r="F27" s="3"/>
    </row>
    <row r="28" spans="1:6" x14ac:dyDescent="0.3">
      <c r="A28" s="31" t="s">
        <v>11</v>
      </c>
      <c r="B28" s="5">
        <v>24200547.258988492</v>
      </c>
      <c r="C28" s="5">
        <v>45802941.611181155</v>
      </c>
      <c r="D28" s="5">
        <v>70003488.87016964</v>
      </c>
      <c r="E28" s="73"/>
      <c r="F28" s="3"/>
    </row>
    <row r="29" spans="1:6" x14ac:dyDescent="0.3">
      <c r="A29" s="31" t="s">
        <v>12</v>
      </c>
      <c r="B29" s="5">
        <v>70564853.005461887</v>
      </c>
      <c r="C29" s="5">
        <v>80795029.360072032</v>
      </c>
      <c r="D29" s="5">
        <v>151359882.36553392</v>
      </c>
      <c r="E29" s="73"/>
      <c r="F29" s="3"/>
    </row>
    <row r="30" spans="1:6" x14ac:dyDescent="0.3">
      <c r="A30" s="31" t="s">
        <v>13</v>
      </c>
      <c r="B30" s="5">
        <v>6711172.9039770113</v>
      </c>
      <c r="C30" s="5">
        <v>13987317.60519558</v>
      </c>
      <c r="D30" s="5">
        <v>20698490.509172592</v>
      </c>
      <c r="E30" s="73"/>
      <c r="F30" s="3"/>
    </row>
    <row r="31" spans="1:6" x14ac:dyDescent="0.3">
      <c r="A31" s="31" t="s">
        <v>223</v>
      </c>
      <c r="B31" s="5">
        <v>23436781.237838052</v>
      </c>
      <c r="C31" s="5">
        <v>30967547.276338845</v>
      </c>
      <c r="D31" s="5">
        <v>54404328.514176898</v>
      </c>
      <c r="E31" s="73"/>
      <c r="F31" s="3"/>
    </row>
    <row r="32" spans="1:6" x14ac:dyDescent="0.3">
      <c r="A32" s="31" t="s">
        <v>224</v>
      </c>
      <c r="B32" s="5">
        <v>30406222.727541726</v>
      </c>
      <c r="C32" s="5">
        <v>28800617.756700397</v>
      </c>
      <c r="D32" s="5">
        <v>59206840.484242126</v>
      </c>
      <c r="E32" s="73"/>
      <c r="F32" s="3"/>
    </row>
    <row r="33" spans="1:23" x14ac:dyDescent="0.3">
      <c r="A33" s="31" t="s">
        <v>225</v>
      </c>
      <c r="B33" s="5">
        <v>20457821.589285892</v>
      </c>
      <c r="C33" s="5">
        <v>17792615.796937123</v>
      </c>
      <c r="D33" s="5">
        <v>38250437.386223018</v>
      </c>
      <c r="E33" s="73"/>
      <c r="F33" s="3"/>
    </row>
    <row r="34" spans="1:23" x14ac:dyDescent="0.3">
      <c r="A34" s="31" t="s">
        <v>226</v>
      </c>
      <c r="B34" s="5">
        <v>41554331.882271908</v>
      </c>
      <c r="C34" s="5">
        <v>52990349.406123079</v>
      </c>
      <c r="D34" s="5">
        <v>94544681.288394988</v>
      </c>
      <c r="E34" s="73"/>
      <c r="F34" s="3"/>
    </row>
    <row r="35" spans="1:23" x14ac:dyDescent="0.3">
      <c r="A35" s="31" t="s">
        <v>263</v>
      </c>
      <c r="B35" s="5">
        <v>33347538.407167248</v>
      </c>
      <c r="C35" s="5">
        <v>22102681.100312095</v>
      </c>
      <c r="D35" s="5">
        <v>55450219.50747934</v>
      </c>
      <c r="E35" s="73"/>
      <c r="F35" s="3"/>
      <c r="O35" s="67"/>
      <c r="Q35" s="59"/>
      <c r="R35" s="59"/>
      <c r="T35" s="59"/>
      <c r="U35" s="65"/>
    </row>
    <row r="36" spans="1:23" x14ac:dyDescent="0.3">
      <c r="A36" s="31" t="s">
        <v>227</v>
      </c>
      <c r="B36" s="5">
        <v>75051510.59429574</v>
      </c>
      <c r="C36" s="5">
        <v>59691630.734092191</v>
      </c>
      <c r="D36" s="5">
        <v>134743141.32838792</v>
      </c>
      <c r="E36" s="73"/>
      <c r="F36" s="3"/>
      <c r="O36" s="67"/>
      <c r="Q36" s="59"/>
      <c r="R36" s="59"/>
      <c r="T36" s="59"/>
      <c r="U36" s="65"/>
    </row>
    <row r="37" spans="1:23" x14ac:dyDescent="0.3">
      <c r="A37" s="31" t="s">
        <v>478</v>
      </c>
      <c r="B37" s="5">
        <v>1105.6746408636664</v>
      </c>
      <c r="C37" s="5">
        <v>3399.1051288446124</v>
      </c>
      <c r="D37" s="5">
        <v>4504.7797697082788</v>
      </c>
      <c r="E37" s="73"/>
      <c r="F37" s="3"/>
      <c r="O37" s="67"/>
      <c r="Q37" s="59"/>
      <c r="R37" s="59"/>
      <c r="T37" s="59"/>
      <c r="U37" s="65"/>
    </row>
    <row r="38" spans="1:23" x14ac:dyDescent="0.3">
      <c r="A38" s="29" t="s">
        <v>60</v>
      </c>
      <c r="B38" s="57">
        <v>717127372.00999987</v>
      </c>
      <c r="C38" s="57">
        <v>550637980.91363502</v>
      </c>
      <c r="D38" s="57">
        <v>1267765352.9236348</v>
      </c>
      <c r="E38" s="73"/>
      <c r="F38" s="3"/>
      <c r="O38" s="67"/>
      <c r="Q38" s="59"/>
      <c r="R38" s="59"/>
      <c r="T38" s="59"/>
      <c r="U38" s="65"/>
    </row>
    <row r="39" spans="1:23" x14ac:dyDescent="0.3">
      <c r="A39" s="3" t="s">
        <v>79</v>
      </c>
      <c r="B39" s="73"/>
      <c r="C39" s="73"/>
      <c r="D39" s="73"/>
      <c r="F39" s="3"/>
      <c r="Q39" s="59"/>
      <c r="R39" s="59"/>
      <c r="T39" s="59"/>
      <c r="U39" s="65"/>
    </row>
    <row r="40" spans="1:23" x14ac:dyDescent="0.3">
      <c r="B40" s="63"/>
      <c r="C40" s="63"/>
      <c r="F40" s="3"/>
      <c r="Q40" s="59"/>
      <c r="R40" s="59"/>
      <c r="T40" s="59"/>
      <c r="U40" s="65"/>
    </row>
    <row r="41" spans="1:23" x14ac:dyDescent="0.3">
      <c r="A41" s="2" t="s">
        <v>228</v>
      </c>
      <c r="H41" s="2" t="s">
        <v>231</v>
      </c>
      <c r="Q41" s="59"/>
      <c r="R41" s="59"/>
      <c r="T41" s="59"/>
      <c r="U41" s="65"/>
    </row>
    <row r="42" spans="1:23" x14ac:dyDescent="0.3">
      <c r="A42" s="55" t="s">
        <v>570</v>
      </c>
      <c r="B42" s="56"/>
      <c r="C42" s="56"/>
      <c r="D42" s="56"/>
      <c r="E42" s="56"/>
      <c r="F42" s="56"/>
      <c r="H42" s="55" t="s">
        <v>487</v>
      </c>
      <c r="U42" s="86"/>
    </row>
    <row r="43" spans="1:23" x14ac:dyDescent="0.3">
      <c r="A43" s="8" t="s">
        <v>208</v>
      </c>
      <c r="B43" s="8" t="s">
        <v>229</v>
      </c>
      <c r="C43" s="8" t="s">
        <v>230</v>
      </c>
      <c r="D43" s="8" t="s">
        <v>479</v>
      </c>
      <c r="E43" s="8" t="s">
        <v>64</v>
      </c>
      <c r="H43" s="8" t="s">
        <v>208</v>
      </c>
      <c r="I43" s="8" t="s">
        <v>229</v>
      </c>
      <c r="J43" s="8" t="s">
        <v>230</v>
      </c>
      <c r="K43" s="8" t="s">
        <v>479</v>
      </c>
      <c r="L43" s="8" t="s">
        <v>64</v>
      </c>
      <c r="W43" s="84"/>
    </row>
    <row r="44" spans="1:23" x14ac:dyDescent="0.3">
      <c r="A44" s="31" t="s">
        <v>9</v>
      </c>
      <c r="B44" s="4">
        <v>35912533.47018005</v>
      </c>
      <c r="C44" s="4">
        <v>190751108.11445335</v>
      </c>
      <c r="D44" s="4">
        <v>0</v>
      </c>
      <c r="E44" s="4">
        <v>226663641.58463341</v>
      </c>
      <c r="F44" s="73"/>
      <c r="H44" s="31" t="s">
        <v>9</v>
      </c>
      <c r="I44" s="4">
        <v>26387714.180956349</v>
      </c>
      <c r="J44" s="4">
        <v>70881078.186061099</v>
      </c>
      <c r="K44" s="4">
        <v>0</v>
      </c>
      <c r="L44" s="4">
        <v>97268792.367017448</v>
      </c>
      <c r="M44" s="76"/>
    </row>
    <row r="45" spans="1:23" x14ac:dyDescent="0.3">
      <c r="A45" s="31" t="s">
        <v>10</v>
      </c>
      <c r="B45" s="5">
        <v>22683612.68286081</v>
      </c>
      <c r="C45" s="5">
        <v>142048232.46103692</v>
      </c>
      <c r="D45" s="5">
        <v>0</v>
      </c>
      <c r="E45" s="5">
        <v>164731845.14389774</v>
      </c>
      <c r="F45" s="73"/>
      <c r="H45" s="31" t="s">
        <v>10</v>
      </c>
      <c r="I45" s="5">
        <v>21718582.220752653</v>
      </c>
      <c r="J45" s="5">
        <v>78716476.573783547</v>
      </c>
      <c r="K45" s="5">
        <v>0</v>
      </c>
      <c r="L45" s="5">
        <v>100435058.7945362</v>
      </c>
      <c r="M45" s="76"/>
      <c r="V45" s="114"/>
    </row>
    <row r="46" spans="1:23" x14ac:dyDescent="0.3">
      <c r="A46" s="31" t="s">
        <v>11</v>
      </c>
      <c r="B46" s="5">
        <v>5026328.8758498663</v>
      </c>
      <c r="C46" s="5">
        <v>19174218.383138627</v>
      </c>
      <c r="D46" s="5">
        <v>0</v>
      </c>
      <c r="E46" s="5">
        <v>24200547.258988492</v>
      </c>
      <c r="F46" s="73"/>
      <c r="H46" s="31" t="s">
        <v>11</v>
      </c>
      <c r="I46" s="5">
        <v>17095799.245523978</v>
      </c>
      <c r="J46" s="5">
        <v>28707142.365657173</v>
      </c>
      <c r="K46" s="5">
        <v>0</v>
      </c>
      <c r="L46" s="5">
        <v>45802941.611181155</v>
      </c>
      <c r="M46" s="76"/>
      <c r="V46" s="114"/>
    </row>
    <row r="47" spans="1:23" x14ac:dyDescent="0.3">
      <c r="A47" s="31" t="s">
        <v>12</v>
      </c>
      <c r="B47" s="5">
        <v>7071775.9303103779</v>
      </c>
      <c r="C47" s="5">
        <v>63493077.075151503</v>
      </c>
      <c r="D47" s="5">
        <v>0</v>
      </c>
      <c r="E47" s="5">
        <v>70564853.005461887</v>
      </c>
      <c r="F47" s="73"/>
      <c r="H47" s="31" t="s">
        <v>12</v>
      </c>
      <c r="I47" s="5">
        <v>14461492.770669406</v>
      </c>
      <c r="J47" s="5">
        <v>66333536.589402616</v>
      </c>
      <c r="K47" s="5">
        <v>0</v>
      </c>
      <c r="L47" s="5">
        <v>80795029.360072017</v>
      </c>
      <c r="M47" s="76"/>
    </row>
    <row r="48" spans="1:23" x14ac:dyDescent="0.3">
      <c r="A48" s="31" t="s">
        <v>13</v>
      </c>
      <c r="B48" s="5">
        <v>1020367.5897262619</v>
      </c>
      <c r="C48" s="5">
        <v>5690805.3142507486</v>
      </c>
      <c r="D48" s="5">
        <v>0</v>
      </c>
      <c r="E48" s="5">
        <v>6711172.9039770104</v>
      </c>
      <c r="F48" s="73"/>
      <c r="H48" s="31" t="s">
        <v>13</v>
      </c>
      <c r="I48" s="5">
        <v>4711159.7085786331</v>
      </c>
      <c r="J48" s="5">
        <v>9276157.8966169488</v>
      </c>
      <c r="K48" s="5">
        <v>0</v>
      </c>
      <c r="L48" s="5">
        <v>13987317.605195582</v>
      </c>
      <c r="M48" s="76"/>
      <c r="V48" s="85"/>
    </row>
    <row r="49" spans="1:22" x14ac:dyDescent="0.3">
      <c r="A49" s="31" t="s">
        <v>223</v>
      </c>
      <c r="B49" s="5">
        <v>2640419.0838987958</v>
      </c>
      <c r="C49" s="5">
        <v>20796362.153939255</v>
      </c>
      <c r="D49" s="5">
        <v>0</v>
      </c>
      <c r="E49" s="5">
        <v>23436781.237838052</v>
      </c>
      <c r="F49" s="73"/>
      <c r="H49" s="31" t="s">
        <v>223</v>
      </c>
      <c r="I49" s="5">
        <v>7270685.8705986263</v>
      </c>
      <c r="J49" s="5">
        <v>23696861.405740216</v>
      </c>
      <c r="K49" s="5">
        <v>0</v>
      </c>
      <c r="L49" s="5">
        <v>30967547.276338842</v>
      </c>
      <c r="M49" s="76"/>
    </row>
    <row r="50" spans="1:22" x14ac:dyDescent="0.3">
      <c r="A50" s="31" t="s">
        <v>224</v>
      </c>
      <c r="B50" s="5">
        <v>5154638.1653273217</v>
      </c>
      <c r="C50" s="5">
        <v>25251584.562214404</v>
      </c>
      <c r="D50" s="5">
        <v>0</v>
      </c>
      <c r="E50" s="5">
        <v>30406222.727541726</v>
      </c>
      <c r="F50" s="73"/>
      <c r="H50" s="31" t="s">
        <v>224</v>
      </c>
      <c r="I50" s="5">
        <v>7693420.4628891684</v>
      </c>
      <c r="J50" s="5">
        <v>21107197.293811232</v>
      </c>
      <c r="K50" s="5">
        <v>0</v>
      </c>
      <c r="L50" s="5">
        <v>28800617.7567004</v>
      </c>
      <c r="M50" s="76"/>
    </row>
    <row r="51" spans="1:22" x14ac:dyDescent="0.3">
      <c r="A51" s="31" t="s">
        <v>225</v>
      </c>
      <c r="B51" s="5">
        <v>2454036.3602073621</v>
      </c>
      <c r="C51" s="5">
        <v>18003785.229078528</v>
      </c>
      <c r="D51" s="5">
        <v>0</v>
      </c>
      <c r="E51" s="5">
        <v>20457821.589285888</v>
      </c>
      <c r="F51" s="73"/>
      <c r="H51" s="31" t="s">
        <v>225</v>
      </c>
      <c r="I51" s="5">
        <v>4725552.9110192088</v>
      </c>
      <c r="J51" s="5">
        <v>13067062.885917917</v>
      </c>
      <c r="K51" s="5">
        <v>0</v>
      </c>
      <c r="L51" s="5">
        <v>17792615.796937127</v>
      </c>
      <c r="M51" s="76"/>
      <c r="V51" s="85"/>
    </row>
    <row r="52" spans="1:22" x14ac:dyDescent="0.3">
      <c r="A52" s="31" t="s">
        <v>226</v>
      </c>
      <c r="B52" s="5">
        <v>4398850.0119701903</v>
      </c>
      <c r="C52" s="5">
        <v>37155481.870301716</v>
      </c>
      <c r="D52" s="5">
        <v>0</v>
      </c>
      <c r="E52" s="5">
        <v>41554331.882271908</v>
      </c>
      <c r="F52" s="73"/>
      <c r="H52" s="31" t="s">
        <v>226</v>
      </c>
      <c r="I52" s="5">
        <v>11849660.531768879</v>
      </c>
      <c r="J52" s="5">
        <v>41140688.874354213</v>
      </c>
      <c r="K52" s="5">
        <v>0</v>
      </c>
      <c r="L52" s="5">
        <v>52990349.406123094</v>
      </c>
      <c r="M52" s="76"/>
    </row>
    <row r="53" spans="1:22" x14ac:dyDescent="0.3">
      <c r="A53" s="31" t="s">
        <v>263</v>
      </c>
      <c r="B53" s="5">
        <v>3099784.3712299238</v>
      </c>
      <c r="C53" s="5">
        <v>30247754.035937324</v>
      </c>
      <c r="D53" s="5">
        <v>0</v>
      </c>
      <c r="E53" s="5">
        <v>33347538.407167248</v>
      </c>
      <c r="F53" s="73"/>
      <c r="H53" s="31" t="s">
        <v>263</v>
      </c>
      <c r="I53" s="5">
        <v>4920769.1010534931</v>
      </c>
      <c r="J53" s="5">
        <v>17181911.999258604</v>
      </c>
      <c r="K53" s="5">
        <v>0</v>
      </c>
      <c r="L53" s="5">
        <v>22102681.100312099</v>
      </c>
      <c r="M53" s="76"/>
    </row>
    <row r="54" spans="1:22" x14ac:dyDescent="0.3">
      <c r="A54" s="31" t="s">
        <v>227</v>
      </c>
      <c r="B54" s="5">
        <v>9976842.4920946658</v>
      </c>
      <c r="C54" s="5">
        <v>65074668.102201067</v>
      </c>
      <c r="D54" s="5">
        <v>0</v>
      </c>
      <c r="E54" s="5">
        <v>75051510.59429574</v>
      </c>
      <c r="F54" s="73"/>
      <c r="H54" s="31" t="s">
        <v>227</v>
      </c>
      <c r="I54" s="5">
        <v>15122627.673592409</v>
      </c>
      <c r="J54" s="5">
        <v>44569003.060499772</v>
      </c>
      <c r="K54" s="5">
        <v>0</v>
      </c>
      <c r="L54" s="5">
        <v>59691630.734092183</v>
      </c>
      <c r="M54" s="76"/>
      <c r="V54" s="85"/>
    </row>
    <row r="55" spans="1:22" x14ac:dyDescent="0.3">
      <c r="A55" s="31" t="s">
        <v>478</v>
      </c>
      <c r="B55" s="5">
        <v>527.32175179651779</v>
      </c>
      <c r="C55" s="5">
        <v>578.35288906714845</v>
      </c>
      <c r="D55" s="5">
        <v>0</v>
      </c>
      <c r="E55" s="5">
        <v>1105.6746408636664</v>
      </c>
      <c r="F55" s="73"/>
      <c r="H55" s="31" t="s">
        <v>478</v>
      </c>
      <c r="I55" s="5">
        <v>1727.8959896714816</v>
      </c>
      <c r="J55" s="5">
        <v>0</v>
      </c>
      <c r="K55" s="5">
        <v>1671.2091391731312</v>
      </c>
      <c r="L55" s="5">
        <v>3399.1051288446129</v>
      </c>
      <c r="M55" s="76"/>
    </row>
    <row r="56" spans="1:22" x14ac:dyDescent="0.3">
      <c r="A56" s="29" t="s">
        <v>60</v>
      </c>
      <c r="B56" s="57">
        <v>99439716.355407432</v>
      </c>
      <c r="C56" s="57">
        <v>617687655.65459251</v>
      </c>
      <c r="D56" s="57">
        <v>0</v>
      </c>
      <c r="E56" s="57">
        <v>717127372.00999987</v>
      </c>
      <c r="F56" s="73"/>
      <c r="H56" s="29" t="s">
        <v>60</v>
      </c>
      <c r="I56" s="57">
        <v>135959192.57339248</v>
      </c>
      <c r="J56" s="57">
        <v>414677117.13110334</v>
      </c>
      <c r="K56" s="57">
        <v>1671.2091391731312</v>
      </c>
      <c r="L56" s="57">
        <v>550637980.91363502</v>
      </c>
      <c r="M56" s="76"/>
      <c r="V56" s="85"/>
    </row>
    <row r="57" spans="1:22" x14ac:dyDescent="0.3">
      <c r="A57" s="3" t="s">
        <v>79</v>
      </c>
      <c r="E57" s="73"/>
      <c r="H57" s="3" t="s">
        <v>79</v>
      </c>
      <c r="L57" s="76"/>
    </row>
    <row r="58" spans="1:22" x14ac:dyDescent="0.3">
      <c r="V58" s="85"/>
    </row>
    <row r="60" spans="1:22" x14ac:dyDescent="0.3">
      <c r="B60" s="3"/>
      <c r="C60" s="3"/>
      <c r="D60" s="3"/>
      <c r="E60" s="3"/>
      <c r="F60" s="3"/>
      <c r="V60" s="85"/>
    </row>
    <row r="61" spans="1:22" ht="24" customHeight="1" x14ac:dyDescent="0.3">
      <c r="B61" s="3"/>
      <c r="C61" s="3"/>
      <c r="D61" s="3"/>
      <c r="E61" s="3"/>
      <c r="F61" s="3"/>
    </row>
    <row r="62" spans="1:22" x14ac:dyDescent="0.3">
      <c r="B62" s="3"/>
      <c r="C62" s="3"/>
      <c r="D62" s="3"/>
      <c r="E62" s="3"/>
      <c r="F62" s="3"/>
    </row>
    <row r="63" spans="1:22" x14ac:dyDescent="0.3">
      <c r="B63" s="3"/>
      <c r="C63" s="3"/>
      <c r="D63" s="3"/>
      <c r="E63" s="3"/>
      <c r="F63" s="3"/>
    </row>
    <row r="64" spans="1:22" x14ac:dyDescent="0.3">
      <c r="B64" s="3"/>
      <c r="C64" s="3"/>
      <c r="D64" s="3"/>
      <c r="E64" s="3"/>
      <c r="F64" s="3"/>
    </row>
    <row r="65" spans="1:6" x14ac:dyDescent="0.3">
      <c r="B65" s="3"/>
      <c r="C65" s="3"/>
      <c r="D65" s="3"/>
      <c r="E65" s="3"/>
      <c r="F65" s="3"/>
    </row>
    <row r="66" spans="1:6" x14ac:dyDescent="0.3">
      <c r="B66" s="3"/>
      <c r="C66" s="3"/>
      <c r="D66" s="3"/>
      <c r="E66" s="3"/>
      <c r="F66" s="3"/>
    </row>
    <row r="67" spans="1:6" x14ac:dyDescent="0.3">
      <c r="B67" s="3"/>
      <c r="C67" s="3"/>
      <c r="D67" s="3"/>
      <c r="E67" s="3"/>
      <c r="F67" s="3"/>
    </row>
    <row r="68" spans="1:6" x14ac:dyDescent="0.3">
      <c r="B68" s="3"/>
      <c r="C68" s="3"/>
      <c r="D68" s="3"/>
      <c r="E68" s="3"/>
      <c r="F68" s="3"/>
    </row>
    <row r="69" spans="1:6" x14ac:dyDescent="0.3">
      <c r="B69" s="3"/>
      <c r="C69" s="3"/>
      <c r="D69" s="3"/>
      <c r="E69" s="3"/>
      <c r="F69" s="3"/>
    </row>
    <row r="70" spans="1:6" x14ac:dyDescent="0.3">
      <c r="B70" s="3"/>
      <c r="C70" s="3"/>
      <c r="D70" s="3"/>
      <c r="E70" s="3"/>
      <c r="F70" s="3"/>
    </row>
    <row r="71" spans="1:6" x14ac:dyDescent="0.3">
      <c r="B71" s="3"/>
      <c r="C71" s="3"/>
      <c r="D71" s="3"/>
      <c r="E71" s="3"/>
      <c r="F71" s="3"/>
    </row>
    <row r="72" spans="1:6" x14ac:dyDescent="0.3">
      <c r="B72" s="3"/>
      <c r="C72" s="3"/>
      <c r="D72" s="3"/>
      <c r="E72" s="3"/>
      <c r="F72" s="3"/>
    </row>
    <row r="73" spans="1:6" x14ac:dyDescent="0.3">
      <c r="B73" s="3"/>
      <c r="C73" s="3"/>
      <c r="D73" s="3"/>
      <c r="E73" s="3"/>
      <c r="F73" s="3"/>
    </row>
    <row r="74" spans="1:6" x14ac:dyDescent="0.3">
      <c r="B74" s="3"/>
      <c r="C74" s="3"/>
      <c r="D74" s="3"/>
      <c r="E74" s="3"/>
      <c r="F74" s="3"/>
    </row>
    <row r="75" spans="1:6" ht="12.75" customHeight="1" x14ac:dyDescent="0.3">
      <c r="B75" s="3"/>
      <c r="C75" s="3"/>
      <c r="D75" s="3"/>
      <c r="E75" s="3"/>
      <c r="F75" s="3"/>
    </row>
    <row r="79" spans="1:6" x14ac:dyDescent="0.3">
      <c r="A79" s="6"/>
    </row>
    <row r="80" spans="1:6" x14ac:dyDescent="0.3">
      <c r="A80" s="6"/>
    </row>
    <row r="81" spans="1:1" x14ac:dyDescent="0.3">
      <c r="A81" s="6"/>
    </row>
    <row r="82" spans="1:1" x14ac:dyDescent="0.3">
      <c r="A82" s="6"/>
    </row>
    <row r="83" spans="1:1" x14ac:dyDescent="0.3">
      <c r="A83" s="6"/>
    </row>
    <row r="84" spans="1:1" x14ac:dyDescent="0.3">
      <c r="A84" s="6"/>
    </row>
    <row r="85" spans="1:1" x14ac:dyDescent="0.3">
      <c r="A85" s="6"/>
    </row>
  </sheetData>
  <sortState xmlns:xlrd2="http://schemas.microsoft.com/office/spreadsheetml/2017/richdata2" ref="P37:S43">
    <sortCondition descending="1" ref="S37:S43"/>
  </sortState>
  <mergeCells count="1">
    <mergeCell ref="V45:V46"/>
  </mergeCells>
  <pageMargins left="0.7" right="0.7" top="0.75" bottom="0.75" header="0.3" footer="0.3"/>
  <pageSetup scale="20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64"/>
  <sheetViews>
    <sheetView showGridLines="0" zoomScaleNormal="100" workbookViewId="0"/>
  </sheetViews>
  <sheetFormatPr baseColWidth="10" defaultColWidth="33.109375" defaultRowHeight="13.8" x14ac:dyDescent="0.3"/>
  <cols>
    <col min="1" max="1" width="30.6640625" style="3" customWidth="1"/>
    <col min="2" max="4" width="15.6640625" style="6" customWidth="1"/>
    <col min="5" max="5" width="13" style="6" customWidth="1"/>
    <col min="6" max="8" width="8.88671875" style="3" customWidth="1"/>
    <col min="9" max="11" width="6.44140625" style="3" customWidth="1"/>
    <col min="12" max="16384" width="33.109375" style="3"/>
  </cols>
  <sheetData>
    <row r="1" spans="1:13" ht="18" x14ac:dyDescent="0.35">
      <c r="A1" s="1" t="s">
        <v>207</v>
      </c>
    </row>
    <row r="3" spans="1:13" x14ac:dyDescent="0.3">
      <c r="A3" s="2" t="s">
        <v>90</v>
      </c>
    </row>
    <row r="4" spans="1:13" x14ac:dyDescent="0.3">
      <c r="A4" s="2" t="s">
        <v>413</v>
      </c>
    </row>
    <row r="5" spans="1:13" x14ac:dyDescent="0.3">
      <c r="A5" s="8" t="s">
        <v>65</v>
      </c>
      <c r="B5" s="8" t="s">
        <v>0</v>
      </c>
      <c r="C5" s="8" t="s">
        <v>1</v>
      </c>
      <c r="D5" s="8" t="s">
        <v>59</v>
      </c>
    </row>
    <row r="6" spans="1:13" x14ac:dyDescent="0.3">
      <c r="A6" s="25">
        <v>2013</v>
      </c>
      <c r="B6" s="36">
        <v>111.45728453145014</v>
      </c>
      <c r="C6" s="36">
        <v>269.24432202420655</v>
      </c>
      <c r="D6" s="36">
        <v>153.32197681763805</v>
      </c>
    </row>
    <row r="7" spans="1:13" x14ac:dyDescent="0.3">
      <c r="A7" s="25">
        <v>2014</v>
      </c>
      <c r="B7" s="37">
        <v>124.04908052325152</v>
      </c>
      <c r="C7" s="37">
        <v>281.10133262751663</v>
      </c>
      <c r="D7" s="38">
        <v>166.61345945882425</v>
      </c>
    </row>
    <row r="8" spans="1:13" x14ac:dyDescent="0.3">
      <c r="A8" s="25">
        <v>2015</v>
      </c>
      <c r="B8" s="37">
        <v>139.35798632013658</v>
      </c>
      <c r="C8" s="37">
        <v>272.15644409203543</v>
      </c>
      <c r="D8" s="38">
        <v>175.70231985313384</v>
      </c>
    </row>
    <row r="9" spans="1:13" x14ac:dyDescent="0.3">
      <c r="A9" s="25">
        <v>2016</v>
      </c>
      <c r="B9" s="37">
        <v>148.34247965932278</v>
      </c>
      <c r="C9" s="37">
        <v>273.07269554595064</v>
      </c>
      <c r="D9" s="38">
        <v>182.25742177953887</v>
      </c>
      <c r="F9" s="64"/>
      <c r="G9" s="64"/>
      <c r="H9" s="64"/>
      <c r="J9" s="64"/>
      <c r="K9" s="64"/>
      <c r="L9" s="64"/>
      <c r="M9" s="64"/>
    </row>
    <row r="10" spans="1:13" x14ac:dyDescent="0.3">
      <c r="A10" s="27">
        <v>2017</v>
      </c>
      <c r="B10" s="39">
        <v>155.59664601098112</v>
      </c>
      <c r="C10" s="39">
        <v>324.74479759246998</v>
      </c>
      <c r="D10" s="40">
        <v>201.0893037609921</v>
      </c>
      <c r="F10" s="64"/>
      <c r="G10" s="64"/>
      <c r="H10" s="64"/>
      <c r="J10" s="64"/>
      <c r="K10" s="64"/>
      <c r="L10" s="64"/>
      <c r="M10" s="64"/>
    </row>
    <row r="13" spans="1:13" x14ac:dyDescent="0.3">
      <c r="A13" s="2" t="s">
        <v>91</v>
      </c>
    </row>
    <row r="14" spans="1:13" x14ac:dyDescent="0.3">
      <c r="A14" s="2" t="s">
        <v>414</v>
      </c>
    </row>
    <row r="15" spans="1:13" x14ac:dyDescent="0.3">
      <c r="A15" s="8" t="s">
        <v>65</v>
      </c>
      <c r="B15" s="8" t="s">
        <v>0</v>
      </c>
      <c r="C15" s="8" t="s">
        <v>1</v>
      </c>
      <c r="D15" s="8" t="s">
        <v>59</v>
      </c>
    </row>
    <row r="16" spans="1:13" x14ac:dyDescent="0.3">
      <c r="A16" s="25">
        <v>2013</v>
      </c>
      <c r="B16" s="36">
        <v>7.6152713252885418</v>
      </c>
      <c r="C16" s="36">
        <v>7.2890547567280537</v>
      </c>
      <c r="D16" s="36">
        <v>7.5287182314574475</v>
      </c>
    </row>
    <row r="17" spans="1:8" x14ac:dyDescent="0.3">
      <c r="A17" s="25">
        <v>2014</v>
      </c>
      <c r="B17" s="37">
        <v>7.9321097313375404</v>
      </c>
      <c r="C17" s="37">
        <v>7.7390299399195071</v>
      </c>
      <c r="D17" s="38">
        <v>7.8797811509026525</v>
      </c>
    </row>
    <row r="18" spans="1:8" x14ac:dyDescent="0.3">
      <c r="A18" s="25">
        <v>2015</v>
      </c>
      <c r="B18" s="37">
        <v>8.2667197341677614</v>
      </c>
      <c r="C18" s="37">
        <v>7.5924027874735653</v>
      </c>
      <c r="D18" s="38">
        <v>8.0821724101340617</v>
      </c>
      <c r="F18" s="67"/>
    </row>
    <row r="19" spans="1:8" x14ac:dyDescent="0.3">
      <c r="A19" s="25">
        <v>2016</v>
      </c>
      <c r="B19" s="37">
        <v>8.7135611122032479</v>
      </c>
      <c r="C19" s="37">
        <v>7.0583023047650384</v>
      </c>
      <c r="D19" s="38">
        <v>8.2634856733916067</v>
      </c>
      <c r="F19" s="64"/>
      <c r="G19" s="64"/>
      <c r="H19" s="64"/>
    </row>
    <row r="20" spans="1:8" x14ac:dyDescent="0.3">
      <c r="A20" s="27">
        <v>2017</v>
      </c>
      <c r="B20" s="39">
        <v>9.1471592247188376</v>
      </c>
      <c r="C20" s="39">
        <v>7.5891563999957414</v>
      </c>
      <c r="D20" s="40">
        <v>8.7281319482396604</v>
      </c>
      <c r="F20" s="64"/>
      <c r="G20" s="64"/>
      <c r="H20" s="64"/>
    </row>
    <row r="21" spans="1:8" x14ac:dyDescent="0.3">
      <c r="F21" s="65"/>
      <c r="G21" s="65"/>
      <c r="H21" s="65"/>
    </row>
    <row r="23" spans="1:8" x14ac:dyDescent="0.3">
      <c r="A23" s="2" t="s">
        <v>92</v>
      </c>
    </row>
    <row r="24" spans="1:8" x14ac:dyDescent="0.3">
      <c r="A24" s="2" t="s">
        <v>415</v>
      </c>
    </row>
    <row r="25" spans="1:8" x14ac:dyDescent="0.3">
      <c r="A25" s="8" t="s">
        <v>65</v>
      </c>
      <c r="B25" s="8" t="s">
        <v>0</v>
      </c>
      <c r="C25" s="8" t="s">
        <v>1</v>
      </c>
      <c r="D25" s="8" t="s">
        <v>59</v>
      </c>
    </row>
    <row r="26" spans="1:8" x14ac:dyDescent="0.3">
      <c r="A26" s="25">
        <v>2013</v>
      </c>
      <c r="B26" s="36">
        <v>14.636022771943328</v>
      </c>
      <c r="C26" s="36">
        <v>36.93816702031009</v>
      </c>
      <c r="D26" s="36">
        <v>20.364950859365234</v>
      </c>
    </row>
    <row r="27" spans="1:8" x14ac:dyDescent="0.3">
      <c r="A27" s="25">
        <v>2014</v>
      </c>
      <c r="B27" s="37">
        <v>15.638850788103497</v>
      </c>
      <c r="C27" s="37">
        <v>36.322553964746696</v>
      </c>
      <c r="D27" s="38">
        <v>21.144427271274935</v>
      </c>
    </row>
    <row r="28" spans="1:8" x14ac:dyDescent="0.3">
      <c r="A28" s="25">
        <v>2015</v>
      </c>
      <c r="B28" s="37">
        <v>16.857712708481728</v>
      </c>
      <c r="C28" s="37">
        <v>35.845891177040379</v>
      </c>
      <c r="D28" s="38">
        <v>21.739491678354259</v>
      </c>
    </row>
    <row r="29" spans="1:8" x14ac:dyDescent="0.3">
      <c r="A29" s="25">
        <v>2016</v>
      </c>
      <c r="B29" s="82">
        <v>17.024323092377319</v>
      </c>
      <c r="C29" s="37">
        <v>38.688155275185657</v>
      </c>
      <c r="D29" s="38">
        <v>22.055755764956078</v>
      </c>
      <c r="F29" s="64"/>
      <c r="G29" s="64"/>
      <c r="H29" s="64"/>
    </row>
    <row r="30" spans="1:8" x14ac:dyDescent="0.3">
      <c r="A30" s="27">
        <v>2017</v>
      </c>
      <c r="B30" s="83">
        <v>17.01037909021025</v>
      </c>
      <c r="C30" s="39">
        <v>42.790631853713307</v>
      </c>
      <c r="D30" s="40">
        <v>23.039214456599606</v>
      </c>
      <c r="F30" s="64"/>
      <c r="G30" s="64"/>
      <c r="H30" s="64"/>
    </row>
    <row r="31" spans="1:8" x14ac:dyDescent="0.3">
      <c r="D31" s="68"/>
      <c r="F31" s="65"/>
      <c r="G31" s="65"/>
      <c r="H31" s="65"/>
    </row>
    <row r="33" spans="1:8" x14ac:dyDescent="0.3">
      <c r="A33" s="2" t="s">
        <v>93</v>
      </c>
    </row>
    <row r="34" spans="1:8" x14ac:dyDescent="0.3">
      <c r="A34" s="2" t="s">
        <v>416</v>
      </c>
    </row>
    <row r="35" spans="1:8" x14ac:dyDescent="0.3">
      <c r="A35" s="8" t="s">
        <v>65</v>
      </c>
      <c r="B35" s="8" t="s">
        <v>0</v>
      </c>
      <c r="C35" s="8" t="s">
        <v>1</v>
      </c>
      <c r="D35" s="8" t="s">
        <v>59</v>
      </c>
    </row>
    <row r="36" spans="1:8" x14ac:dyDescent="0.3">
      <c r="A36" s="25">
        <v>2013</v>
      </c>
      <c r="B36" s="36">
        <v>173.50183086353999</v>
      </c>
      <c r="C36" s="36">
        <v>288.56527648067794</v>
      </c>
      <c r="D36" s="36">
        <v>213.09108387678506</v>
      </c>
    </row>
    <row r="37" spans="1:8" x14ac:dyDescent="0.3">
      <c r="A37" s="25">
        <v>2014</v>
      </c>
      <c r="B37" s="37">
        <v>182.22224336913519</v>
      </c>
      <c r="C37" s="37">
        <v>279.27632702661685</v>
      </c>
      <c r="D37" s="38">
        <v>216.64854985701257</v>
      </c>
    </row>
    <row r="38" spans="1:8" x14ac:dyDescent="0.3">
      <c r="A38" s="25">
        <v>2015</v>
      </c>
      <c r="B38" s="37">
        <v>189.8266602546737</v>
      </c>
      <c r="C38" s="37">
        <v>260.09553161907536</v>
      </c>
      <c r="D38" s="38">
        <v>214.37927114326044</v>
      </c>
    </row>
    <row r="39" spans="1:8" x14ac:dyDescent="0.3">
      <c r="A39" s="25">
        <v>2016</v>
      </c>
      <c r="B39" s="37">
        <v>197.8948983285658</v>
      </c>
      <c r="C39" s="37">
        <v>270.21176482658063</v>
      </c>
      <c r="D39" s="38">
        <v>222.11185383689622</v>
      </c>
      <c r="F39" s="64"/>
      <c r="G39" s="64"/>
      <c r="H39" s="64"/>
    </row>
    <row r="40" spans="1:8" x14ac:dyDescent="0.3">
      <c r="A40" s="27">
        <v>2017</v>
      </c>
      <c r="B40" s="39">
        <v>195.71869002847106</v>
      </c>
      <c r="C40" s="39">
        <v>304.4053812426219</v>
      </c>
      <c r="D40" s="40">
        <v>231.64124498487658</v>
      </c>
      <c r="F40" s="64"/>
      <c r="G40" s="64"/>
      <c r="H40" s="64"/>
    </row>
    <row r="41" spans="1:8" x14ac:dyDescent="0.3">
      <c r="B41" s="68"/>
    </row>
    <row r="43" spans="1:8" x14ac:dyDescent="0.3">
      <c r="A43" s="2" t="s">
        <v>94</v>
      </c>
    </row>
    <row r="44" spans="1:8" x14ac:dyDescent="0.3">
      <c r="A44" s="2" t="s">
        <v>417</v>
      </c>
    </row>
    <row r="45" spans="1:8" x14ac:dyDescent="0.3">
      <c r="A45" s="8" t="s">
        <v>65</v>
      </c>
      <c r="B45" s="8" t="s">
        <v>0</v>
      </c>
      <c r="C45" s="8" t="s">
        <v>1</v>
      </c>
      <c r="D45" s="8" t="s">
        <v>59</v>
      </c>
    </row>
    <row r="46" spans="1:8" x14ac:dyDescent="0.3">
      <c r="A46" s="25">
        <v>2013</v>
      </c>
      <c r="B46" s="36">
        <v>11.854438433652623</v>
      </c>
      <c r="C46" s="36">
        <v>7.8121168362797517</v>
      </c>
      <c r="D46" s="36">
        <v>10.463618859104235</v>
      </c>
    </row>
    <row r="47" spans="1:8" x14ac:dyDescent="0.3">
      <c r="A47" s="25">
        <v>2014</v>
      </c>
      <c r="B47" s="37">
        <v>11.65189474841412</v>
      </c>
      <c r="C47" s="37">
        <v>7.6887855214606331</v>
      </c>
      <c r="D47" s="38">
        <v>10.246129965001856</v>
      </c>
    </row>
    <row r="48" spans="1:8" x14ac:dyDescent="0.3">
      <c r="A48" s="25">
        <v>2015</v>
      </c>
      <c r="B48" s="37">
        <v>11.260522915375406</v>
      </c>
      <c r="C48" s="37">
        <v>7.2559370984663625</v>
      </c>
      <c r="D48" s="38">
        <v>9.8612826056423017</v>
      </c>
    </row>
    <row r="49" spans="1:11" x14ac:dyDescent="0.3">
      <c r="A49" s="25">
        <v>2016</v>
      </c>
      <c r="B49" s="37">
        <v>11.624244749982083</v>
      </c>
      <c r="C49" s="37">
        <v>6.9843538133205527</v>
      </c>
      <c r="D49" s="38">
        <v>10.070471227732991</v>
      </c>
      <c r="F49" s="65"/>
      <c r="G49" s="65"/>
      <c r="H49" s="65"/>
    </row>
    <row r="50" spans="1:11" x14ac:dyDescent="0.3">
      <c r="A50" s="27">
        <v>2017</v>
      </c>
      <c r="B50" s="39">
        <v>11.505839404902524</v>
      </c>
      <c r="C50" s="39">
        <v>7.11383235198024</v>
      </c>
      <c r="D50" s="40">
        <v>10.054216276394037</v>
      </c>
      <c r="F50" s="65"/>
      <c r="G50" s="65"/>
      <c r="H50" s="65"/>
      <c r="I50" s="65"/>
      <c r="J50" s="65"/>
      <c r="K50" s="65"/>
    </row>
    <row r="53" spans="1:11" x14ac:dyDescent="0.3">
      <c r="A53" s="2" t="s">
        <v>95</v>
      </c>
    </row>
    <row r="54" spans="1:11" x14ac:dyDescent="0.3">
      <c r="A54" s="2" t="s">
        <v>418</v>
      </c>
    </row>
    <row r="55" spans="1:11" x14ac:dyDescent="0.3">
      <c r="A55" s="8" t="s">
        <v>65</v>
      </c>
      <c r="B55" s="8" t="s">
        <v>0</v>
      </c>
      <c r="C55" s="8" t="s">
        <v>1</v>
      </c>
      <c r="D55" s="8" t="s">
        <v>59</v>
      </c>
    </row>
    <row r="56" spans="1:11" x14ac:dyDescent="0.3">
      <c r="A56" s="25">
        <v>2013</v>
      </c>
      <c r="B56" s="20">
        <v>2.0529995291264504E-2</v>
      </c>
      <c r="C56" s="20">
        <v>1.6756186700364561E-2</v>
      </c>
      <c r="D56" s="20">
        <v>1.8580261881888251E-2</v>
      </c>
    </row>
    <row r="57" spans="1:11" x14ac:dyDescent="0.3">
      <c r="A57" s="25">
        <v>2014</v>
      </c>
      <c r="B57" s="21">
        <v>2.316134508105222E-2</v>
      </c>
      <c r="C57" s="21">
        <v>1.8125007101451769E-2</v>
      </c>
      <c r="D57" s="41">
        <v>2.0550324363319845E-2</v>
      </c>
    </row>
    <row r="58" spans="1:11" x14ac:dyDescent="0.3">
      <c r="A58" s="25">
        <v>2015</v>
      </c>
      <c r="B58" s="21">
        <v>2.5405784698256401E-2</v>
      </c>
      <c r="C58" s="21">
        <v>1.9333675403711698E-2</v>
      </c>
      <c r="D58" s="41">
        <v>2.242068501298897E-2</v>
      </c>
    </row>
    <row r="59" spans="1:11" x14ac:dyDescent="0.3">
      <c r="A59" s="25">
        <v>2016</v>
      </c>
      <c r="B59" s="21">
        <v>2.5921718933513364E-2</v>
      </c>
      <c r="C59" s="21">
        <v>1.9240743800474094E-2</v>
      </c>
      <c r="D59" s="41">
        <v>2.2709286843554506E-2</v>
      </c>
      <c r="F59" s="64"/>
      <c r="G59" s="64"/>
      <c r="H59" s="64"/>
    </row>
    <row r="60" spans="1:11" x14ac:dyDescent="0.3">
      <c r="A60" s="27">
        <v>2017</v>
      </c>
      <c r="B60" s="42">
        <v>2.6041435709942565E-2</v>
      </c>
      <c r="C60" s="42">
        <v>2.2614706857956676E-2</v>
      </c>
      <c r="D60" s="43">
        <v>2.4433385131358547E-2</v>
      </c>
      <c r="F60" s="64"/>
      <c r="G60" s="64"/>
      <c r="H60" s="64"/>
    </row>
    <row r="61" spans="1:11" x14ac:dyDescent="0.3">
      <c r="G61" s="64"/>
    </row>
    <row r="63" spans="1:11" x14ac:dyDescent="0.3">
      <c r="F63" s="66"/>
      <c r="G63" s="66"/>
      <c r="H63" s="66"/>
    </row>
    <row r="64" spans="1:11" x14ac:dyDescent="0.3">
      <c r="F64" s="69"/>
      <c r="G64" s="69"/>
      <c r="H64" s="6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818"/>
  <sheetViews>
    <sheetView showGridLines="0" zoomScaleNormal="100" workbookViewId="0"/>
  </sheetViews>
  <sheetFormatPr baseColWidth="10" defaultColWidth="33.109375" defaultRowHeight="13.8" x14ac:dyDescent="0.3"/>
  <cols>
    <col min="1" max="1" width="41.88671875" style="3" customWidth="1"/>
    <col min="2" max="4" width="17.109375" style="6" customWidth="1"/>
    <col min="5" max="5" width="10.44140625" style="74" customWidth="1"/>
    <col min="6" max="6" width="44.44140625" style="3" customWidth="1"/>
    <col min="7" max="8" width="17.109375" style="3" customWidth="1"/>
    <col min="9" max="9" width="17.109375" style="6" customWidth="1"/>
    <col min="10" max="10" width="8.5546875" style="75" customWidth="1"/>
    <col min="11" max="16384" width="33.109375" style="3"/>
  </cols>
  <sheetData>
    <row r="1" spans="1:10" ht="18" x14ac:dyDescent="0.35">
      <c r="A1" s="1" t="s">
        <v>433</v>
      </c>
    </row>
    <row r="2" spans="1:10" x14ac:dyDescent="0.3">
      <c r="A2" s="7"/>
    </row>
    <row r="3" spans="1:10" x14ac:dyDescent="0.3">
      <c r="A3" s="7" t="s">
        <v>419</v>
      </c>
    </row>
    <row r="4" spans="1:10" x14ac:dyDescent="0.3">
      <c r="A4" s="7" t="s">
        <v>532</v>
      </c>
    </row>
    <row r="5" spans="1:10" x14ac:dyDescent="0.3">
      <c r="A5" s="8" t="s">
        <v>233</v>
      </c>
      <c r="B5" s="8" t="s">
        <v>0</v>
      </c>
      <c r="C5" s="8" t="s">
        <v>1</v>
      </c>
      <c r="D5" s="8" t="s">
        <v>59</v>
      </c>
    </row>
    <row r="6" spans="1:10" x14ac:dyDescent="0.3">
      <c r="A6" s="31" t="s">
        <v>234</v>
      </c>
      <c r="B6" s="4">
        <v>770474</v>
      </c>
      <c r="C6" s="4">
        <v>423208</v>
      </c>
      <c r="D6" s="4">
        <v>1193682</v>
      </c>
      <c r="E6" s="73"/>
    </row>
    <row r="7" spans="1:10" x14ac:dyDescent="0.3">
      <c r="A7" s="31" t="s">
        <v>235</v>
      </c>
      <c r="B7" s="5">
        <v>3095738</v>
      </c>
      <c r="C7" s="5">
        <v>1007446</v>
      </c>
      <c r="D7" s="5">
        <v>4103184</v>
      </c>
      <c r="E7" s="73"/>
    </row>
    <row r="8" spans="1:10" x14ac:dyDescent="0.3">
      <c r="A8" s="31" t="s">
        <v>478</v>
      </c>
      <c r="B8" s="5">
        <v>0</v>
      </c>
      <c r="C8" s="5">
        <v>0</v>
      </c>
      <c r="D8" s="5">
        <v>0</v>
      </c>
      <c r="E8" s="73"/>
    </row>
    <row r="9" spans="1:10" x14ac:dyDescent="0.3">
      <c r="A9" s="29" t="s">
        <v>60</v>
      </c>
      <c r="B9" s="57">
        <v>3866212</v>
      </c>
      <c r="C9" s="57">
        <v>1430654</v>
      </c>
      <c r="D9" s="57">
        <v>5296866</v>
      </c>
      <c r="E9" s="73"/>
    </row>
    <row r="10" spans="1:10" x14ac:dyDescent="0.3">
      <c r="A10" s="3" t="s">
        <v>483</v>
      </c>
      <c r="B10" s="73"/>
      <c r="C10" s="73"/>
      <c r="D10" s="73"/>
    </row>
    <row r="12" spans="1:10" x14ac:dyDescent="0.3">
      <c r="A12" s="7" t="s">
        <v>420</v>
      </c>
      <c r="F12" s="7" t="s">
        <v>421</v>
      </c>
    </row>
    <row r="13" spans="1:10" x14ac:dyDescent="0.3">
      <c r="A13" s="7" t="s">
        <v>525</v>
      </c>
      <c r="F13" s="7" t="s">
        <v>488</v>
      </c>
    </row>
    <row r="14" spans="1:10" x14ac:dyDescent="0.3">
      <c r="A14" s="44" t="s">
        <v>66</v>
      </c>
      <c r="B14" s="44" t="s">
        <v>229</v>
      </c>
      <c r="C14" s="44" t="s">
        <v>230</v>
      </c>
      <c r="D14" s="44" t="s">
        <v>64</v>
      </c>
      <c r="E14" s="75"/>
      <c r="F14" s="44" t="s">
        <v>66</v>
      </c>
      <c r="G14" s="44" t="s">
        <v>229</v>
      </c>
      <c r="H14" s="44" t="s">
        <v>230</v>
      </c>
      <c r="I14" s="44" t="s">
        <v>64</v>
      </c>
    </row>
    <row r="15" spans="1:10" x14ac:dyDescent="0.3">
      <c r="A15" s="22" t="s">
        <v>5</v>
      </c>
      <c r="B15" s="4">
        <v>175213</v>
      </c>
      <c r="C15" s="4">
        <v>1208592</v>
      </c>
      <c r="D15" s="23">
        <v>1383805</v>
      </c>
      <c r="E15" s="76"/>
      <c r="F15" s="22" t="s">
        <v>5</v>
      </c>
      <c r="G15" s="4">
        <v>141979</v>
      </c>
      <c r="H15" s="4">
        <v>539637</v>
      </c>
      <c r="I15" s="23">
        <v>681616</v>
      </c>
      <c r="J15" s="76"/>
    </row>
    <row r="16" spans="1:10" x14ac:dyDescent="0.3">
      <c r="A16" s="25" t="s">
        <v>6</v>
      </c>
      <c r="B16" s="5">
        <v>595261</v>
      </c>
      <c r="C16" s="5">
        <v>1887146</v>
      </c>
      <c r="D16" s="14">
        <v>2482407</v>
      </c>
      <c r="E16" s="76"/>
      <c r="F16" s="25" t="s">
        <v>6</v>
      </c>
      <c r="G16" s="5">
        <v>281229</v>
      </c>
      <c r="H16" s="5">
        <v>467809</v>
      </c>
      <c r="I16" s="14">
        <v>749038</v>
      </c>
      <c r="J16" s="76"/>
    </row>
    <row r="17" spans="1:10" x14ac:dyDescent="0.3">
      <c r="A17" s="31" t="s">
        <v>478</v>
      </c>
      <c r="B17" s="5">
        <v>0</v>
      </c>
      <c r="C17" s="5">
        <v>0</v>
      </c>
      <c r="D17" s="14">
        <v>0</v>
      </c>
      <c r="E17" s="76"/>
      <c r="F17" s="31" t="s">
        <v>478</v>
      </c>
      <c r="G17" s="5">
        <v>0</v>
      </c>
      <c r="H17" s="5">
        <v>0</v>
      </c>
      <c r="I17" s="14">
        <v>0</v>
      </c>
      <c r="J17" s="76"/>
    </row>
    <row r="18" spans="1:10" x14ac:dyDescent="0.3">
      <c r="A18" s="29" t="s">
        <v>60</v>
      </c>
      <c r="B18" s="57">
        <v>770474</v>
      </c>
      <c r="C18" s="57">
        <v>3095738</v>
      </c>
      <c r="D18" s="57">
        <v>3866212</v>
      </c>
      <c r="E18" s="76"/>
      <c r="F18" s="29" t="s">
        <v>60</v>
      </c>
      <c r="G18" s="57">
        <v>423208</v>
      </c>
      <c r="H18" s="57">
        <v>1007446</v>
      </c>
      <c r="I18" s="57">
        <v>1430654</v>
      </c>
      <c r="J18" s="76"/>
    </row>
    <row r="19" spans="1:10" x14ac:dyDescent="0.3">
      <c r="A19" s="3" t="s">
        <v>483</v>
      </c>
      <c r="B19" s="76"/>
      <c r="C19" s="76"/>
      <c r="D19" s="76"/>
      <c r="E19" s="75"/>
      <c r="F19" s="3" t="s">
        <v>483</v>
      </c>
      <c r="I19" s="3"/>
    </row>
    <row r="20" spans="1:10" x14ac:dyDescent="0.3">
      <c r="D20" s="3"/>
      <c r="E20" s="75"/>
      <c r="G20" s="6"/>
      <c r="H20" s="6"/>
      <c r="I20" s="3"/>
    </row>
    <row r="21" spans="1:10" x14ac:dyDescent="0.3">
      <c r="A21" s="7" t="s">
        <v>422</v>
      </c>
      <c r="D21" s="3"/>
      <c r="E21" s="75"/>
      <c r="F21" s="7" t="s">
        <v>423</v>
      </c>
      <c r="G21" s="6"/>
      <c r="H21" s="6"/>
      <c r="I21" s="3"/>
    </row>
    <row r="22" spans="1:10" x14ac:dyDescent="0.3">
      <c r="A22" s="7" t="s">
        <v>526</v>
      </c>
      <c r="D22" s="3"/>
      <c r="E22" s="75"/>
      <c r="F22" s="7" t="s">
        <v>489</v>
      </c>
      <c r="G22" s="6"/>
      <c r="H22" s="6"/>
      <c r="I22" s="3"/>
    </row>
    <row r="23" spans="1:10" x14ac:dyDescent="0.3">
      <c r="A23" s="24" t="s">
        <v>67</v>
      </c>
      <c r="B23" s="44" t="s">
        <v>229</v>
      </c>
      <c r="C23" s="44" t="s">
        <v>230</v>
      </c>
      <c r="D23" s="44" t="s">
        <v>64</v>
      </c>
      <c r="E23" s="75"/>
      <c r="F23" s="24" t="s">
        <v>67</v>
      </c>
      <c r="G23" s="44" t="s">
        <v>229</v>
      </c>
      <c r="H23" s="44" t="s">
        <v>230</v>
      </c>
      <c r="I23" s="44" t="s">
        <v>64</v>
      </c>
    </row>
    <row r="24" spans="1:10" x14ac:dyDescent="0.3">
      <c r="A24" s="22" t="s">
        <v>53</v>
      </c>
      <c r="B24" s="4">
        <v>861</v>
      </c>
      <c r="C24" s="4">
        <v>25208</v>
      </c>
      <c r="D24" s="4">
        <v>26069</v>
      </c>
      <c r="E24" s="76"/>
      <c r="F24" s="22" t="s">
        <v>53</v>
      </c>
      <c r="G24" s="4">
        <v>44</v>
      </c>
      <c r="H24" s="4">
        <v>1799</v>
      </c>
      <c r="I24" s="4">
        <v>1843</v>
      </c>
      <c r="J24" s="76"/>
    </row>
    <row r="25" spans="1:10" x14ac:dyDescent="0.3">
      <c r="A25" s="25" t="s">
        <v>2</v>
      </c>
      <c r="B25" s="5">
        <v>30279</v>
      </c>
      <c r="C25" s="5">
        <v>264006</v>
      </c>
      <c r="D25" s="5">
        <v>294285</v>
      </c>
      <c r="E25" s="76"/>
      <c r="F25" s="25" t="s">
        <v>2</v>
      </c>
      <c r="G25" s="5">
        <v>3073</v>
      </c>
      <c r="H25" s="5">
        <v>51854</v>
      </c>
      <c r="I25" s="5">
        <v>54927</v>
      </c>
      <c r="J25" s="76"/>
    </row>
    <row r="26" spans="1:10" x14ac:dyDescent="0.3">
      <c r="A26" s="25" t="s">
        <v>54</v>
      </c>
      <c r="B26" s="5">
        <v>223699</v>
      </c>
      <c r="C26" s="5">
        <v>891789</v>
      </c>
      <c r="D26" s="5">
        <v>1115488</v>
      </c>
      <c r="E26" s="76"/>
      <c r="F26" s="25" t="s">
        <v>54</v>
      </c>
      <c r="G26" s="5">
        <v>130170</v>
      </c>
      <c r="H26" s="5">
        <v>366365</v>
      </c>
      <c r="I26" s="5">
        <v>496535</v>
      </c>
      <c r="J26" s="76"/>
    </row>
    <row r="27" spans="1:10" x14ac:dyDescent="0.3">
      <c r="A27" s="25" t="s">
        <v>55</v>
      </c>
      <c r="B27" s="5">
        <v>197416</v>
      </c>
      <c r="C27" s="5">
        <v>710975</v>
      </c>
      <c r="D27" s="5">
        <v>908391</v>
      </c>
      <c r="E27" s="76"/>
      <c r="F27" s="25" t="s">
        <v>55</v>
      </c>
      <c r="G27" s="5">
        <v>125318</v>
      </c>
      <c r="H27" s="5">
        <v>289806</v>
      </c>
      <c r="I27" s="5">
        <v>415124</v>
      </c>
      <c r="J27" s="76"/>
    </row>
    <row r="28" spans="1:10" x14ac:dyDescent="0.3">
      <c r="A28" s="25" t="s">
        <v>56</v>
      </c>
      <c r="B28" s="5">
        <v>166778</v>
      </c>
      <c r="C28" s="5">
        <v>622325</v>
      </c>
      <c r="D28" s="5">
        <v>789103</v>
      </c>
      <c r="E28" s="76"/>
      <c r="F28" s="25" t="s">
        <v>56</v>
      </c>
      <c r="G28" s="5">
        <v>75407</v>
      </c>
      <c r="H28" s="5">
        <v>177294</v>
      </c>
      <c r="I28" s="5">
        <v>252701</v>
      </c>
      <c r="J28" s="76"/>
    </row>
    <row r="29" spans="1:10" x14ac:dyDescent="0.3">
      <c r="A29" s="25" t="s">
        <v>57</v>
      </c>
      <c r="B29" s="5">
        <v>131745</v>
      </c>
      <c r="C29" s="5">
        <v>437101</v>
      </c>
      <c r="D29" s="5">
        <v>568846</v>
      </c>
      <c r="E29" s="76"/>
      <c r="F29" s="25" t="s">
        <v>57</v>
      </c>
      <c r="G29" s="5">
        <v>72866</v>
      </c>
      <c r="H29" s="5">
        <v>100634</v>
      </c>
      <c r="I29" s="5">
        <v>173500</v>
      </c>
      <c r="J29" s="76"/>
    </row>
    <row r="30" spans="1:10" x14ac:dyDescent="0.3">
      <c r="A30" s="25" t="s">
        <v>3</v>
      </c>
      <c r="B30" s="5">
        <v>19696</v>
      </c>
      <c r="C30" s="5">
        <v>144334</v>
      </c>
      <c r="D30" s="5">
        <v>164030</v>
      </c>
      <c r="E30" s="76"/>
      <c r="F30" s="25" t="s">
        <v>3</v>
      </c>
      <c r="G30" s="5">
        <v>16327</v>
      </c>
      <c r="H30" s="5">
        <v>19678</v>
      </c>
      <c r="I30" s="5">
        <v>36005</v>
      </c>
      <c r="J30" s="76"/>
    </row>
    <row r="31" spans="1:10" x14ac:dyDescent="0.3">
      <c r="A31" s="31" t="s">
        <v>478</v>
      </c>
      <c r="B31" s="5">
        <v>0</v>
      </c>
      <c r="C31" s="5">
        <v>0</v>
      </c>
      <c r="D31" s="5">
        <v>0</v>
      </c>
      <c r="E31" s="76"/>
      <c r="F31" s="31" t="s">
        <v>478</v>
      </c>
      <c r="G31" s="5">
        <v>3</v>
      </c>
      <c r="H31" s="5">
        <v>16</v>
      </c>
      <c r="I31" s="5">
        <v>19</v>
      </c>
      <c r="J31" s="76"/>
    </row>
    <row r="32" spans="1:10" x14ac:dyDescent="0.3">
      <c r="A32" s="29" t="s">
        <v>60</v>
      </c>
      <c r="B32" s="57">
        <v>770474</v>
      </c>
      <c r="C32" s="57">
        <v>3095738</v>
      </c>
      <c r="D32" s="57">
        <v>3866212</v>
      </c>
      <c r="E32" s="76"/>
      <c r="F32" s="29" t="s">
        <v>60</v>
      </c>
      <c r="G32" s="57">
        <v>423208</v>
      </c>
      <c r="H32" s="57">
        <v>1007446</v>
      </c>
      <c r="I32" s="57">
        <v>1430654</v>
      </c>
      <c r="J32" s="76"/>
    </row>
    <row r="33" spans="1:10" x14ac:dyDescent="0.3">
      <c r="A33" s="3" t="s">
        <v>483</v>
      </c>
      <c r="B33" s="73"/>
      <c r="C33" s="73"/>
      <c r="D33" s="73"/>
      <c r="E33" s="75"/>
      <c r="F33" s="3" t="s">
        <v>483</v>
      </c>
      <c r="G33" s="73"/>
      <c r="H33" s="73"/>
      <c r="I33" s="73"/>
    </row>
    <row r="34" spans="1:10" x14ac:dyDescent="0.3">
      <c r="D34" s="3"/>
      <c r="E34" s="75"/>
      <c r="G34" s="6"/>
      <c r="H34" s="6"/>
      <c r="I34" s="3"/>
    </row>
    <row r="35" spans="1:10" x14ac:dyDescent="0.3">
      <c r="A35" s="7" t="s">
        <v>424</v>
      </c>
      <c r="D35" s="3"/>
      <c r="E35" s="75"/>
      <c r="F35" s="7" t="s">
        <v>425</v>
      </c>
      <c r="G35" s="6"/>
      <c r="H35" s="6"/>
      <c r="I35" s="3"/>
    </row>
    <row r="36" spans="1:10" x14ac:dyDescent="0.3">
      <c r="A36" s="7" t="s">
        <v>527</v>
      </c>
      <c r="D36" s="3"/>
      <c r="E36" s="75"/>
      <c r="F36" s="7" t="s">
        <v>490</v>
      </c>
      <c r="G36" s="6"/>
      <c r="H36" s="6"/>
      <c r="I36" s="3"/>
    </row>
    <row r="37" spans="1:10" x14ac:dyDescent="0.3">
      <c r="A37" s="8" t="s">
        <v>208</v>
      </c>
      <c r="B37" s="44" t="s">
        <v>229</v>
      </c>
      <c r="C37" s="44" t="s">
        <v>230</v>
      </c>
      <c r="D37" s="44" t="s">
        <v>64</v>
      </c>
      <c r="E37" s="75"/>
      <c r="F37" s="8" t="s">
        <v>208</v>
      </c>
      <c r="G37" s="44" t="s">
        <v>229</v>
      </c>
      <c r="H37" s="44" t="s">
        <v>230</v>
      </c>
      <c r="I37" s="44" t="s">
        <v>64</v>
      </c>
    </row>
    <row r="38" spans="1:10" x14ac:dyDescent="0.3">
      <c r="A38" s="31" t="s">
        <v>9</v>
      </c>
      <c r="B38" s="60">
        <v>159467</v>
      </c>
      <c r="C38" s="60">
        <v>755296</v>
      </c>
      <c r="D38" s="60">
        <v>914763</v>
      </c>
      <c r="E38" s="76"/>
      <c r="F38" s="31" t="s">
        <v>9</v>
      </c>
      <c r="G38" s="4">
        <v>66857</v>
      </c>
      <c r="H38" s="4">
        <v>208030</v>
      </c>
      <c r="I38" s="5">
        <v>274887</v>
      </c>
      <c r="J38" s="76"/>
    </row>
    <row r="39" spans="1:10" x14ac:dyDescent="0.3">
      <c r="A39" s="31" t="s">
        <v>10</v>
      </c>
      <c r="B39" s="61">
        <v>159862</v>
      </c>
      <c r="C39" s="61">
        <v>720152</v>
      </c>
      <c r="D39" s="61">
        <v>880014</v>
      </c>
      <c r="E39" s="76"/>
      <c r="F39" s="31" t="s">
        <v>10</v>
      </c>
      <c r="G39" s="5">
        <v>55205</v>
      </c>
      <c r="H39" s="5">
        <v>167338</v>
      </c>
      <c r="I39" s="5">
        <v>222543</v>
      </c>
      <c r="J39" s="76"/>
    </row>
    <row r="40" spans="1:10" x14ac:dyDescent="0.3">
      <c r="A40" s="31" t="s">
        <v>11</v>
      </c>
      <c r="B40" s="61">
        <v>151088</v>
      </c>
      <c r="C40" s="61">
        <v>378844</v>
      </c>
      <c r="D40" s="61">
        <v>529932</v>
      </c>
      <c r="E40" s="76"/>
      <c r="F40" s="31" t="s">
        <v>11</v>
      </c>
      <c r="G40" s="5">
        <v>108238</v>
      </c>
      <c r="H40" s="5">
        <v>180068</v>
      </c>
      <c r="I40" s="5">
        <v>288306</v>
      </c>
      <c r="J40" s="76"/>
    </row>
    <row r="41" spans="1:10" x14ac:dyDescent="0.3">
      <c r="A41" s="31" t="s">
        <v>12</v>
      </c>
      <c r="B41" s="61">
        <v>37847</v>
      </c>
      <c r="C41" s="61">
        <v>244615</v>
      </c>
      <c r="D41" s="61">
        <v>282462</v>
      </c>
      <c r="E41" s="76"/>
      <c r="F41" s="31" t="s">
        <v>12</v>
      </c>
      <c r="G41" s="5">
        <v>21210</v>
      </c>
      <c r="H41" s="5">
        <v>88485</v>
      </c>
      <c r="I41" s="5">
        <v>109695</v>
      </c>
      <c r="J41" s="76"/>
    </row>
    <row r="42" spans="1:10" x14ac:dyDescent="0.3">
      <c r="A42" s="31" t="s">
        <v>13</v>
      </c>
      <c r="B42" s="61">
        <v>64872</v>
      </c>
      <c r="C42" s="61">
        <v>151576</v>
      </c>
      <c r="D42" s="61">
        <v>216448</v>
      </c>
      <c r="E42" s="76"/>
      <c r="F42" s="31" t="s">
        <v>13</v>
      </c>
      <c r="G42" s="5">
        <v>46554</v>
      </c>
      <c r="H42" s="5">
        <v>81651</v>
      </c>
      <c r="I42" s="5">
        <v>128205</v>
      </c>
      <c r="J42" s="76"/>
    </row>
    <row r="43" spans="1:10" x14ac:dyDescent="0.3">
      <c r="A43" s="31" t="s">
        <v>223</v>
      </c>
      <c r="B43" s="61">
        <v>39580</v>
      </c>
      <c r="C43" s="61">
        <v>134615</v>
      </c>
      <c r="D43" s="61">
        <v>174195</v>
      </c>
      <c r="E43" s="76"/>
      <c r="F43" s="31" t="s">
        <v>223</v>
      </c>
      <c r="G43" s="5">
        <v>33623</v>
      </c>
      <c r="H43" s="5">
        <v>61020</v>
      </c>
      <c r="I43" s="5">
        <v>94643</v>
      </c>
      <c r="J43" s="76"/>
    </row>
    <row r="44" spans="1:10" x14ac:dyDescent="0.3">
      <c r="A44" s="31" t="s">
        <v>224</v>
      </c>
      <c r="B44" s="61">
        <v>21326</v>
      </c>
      <c r="C44" s="61">
        <v>101855</v>
      </c>
      <c r="D44" s="61">
        <v>123181</v>
      </c>
      <c r="E44" s="76"/>
      <c r="F44" s="31" t="s">
        <v>224</v>
      </c>
      <c r="G44" s="5">
        <v>10599</v>
      </c>
      <c r="H44" s="5">
        <v>30564</v>
      </c>
      <c r="I44" s="5">
        <v>41163</v>
      </c>
      <c r="J44" s="76"/>
    </row>
    <row r="45" spans="1:10" x14ac:dyDescent="0.3">
      <c r="A45" s="31" t="s">
        <v>225</v>
      </c>
      <c r="B45" s="61">
        <v>26317</v>
      </c>
      <c r="C45" s="61">
        <v>98690</v>
      </c>
      <c r="D45" s="61">
        <v>125007</v>
      </c>
      <c r="E45" s="76"/>
      <c r="F45" s="31" t="s">
        <v>225</v>
      </c>
      <c r="G45" s="5">
        <v>15643</v>
      </c>
      <c r="H45" s="5">
        <v>31405</v>
      </c>
      <c r="I45" s="5">
        <v>47048</v>
      </c>
      <c r="J45" s="76"/>
    </row>
    <row r="46" spans="1:10" x14ac:dyDescent="0.3">
      <c r="A46" s="31" t="s">
        <v>226</v>
      </c>
      <c r="B46" s="61">
        <v>11481</v>
      </c>
      <c r="C46" s="61">
        <v>80512</v>
      </c>
      <c r="D46" s="61">
        <v>91993</v>
      </c>
      <c r="E46" s="76"/>
      <c r="F46" s="31" t="s">
        <v>226</v>
      </c>
      <c r="G46" s="5">
        <v>9024</v>
      </c>
      <c r="H46" s="5">
        <v>29685</v>
      </c>
      <c r="I46" s="5">
        <v>38709</v>
      </c>
      <c r="J46" s="76"/>
    </row>
    <row r="47" spans="1:10" x14ac:dyDescent="0.3">
      <c r="A47" s="31" t="s">
        <v>263</v>
      </c>
      <c r="B47" s="61">
        <v>14005</v>
      </c>
      <c r="C47" s="61">
        <v>90525</v>
      </c>
      <c r="D47" s="61">
        <v>104530</v>
      </c>
      <c r="E47" s="76"/>
      <c r="F47" s="31" t="s">
        <v>263</v>
      </c>
      <c r="G47" s="5">
        <v>6578</v>
      </c>
      <c r="H47" s="5">
        <v>19837</v>
      </c>
      <c r="I47" s="5">
        <v>26415</v>
      </c>
      <c r="J47" s="76"/>
    </row>
    <row r="48" spans="1:10" x14ac:dyDescent="0.3">
      <c r="A48" s="31" t="s">
        <v>31</v>
      </c>
      <c r="B48" s="61">
        <v>84614</v>
      </c>
      <c r="C48" s="61">
        <v>339049</v>
      </c>
      <c r="D48" s="61">
        <v>423663</v>
      </c>
      <c r="E48" s="76"/>
      <c r="F48" s="31" t="s">
        <v>31</v>
      </c>
      <c r="G48" s="5">
        <v>49661</v>
      </c>
      <c r="H48" s="5">
        <v>109315</v>
      </c>
      <c r="I48" s="5">
        <v>158976</v>
      </c>
      <c r="J48" s="76"/>
    </row>
    <row r="49" spans="1:11" x14ac:dyDescent="0.3">
      <c r="A49" s="31" t="s">
        <v>478</v>
      </c>
      <c r="B49" s="61">
        <v>15</v>
      </c>
      <c r="C49" s="61">
        <v>9</v>
      </c>
      <c r="D49" s="61">
        <v>24</v>
      </c>
      <c r="E49" s="76"/>
      <c r="F49" s="31" t="s">
        <v>478</v>
      </c>
      <c r="G49" s="5">
        <v>16</v>
      </c>
      <c r="H49" s="5">
        <v>48</v>
      </c>
      <c r="I49" s="5">
        <v>64</v>
      </c>
      <c r="J49" s="76"/>
      <c r="K49" s="59"/>
    </row>
    <row r="50" spans="1:11" x14ac:dyDescent="0.3">
      <c r="A50" s="29" t="s">
        <v>60</v>
      </c>
      <c r="B50" s="57">
        <v>770474</v>
      </c>
      <c r="C50" s="57">
        <v>3095738</v>
      </c>
      <c r="D50" s="57">
        <v>3866212</v>
      </c>
      <c r="E50" s="75"/>
      <c r="F50" s="29" t="s">
        <v>60</v>
      </c>
      <c r="G50" s="57">
        <v>423208</v>
      </c>
      <c r="H50" s="57">
        <v>1007446</v>
      </c>
      <c r="I50" s="57">
        <v>1430654</v>
      </c>
    </row>
    <row r="51" spans="1:11" x14ac:dyDescent="0.3">
      <c r="A51" s="3" t="s">
        <v>483</v>
      </c>
      <c r="B51" s="73"/>
      <c r="C51" s="73"/>
      <c r="D51" s="73"/>
      <c r="E51" s="75"/>
      <c r="F51" s="3" t="s">
        <v>483</v>
      </c>
      <c r="G51" s="73"/>
      <c r="H51" s="73"/>
      <c r="I51" s="73"/>
    </row>
    <row r="52" spans="1:11" x14ac:dyDescent="0.3">
      <c r="D52" s="3"/>
      <c r="E52" s="75"/>
      <c r="G52" s="6"/>
      <c r="H52" s="6"/>
      <c r="I52" s="3"/>
    </row>
    <row r="53" spans="1:11" x14ac:dyDescent="0.3">
      <c r="A53" s="7" t="s">
        <v>426</v>
      </c>
      <c r="D53" s="3"/>
      <c r="E53" s="75"/>
      <c r="G53" s="6"/>
      <c r="H53" s="6"/>
    </row>
    <row r="54" spans="1:11" x14ac:dyDescent="0.3">
      <c r="A54" s="7" t="s">
        <v>528</v>
      </c>
      <c r="D54" s="3"/>
      <c r="E54" s="75"/>
      <c r="F54" s="7"/>
      <c r="G54" s="6"/>
      <c r="H54" s="6"/>
    </row>
    <row r="55" spans="1:11" x14ac:dyDescent="0.3">
      <c r="A55" s="8" t="s">
        <v>233</v>
      </c>
      <c r="B55" s="8" t="s">
        <v>0</v>
      </c>
      <c r="C55" s="8" t="s">
        <v>1</v>
      </c>
      <c r="D55" s="8" t="s">
        <v>59</v>
      </c>
      <c r="E55" s="75"/>
      <c r="F55" s="35"/>
      <c r="G55" s="35"/>
      <c r="H55" s="35"/>
      <c r="I55" s="35"/>
    </row>
    <row r="56" spans="1:11" x14ac:dyDescent="0.3">
      <c r="A56" s="31" t="s">
        <v>234</v>
      </c>
      <c r="B56" s="4">
        <v>7701198</v>
      </c>
      <c r="C56" s="4">
        <v>3315488</v>
      </c>
      <c r="D56" s="4">
        <v>11016686</v>
      </c>
      <c r="E56" s="75"/>
      <c r="F56" s="34"/>
      <c r="G56" s="17"/>
      <c r="H56" s="17"/>
      <c r="I56" s="17"/>
    </row>
    <row r="57" spans="1:11" x14ac:dyDescent="0.3">
      <c r="A57" s="31" t="s">
        <v>235</v>
      </c>
      <c r="B57" s="5">
        <v>42723220</v>
      </c>
      <c r="C57" s="5">
        <v>11168434</v>
      </c>
      <c r="D57" s="5">
        <v>53891654</v>
      </c>
      <c r="E57" s="75"/>
      <c r="F57" s="34"/>
      <c r="G57" s="17"/>
      <c r="H57" s="17"/>
      <c r="I57" s="17"/>
    </row>
    <row r="58" spans="1:11" x14ac:dyDescent="0.3">
      <c r="A58" s="31" t="s">
        <v>478</v>
      </c>
      <c r="B58" s="5">
        <v>0</v>
      </c>
      <c r="C58" s="5">
        <v>0</v>
      </c>
      <c r="D58" s="5">
        <v>0</v>
      </c>
      <c r="E58" s="75"/>
      <c r="F58" s="34"/>
      <c r="G58" s="17"/>
      <c r="H58" s="17"/>
      <c r="I58" s="17"/>
    </row>
    <row r="59" spans="1:11" x14ac:dyDescent="0.3">
      <c r="A59" s="29" t="s">
        <v>60</v>
      </c>
      <c r="B59" s="57">
        <v>50424418</v>
      </c>
      <c r="C59" s="57">
        <v>14483922</v>
      </c>
      <c r="D59" s="57">
        <v>64908340</v>
      </c>
      <c r="E59" s="75"/>
      <c r="F59" s="45"/>
      <c r="G59" s="17"/>
      <c r="H59" s="17"/>
      <c r="I59" s="17"/>
    </row>
    <row r="60" spans="1:11" x14ac:dyDescent="0.3">
      <c r="A60" s="3" t="s">
        <v>483</v>
      </c>
      <c r="B60" s="73"/>
      <c r="C60" s="73"/>
      <c r="D60" s="73"/>
      <c r="E60" s="75"/>
      <c r="G60" s="6"/>
      <c r="H60" s="6"/>
    </row>
    <row r="61" spans="1:11" x14ac:dyDescent="0.3">
      <c r="D61" s="3"/>
      <c r="E61" s="75"/>
      <c r="G61" s="6"/>
      <c r="H61" s="6"/>
      <c r="I61" s="3"/>
    </row>
    <row r="62" spans="1:11" x14ac:dyDescent="0.3">
      <c r="A62" s="7" t="s">
        <v>427</v>
      </c>
      <c r="D62" s="3"/>
      <c r="E62" s="75"/>
      <c r="F62" s="7" t="s">
        <v>428</v>
      </c>
      <c r="G62" s="6"/>
      <c r="H62" s="6"/>
      <c r="I62" s="3"/>
    </row>
    <row r="63" spans="1:11" x14ac:dyDescent="0.3">
      <c r="A63" s="7" t="s">
        <v>531</v>
      </c>
      <c r="D63" s="3"/>
      <c r="E63" s="75"/>
      <c r="F63" s="7" t="s">
        <v>491</v>
      </c>
      <c r="G63" s="6"/>
      <c r="H63" s="6"/>
      <c r="I63" s="3"/>
    </row>
    <row r="64" spans="1:11" x14ac:dyDescent="0.3">
      <c r="A64" s="44" t="s">
        <v>66</v>
      </c>
      <c r="B64" s="44" t="s">
        <v>229</v>
      </c>
      <c r="C64" s="44" t="s">
        <v>230</v>
      </c>
      <c r="D64" s="44" t="s">
        <v>64</v>
      </c>
      <c r="E64" s="75"/>
      <c r="F64" s="44" t="s">
        <v>66</v>
      </c>
      <c r="G64" s="44" t="s">
        <v>229</v>
      </c>
      <c r="H64" s="44" t="s">
        <v>230</v>
      </c>
      <c r="I64" s="44" t="s">
        <v>64</v>
      </c>
    </row>
    <row r="65" spans="1:10" x14ac:dyDescent="0.3">
      <c r="A65" s="22" t="s">
        <v>5</v>
      </c>
      <c r="B65" s="4">
        <v>1813021</v>
      </c>
      <c r="C65" s="4">
        <v>17881254</v>
      </c>
      <c r="D65" s="23">
        <v>19694275</v>
      </c>
      <c r="E65" s="76"/>
      <c r="F65" s="22" t="s">
        <v>5</v>
      </c>
      <c r="G65" s="4">
        <v>1067424</v>
      </c>
      <c r="H65" s="4">
        <v>6016134</v>
      </c>
      <c r="I65" s="23">
        <v>7083558</v>
      </c>
      <c r="J65" s="76"/>
    </row>
    <row r="66" spans="1:10" x14ac:dyDescent="0.3">
      <c r="A66" s="25" t="s">
        <v>6</v>
      </c>
      <c r="B66" s="5">
        <v>5888177</v>
      </c>
      <c r="C66" s="5">
        <v>24841966</v>
      </c>
      <c r="D66" s="14">
        <v>30730143</v>
      </c>
      <c r="E66" s="76"/>
      <c r="F66" s="25" t="s">
        <v>6</v>
      </c>
      <c r="G66" s="5">
        <v>2248064</v>
      </c>
      <c r="H66" s="5">
        <v>5152300</v>
      </c>
      <c r="I66" s="14">
        <v>7400364</v>
      </c>
      <c r="J66" s="76"/>
    </row>
    <row r="67" spans="1:10" x14ac:dyDescent="0.3">
      <c r="A67" s="31" t="s">
        <v>478</v>
      </c>
      <c r="B67" s="5">
        <v>0</v>
      </c>
      <c r="C67" s="5">
        <v>0</v>
      </c>
      <c r="D67" s="14">
        <v>0</v>
      </c>
      <c r="E67" s="76"/>
      <c r="F67" s="31" t="s">
        <v>478</v>
      </c>
      <c r="G67" s="5">
        <v>0</v>
      </c>
      <c r="H67" s="5">
        <v>0</v>
      </c>
      <c r="I67" s="14">
        <v>0</v>
      </c>
      <c r="J67" s="76"/>
    </row>
    <row r="68" spans="1:10" x14ac:dyDescent="0.3">
      <c r="A68" s="29" t="s">
        <v>60</v>
      </c>
      <c r="B68" s="57">
        <v>7701198</v>
      </c>
      <c r="C68" s="57">
        <v>42723220</v>
      </c>
      <c r="D68" s="57">
        <v>50424418</v>
      </c>
      <c r="E68" s="76"/>
      <c r="F68" s="29" t="s">
        <v>60</v>
      </c>
      <c r="G68" s="57">
        <v>3315488</v>
      </c>
      <c r="H68" s="57">
        <v>11168434</v>
      </c>
      <c r="I68" s="57">
        <v>14483922</v>
      </c>
      <c r="J68" s="76"/>
    </row>
    <row r="69" spans="1:10" x14ac:dyDescent="0.3">
      <c r="A69" s="3" t="s">
        <v>483</v>
      </c>
      <c r="B69" s="73"/>
      <c r="C69" s="73"/>
      <c r="D69" s="73"/>
      <c r="E69" s="75"/>
      <c r="F69" s="3" t="s">
        <v>483</v>
      </c>
      <c r="G69" s="6"/>
      <c r="H69" s="6"/>
      <c r="I69" s="76"/>
    </row>
    <row r="70" spans="1:10" x14ac:dyDescent="0.3">
      <c r="D70" s="3"/>
      <c r="E70" s="75"/>
      <c r="G70" s="6"/>
      <c r="H70" s="6"/>
      <c r="I70" s="3"/>
    </row>
    <row r="71" spans="1:10" x14ac:dyDescent="0.3">
      <c r="A71" s="7" t="s">
        <v>429</v>
      </c>
      <c r="D71" s="3"/>
      <c r="E71" s="75"/>
      <c r="F71" s="7" t="s">
        <v>430</v>
      </c>
      <c r="G71" s="6"/>
      <c r="H71" s="6"/>
      <c r="I71" s="3"/>
    </row>
    <row r="72" spans="1:10" x14ac:dyDescent="0.3">
      <c r="A72" s="7" t="s">
        <v>530</v>
      </c>
      <c r="D72" s="3"/>
      <c r="E72" s="75"/>
      <c r="F72" s="7" t="s">
        <v>492</v>
      </c>
      <c r="G72" s="6"/>
      <c r="H72" s="6"/>
      <c r="I72" s="3"/>
    </row>
    <row r="73" spans="1:10" x14ac:dyDescent="0.3">
      <c r="A73" s="24" t="s">
        <v>67</v>
      </c>
      <c r="B73" s="44" t="s">
        <v>229</v>
      </c>
      <c r="C73" s="44" t="s">
        <v>230</v>
      </c>
      <c r="D73" s="44" t="s">
        <v>64</v>
      </c>
      <c r="E73" s="75"/>
      <c r="F73" s="24" t="s">
        <v>67</v>
      </c>
      <c r="G73" s="44" t="s">
        <v>229</v>
      </c>
      <c r="H73" s="44" t="s">
        <v>230</v>
      </c>
      <c r="I73" s="44" t="s">
        <v>64</v>
      </c>
    </row>
    <row r="74" spans="1:10" x14ac:dyDescent="0.3">
      <c r="A74" s="22" t="s">
        <v>53</v>
      </c>
      <c r="B74" s="4">
        <v>6034</v>
      </c>
      <c r="C74" s="4">
        <v>230637</v>
      </c>
      <c r="D74" s="4">
        <v>236671</v>
      </c>
      <c r="E74" s="76"/>
      <c r="F74" s="22" t="s">
        <v>53</v>
      </c>
      <c r="G74" s="4">
        <v>264</v>
      </c>
      <c r="H74" s="4">
        <v>13115</v>
      </c>
      <c r="I74" s="4">
        <v>13379</v>
      </c>
      <c r="J74" s="76"/>
    </row>
    <row r="75" spans="1:10" x14ac:dyDescent="0.3">
      <c r="A75" s="25" t="s">
        <v>2</v>
      </c>
      <c r="B75" s="5">
        <v>252749</v>
      </c>
      <c r="C75" s="5">
        <v>2753141</v>
      </c>
      <c r="D75" s="5">
        <v>3005890</v>
      </c>
      <c r="E75" s="76"/>
      <c r="F75" s="25" t="s">
        <v>2</v>
      </c>
      <c r="G75" s="5">
        <v>17866</v>
      </c>
      <c r="H75" s="5">
        <v>420395</v>
      </c>
      <c r="I75" s="5">
        <v>438261</v>
      </c>
      <c r="J75" s="76"/>
    </row>
    <row r="76" spans="1:10" x14ac:dyDescent="0.3">
      <c r="A76" s="25" t="s">
        <v>54</v>
      </c>
      <c r="B76" s="5">
        <v>2008601</v>
      </c>
      <c r="C76" s="5">
        <v>10670958</v>
      </c>
      <c r="D76" s="5">
        <v>12679559</v>
      </c>
      <c r="E76" s="76"/>
      <c r="F76" s="25" t="s">
        <v>54</v>
      </c>
      <c r="G76" s="5">
        <v>878568</v>
      </c>
      <c r="H76" s="5">
        <v>3487858</v>
      </c>
      <c r="I76" s="5">
        <v>4366426</v>
      </c>
      <c r="J76" s="76"/>
    </row>
    <row r="77" spans="1:10" x14ac:dyDescent="0.3">
      <c r="A77" s="25" t="s">
        <v>55</v>
      </c>
      <c r="B77" s="5">
        <v>1807989</v>
      </c>
      <c r="C77" s="5">
        <v>9453204</v>
      </c>
      <c r="D77" s="5">
        <v>11261193</v>
      </c>
      <c r="E77" s="76"/>
      <c r="F77" s="25" t="s">
        <v>55</v>
      </c>
      <c r="G77" s="5">
        <v>917536</v>
      </c>
      <c r="H77" s="5">
        <v>3242337</v>
      </c>
      <c r="I77" s="5">
        <v>4159873</v>
      </c>
      <c r="J77" s="76"/>
    </row>
    <row r="78" spans="1:10" x14ac:dyDescent="0.3">
      <c r="A78" s="25" t="s">
        <v>56</v>
      </c>
      <c r="B78" s="5">
        <v>1678041</v>
      </c>
      <c r="C78" s="5">
        <v>9294534</v>
      </c>
      <c r="D78" s="5">
        <v>10972575</v>
      </c>
      <c r="E78" s="76"/>
      <c r="F78" s="25" t="s">
        <v>56</v>
      </c>
      <c r="G78" s="5">
        <v>587192</v>
      </c>
      <c r="H78" s="5">
        <v>2205386</v>
      </c>
      <c r="I78" s="5">
        <v>2792578</v>
      </c>
      <c r="J78" s="76"/>
    </row>
    <row r="79" spans="1:10" x14ac:dyDescent="0.3">
      <c r="A79" s="25" t="s">
        <v>57</v>
      </c>
      <c r="B79" s="5">
        <v>1649215</v>
      </c>
      <c r="C79" s="5">
        <v>7559458</v>
      </c>
      <c r="D79" s="5">
        <v>9208673</v>
      </c>
      <c r="E79" s="76"/>
      <c r="F79" s="25" t="s">
        <v>57</v>
      </c>
      <c r="G79" s="5">
        <v>716869</v>
      </c>
      <c r="H79" s="5">
        <v>1465614</v>
      </c>
      <c r="I79" s="5">
        <v>2182483</v>
      </c>
      <c r="J79" s="76"/>
    </row>
    <row r="80" spans="1:10" x14ac:dyDescent="0.3">
      <c r="A80" s="25" t="s">
        <v>3</v>
      </c>
      <c r="B80" s="5">
        <v>298569</v>
      </c>
      <c r="C80" s="5">
        <v>2761288</v>
      </c>
      <c r="D80" s="5">
        <v>3059857</v>
      </c>
      <c r="E80" s="76"/>
      <c r="F80" s="25" t="s">
        <v>3</v>
      </c>
      <c r="G80" s="5">
        <v>197186</v>
      </c>
      <c r="H80" s="5">
        <v>333478</v>
      </c>
      <c r="I80" s="5">
        <v>530664</v>
      </c>
      <c r="J80" s="76"/>
    </row>
    <row r="81" spans="1:10" x14ac:dyDescent="0.3">
      <c r="A81" s="31" t="s">
        <v>478</v>
      </c>
      <c r="B81" s="5">
        <v>0</v>
      </c>
      <c r="C81" s="5">
        <v>0</v>
      </c>
      <c r="D81" s="5">
        <v>0</v>
      </c>
      <c r="E81" s="76"/>
      <c r="F81" s="31" t="s">
        <v>478</v>
      </c>
      <c r="G81" s="5">
        <v>7</v>
      </c>
      <c r="H81" s="5">
        <v>251</v>
      </c>
      <c r="I81" s="5">
        <v>258</v>
      </c>
      <c r="J81" s="76"/>
    </row>
    <row r="82" spans="1:10" x14ac:dyDescent="0.3">
      <c r="A82" s="29" t="s">
        <v>60</v>
      </c>
      <c r="B82" s="57">
        <v>7701198</v>
      </c>
      <c r="C82" s="57">
        <v>42723220</v>
      </c>
      <c r="D82" s="57">
        <v>50424418</v>
      </c>
      <c r="E82" s="76"/>
      <c r="F82" s="29" t="s">
        <v>60</v>
      </c>
      <c r="G82" s="57">
        <v>3315488</v>
      </c>
      <c r="H82" s="57">
        <v>11168434</v>
      </c>
      <c r="I82" s="57">
        <v>14483922</v>
      </c>
      <c r="J82" s="76"/>
    </row>
    <row r="83" spans="1:10" x14ac:dyDescent="0.3">
      <c r="A83" s="3" t="s">
        <v>483</v>
      </c>
      <c r="B83" s="73"/>
      <c r="C83" s="73"/>
      <c r="D83" s="73"/>
      <c r="E83" s="75"/>
      <c r="F83" s="3" t="s">
        <v>483</v>
      </c>
      <c r="G83" s="73"/>
      <c r="H83" s="73"/>
      <c r="I83" s="73"/>
    </row>
    <row r="84" spans="1:10" x14ac:dyDescent="0.3">
      <c r="D84" s="3"/>
      <c r="E84" s="75"/>
      <c r="G84" s="6"/>
      <c r="H84" s="6"/>
      <c r="I84" s="3"/>
    </row>
    <row r="85" spans="1:10" x14ac:dyDescent="0.3">
      <c r="A85" s="7" t="s">
        <v>431</v>
      </c>
      <c r="D85" s="3"/>
      <c r="E85" s="75"/>
      <c r="F85" s="7" t="s">
        <v>432</v>
      </c>
      <c r="G85" s="6"/>
      <c r="H85" s="6"/>
      <c r="I85" s="3"/>
    </row>
    <row r="86" spans="1:10" x14ac:dyDescent="0.3">
      <c r="A86" s="7" t="s">
        <v>529</v>
      </c>
      <c r="D86" s="3"/>
      <c r="E86" s="75"/>
      <c r="F86" s="7" t="s">
        <v>493</v>
      </c>
      <c r="G86" s="6"/>
      <c r="H86" s="6"/>
      <c r="I86" s="3"/>
    </row>
    <row r="87" spans="1:10" x14ac:dyDescent="0.3">
      <c r="A87" s="8" t="s">
        <v>208</v>
      </c>
      <c r="B87" s="44" t="s">
        <v>229</v>
      </c>
      <c r="C87" s="44" t="s">
        <v>230</v>
      </c>
      <c r="D87" s="44" t="s">
        <v>64</v>
      </c>
      <c r="E87" s="75"/>
      <c r="F87" s="8" t="s">
        <v>208</v>
      </c>
      <c r="G87" s="44" t="s">
        <v>229</v>
      </c>
      <c r="H87" s="44" t="s">
        <v>230</v>
      </c>
      <c r="I87" s="44" t="s">
        <v>64</v>
      </c>
    </row>
    <row r="88" spans="1:10" x14ac:dyDescent="0.3">
      <c r="A88" s="31" t="s">
        <v>9</v>
      </c>
      <c r="B88" s="4">
        <v>2602485</v>
      </c>
      <c r="C88" s="4">
        <v>13179586</v>
      </c>
      <c r="D88" s="4">
        <v>15782071</v>
      </c>
      <c r="E88" s="76"/>
      <c r="F88" s="31" t="s">
        <v>9</v>
      </c>
      <c r="G88" s="4">
        <v>1034736</v>
      </c>
      <c r="H88" s="4">
        <v>3388637</v>
      </c>
      <c r="I88" s="4">
        <v>4423373</v>
      </c>
      <c r="J88" s="76"/>
    </row>
    <row r="89" spans="1:10" x14ac:dyDescent="0.3">
      <c r="A89" s="31" t="s">
        <v>10</v>
      </c>
      <c r="B89" s="5">
        <v>1724984</v>
      </c>
      <c r="C89" s="5">
        <v>9902317</v>
      </c>
      <c r="D89" s="5">
        <v>11627301</v>
      </c>
      <c r="E89" s="76"/>
      <c r="F89" s="31" t="s">
        <v>10</v>
      </c>
      <c r="G89" s="5">
        <v>512960</v>
      </c>
      <c r="H89" s="5">
        <v>2105559</v>
      </c>
      <c r="I89" s="5">
        <v>2618519</v>
      </c>
      <c r="J89" s="76"/>
    </row>
    <row r="90" spans="1:10" ht="15" customHeight="1" x14ac:dyDescent="0.3">
      <c r="A90" s="31" t="s">
        <v>11</v>
      </c>
      <c r="B90" s="5">
        <v>670313</v>
      </c>
      <c r="C90" s="5">
        <v>2015760</v>
      </c>
      <c r="D90" s="5">
        <v>2686073</v>
      </c>
      <c r="E90" s="76"/>
      <c r="F90" s="31" t="s">
        <v>11</v>
      </c>
      <c r="G90" s="5">
        <v>391099</v>
      </c>
      <c r="H90" s="5">
        <v>716175</v>
      </c>
      <c r="I90" s="5">
        <v>1107274</v>
      </c>
      <c r="J90" s="76"/>
    </row>
    <row r="91" spans="1:10" ht="15" customHeight="1" x14ac:dyDescent="0.3">
      <c r="A91" s="31" t="s">
        <v>12</v>
      </c>
      <c r="B91" s="5">
        <v>480697</v>
      </c>
      <c r="C91" s="5">
        <v>4067874</v>
      </c>
      <c r="D91" s="5">
        <v>4548571</v>
      </c>
      <c r="E91" s="76"/>
      <c r="F91" s="31" t="s">
        <v>12</v>
      </c>
      <c r="G91" s="5">
        <v>263450</v>
      </c>
      <c r="H91" s="5">
        <v>1381269</v>
      </c>
      <c r="I91" s="5">
        <v>1644719</v>
      </c>
      <c r="J91" s="76"/>
    </row>
    <row r="92" spans="1:10" ht="15" customHeight="1" x14ac:dyDescent="0.3">
      <c r="A92" s="31" t="s">
        <v>13</v>
      </c>
      <c r="B92" s="5">
        <v>207470</v>
      </c>
      <c r="C92" s="5">
        <v>678690</v>
      </c>
      <c r="D92" s="5">
        <v>886160</v>
      </c>
      <c r="E92" s="76"/>
      <c r="F92" s="31" t="s">
        <v>13</v>
      </c>
      <c r="G92" s="5">
        <v>126192</v>
      </c>
      <c r="H92" s="5">
        <v>278775</v>
      </c>
      <c r="I92" s="5">
        <v>404967</v>
      </c>
      <c r="J92" s="76"/>
    </row>
    <row r="93" spans="1:10" ht="15" customHeight="1" x14ac:dyDescent="0.3">
      <c r="A93" s="31" t="s">
        <v>223</v>
      </c>
      <c r="B93" s="5">
        <v>233056</v>
      </c>
      <c r="C93" s="5">
        <v>1433583</v>
      </c>
      <c r="D93" s="5">
        <v>1666639</v>
      </c>
      <c r="E93" s="76"/>
      <c r="F93" s="31" t="s">
        <v>223</v>
      </c>
      <c r="G93" s="5">
        <v>152894</v>
      </c>
      <c r="H93" s="5">
        <v>478427</v>
      </c>
      <c r="I93" s="5">
        <v>631321</v>
      </c>
      <c r="J93" s="76"/>
    </row>
    <row r="94" spans="1:10" ht="15" customHeight="1" x14ac:dyDescent="0.3">
      <c r="A94" s="31" t="s">
        <v>224</v>
      </c>
      <c r="B94" s="5">
        <v>321825</v>
      </c>
      <c r="C94" s="5">
        <v>1561545</v>
      </c>
      <c r="D94" s="5">
        <v>1883370</v>
      </c>
      <c r="E94" s="76"/>
      <c r="F94" s="31" t="s">
        <v>224</v>
      </c>
      <c r="G94" s="5">
        <v>142681</v>
      </c>
      <c r="H94" s="5">
        <v>417594</v>
      </c>
      <c r="I94" s="5">
        <v>560275</v>
      </c>
      <c r="J94" s="76"/>
    </row>
    <row r="95" spans="1:10" ht="15" customHeight="1" x14ac:dyDescent="0.3">
      <c r="A95" s="31" t="s">
        <v>225</v>
      </c>
      <c r="B95" s="5">
        <v>200667</v>
      </c>
      <c r="C95" s="5">
        <v>1233276</v>
      </c>
      <c r="D95" s="5">
        <v>1433943</v>
      </c>
      <c r="E95" s="76"/>
      <c r="F95" s="31" t="s">
        <v>225</v>
      </c>
      <c r="G95" s="5">
        <v>96771</v>
      </c>
      <c r="H95" s="5">
        <v>283662</v>
      </c>
      <c r="I95" s="5">
        <v>380433</v>
      </c>
      <c r="J95" s="76"/>
    </row>
    <row r="96" spans="1:10" ht="15" customHeight="1" x14ac:dyDescent="0.3">
      <c r="A96" s="31" t="s">
        <v>226</v>
      </c>
      <c r="B96" s="5">
        <v>277787</v>
      </c>
      <c r="C96" s="5">
        <v>2274819</v>
      </c>
      <c r="D96" s="5">
        <v>2552606</v>
      </c>
      <c r="E96" s="76"/>
      <c r="F96" s="31" t="s">
        <v>226</v>
      </c>
      <c r="G96" s="5">
        <v>189991</v>
      </c>
      <c r="H96" s="5">
        <v>721688</v>
      </c>
      <c r="I96" s="5">
        <v>911679</v>
      </c>
      <c r="J96" s="76"/>
    </row>
    <row r="97" spans="1:10" ht="15" customHeight="1" x14ac:dyDescent="0.3">
      <c r="A97" s="31" t="s">
        <v>263</v>
      </c>
      <c r="B97" s="5">
        <v>216153</v>
      </c>
      <c r="C97" s="5">
        <v>1941801</v>
      </c>
      <c r="D97" s="5">
        <v>2157954</v>
      </c>
      <c r="E97" s="76"/>
      <c r="F97" s="31" t="s">
        <v>263</v>
      </c>
      <c r="G97" s="5">
        <v>86061</v>
      </c>
      <c r="H97" s="5">
        <v>344669</v>
      </c>
      <c r="I97" s="5">
        <v>430730</v>
      </c>
      <c r="J97" s="76"/>
    </row>
    <row r="98" spans="1:10" ht="15" customHeight="1" x14ac:dyDescent="0.3">
      <c r="A98" s="31" t="s">
        <v>31</v>
      </c>
      <c r="B98" s="5">
        <v>765659</v>
      </c>
      <c r="C98" s="5">
        <v>4433878</v>
      </c>
      <c r="D98" s="5">
        <v>5199537</v>
      </c>
      <c r="E98" s="76"/>
      <c r="F98" s="31" t="s">
        <v>31</v>
      </c>
      <c r="G98" s="5">
        <v>318604</v>
      </c>
      <c r="H98" s="5">
        <v>1051871</v>
      </c>
      <c r="I98" s="5">
        <v>1370475</v>
      </c>
      <c r="J98" s="76"/>
    </row>
    <row r="99" spans="1:10" ht="15" customHeight="1" x14ac:dyDescent="0.3">
      <c r="A99" s="31" t="s">
        <v>478</v>
      </c>
      <c r="B99" s="5">
        <v>102</v>
      </c>
      <c r="C99" s="5">
        <v>91</v>
      </c>
      <c r="D99" s="5">
        <v>193</v>
      </c>
      <c r="E99" s="76"/>
      <c r="F99" s="31" t="s">
        <v>478</v>
      </c>
      <c r="G99" s="5">
        <v>49</v>
      </c>
      <c r="H99" s="5">
        <v>108</v>
      </c>
      <c r="I99" s="5">
        <v>157</v>
      </c>
      <c r="J99" s="76"/>
    </row>
    <row r="100" spans="1:10" ht="15" customHeight="1" x14ac:dyDescent="0.3">
      <c r="A100" s="29" t="s">
        <v>60</v>
      </c>
      <c r="B100" s="57">
        <v>7701198</v>
      </c>
      <c r="C100" s="57">
        <v>42723220</v>
      </c>
      <c r="D100" s="57">
        <v>50424418</v>
      </c>
      <c r="E100" s="75"/>
      <c r="F100" s="29" t="s">
        <v>60</v>
      </c>
      <c r="G100" s="57">
        <v>3315488</v>
      </c>
      <c r="H100" s="57">
        <v>11168434</v>
      </c>
      <c r="I100" s="57">
        <v>14483922</v>
      </c>
    </row>
    <row r="101" spans="1:10" ht="15" customHeight="1" x14ac:dyDescent="0.3">
      <c r="A101" s="3" t="s">
        <v>483</v>
      </c>
      <c r="B101" s="73"/>
      <c r="C101" s="73"/>
      <c r="D101" s="73"/>
      <c r="F101" s="3" t="s">
        <v>483</v>
      </c>
      <c r="G101" s="76"/>
      <c r="H101" s="76"/>
      <c r="I101" s="76"/>
    </row>
    <row r="102" spans="1:10" ht="15" customHeight="1" x14ac:dyDescent="0.3"/>
    <row r="103" spans="1:10" ht="15" customHeight="1" x14ac:dyDescent="0.3"/>
    <row r="104" spans="1:10" ht="15" customHeight="1" x14ac:dyDescent="0.3"/>
    <row r="105" spans="1:10" ht="15" customHeight="1" x14ac:dyDescent="0.3"/>
    <row r="106" spans="1:10" ht="15" customHeight="1" x14ac:dyDescent="0.3"/>
    <row r="107" spans="1:10" ht="15" customHeight="1" x14ac:dyDescent="0.3"/>
    <row r="108" spans="1:10" ht="15" customHeight="1" x14ac:dyDescent="0.3"/>
    <row r="109" spans="1:10" ht="15" customHeight="1" x14ac:dyDescent="0.3"/>
    <row r="110" spans="1:10" ht="15" customHeight="1" x14ac:dyDescent="0.3"/>
    <row r="111" spans="1:10" ht="15" customHeight="1" x14ac:dyDescent="0.3"/>
    <row r="112" spans="1:10" ht="15" customHeight="1" x14ac:dyDescent="0.3"/>
    <row r="113" spans="2:9" ht="15" customHeight="1" x14ac:dyDescent="0.3">
      <c r="B113" s="3"/>
      <c r="C113" s="3"/>
      <c r="D113" s="3"/>
      <c r="E113" s="75"/>
      <c r="I113" s="3"/>
    </row>
    <row r="114" spans="2:9" ht="15" customHeight="1" x14ac:dyDescent="0.3">
      <c r="B114" s="3"/>
      <c r="C114" s="3"/>
      <c r="D114" s="3"/>
      <c r="E114" s="75"/>
      <c r="I114" s="3"/>
    </row>
    <row r="115" spans="2:9" ht="15" customHeight="1" x14ac:dyDescent="0.3">
      <c r="B115" s="3"/>
      <c r="C115" s="3"/>
      <c r="D115" s="3"/>
      <c r="E115" s="75"/>
      <c r="I115" s="3"/>
    </row>
    <row r="116" spans="2:9" ht="15" customHeight="1" x14ac:dyDescent="0.3">
      <c r="B116" s="3"/>
      <c r="C116" s="3"/>
      <c r="D116" s="3"/>
      <c r="E116" s="75"/>
      <c r="I116" s="3"/>
    </row>
    <row r="117" spans="2:9" ht="15" customHeight="1" x14ac:dyDescent="0.3">
      <c r="B117" s="3"/>
      <c r="C117" s="3"/>
      <c r="D117" s="3"/>
      <c r="E117" s="75"/>
      <c r="I117" s="3"/>
    </row>
    <row r="118" spans="2:9" ht="15" customHeight="1" x14ac:dyDescent="0.3">
      <c r="B118" s="3"/>
      <c r="C118" s="3"/>
      <c r="D118" s="3"/>
      <c r="E118" s="75"/>
      <c r="I118" s="3"/>
    </row>
    <row r="119" spans="2:9" ht="15" customHeight="1" x14ac:dyDescent="0.3">
      <c r="B119" s="3"/>
      <c r="C119" s="3"/>
      <c r="D119" s="3"/>
      <c r="E119" s="75"/>
      <c r="I119" s="3"/>
    </row>
    <row r="120" spans="2:9" ht="15" customHeight="1" x14ac:dyDescent="0.3">
      <c r="B120" s="3"/>
      <c r="C120" s="3"/>
      <c r="D120" s="3"/>
      <c r="E120" s="75"/>
      <c r="I120" s="3"/>
    </row>
    <row r="121" spans="2:9" ht="15" customHeight="1" x14ac:dyDescent="0.3">
      <c r="B121" s="3"/>
      <c r="C121" s="3"/>
      <c r="D121" s="3"/>
      <c r="E121" s="75"/>
      <c r="I121" s="3"/>
    </row>
    <row r="122" spans="2:9" ht="15" customHeight="1" x14ac:dyDescent="0.3">
      <c r="B122" s="3"/>
      <c r="C122" s="3"/>
      <c r="D122" s="3"/>
      <c r="E122" s="75"/>
      <c r="I122" s="3"/>
    </row>
    <row r="123" spans="2:9" ht="15" customHeight="1" x14ac:dyDescent="0.3">
      <c r="B123" s="3"/>
      <c r="C123" s="3"/>
      <c r="D123" s="3"/>
      <c r="E123" s="75"/>
      <c r="I123" s="3"/>
    </row>
    <row r="124" spans="2:9" ht="15" customHeight="1" x14ac:dyDescent="0.3">
      <c r="B124" s="3"/>
      <c r="C124" s="3"/>
      <c r="D124" s="3"/>
      <c r="E124" s="75"/>
      <c r="I124" s="3"/>
    </row>
    <row r="125" spans="2:9" ht="15" customHeight="1" x14ac:dyDescent="0.3">
      <c r="B125" s="3"/>
      <c r="C125" s="3"/>
      <c r="D125" s="3"/>
      <c r="E125" s="75"/>
      <c r="I125" s="3"/>
    </row>
    <row r="126" spans="2:9" ht="15" customHeight="1" x14ac:dyDescent="0.3">
      <c r="B126" s="3"/>
      <c r="C126" s="3"/>
      <c r="D126" s="3"/>
      <c r="E126" s="75"/>
      <c r="I126" s="3"/>
    </row>
    <row r="127" spans="2:9" ht="15" customHeight="1" x14ac:dyDescent="0.3">
      <c r="B127" s="3"/>
      <c r="C127" s="3"/>
      <c r="D127" s="3"/>
      <c r="E127" s="75"/>
      <c r="I127" s="3"/>
    </row>
    <row r="128" spans="2:9" ht="15" customHeight="1" x14ac:dyDescent="0.3">
      <c r="B128" s="3"/>
      <c r="C128" s="3"/>
      <c r="D128" s="3"/>
      <c r="E128" s="75"/>
      <c r="I128" s="3"/>
    </row>
    <row r="129" spans="2:9" ht="15" customHeight="1" x14ac:dyDescent="0.3">
      <c r="B129" s="3"/>
      <c r="C129" s="3"/>
      <c r="D129" s="3"/>
      <c r="E129" s="75"/>
      <c r="I129" s="3"/>
    </row>
    <row r="130" spans="2:9" ht="15" customHeight="1" x14ac:dyDescent="0.3">
      <c r="B130" s="3"/>
      <c r="C130" s="3"/>
      <c r="D130" s="3"/>
      <c r="E130" s="75"/>
      <c r="I130" s="3"/>
    </row>
    <row r="131" spans="2:9" ht="15" customHeight="1" x14ac:dyDescent="0.3">
      <c r="B131" s="3"/>
      <c r="C131" s="3"/>
      <c r="D131" s="3"/>
      <c r="E131" s="75"/>
      <c r="I131" s="3"/>
    </row>
    <row r="132" spans="2:9" ht="15" customHeight="1" x14ac:dyDescent="0.3">
      <c r="B132" s="3"/>
      <c r="C132" s="3"/>
      <c r="D132" s="3"/>
      <c r="E132" s="75"/>
      <c r="I132" s="3"/>
    </row>
    <row r="133" spans="2:9" ht="15" customHeight="1" x14ac:dyDescent="0.3">
      <c r="B133" s="3"/>
      <c r="C133" s="3"/>
      <c r="D133" s="3"/>
      <c r="E133" s="75"/>
      <c r="I133" s="3"/>
    </row>
    <row r="134" spans="2:9" ht="15" customHeight="1" x14ac:dyDescent="0.3">
      <c r="B134" s="3"/>
      <c r="C134" s="3"/>
      <c r="D134" s="3"/>
      <c r="E134" s="75"/>
      <c r="I134" s="3"/>
    </row>
    <row r="135" spans="2:9" ht="15" customHeight="1" x14ac:dyDescent="0.3">
      <c r="B135" s="3"/>
      <c r="C135" s="3"/>
      <c r="D135" s="3"/>
      <c r="E135" s="75"/>
      <c r="I135" s="3"/>
    </row>
    <row r="136" spans="2:9" ht="15" customHeight="1" x14ac:dyDescent="0.3">
      <c r="B136" s="3"/>
      <c r="C136" s="3"/>
      <c r="D136" s="3"/>
      <c r="E136" s="75"/>
      <c r="I136" s="3"/>
    </row>
    <row r="137" spans="2:9" ht="15" customHeight="1" x14ac:dyDescent="0.3">
      <c r="B137" s="3"/>
      <c r="C137" s="3"/>
      <c r="D137" s="3"/>
      <c r="E137" s="75"/>
      <c r="I137" s="3"/>
    </row>
    <row r="138" spans="2:9" ht="15" customHeight="1" x14ac:dyDescent="0.3">
      <c r="B138" s="3"/>
      <c r="C138" s="3"/>
      <c r="D138" s="3"/>
      <c r="E138" s="75"/>
      <c r="I138" s="3"/>
    </row>
    <row r="139" spans="2:9" ht="15" customHeight="1" x14ac:dyDescent="0.3">
      <c r="B139" s="3"/>
      <c r="C139" s="3"/>
      <c r="D139" s="3"/>
      <c r="E139" s="75"/>
      <c r="I139" s="3"/>
    </row>
    <row r="140" spans="2:9" ht="15" customHeight="1" x14ac:dyDescent="0.3">
      <c r="B140" s="3"/>
      <c r="C140" s="3"/>
      <c r="D140" s="3"/>
      <c r="E140" s="75"/>
      <c r="I140" s="3"/>
    </row>
    <row r="141" spans="2:9" ht="15" customHeight="1" x14ac:dyDescent="0.3">
      <c r="B141" s="3"/>
      <c r="C141" s="3"/>
      <c r="D141" s="3"/>
      <c r="E141" s="75"/>
      <c r="I141" s="3"/>
    </row>
    <row r="142" spans="2:9" ht="15" customHeight="1" x14ac:dyDescent="0.3">
      <c r="B142" s="3"/>
      <c r="C142" s="3"/>
      <c r="D142" s="3"/>
      <c r="E142" s="75"/>
      <c r="I142" s="3"/>
    </row>
    <row r="143" spans="2:9" ht="15" customHeight="1" x14ac:dyDescent="0.3">
      <c r="B143" s="3"/>
      <c r="C143" s="3"/>
      <c r="D143" s="3"/>
      <c r="E143" s="75"/>
      <c r="I143" s="3"/>
    </row>
    <row r="144" spans="2:9" ht="15" customHeight="1" x14ac:dyDescent="0.3">
      <c r="B144" s="3"/>
      <c r="C144" s="3"/>
      <c r="D144" s="3"/>
      <c r="E144" s="75"/>
      <c r="I144" s="3"/>
    </row>
    <row r="145" spans="2:9" ht="15" customHeight="1" x14ac:dyDescent="0.3">
      <c r="B145" s="3"/>
      <c r="C145" s="3"/>
      <c r="D145" s="3"/>
      <c r="E145" s="75"/>
      <c r="I145" s="3"/>
    </row>
    <row r="146" spans="2:9" ht="15" customHeight="1" x14ac:dyDescent="0.3">
      <c r="B146" s="3"/>
      <c r="C146" s="3"/>
      <c r="D146" s="3"/>
      <c r="E146" s="75"/>
      <c r="I146" s="3"/>
    </row>
    <row r="147" spans="2:9" ht="15" customHeight="1" x14ac:dyDescent="0.3">
      <c r="B147" s="3"/>
      <c r="C147" s="3"/>
      <c r="D147" s="3"/>
      <c r="E147" s="75"/>
      <c r="I147" s="3"/>
    </row>
    <row r="148" spans="2:9" ht="15" customHeight="1" x14ac:dyDescent="0.3">
      <c r="B148" s="3"/>
      <c r="C148" s="3"/>
      <c r="D148" s="3"/>
      <c r="E148" s="75"/>
      <c r="I148" s="3"/>
    </row>
    <row r="149" spans="2:9" ht="15" customHeight="1" x14ac:dyDescent="0.3">
      <c r="B149" s="3"/>
      <c r="C149" s="3"/>
      <c r="D149" s="3"/>
      <c r="E149" s="75"/>
      <c r="I149" s="3"/>
    </row>
    <row r="150" spans="2:9" ht="15" customHeight="1" x14ac:dyDescent="0.3">
      <c r="B150" s="3"/>
      <c r="C150" s="3"/>
      <c r="D150" s="3"/>
      <c r="E150" s="75"/>
      <c r="I150" s="3"/>
    </row>
    <row r="151" spans="2:9" ht="15" customHeight="1" x14ac:dyDescent="0.3">
      <c r="B151" s="3"/>
      <c r="C151" s="3"/>
      <c r="D151" s="3"/>
      <c r="E151" s="75"/>
      <c r="I151" s="3"/>
    </row>
    <row r="152" spans="2:9" ht="15" customHeight="1" x14ac:dyDescent="0.3">
      <c r="B152" s="3"/>
      <c r="C152" s="3"/>
      <c r="D152" s="3"/>
      <c r="E152" s="75"/>
      <c r="I152" s="3"/>
    </row>
    <row r="153" spans="2:9" ht="15" customHeight="1" x14ac:dyDescent="0.3">
      <c r="B153" s="3"/>
      <c r="C153" s="3"/>
      <c r="D153" s="3"/>
      <c r="E153" s="75"/>
      <c r="I153" s="3"/>
    </row>
    <row r="154" spans="2:9" ht="15" customHeight="1" x14ac:dyDescent="0.3">
      <c r="B154" s="3"/>
      <c r="C154" s="3"/>
      <c r="D154" s="3"/>
      <c r="E154" s="75"/>
      <c r="I154" s="3"/>
    </row>
    <row r="155" spans="2:9" ht="15" customHeight="1" x14ac:dyDescent="0.3">
      <c r="B155" s="3"/>
      <c r="C155" s="3"/>
      <c r="D155" s="3"/>
      <c r="E155" s="75"/>
      <c r="I155" s="3"/>
    </row>
    <row r="156" spans="2:9" ht="15" customHeight="1" x14ac:dyDescent="0.3">
      <c r="B156" s="3"/>
      <c r="C156" s="3"/>
      <c r="D156" s="3"/>
      <c r="E156" s="75"/>
      <c r="I156" s="3"/>
    </row>
    <row r="157" spans="2:9" ht="15" customHeight="1" x14ac:dyDescent="0.3">
      <c r="B157" s="3"/>
      <c r="C157" s="3"/>
      <c r="D157" s="3"/>
      <c r="E157" s="75"/>
      <c r="I157" s="3"/>
    </row>
    <row r="158" spans="2:9" ht="15" customHeight="1" x14ac:dyDescent="0.3">
      <c r="B158" s="3"/>
      <c r="C158" s="3"/>
      <c r="D158" s="3"/>
      <c r="E158" s="75"/>
      <c r="I158" s="3"/>
    </row>
    <row r="159" spans="2:9" ht="15" customHeight="1" x14ac:dyDescent="0.3">
      <c r="B159" s="3"/>
      <c r="C159" s="3"/>
      <c r="D159" s="3"/>
      <c r="E159" s="75"/>
      <c r="I159" s="3"/>
    </row>
    <row r="160" spans="2:9" ht="15" customHeight="1" x14ac:dyDescent="0.3">
      <c r="B160" s="3"/>
      <c r="C160" s="3"/>
      <c r="D160" s="3"/>
      <c r="E160" s="75"/>
      <c r="I160" s="3"/>
    </row>
    <row r="806" spans="2:9" ht="15" customHeight="1" x14ac:dyDescent="0.3">
      <c r="B806" s="3"/>
      <c r="C806" s="3"/>
      <c r="D806" s="3"/>
      <c r="E806" s="75"/>
      <c r="I806" s="3"/>
    </row>
    <row r="807" spans="2:9" ht="15" customHeight="1" x14ac:dyDescent="0.3">
      <c r="B807" s="3"/>
      <c r="C807" s="3"/>
      <c r="D807" s="3"/>
      <c r="E807" s="75"/>
      <c r="I807" s="3"/>
    </row>
    <row r="808" spans="2:9" ht="15" customHeight="1" x14ac:dyDescent="0.3">
      <c r="B808" s="3"/>
      <c r="C808" s="3"/>
      <c r="D808" s="3"/>
      <c r="E808" s="75"/>
      <c r="I808" s="3"/>
    </row>
    <row r="809" spans="2:9" ht="15" customHeight="1" x14ac:dyDescent="0.3">
      <c r="B809" s="3"/>
      <c r="C809" s="3"/>
      <c r="D809" s="3"/>
      <c r="E809" s="75"/>
      <c r="I809" s="3"/>
    </row>
    <row r="810" spans="2:9" ht="15" customHeight="1" x14ac:dyDescent="0.3">
      <c r="B810" s="3"/>
      <c r="C810" s="3"/>
      <c r="D810" s="3"/>
      <c r="E810" s="75"/>
      <c r="I810" s="3"/>
    </row>
    <row r="811" spans="2:9" ht="15" customHeight="1" x14ac:dyDescent="0.3">
      <c r="B811" s="3"/>
      <c r="C811" s="3"/>
      <c r="D811" s="3"/>
      <c r="E811" s="75"/>
      <c r="I811" s="3"/>
    </row>
    <row r="812" spans="2:9" ht="15" customHeight="1" x14ac:dyDescent="0.3">
      <c r="B812" s="3"/>
      <c r="C812" s="3"/>
      <c r="D812" s="3"/>
      <c r="E812" s="75"/>
      <c r="I812" s="3"/>
    </row>
    <row r="813" spans="2:9" ht="15" customHeight="1" x14ac:dyDescent="0.3">
      <c r="B813" s="3"/>
      <c r="C813" s="3"/>
      <c r="D813" s="3"/>
      <c r="E813" s="75"/>
      <c r="I813" s="3"/>
    </row>
    <row r="814" spans="2:9" ht="15" customHeight="1" x14ac:dyDescent="0.3">
      <c r="B814" s="3"/>
      <c r="C814" s="3"/>
      <c r="D814" s="3"/>
      <c r="E814" s="75"/>
      <c r="I814" s="3"/>
    </row>
    <row r="815" spans="2:9" ht="15" customHeight="1" x14ac:dyDescent="0.3">
      <c r="B815" s="3"/>
      <c r="C815" s="3"/>
      <c r="D815" s="3"/>
      <c r="E815" s="75"/>
      <c r="I815" s="3"/>
    </row>
    <row r="816" spans="2:9" ht="15" customHeight="1" x14ac:dyDescent="0.3">
      <c r="B816" s="3"/>
      <c r="C816" s="3"/>
      <c r="D816" s="3"/>
      <c r="E816" s="75"/>
      <c r="I816" s="3"/>
    </row>
    <row r="817" spans="2:9" ht="15" customHeight="1" x14ac:dyDescent="0.3">
      <c r="B817" s="3"/>
      <c r="C817" s="3"/>
      <c r="D817" s="3"/>
      <c r="E817" s="75"/>
      <c r="I817" s="3"/>
    </row>
    <row r="818" spans="2:9" ht="15" customHeight="1" x14ac:dyDescent="0.3">
      <c r="B818" s="3"/>
      <c r="C818" s="3"/>
      <c r="D818" s="3"/>
      <c r="E818" s="75"/>
      <c r="I818" s="3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834"/>
  <sheetViews>
    <sheetView showGridLines="0" zoomScaleNormal="100" workbookViewId="0"/>
  </sheetViews>
  <sheetFormatPr baseColWidth="10" defaultColWidth="33.109375" defaultRowHeight="13.8" x14ac:dyDescent="0.3"/>
  <cols>
    <col min="1" max="1" width="40.33203125" style="3" customWidth="1"/>
    <col min="2" max="5" width="17.109375" style="6" customWidth="1"/>
    <col min="6" max="6" width="8.88671875" style="74" customWidth="1"/>
    <col min="7" max="7" width="40.109375" style="3" customWidth="1"/>
    <col min="8" max="9" width="17.109375" style="3" customWidth="1"/>
    <col min="10" max="10" width="17.109375" style="6" customWidth="1"/>
    <col min="11" max="11" width="7.5546875" style="75" customWidth="1"/>
    <col min="12" max="16384" width="33.109375" style="3"/>
  </cols>
  <sheetData>
    <row r="1" spans="1:11" ht="18" x14ac:dyDescent="0.35">
      <c r="A1" s="1" t="s">
        <v>434</v>
      </c>
    </row>
    <row r="2" spans="1:11" x14ac:dyDescent="0.3">
      <c r="A2" s="7"/>
    </row>
    <row r="3" spans="1:11" x14ac:dyDescent="0.3">
      <c r="A3" s="7" t="s">
        <v>232</v>
      </c>
    </row>
    <row r="4" spans="1:11" x14ac:dyDescent="0.3">
      <c r="A4" s="7" t="s">
        <v>533</v>
      </c>
    </row>
    <row r="5" spans="1:11" x14ac:dyDescent="0.3">
      <c r="A5" s="8" t="s">
        <v>233</v>
      </c>
      <c r="B5" s="8" t="s">
        <v>0</v>
      </c>
      <c r="C5" s="8" t="s">
        <v>1</v>
      </c>
      <c r="D5" s="8" t="s">
        <v>59</v>
      </c>
      <c r="E5" s="3"/>
    </row>
    <row r="6" spans="1:11" x14ac:dyDescent="0.3">
      <c r="A6" s="31" t="s">
        <v>234</v>
      </c>
      <c r="B6" s="4">
        <v>734046</v>
      </c>
      <c r="C6" s="4">
        <v>567122.60573466076</v>
      </c>
      <c r="D6" s="4">
        <v>1301168.6057346608</v>
      </c>
      <c r="E6" s="17"/>
    </row>
    <row r="7" spans="1:11" x14ac:dyDescent="0.3">
      <c r="A7" s="31" t="s">
        <v>235</v>
      </c>
      <c r="B7" s="5">
        <v>2930026</v>
      </c>
      <c r="C7" s="5">
        <v>1241774.3942653395</v>
      </c>
      <c r="D7" s="5">
        <v>4171800.3942653397</v>
      </c>
      <c r="E7" s="17"/>
    </row>
    <row r="8" spans="1:11" x14ac:dyDescent="0.3">
      <c r="A8" s="31" t="s">
        <v>478</v>
      </c>
      <c r="B8" s="5">
        <v>0</v>
      </c>
      <c r="C8" s="5">
        <v>0</v>
      </c>
      <c r="D8" s="5">
        <v>0</v>
      </c>
      <c r="E8" s="17"/>
    </row>
    <row r="9" spans="1:11" x14ac:dyDescent="0.3">
      <c r="A9" s="29" t="s">
        <v>60</v>
      </c>
      <c r="B9" s="57">
        <v>3664072</v>
      </c>
      <c r="C9" s="57">
        <v>1808897.0000000002</v>
      </c>
      <c r="D9" s="57">
        <v>5472969</v>
      </c>
      <c r="E9" s="87"/>
    </row>
    <row r="10" spans="1:11" ht="25.95" customHeight="1" x14ac:dyDescent="0.3">
      <c r="A10" s="116" t="s">
        <v>486</v>
      </c>
      <c r="B10" s="116"/>
      <c r="C10" s="116"/>
      <c r="D10" s="116"/>
      <c r="E10" s="74"/>
    </row>
    <row r="12" spans="1:11" x14ac:dyDescent="0.3">
      <c r="A12" s="7" t="s">
        <v>236</v>
      </c>
      <c r="G12" s="7" t="s">
        <v>237</v>
      </c>
    </row>
    <row r="13" spans="1:11" x14ac:dyDescent="0.3">
      <c r="A13" s="7" t="s">
        <v>534</v>
      </c>
      <c r="G13" s="7" t="s">
        <v>494</v>
      </c>
    </row>
    <row r="14" spans="1:11" x14ac:dyDescent="0.3">
      <c r="A14" s="44" t="s">
        <v>66</v>
      </c>
      <c r="B14" s="44" t="s">
        <v>229</v>
      </c>
      <c r="C14" s="44" t="s">
        <v>230</v>
      </c>
      <c r="D14" s="8" t="s">
        <v>479</v>
      </c>
      <c r="E14" s="44" t="s">
        <v>64</v>
      </c>
      <c r="F14" s="75"/>
      <c r="G14" s="44" t="s">
        <v>66</v>
      </c>
      <c r="H14" s="44" t="s">
        <v>229</v>
      </c>
      <c r="I14" s="44" t="s">
        <v>230</v>
      </c>
      <c r="J14" s="44" t="s">
        <v>64</v>
      </c>
    </row>
    <row r="15" spans="1:11" x14ac:dyDescent="0.3">
      <c r="A15" s="22" t="s">
        <v>5</v>
      </c>
      <c r="B15" s="4">
        <v>168130</v>
      </c>
      <c r="C15" s="4">
        <v>1153086</v>
      </c>
      <c r="D15" s="5">
        <v>0</v>
      </c>
      <c r="E15" s="23">
        <v>1321216</v>
      </c>
      <c r="F15" s="76"/>
      <c r="G15" s="22" t="s">
        <v>5</v>
      </c>
      <c r="H15" s="4">
        <v>193244.86839171249</v>
      </c>
      <c r="I15" s="4">
        <v>673478.6832760215</v>
      </c>
      <c r="J15" s="23">
        <v>866723.55166773405</v>
      </c>
      <c r="K15" s="76"/>
    </row>
    <row r="16" spans="1:11" x14ac:dyDescent="0.3">
      <c r="A16" s="25" t="s">
        <v>6</v>
      </c>
      <c r="B16" s="5">
        <v>565916</v>
      </c>
      <c r="C16" s="5">
        <v>1776940</v>
      </c>
      <c r="D16" s="5">
        <v>0</v>
      </c>
      <c r="E16" s="14">
        <v>2342856</v>
      </c>
      <c r="F16" s="76"/>
      <c r="G16" s="25" t="s">
        <v>6</v>
      </c>
      <c r="H16" s="5">
        <v>373877.73734294827</v>
      </c>
      <c r="I16" s="5">
        <v>568295.71098931809</v>
      </c>
      <c r="J16" s="14">
        <v>942173.44833226642</v>
      </c>
      <c r="K16" s="76"/>
    </row>
    <row r="17" spans="1:11" x14ac:dyDescent="0.3">
      <c r="A17" s="31" t="s">
        <v>478</v>
      </c>
      <c r="B17" s="5">
        <v>0</v>
      </c>
      <c r="C17" s="5">
        <v>0</v>
      </c>
      <c r="D17" s="5">
        <v>0</v>
      </c>
      <c r="E17" s="14">
        <v>0</v>
      </c>
      <c r="F17" s="76"/>
      <c r="G17" s="31" t="s">
        <v>478</v>
      </c>
      <c r="H17" s="5">
        <v>0</v>
      </c>
      <c r="I17" s="5">
        <v>0</v>
      </c>
      <c r="J17" s="14">
        <v>0</v>
      </c>
      <c r="K17" s="76"/>
    </row>
    <row r="18" spans="1:11" x14ac:dyDescent="0.3">
      <c r="A18" s="29" t="s">
        <v>60</v>
      </c>
      <c r="B18" s="57">
        <v>734046</v>
      </c>
      <c r="C18" s="57">
        <v>2930026</v>
      </c>
      <c r="D18" s="57">
        <v>0</v>
      </c>
      <c r="E18" s="57">
        <v>3664072</v>
      </c>
      <c r="F18" s="76"/>
      <c r="G18" s="29" t="s">
        <v>60</v>
      </c>
      <c r="H18" s="57">
        <v>567122.60573466076</v>
      </c>
      <c r="I18" s="57">
        <v>1241774.3942653397</v>
      </c>
      <c r="J18" s="57">
        <v>1808897.0000000005</v>
      </c>
      <c r="K18" s="76"/>
    </row>
    <row r="19" spans="1:11" ht="28.2" customHeight="1" x14ac:dyDescent="0.3">
      <c r="A19" s="116" t="s">
        <v>486</v>
      </c>
      <c r="B19" s="116"/>
      <c r="C19" s="116"/>
      <c r="D19" s="116"/>
      <c r="E19" s="76"/>
      <c r="F19" s="75"/>
      <c r="G19" s="116" t="s">
        <v>486</v>
      </c>
      <c r="H19" s="116"/>
      <c r="I19" s="116"/>
      <c r="J19" s="116"/>
    </row>
    <row r="20" spans="1:11" x14ac:dyDescent="0.3">
      <c r="D20" s="3"/>
      <c r="E20" s="3"/>
      <c r="F20" s="75"/>
      <c r="H20" s="6"/>
      <c r="I20" s="6"/>
      <c r="J20" s="3"/>
    </row>
    <row r="21" spans="1:11" x14ac:dyDescent="0.3">
      <c r="A21" s="7" t="s">
        <v>238</v>
      </c>
      <c r="D21" s="3"/>
      <c r="E21" s="3"/>
      <c r="F21" s="75"/>
      <c r="G21" s="7" t="s">
        <v>239</v>
      </c>
      <c r="H21" s="6"/>
      <c r="I21" s="6"/>
      <c r="J21" s="3"/>
    </row>
    <row r="22" spans="1:11" x14ac:dyDescent="0.3">
      <c r="A22" s="7" t="s">
        <v>535</v>
      </c>
      <c r="D22" s="3"/>
      <c r="E22" s="3"/>
      <c r="F22" s="75"/>
      <c r="G22" s="7" t="s">
        <v>495</v>
      </c>
      <c r="H22" s="6"/>
      <c r="I22" s="6"/>
      <c r="J22" s="3"/>
    </row>
    <row r="23" spans="1:11" x14ac:dyDescent="0.3">
      <c r="A23" s="24" t="s">
        <v>67</v>
      </c>
      <c r="B23" s="44" t="s">
        <v>229</v>
      </c>
      <c r="C23" s="44" t="s">
        <v>230</v>
      </c>
      <c r="D23" s="8" t="s">
        <v>479</v>
      </c>
      <c r="E23" s="44" t="s">
        <v>64</v>
      </c>
      <c r="F23" s="75"/>
      <c r="G23" s="24" t="s">
        <v>67</v>
      </c>
      <c r="H23" s="44" t="s">
        <v>229</v>
      </c>
      <c r="I23" s="44" t="s">
        <v>230</v>
      </c>
      <c r="J23" s="44" t="s">
        <v>64</v>
      </c>
    </row>
    <row r="24" spans="1:11" x14ac:dyDescent="0.3">
      <c r="A24" s="22" t="s">
        <v>53</v>
      </c>
      <c r="B24" s="4">
        <v>828</v>
      </c>
      <c r="C24" s="4">
        <v>24365</v>
      </c>
      <c r="D24" s="5">
        <v>0</v>
      </c>
      <c r="E24" s="4">
        <v>25193</v>
      </c>
      <c r="F24" s="76"/>
      <c r="G24" s="22" t="s">
        <v>53</v>
      </c>
      <c r="H24" s="4">
        <v>62.605363018558222</v>
      </c>
      <c r="I24" s="4">
        <v>2340.2480937889623</v>
      </c>
      <c r="J24" s="4">
        <v>2402.8534568075206</v>
      </c>
      <c r="K24" s="76"/>
    </row>
    <row r="25" spans="1:11" x14ac:dyDescent="0.3">
      <c r="A25" s="25" t="s">
        <v>2</v>
      </c>
      <c r="B25" s="5">
        <v>28744</v>
      </c>
      <c r="C25" s="5">
        <v>253424</v>
      </c>
      <c r="D25" s="5">
        <v>0</v>
      </c>
      <c r="E25" s="5">
        <v>282168</v>
      </c>
      <c r="F25" s="76"/>
      <c r="G25" s="25" t="s">
        <v>2</v>
      </c>
      <c r="H25" s="5">
        <v>4207.974757175949</v>
      </c>
      <c r="I25" s="5">
        <v>65191.56075277723</v>
      </c>
      <c r="J25" s="5">
        <v>69399.535509953173</v>
      </c>
      <c r="K25" s="76"/>
    </row>
    <row r="26" spans="1:11" x14ac:dyDescent="0.3">
      <c r="A26" s="25" t="s">
        <v>54</v>
      </c>
      <c r="B26" s="5">
        <v>213258</v>
      </c>
      <c r="C26" s="5">
        <v>843355</v>
      </c>
      <c r="D26" s="5">
        <v>0</v>
      </c>
      <c r="E26" s="5">
        <v>1056613</v>
      </c>
      <c r="F26" s="76"/>
      <c r="G26" s="25" t="s">
        <v>54</v>
      </c>
      <c r="H26" s="5">
        <v>175055.02922705855</v>
      </c>
      <c r="I26" s="5">
        <v>454939.75762092997</v>
      </c>
      <c r="J26" s="5">
        <v>629994.78684798849</v>
      </c>
      <c r="K26" s="76"/>
    </row>
    <row r="27" spans="1:11" x14ac:dyDescent="0.3">
      <c r="A27" s="25" t="s">
        <v>55</v>
      </c>
      <c r="B27" s="5">
        <v>189241</v>
      </c>
      <c r="C27" s="5">
        <v>671638</v>
      </c>
      <c r="D27" s="5">
        <v>0</v>
      </c>
      <c r="E27" s="5">
        <v>860879</v>
      </c>
      <c r="F27" s="76"/>
      <c r="G27" s="25" t="s">
        <v>55</v>
      </c>
      <c r="H27" s="5">
        <v>168228.06345027289</v>
      </c>
      <c r="I27" s="5">
        <v>351927.1045855367</v>
      </c>
      <c r="J27" s="5">
        <v>520155.16803580959</v>
      </c>
      <c r="K27" s="76"/>
    </row>
    <row r="28" spans="1:11" x14ac:dyDescent="0.3">
      <c r="A28" s="25" t="s">
        <v>56</v>
      </c>
      <c r="B28" s="5">
        <v>159983</v>
      </c>
      <c r="C28" s="5">
        <v>590673</v>
      </c>
      <c r="D28" s="5">
        <v>0</v>
      </c>
      <c r="E28" s="5">
        <v>750656</v>
      </c>
      <c r="F28" s="76"/>
      <c r="G28" s="25" t="s">
        <v>56</v>
      </c>
      <c r="H28" s="5">
        <v>102168.97123852423</v>
      </c>
      <c r="I28" s="5">
        <v>219701.59668257891</v>
      </c>
      <c r="J28" s="5">
        <v>321870.56792110315</v>
      </c>
      <c r="K28" s="76"/>
    </row>
    <row r="29" spans="1:11" x14ac:dyDescent="0.3">
      <c r="A29" s="25" t="s">
        <v>57</v>
      </c>
      <c r="B29" s="5">
        <v>123861</v>
      </c>
      <c r="C29" s="5">
        <v>411548</v>
      </c>
      <c r="D29" s="5">
        <v>0</v>
      </c>
      <c r="E29" s="5">
        <v>535409</v>
      </c>
      <c r="F29" s="76"/>
      <c r="G29" s="25" t="s">
        <v>57</v>
      </c>
      <c r="H29" s="5">
        <v>96224.442959523993</v>
      </c>
      <c r="I29" s="5">
        <v>123803.59597308026</v>
      </c>
      <c r="J29" s="5">
        <v>220028.03893260425</v>
      </c>
      <c r="K29" s="76"/>
    </row>
    <row r="30" spans="1:11" x14ac:dyDescent="0.3">
      <c r="A30" s="25" t="s">
        <v>3</v>
      </c>
      <c r="B30" s="5">
        <v>18131</v>
      </c>
      <c r="C30" s="5">
        <v>135023</v>
      </c>
      <c r="D30" s="5">
        <v>0</v>
      </c>
      <c r="E30" s="5">
        <v>153154</v>
      </c>
      <c r="F30" s="76"/>
      <c r="G30" s="25" t="s">
        <v>3</v>
      </c>
      <c r="H30" s="5">
        <v>21174.028135205226</v>
      </c>
      <c r="I30" s="5">
        <v>23863.077537240442</v>
      </c>
      <c r="J30" s="5">
        <v>45037.105672445672</v>
      </c>
      <c r="K30" s="76"/>
    </row>
    <row r="31" spans="1:11" x14ac:dyDescent="0.3">
      <c r="A31" s="31" t="s">
        <v>478</v>
      </c>
      <c r="B31" s="5">
        <v>0</v>
      </c>
      <c r="C31" s="5">
        <v>0</v>
      </c>
      <c r="D31" s="5">
        <v>0</v>
      </c>
      <c r="E31" s="5">
        <v>0</v>
      </c>
      <c r="F31" s="76"/>
      <c r="G31" s="31" t="s">
        <v>478</v>
      </c>
      <c r="H31" s="5">
        <v>1.4906038813942433</v>
      </c>
      <c r="I31" s="5">
        <v>7.4530194069712152</v>
      </c>
      <c r="J31" s="5">
        <v>8.9436232883654583</v>
      </c>
      <c r="K31" s="76"/>
    </row>
    <row r="32" spans="1:11" x14ac:dyDescent="0.3">
      <c r="A32" s="29" t="s">
        <v>60</v>
      </c>
      <c r="B32" s="57">
        <v>734046</v>
      </c>
      <c r="C32" s="57">
        <v>2930026</v>
      </c>
      <c r="D32" s="57">
        <v>0</v>
      </c>
      <c r="E32" s="57">
        <v>3664072</v>
      </c>
      <c r="F32" s="76"/>
      <c r="G32" s="29" t="s">
        <v>60</v>
      </c>
      <c r="H32" s="57">
        <v>567122.60573466087</v>
      </c>
      <c r="I32" s="57">
        <v>1241774.3942653392</v>
      </c>
      <c r="J32" s="57">
        <v>1808897.0000000002</v>
      </c>
      <c r="K32" s="76"/>
    </row>
    <row r="33" spans="1:11" ht="28.2" customHeight="1" x14ac:dyDescent="0.3">
      <c r="A33" s="116" t="s">
        <v>486</v>
      </c>
      <c r="B33" s="116"/>
      <c r="C33" s="116"/>
      <c r="D33" s="116"/>
      <c r="E33" s="75"/>
      <c r="F33" s="75"/>
      <c r="G33" s="116" t="s">
        <v>486</v>
      </c>
      <c r="H33" s="116"/>
      <c r="I33" s="116"/>
      <c r="J33" s="116"/>
    </row>
    <row r="34" spans="1:11" x14ac:dyDescent="0.3">
      <c r="D34" s="3"/>
      <c r="E34" s="3"/>
      <c r="F34" s="75"/>
      <c r="H34" s="6"/>
      <c r="I34" s="6"/>
      <c r="J34" s="3"/>
    </row>
    <row r="35" spans="1:11" x14ac:dyDescent="0.3">
      <c r="A35" s="7" t="s">
        <v>240</v>
      </c>
      <c r="D35" s="3"/>
      <c r="E35" s="3"/>
      <c r="F35" s="75"/>
      <c r="G35" s="7" t="s">
        <v>241</v>
      </c>
      <c r="H35" s="6"/>
      <c r="I35" s="6"/>
      <c r="J35" s="3"/>
    </row>
    <row r="36" spans="1:11" x14ac:dyDescent="0.3">
      <c r="A36" s="7" t="s">
        <v>536</v>
      </c>
      <c r="D36" s="3"/>
      <c r="E36" s="3"/>
      <c r="F36" s="75"/>
      <c r="G36" s="7" t="s">
        <v>496</v>
      </c>
      <c r="H36" s="6"/>
      <c r="I36" s="6"/>
      <c r="J36" s="3"/>
    </row>
    <row r="37" spans="1:11" x14ac:dyDescent="0.3">
      <c r="A37" s="8" t="s">
        <v>208</v>
      </c>
      <c r="B37" s="44" t="s">
        <v>229</v>
      </c>
      <c r="C37" s="44" t="s">
        <v>230</v>
      </c>
      <c r="D37" s="8" t="s">
        <v>479</v>
      </c>
      <c r="E37" s="44" t="s">
        <v>64</v>
      </c>
      <c r="F37" s="75"/>
      <c r="G37" s="8" t="s">
        <v>208</v>
      </c>
      <c r="H37" s="44" t="s">
        <v>229</v>
      </c>
      <c r="I37" s="44" t="s">
        <v>230</v>
      </c>
      <c r="J37" s="44" t="s">
        <v>64</v>
      </c>
    </row>
    <row r="38" spans="1:11" x14ac:dyDescent="0.3">
      <c r="A38" s="31" t="s">
        <v>9</v>
      </c>
      <c r="B38" s="5">
        <v>140033</v>
      </c>
      <c r="C38" s="5">
        <v>671396</v>
      </c>
      <c r="D38" s="5">
        <v>0</v>
      </c>
      <c r="E38" s="4">
        <v>811429</v>
      </c>
      <c r="F38" s="76"/>
      <c r="G38" s="31" t="s">
        <v>9</v>
      </c>
      <c r="H38" s="4">
        <v>63025.713313111388</v>
      </c>
      <c r="I38" s="4">
        <v>174566.11115396122</v>
      </c>
      <c r="J38" s="4">
        <v>237591.82446707261</v>
      </c>
      <c r="K38" s="76"/>
    </row>
    <row r="39" spans="1:11" x14ac:dyDescent="0.3">
      <c r="A39" s="31" t="s">
        <v>10</v>
      </c>
      <c r="B39" s="5">
        <v>151895</v>
      </c>
      <c r="C39" s="5">
        <v>680461</v>
      </c>
      <c r="D39" s="5">
        <v>0</v>
      </c>
      <c r="E39" s="5">
        <v>832356</v>
      </c>
      <c r="F39" s="76"/>
      <c r="G39" s="31" t="s">
        <v>10</v>
      </c>
      <c r="H39" s="5">
        <v>73404.788139259515</v>
      </c>
      <c r="I39" s="5">
        <v>202242.15341980816</v>
      </c>
      <c r="J39" s="5">
        <v>275646.94155906769</v>
      </c>
      <c r="K39" s="76"/>
    </row>
    <row r="40" spans="1:11" x14ac:dyDescent="0.3">
      <c r="A40" s="31" t="s">
        <v>11</v>
      </c>
      <c r="B40" s="5">
        <v>149551</v>
      </c>
      <c r="C40" s="5">
        <v>373433</v>
      </c>
      <c r="D40" s="5">
        <v>0</v>
      </c>
      <c r="E40" s="5">
        <v>522984</v>
      </c>
      <c r="F40" s="76"/>
      <c r="G40" s="31" t="s">
        <v>11</v>
      </c>
      <c r="H40" s="5">
        <v>157398.82625194374</v>
      </c>
      <c r="I40" s="5">
        <v>253475.69942720965</v>
      </c>
      <c r="J40" s="5">
        <v>410874.52567915339</v>
      </c>
      <c r="K40" s="76"/>
    </row>
    <row r="41" spans="1:11" x14ac:dyDescent="0.3">
      <c r="A41" s="31" t="s">
        <v>12</v>
      </c>
      <c r="B41" s="5">
        <v>36822</v>
      </c>
      <c r="C41" s="5">
        <v>237267</v>
      </c>
      <c r="D41" s="5">
        <v>0</v>
      </c>
      <c r="E41" s="5">
        <v>274089</v>
      </c>
      <c r="F41" s="76"/>
      <c r="G41" s="31" t="s">
        <v>12</v>
      </c>
      <c r="H41" s="5">
        <v>28972.867642659909</v>
      </c>
      <c r="I41" s="5">
        <v>116031.58733549069</v>
      </c>
      <c r="J41" s="5">
        <v>145004.45497815061</v>
      </c>
      <c r="K41" s="76"/>
    </row>
    <row r="42" spans="1:11" x14ac:dyDescent="0.3">
      <c r="A42" s="31" t="s">
        <v>13</v>
      </c>
      <c r="B42" s="5">
        <v>64112</v>
      </c>
      <c r="C42" s="5">
        <v>149599</v>
      </c>
      <c r="D42" s="5">
        <v>0</v>
      </c>
      <c r="E42" s="5">
        <v>213711</v>
      </c>
      <c r="F42" s="76"/>
      <c r="G42" s="31" t="s">
        <v>13</v>
      </c>
      <c r="H42" s="5">
        <v>67694.28466963816</v>
      </c>
      <c r="I42" s="5">
        <v>114864.44449635899</v>
      </c>
      <c r="J42" s="5">
        <v>182558.72916599715</v>
      </c>
      <c r="K42" s="76"/>
    </row>
    <row r="43" spans="1:11" x14ac:dyDescent="0.3">
      <c r="A43" s="31" t="s">
        <v>223</v>
      </c>
      <c r="B43" s="5">
        <v>39009</v>
      </c>
      <c r="C43" s="5">
        <v>131958</v>
      </c>
      <c r="D43" s="5">
        <v>0</v>
      </c>
      <c r="E43" s="5">
        <v>170967</v>
      </c>
      <c r="F43" s="76"/>
      <c r="G43" s="31" t="s">
        <v>223</v>
      </c>
      <c r="H43" s="5">
        <v>48787.465038033581</v>
      </c>
      <c r="I43" s="5">
        <v>85396.696365076205</v>
      </c>
      <c r="J43" s="5">
        <v>134184.16140310979</v>
      </c>
      <c r="K43" s="76"/>
    </row>
    <row r="44" spans="1:11" x14ac:dyDescent="0.3">
      <c r="A44" s="31" t="s">
        <v>224</v>
      </c>
      <c r="B44" s="5">
        <v>20833</v>
      </c>
      <c r="C44" s="5">
        <v>99923</v>
      </c>
      <c r="D44" s="5">
        <v>0</v>
      </c>
      <c r="E44" s="5">
        <v>120756</v>
      </c>
      <c r="F44" s="76"/>
      <c r="G44" s="31" t="s">
        <v>224</v>
      </c>
      <c r="H44" s="5">
        <v>14417.120740845121</v>
      </c>
      <c r="I44" s="5">
        <v>41723.493244106263</v>
      </c>
      <c r="J44" s="5">
        <v>56140.613984951386</v>
      </c>
      <c r="K44" s="76"/>
    </row>
    <row r="45" spans="1:11" x14ac:dyDescent="0.3">
      <c r="A45" s="31" t="s">
        <v>225</v>
      </c>
      <c r="B45" s="5">
        <v>25802</v>
      </c>
      <c r="C45" s="5">
        <v>96042</v>
      </c>
      <c r="D45" s="5">
        <v>0</v>
      </c>
      <c r="E45" s="5">
        <v>121844</v>
      </c>
      <c r="F45" s="76"/>
      <c r="G45" s="31" t="s">
        <v>225</v>
      </c>
      <c r="H45" s="5">
        <v>22314.340104471823</v>
      </c>
      <c r="I45" s="5">
        <v>43026.281036444831</v>
      </c>
      <c r="J45" s="5">
        <v>65340.621140916657</v>
      </c>
      <c r="K45" s="76"/>
    </row>
    <row r="46" spans="1:11" x14ac:dyDescent="0.3">
      <c r="A46" s="31" t="s">
        <v>226</v>
      </c>
      <c r="B46" s="5">
        <v>11030</v>
      </c>
      <c r="C46" s="5">
        <v>78133</v>
      </c>
      <c r="D46" s="5">
        <v>0</v>
      </c>
      <c r="E46" s="5">
        <v>89163</v>
      </c>
      <c r="F46" s="76"/>
      <c r="G46" s="31" t="s">
        <v>226</v>
      </c>
      <c r="H46" s="5">
        <v>12570.262531797654</v>
      </c>
      <c r="I46" s="5">
        <v>39863.219600126249</v>
      </c>
      <c r="J46" s="5">
        <v>52433.482131923905</v>
      </c>
      <c r="K46" s="76"/>
    </row>
    <row r="47" spans="1:11" x14ac:dyDescent="0.3">
      <c r="A47" s="31" t="s">
        <v>263</v>
      </c>
      <c r="B47" s="5">
        <v>13244</v>
      </c>
      <c r="C47" s="5">
        <v>86173</v>
      </c>
      <c r="D47" s="5">
        <v>0</v>
      </c>
      <c r="E47" s="5">
        <v>99417</v>
      </c>
      <c r="F47" s="76"/>
      <c r="G47" s="31" t="s">
        <v>263</v>
      </c>
      <c r="H47" s="5">
        <v>9047.9655600630576</v>
      </c>
      <c r="I47" s="5">
        <v>26067.680677822525</v>
      </c>
      <c r="J47" s="5">
        <v>35115.646237885579</v>
      </c>
      <c r="K47" s="76"/>
    </row>
    <row r="48" spans="1:11" x14ac:dyDescent="0.3">
      <c r="A48" s="31" t="s">
        <v>31</v>
      </c>
      <c r="B48" s="5">
        <v>81712</v>
      </c>
      <c r="C48" s="5">
        <v>325638</v>
      </c>
      <c r="D48" s="5">
        <v>0</v>
      </c>
      <c r="E48" s="5">
        <v>407350</v>
      </c>
      <c r="F48" s="76"/>
      <c r="G48" s="31" t="s">
        <v>31</v>
      </c>
      <c r="H48" s="5">
        <v>69471.084496260111</v>
      </c>
      <c r="I48" s="5">
        <v>144451.44093815333</v>
      </c>
      <c r="J48" s="5">
        <v>213922.52543441346</v>
      </c>
      <c r="K48" s="76"/>
    </row>
    <row r="49" spans="1:11" x14ac:dyDescent="0.3">
      <c r="A49" s="31" t="s">
        <v>478</v>
      </c>
      <c r="B49" s="5">
        <v>3</v>
      </c>
      <c r="C49" s="5">
        <v>3</v>
      </c>
      <c r="D49" s="5">
        <v>0</v>
      </c>
      <c r="E49" s="5">
        <v>6</v>
      </c>
      <c r="F49" s="76"/>
      <c r="G49" s="31" t="s">
        <v>478</v>
      </c>
      <c r="H49" s="5">
        <v>17.88724657673092</v>
      </c>
      <c r="I49" s="5">
        <v>65.586570781346708</v>
      </c>
      <c r="J49" s="5">
        <v>83.473817358077625</v>
      </c>
      <c r="K49" s="76"/>
    </row>
    <row r="50" spans="1:11" x14ac:dyDescent="0.3">
      <c r="A50" s="29" t="s">
        <v>60</v>
      </c>
      <c r="B50" s="57">
        <v>734046</v>
      </c>
      <c r="C50" s="57">
        <v>2930026</v>
      </c>
      <c r="D50" s="57">
        <v>0</v>
      </c>
      <c r="E50" s="57">
        <v>3664072</v>
      </c>
      <c r="F50" s="75"/>
      <c r="G50" s="29" t="s">
        <v>60</v>
      </c>
      <c r="H50" s="57">
        <v>567122.60573466076</v>
      </c>
      <c r="I50" s="57">
        <v>1241774.3942653397</v>
      </c>
      <c r="J50" s="57">
        <v>1808897.0000000002</v>
      </c>
    </row>
    <row r="51" spans="1:11" ht="28.95" customHeight="1" x14ac:dyDescent="0.3">
      <c r="A51" s="116" t="s">
        <v>486</v>
      </c>
      <c r="B51" s="116"/>
      <c r="C51" s="116"/>
      <c r="D51" s="116"/>
      <c r="E51" s="75"/>
      <c r="F51" s="75"/>
      <c r="G51" s="116" t="s">
        <v>486</v>
      </c>
      <c r="H51" s="116"/>
      <c r="I51" s="116"/>
      <c r="J51" s="116"/>
    </row>
    <row r="52" spans="1:11" x14ac:dyDescent="0.3">
      <c r="D52" s="3"/>
      <c r="E52" s="3"/>
      <c r="F52" s="75"/>
      <c r="H52" s="6"/>
      <c r="I52" s="6"/>
      <c r="J52" s="3"/>
    </row>
    <row r="53" spans="1:11" x14ac:dyDescent="0.3">
      <c r="A53" s="7" t="s">
        <v>242</v>
      </c>
      <c r="C53" s="54"/>
      <c r="D53" s="3"/>
      <c r="E53" s="3"/>
      <c r="F53" s="75"/>
      <c r="H53" s="6"/>
      <c r="I53" s="6"/>
    </row>
    <row r="54" spans="1:11" x14ac:dyDescent="0.3">
      <c r="A54" s="7" t="s">
        <v>537</v>
      </c>
      <c r="D54" s="3"/>
      <c r="E54" s="3"/>
      <c r="F54" s="75"/>
      <c r="G54" s="7"/>
      <c r="H54" s="6"/>
      <c r="I54" s="6"/>
    </row>
    <row r="55" spans="1:11" x14ac:dyDescent="0.3">
      <c r="A55" s="8" t="s">
        <v>233</v>
      </c>
      <c r="B55" s="8" t="s">
        <v>0</v>
      </c>
      <c r="C55" s="8" t="s">
        <v>1</v>
      </c>
      <c r="D55" s="8" t="s">
        <v>479</v>
      </c>
      <c r="E55" s="8" t="s">
        <v>59</v>
      </c>
      <c r="F55" s="75"/>
      <c r="G55" s="35"/>
      <c r="H55" s="35"/>
      <c r="I55" s="35"/>
      <c r="J55" s="35"/>
    </row>
    <row r="56" spans="1:11" x14ac:dyDescent="0.3">
      <c r="A56" s="31" t="s">
        <v>234</v>
      </c>
      <c r="B56" s="4">
        <v>5845826</v>
      </c>
      <c r="C56" s="4">
        <v>2271364.3364342335</v>
      </c>
      <c r="D56" s="5">
        <v>0</v>
      </c>
      <c r="E56" s="4">
        <v>8117190.3364342339</v>
      </c>
      <c r="F56" s="75"/>
      <c r="G56" s="34"/>
      <c r="H56" s="17"/>
      <c r="I56" s="17"/>
      <c r="J56" s="17"/>
    </row>
    <row r="57" spans="1:11" x14ac:dyDescent="0.3">
      <c r="A57" s="31" t="s">
        <v>235</v>
      </c>
      <c r="B57" s="5">
        <v>36312398</v>
      </c>
      <c r="C57" s="5">
        <v>10596825.663565766</v>
      </c>
      <c r="D57" s="5">
        <v>0</v>
      </c>
      <c r="E57" s="5">
        <v>46909223.66356577</v>
      </c>
      <c r="F57" s="75"/>
      <c r="G57" s="34"/>
      <c r="H57" s="17"/>
      <c r="I57" s="17"/>
      <c r="J57" s="17"/>
    </row>
    <row r="58" spans="1:11" x14ac:dyDescent="0.3">
      <c r="A58" s="31" t="s">
        <v>478</v>
      </c>
      <c r="B58" s="5">
        <v>0</v>
      </c>
      <c r="C58" s="5">
        <v>0</v>
      </c>
      <c r="D58" s="5">
        <v>0</v>
      </c>
      <c r="E58" s="5">
        <v>0</v>
      </c>
      <c r="F58" s="75"/>
      <c r="G58" s="34"/>
      <c r="H58" s="17"/>
      <c r="I58" s="17"/>
      <c r="J58" s="17"/>
    </row>
    <row r="59" spans="1:11" x14ac:dyDescent="0.3">
      <c r="A59" s="29" t="s">
        <v>60</v>
      </c>
      <c r="B59" s="57">
        <v>42158224</v>
      </c>
      <c r="C59" s="57">
        <v>12868190</v>
      </c>
      <c r="D59" s="57">
        <v>0</v>
      </c>
      <c r="E59" s="57">
        <v>55026414</v>
      </c>
      <c r="F59" s="75"/>
      <c r="G59" s="45"/>
      <c r="H59" s="17"/>
      <c r="I59" s="17"/>
      <c r="J59" s="17"/>
    </row>
    <row r="60" spans="1:11" ht="26.4" customHeight="1" x14ac:dyDescent="0.3">
      <c r="A60" s="116" t="s">
        <v>571</v>
      </c>
      <c r="B60" s="116"/>
      <c r="C60" s="116"/>
      <c r="D60" s="116"/>
      <c r="E60" s="116"/>
      <c r="F60" s="75"/>
      <c r="H60" s="6"/>
      <c r="I60" s="6"/>
    </row>
    <row r="61" spans="1:11" x14ac:dyDescent="0.3">
      <c r="D61" s="3"/>
      <c r="E61" s="3"/>
      <c r="F61" s="75"/>
      <c r="H61" s="6"/>
      <c r="I61" s="6"/>
      <c r="J61" s="3"/>
    </row>
    <row r="62" spans="1:11" x14ac:dyDescent="0.3">
      <c r="A62" s="7" t="s">
        <v>243</v>
      </c>
      <c r="D62" s="3"/>
      <c r="E62" s="3"/>
      <c r="F62" s="75"/>
      <c r="G62" s="7" t="s">
        <v>244</v>
      </c>
      <c r="H62" s="6"/>
      <c r="I62" s="6"/>
      <c r="J62" s="3"/>
    </row>
    <row r="63" spans="1:11" x14ac:dyDescent="0.3">
      <c r="A63" s="7" t="s">
        <v>538</v>
      </c>
      <c r="D63" s="3"/>
      <c r="E63" s="3"/>
      <c r="F63" s="75"/>
      <c r="G63" s="7" t="s">
        <v>497</v>
      </c>
      <c r="H63" s="6"/>
      <c r="I63" s="6"/>
      <c r="J63" s="3"/>
    </row>
    <row r="64" spans="1:11" x14ac:dyDescent="0.3">
      <c r="A64" s="44" t="s">
        <v>66</v>
      </c>
      <c r="B64" s="44" t="s">
        <v>229</v>
      </c>
      <c r="C64" s="44" t="s">
        <v>230</v>
      </c>
      <c r="D64" s="8" t="s">
        <v>479</v>
      </c>
      <c r="E64" s="44" t="s">
        <v>64</v>
      </c>
      <c r="F64" s="75"/>
      <c r="G64" s="44" t="s">
        <v>66</v>
      </c>
      <c r="H64" s="44" t="s">
        <v>229</v>
      </c>
      <c r="I64" s="44" t="s">
        <v>230</v>
      </c>
      <c r="J64" s="44" t="s">
        <v>64</v>
      </c>
    </row>
    <row r="65" spans="1:11" x14ac:dyDescent="0.3">
      <c r="A65" s="22" t="s">
        <v>5</v>
      </c>
      <c r="B65" s="4">
        <v>1405451</v>
      </c>
      <c r="C65" s="4">
        <v>15522255</v>
      </c>
      <c r="D65" s="5">
        <v>0</v>
      </c>
      <c r="E65" s="23">
        <v>16927706</v>
      </c>
      <c r="F65" s="76"/>
      <c r="G65" s="22" t="s">
        <v>5</v>
      </c>
      <c r="H65" s="4">
        <v>756698.39957757061</v>
      </c>
      <c r="I65" s="4">
        <v>5978372.9628376793</v>
      </c>
      <c r="J65" s="23">
        <v>6735071.3624152504</v>
      </c>
      <c r="K65" s="76"/>
    </row>
    <row r="66" spans="1:11" x14ac:dyDescent="0.3">
      <c r="A66" s="25" t="s">
        <v>6</v>
      </c>
      <c r="B66" s="5">
        <v>4440375</v>
      </c>
      <c r="C66" s="5">
        <v>20790143</v>
      </c>
      <c r="D66" s="5">
        <v>0</v>
      </c>
      <c r="E66" s="14">
        <v>25230518</v>
      </c>
      <c r="F66" s="76"/>
      <c r="G66" s="25" t="s">
        <v>6</v>
      </c>
      <c r="H66" s="5">
        <v>1514665.9368566629</v>
      </c>
      <c r="I66" s="5">
        <v>4618452.7007280858</v>
      </c>
      <c r="J66" s="14">
        <v>6133118.6375847487</v>
      </c>
      <c r="K66" s="76"/>
    </row>
    <row r="67" spans="1:11" x14ac:dyDescent="0.3">
      <c r="A67" s="31" t="s">
        <v>478</v>
      </c>
      <c r="B67" s="5">
        <v>0</v>
      </c>
      <c r="C67" s="5">
        <v>0</v>
      </c>
      <c r="D67" s="5">
        <v>0</v>
      </c>
      <c r="E67" s="14">
        <v>0</v>
      </c>
      <c r="F67" s="76"/>
      <c r="G67" s="31" t="s">
        <v>478</v>
      </c>
      <c r="H67" s="5">
        <v>0</v>
      </c>
      <c r="I67" s="5">
        <v>0</v>
      </c>
      <c r="J67" s="14">
        <v>0</v>
      </c>
      <c r="K67" s="76"/>
    </row>
    <row r="68" spans="1:11" x14ac:dyDescent="0.3">
      <c r="A68" s="29" t="s">
        <v>60</v>
      </c>
      <c r="B68" s="57">
        <v>5845826</v>
      </c>
      <c r="C68" s="57">
        <v>36312398</v>
      </c>
      <c r="D68" s="57">
        <v>0</v>
      </c>
      <c r="E68" s="57">
        <v>42158224</v>
      </c>
      <c r="F68" s="76"/>
      <c r="G68" s="29" t="s">
        <v>60</v>
      </c>
      <c r="H68" s="57">
        <v>2271364.3364342335</v>
      </c>
      <c r="I68" s="57">
        <v>10596825.663565766</v>
      </c>
      <c r="J68" s="57">
        <v>12868190</v>
      </c>
      <c r="K68" s="76"/>
    </row>
    <row r="69" spans="1:11" ht="27.6" customHeight="1" x14ac:dyDescent="0.3">
      <c r="A69" s="116" t="s">
        <v>571</v>
      </c>
      <c r="B69" s="116"/>
      <c r="C69" s="116"/>
      <c r="D69" s="116"/>
      <c r="E69" s="59"/>
      <c r="F69" s="75"/>
      <c r="G69" s="115" t="s">
        <v>571</v>
      </c>
      <c r="H69" s="115"/>
      <c r="I69" s="115"/>
      <c r="J69" s="115"/>
    </row>
    <row r="70" spans="1:11" x14ac:dyDescent="0.3">
      <c r="D70" s="3"/>
      <c r="E70" s="3"/>
      <c r="F70" s="75"/>
      <c r="H70" s="6"/>
      <c r="I70" s="6"/>
      <c r="J70" s="3"/>
    </row>
    <row r="71" spans="1:11" x14ac:dyDescent="0.3">
      <c r="A71" s="7" t="s">
        <v>245</v>
      </c>
      <c r="D71" s="3"/>
      <c r="E71" s="3"/>
      <c r="F71" s="75"/>
      <c r="G71" s="7" t="s">
        <v>246</v>
      </c>
      <c r="H71" s="6"/>
      <c r="I71" s="6"/>
      <c r="J71" s="3"/>
    </row>
    <row r="72" spans="1:11" x14ac:dyDescent="0.3">
      <c r="A72" s="7" t="s">
        <v>539</v>
      </c>
      <c r="D72" s="3"/>
      <c r="E72" s="3"/>
      <c r="F72" s="75"/>
      <c r="G72" s="7" t="s">
        <v>498</v>
      </c>
      <c r="H72" s="6"/>
      <c r="I72" s="6"/>
      <c r="J72" s="3"/>
    </row>
    <row r="73" spans="1:11" x14ac:dyDescent="0.3">
      <c r="A73" s="24" t="s">
        <v>67</v>
      </c>
      <c r="B73" s="44" t="s">
        <v>229</v>
      </c>
      <c r="C73" s="44" t="s">
        <v>230</v>
      </c>
      <c r="D73" s="8" t="s">
        <v>479</v>
      </c>
      <c r="E73" s="44" t="s">
        <v>64</v>
      </c>
      <c r="F73" s="75"/>
      <c r="G73" s="24" t="s">
        <v>67</v>
      </c>
      <c r="H73" s="44" t="s">
        <v>229</v>
      </c>
      <c r="I73" s="44" t="s">
        <v>230</v>
      </c>
      <c r="J73" s="44" t="s">
        <v>64</v>
      </c>
    </row>
    <row r="74" spans="1:11" x14ac:dyDescent="0.3">
      <c r="A74" s="22" t="s">
        <v>53</v>
      </c>
      <c r="B74" s="4">
        <v>3596</v>
      </c>
      <c r="C74" s="4">
        <v>177880</v>
      </c>
      <c r="D74" s="5">
        <v>0</v>
      </c>
      <c r="E74" s="4">
        <v>181476</v>
      </c>
      <c r="F74" s="76"/>
      <c r="G74" s="22" t="s">
        <v>53</v>
      </c>
      <c r="H74" s="4">
        <v>151.5122256030244</v>
      </c>
      <c r="I74" s="4">
        <v>11163.777281785196</v>
      </c>
      <c r="J74" s="4">
        <v>11315.289507388221</v>
      </c>
      <c r="K74" s="76"/>
    </row>
    <row r="75" spans="1:11" x14ac:dyDescent="0.3">
      <c r="A75" s="25" t="s">
        <v>2</v>
      </c>
      <c r="B75" s="5">
        <v>178903</v>
      </c>
      <c r="C75" s="5">
        <v>2244832</v>
      </c>
      <c r="D75" s="5">
        <v>0</v>
      </c>
      <c r="E75" s="5">
        <v>2423735</v>
      </c>
      <c r="F75" s="76"/>
      <c r="G75" s="25" t="s">
        <v>2</v>
      </c>
      <c r="H75" s="5">
        <v>9634.39505158055</v>
      </c>
      <c r="I75" s="5">
        <v>343266.09832621203</v>
      </c>
      <c r="J75" s="5">
        <v>352900.49337779259</v>
      </c>
      <c r="K75" s="76"/>
    </row>
    <row r="76" spans="1:11" x14ac:dyDescent="0.3">
      <c r="A76" s="25" t="s">
        <v>54</v>
      </c>
      <c r="B76" s="5">
        <v>1487260</v>
      </c>
      <c r="C76" s="5">
        <v>8815681</v>
      </c>
      <c r="D76" s="5">
        <v>0</v>
      </c>
      <c r="E76" s="5">
        <v>10302941</v>
      </c>
      <c r="F76" s="76"/>
      <c r="G76" s="25" t="s">
        <v>54</v>
      </c>
      <c r="H76" s="5">
        <v>517606.76008568273</v>
      </c>
      <c r="I76" s="5">
        <v>3004576.5585465636</v>
      </c>
      <c r="J76" s="5">
        <v>3522183.3186322465</v>
      </c>
      <c r="K76" s="76"/>
    </row>
    <row r="77" spans="1:11" x14ac:dyDescent="0.3">
      <c r="A77" s="25" t="s">
        <v>55</v>
      </c>
      <c r="B77" s="5">
        <v>1355423</v>
      </c>
      <c r="C77" s="5">
        <v>7995863</v>
      </c>
      <c r="D77" s="5">
        <v>0</v>
      </c>
      <c r="E77" s="5">
        <v>9351286</v>
      </c>
      <c r="F77" s="76"/>
      <c r="G77" s="25" t="s">
        <v>55</v>
      </c>
      <c r="H77" s="5">
        <v>603025.78788712423</v>
      </c>
      <c r="I77" s="5">
        <v>2978853.3476327136</v>
      </c>
      <c r="J77" s="5">
        <v>3581879.135519838</v>
      </c>
      <c r="K77" s="76"/>
    </row>
    <row r="78" spans="1:11" x14ac:dyDescent="0.3">
      <c r="A78" s="25" t="s">
        <v>56</v>
      </c>
      <c r="B78" s="5">
        <v>1292879</v>
      </c>
      <c r="C78" s="5">
        <v>8056218</v>
      </c>
      <c r="D78" s="5">
        <v>0</v>
      </c>
      <c r="E78" s="5">
        <v>9349097</v>
      </c>
      <c r="F78" s="76"/>
      <c r="G78" s="25" t="s">
        <v>56</v>
      </c>
      <c r="H78" s="5">
        <v>436160.91758858401</v>
      </c>
      <c r="I78" s="5">
        <v>2276326.8074469254</v>
      </c>
      <c r="J78" s="5">
        <v>2712487.7250355096</v>
      </c>
      <c r="K78" s="76"/>
    </row>
    <row r="79" spans="1:11" x14ac:dyDescent="0.3">
      <c r="A79" s="25" t="s">
        <v>57</v>
      </c>
      <c r="B79" s="5">
        <v>1290920</v>
      </c>
      <c r="C79" s="5">
        <v>6604809</v>
      </c>
      <c r="D79" s="5">
        <v>0</v>
      </c>
      <c r="E79" s="5">
        <v>7895729</v>
      </c>
      <c r="F79" s="76"/>
      <c r="G79" s="25" t="s">
        <v>57</v>
      </c>
      <c r="H79" s="5">
        <v>555215.65947389696</v>
      </c>
      <c r="I79" s="5">
        <v>1603995.7625754343</v>
      </c>
      <c r="J79" s="5">
        <v>2159211.4220493315</v>
      </c>
      <c r="K79" s="76"/>
    </row>
    <row r="80" spans="1:11" x14ac:dyDescent="0.3">
      <c r="A80" s="25" t="s">
        <v>3</v>
      </c>
      <c r="B80" s="5">
        <v>236845</v>
      </c>
      <c r="C80" s="5">
        <v>2417115</v>
      </c>
      <c r="D80" s="5">
        <v>0</v>
      </c>
      <c r="E80" s="5">
        <v>2653960</v>
      </c>
      <c r="F80" s="76"/>
      <c r="G80" s="25" t="s">
        <v>3</v>
      </c>
      <c r="H80" s="5">
        <v>149569.30412176208</v>
      </c>
      <c r="I80" s="5">
        <v>378613.0093110117</v>
      </c>
      <c r="J80" s="5">
        <v>528182.31343277381</v>
      </c>
      <c r="K80" s="76"/>
    </row>
    <row r="81" spans="1:11" x14ac:dyDescent="0.3">
      <c r="A81" s="31" t="s">
        <v>478</v>
      </c>
      <c r="B81" s="5">
        <v>0</v>
      </c>
      <c r="C81" s="5">
        <v>0</v>
      </c>
      <c r="D81" s="5">
        <v>0</v>
      </c>
      <c r="E81" s="5">
        <v>0</v>
      </c>
      <c r="F81" s="76"/>
      <c r="G81" s="31" t="s">
        <v>478</v>
      </c>
      <c r="H81" s="5">
        <v>0</v>
      </c>
      <c r="I81" s="5">
        <v>30.302445120604876</v>
      </c>
      <c r="J81" s="5">
        <v>30.302445120604876</v>
      </c>
      <c r="K81" s="76"/>
    </row>
    <row r="82" spans="1:11" x14ac:dyDescent="0.3">
      <c r="A82" s="29" t="s">
        <v>60</v>
      </c>
      <c r="B82" s="57">
        <v>5845826</v>
      </c>
      <c r="C82" s="57">
        <v>36312398</v>
      </c>
      <c r="D82" s="57">
        <v>0</v>
      </c>
      <c r="E82" s="57">
        <v>42158224</v>
      </c>
      <c r="F82" s="76"/>
      <c r="G82" s="29" t="s">
        <v>60</v>
      </c>
      <c r="H82" s="57">
        <v>2271364.3364342335</v>
      </c>
      <c r="I82" s="57">
        <v>10596825.663565766</v>
      </c>
      <c r="J82" s="57">
        <v>12868190.000000002</v>
      </c>
      <c r="K82" s="76"/>
    </row>
    <row r="83" spans="1:11" ht="28.95" customHeight="1" x14ac:dyDescent="0.3">
      <c r="A83" s="116" t="s">
        <v>571</v>
      </c>
      <c r="B83" s="116"/>
      <c r="C83" s="116"/>
      <c r="D83" s="116"/>
      <c r="E83" s="75"/>
      <c r="F83" s="75"/>
      <c r="G83" s="115" t="s">
        <v>571</v>
      </c>
      <c r="H83" s="115"/>
      <c r="I83" s="115"/>
      <c r="J83" s="115"/>
    </row>
    <row r="84" spans="1:11" x14ac:dyDescent="0.3">
      <c r="D84" s="3"/>
      <c r="E84" s="3"/>
      <c r="F84" s="75"/>
      <c r="H84" s="6"/>
      <c r="I84" s="6"/>
      <c r="J84" s="3"/>
    </row>
    <row r="85" spans="1:11" x14ac:dyDescent="0.3">
      <c r="A85" s="7" t="s">
        <v>247</v>
      </c>
      <c r="D85" s="3"/>
      <c r="E85" s="3"/>
      <c r="F85" s="75"/>
      <c r="G85" s="7" t="s">
        <v>248</v>
      </c>
      <c r="H85" s="6"/>
      <c r="I85" s="6"/>
      <c r="J85" s="3"/>
    </row>
    <row r="86" spans="1:11" x14ac:dyDescent="0.3">
      <c r="A86" s="7" t="s">
        <v>540</v>
      </c>
      <c r="D86" s="3"/>
      <c r="E86" s="3"/>
      <c r="F86" s="75"/>
      <c r="G86" s="7" t="s">
        <v>499</v>
      </c>
      <c r="H86" s="6"/>
      <c r="I86" s="6"/>
      <c r="J86" s="3"/>
    </row>
    <row r="87" spans="1:11" x14ac:dyDescent="0.3">
      <c r="A87" s="8" t="s">
        <v>208</v>
      </c>
      <c r="B87" s="44" t="s">
        <v>229</v>
      </c>
      <c r="C87" s="44" t="s">
        <v>230</v>
      </c>
      <c r="D87" s="8" t="s">
        <v>479</v>
      </c>
      <c r="E87" s="44" t="s">
        <v>64</v>
      </c>
      <c r="F87" s="75"/>
      <c r="G87" s="8" t="s">
        <v>208</v>
      </c>
      <c r="H87" s="44" t="s">
        <v>229</v>
      </c>
      <c r="I87" s="44" t="s">
        <v>230</v>
      </c>
      <c r="J87" s="44" t="s">
        <v>64</v>
      </c>
    </row>
    <row r="88" spans="1:11" x14ac:dyDescent="0.3">
      <c r="A88" s="31" t="s">
        <v>9</v>
      </c>
      <c r="B88" s="5">
        <v>2111213</v>
      </c>
      <c r="C88" s="4">
        <v>11213807</v>
      </c>
      <c r="D88" s="5">
        <v>0</v>
      </c>
      <c r="E88" s="4">
        <v>13325020</v>
      </c>
      <c r="F88" s="76"/>
      <c r="G88" s="31" t="s">
        <v>9</v>
      </c>
      <c r="H88" s="4">
        <v>511164.81675239647</v>
      </c>
      <c r="I88" s="4">
        <v>2002444.3959630395</v>
      </c>
      <c r="J88" s="4">
        <v>2513609.2127154358</v>
      </c>
      <c r="K88" s="76"/>
    </row>
    <row r="89" spans="1:11" x14ac:dyDescent="0.3">
      <c r="A89" s="31" t="s">
        <v>10</v>
      </c>
      <c r="B89" s="5">
        <v>1333516</v>
      </c>
      <c r="C89" s="5">
        <v>8350680</v>
      </c>
      <c r="D89" s="5">
        <v>0</v>
      </c>
      <c r="E89" s="5">
        <v>9684196</v>
      </c>
      <c r="F89" s="76"/>
      <c r="G89" s="31" t="s">
        <v>10</v>
      </c>
      <c r="H89" s="5">
        <v>385472.05688889924</v>
      </c>
      <c r="I89" s="5">
        <v>2060070.7340985711</v>
      </c>
      <c r="J89" s="5">
        <v>2445542.7909874702</v>
      </c>
      <c r="K89" s="76"/>
    </row>
    <row r="90" spans="1:11" ht="15" customHeight="1" x14ac:dyDescent="0.3">
      <c r="A90" s="31" t="s">
        <v>11</v>
      </c>
      <c r="B90" s="5">
        <v>295486</v>
      </c>
      <c r="C90" s="5">
        <v>1127207</v>
      </c>
      <c r="D90" s="5">
        <v>0</v>
      </c>
      <c r="E90" s="5">
        <v>1422693</v>
      </c>
      <c r="F90" s="76"/>
      <c r="G90" s="31" t="s">
        <v>11</v>
      </c>
      <c r="H90" s="5">
        <v>151319.71595166996</v>
      </c>
      <c r="I90" s="5">
        <v>394988.80715354095</v>
      </c>
      <c r="J90" s="5">
        <v>546308.52310521086</v>
      </c>
      <c r="K90" s="76"/>
    </row>
    <row r="91" spans="1:11" ht="15" customHeight="1" x14ac:dyDescent="0.3">
      <c r="A91" s="31" t="s">
        <v>12</v>
      </c>
      <c r="B91" s="5">
        <v>415733</v>
      </c>
      <c r="C91" s="5">
        <v>3732608</v>
      </c>
      <c r="D91" s="5">
        <v>0</v>
      </c>
      <c r="E91" s="5">
        <v>4148341</v>
      </c>
      <c r="F91" s="76"/>
      <c r="G91" s="31" t="s">
        <v>12</v>
      </c>
      <c r="H91" s="5">
        <v>274846.74223742983</v>
      </c>
      <c r="I91" s="5">
        <v>1825299.8667815274</v>
      </c>
      <c r="J91" s="5">
        <v>2100146.6090189572</v>
      </c>
      <c r="K91" s="76"/>
    </row>
    <row r="92" spans="1:11" ht="15" customHeight="1" x14ac:dyDescent="0.3">
      <c r="A92" s="31" t="s">
        <v>13</v>
      </c>
      <c r="B92" s="5">
        <v>59985</v>
      </c>
      <c r="C92" s="5">
        <v>334549</v>
      </c>
      <c r="D92" s="5">
        <v>0</v>
      </c>
      <c r="E92" s="5">
        <v>394534</v>
      </c>
      <c r="F92" s="76"/>
      <c r="G92" s="31" t="s">
        <v>13</v>
      </c>
      <c r="H92" s="5">
        <v>34753.339559790191</v>
      </c>
      <c r="I92" s="5">
        <v>139150.61049058937</v>
      </c>
      <c r="J92" s="5">
        <v>173903.95005037956</v>
      </c>
      <c r="K92" s="76"/>
    </row>
    <row r="93" spans="1:11" ht="15" customHeight="1" x14ac:dyDescent="0.3">
      <c r="A93" s="31" t="s">
        <v>223</v>
      </c>
      <c r="B93" s="5">
        <v>155224</v>
      </c>
      <c r="C93" s="5">
        <v>1222569</v>
      </c>
      <c r="D93" s="5">
        <v>0</v>
      </c>
      <c r="E93" s="5">
        <v>1377793</v>
      </c>
      <c r="F93" s="76"/>
      <c r="G93" s="31" t="s">
        <v>223</v>
      </c>
      <c r="H93" s="5">
        <v>112905.12802260197</v>
      </c>
      <c r="I93" s="5">
        <v>583445.06084889802</v>
      </c>
      <c r="J93" s="5">
        <v>696350.18887149997</v>
      </c>
      <c r="K93" s="76"/>
    </row>
    <row r="94" spans="1:11" ht="15" customHeight="1" x14ac:dyDescent="0.3">
      <c r="A94" s="31" t="s">
        <v>224</v>
      </c>
      <c r="B94" s="5">
        <v>303029</v>
      </c>
      <c r="C94" s="5">
        <v>1484481</v>
      </c>
      <c r="D94" s="5">
        <v>0</v>
      </c>
      <c r="E94" s="5">
        <v>1787510</v>
      </c>
      <c r="F94" s="76"/>
      <c r="G94" s="31" t="s">
        <v>224</v>
      </c>
      <c r="H94" s="5">
        <v>153497.92700680988</v>
      </c>
      <c r="I94" s="5">
        <v>601368.06588934991</v>
      </c>
      <c r="J94" s="5">
        <v>754865.99289615976</v>
      </c>
      <c r="K94" s="76"/>
    </row>
    <row r="95" spans="1:11" ht="15" customHeight="1" x14ac:dyDescent="0.3">
      <c r="A95" s="31" t="s">
        <v>225</v>
      </c>
      <c r="B95" s="5">
        <v>144267</v>
      </c>
      <c r="C95" s="5">
        <v>1058400</v>
      </c>
      <c r="D95" s="5">
        <v>0</v>
      </c>
      <c r="E95" s="5">
        <v>1202667</v>
      </c>
      <c r="F95" s="76"/>
      <c r="G95" s="31" t="s">
        <v>225</v>
      </c>
      <c r="H95" s="5">
        <v>74936.164286484069</v>
      </c>
      <c r="I95" s="5">
        <v>320751.3816016026</v>
      </c>
      <c r="J95" s="5">
        <v>395687.54588808666</v>
      </c>
      <c r="K95" s="76"/>
    </row>
    <row r="96" spans="1:11" ht="15" customHeight="1" x14ac:dyDescent="0.3">
      <c r="A96" s="31" t="s">
        <v>226</v>
      </c>
      <c r="B96" s="5">
        <v>258598</v>
      </c>
      <c r="C96" s="5">
        <v>2184283</v>
      </c>
      <c r="D96" s="5">
        <v>0</v>
      </c>
      <c r="E96" s="5">
        <v>2442881</v>
      </c>
      <c r="F96" s="76"/>
      <c r="G96" s="31" t="s">
        <v>226</v>
      </c>
      <c r="H96" s="5">
        <v>225585.6614519571</v>
      </c>
      <c r="I96" s="5">
        <v>1083365.8879647783</v>
      </c>
      <c r="J96" s="5">
        <v>1308951.5494167355</v>
      </c>
      <c r="K96" s="76"/>
    </row>
    <row r="97" spans="1:11" ht="15" customHeight="1" x14ac:dyDescent="0.3">
      <c r="A97" s="31" t="s">
        <v>263</v>
      </c>
      <c r="B97" s="5">
        <v>182229</v>
      </c>
      <c r="C97" s="5">
        <v>1778194</v>
      </c>
      <c r="D97" s="5">
        <v>0</v>
      </c>
      <c r="E97" s="5">
        <v>1960423</v>
      </c>
      <c r="F97" s="76"/>
      <c r="G97" s="31" t="s">
        <v>263</v>
      </c>
      <c r="H97" s="5">
        <v>92388.590179180668</v>
      </c>
      <c r="I97" s="5">
        <v>459939.4245243998</v>
      </c>
      <c r="J97" s="5">
        <v>552328.01470358041</v>
      </c>
      <c r="K97" s="76"/>
    </row>
    <row r="98" spans="1:11" ht="15" customHeight="1" x14ac:dyDescent="0.3">
      <c r="A98" s="31" t="s">
        <v>31</v>
      </c>
      <c r="B98" s="5">
        <v>586515</v>
      </c>
      <c r="C98" s="5">
        <v>3825586</v>
      </c>
      <c r="D98" s="5">
        <v>0</v>
      </c>
      <c r="E98" s="5">
        <v>4412101</v>
      </c>
      <c r="F98" s="76"/>
      <c r="G98" s="31" t="s">
        <v>31</v>
      </c>
      <c r="H98" s="5">
        <v>254467.45664543717</v>
      </c>
      <c r="I98" s="5">
        <v>1125997.8632559257</v>
      </c>
      <c r="J98" s="5">
        <v>1380465.319901363</v>
      </c>
      <c r="K98" s="76"/>
    </row>
    <row r="99" spans="1:11" ht="15" customHeight="1" x14ac:dyDescent="0.3">
      <c r="A99" s="31" t="s">
        <v>478</v>
      </c>
      <c r="B99" s="5">
        <v>31</v>
      </c>
      <c r="C99" s="5">
        <v>34</v>
      </c>
      <c r="D99" s="5">
        <v>0</v>
      </c>
      <c r="E99" s="5">
        <v>65</v>
      </c>
      <c r="F99" s="76"/>
      <c r="G99" s="31" t="s">
        <v>478</v>
      </c>
      <c r="H99" s="5">
        <v>26.7374515770043</v>
      </c>
      <c r="I99" s="5">
        <v>3.5649935436005742</v>
      </c>
      <c r="J99" s="5">
        <v>30.302445120604876</v>
      </c>
      <c r="K99" s="76"/>
    </row>
    <row r="100" spans="1:11" ht="15" customHeight="1" x14ac:dyDescent="0.3">
      <c r="A100" s="29" t="s">
        <v>60</v>
      </c>
      <c r="B100" s="57">
        <v>5845826</v>
      </c>
      <c r="C100" s="57">
        <v>36312398</v>
      </c>
      <c r="D100" s="57">
        <v>0</v>
      </c>
      <c r="E100" s="57">
        <v>42158224</v>
      </c>
      <c r="F100" s="76"/>
      <c r="G100" s="29" t="s">
        <v>60</v>
      </c>
      <c r="H100" s="57">
        <v>2271364.3364342339</v>
      </c>
      <c r="I100" s="57">
        <v>10596825.663565766</v>
      </c>
      <c r="J100" s="57">
        <v>12868190</v>
      </c>
      <c r="K100" s="76"/>
    </row>
    <row r="101" spans="1:11" ht="27.6" customHeight="1" x14ac:dyDescent="0.3">
      <c r="A101" s="116" t="s">
        <v>571</v>
      </c>
      <c r="B101" s="116"/>
      <c r="C101" s="116"/>
      <c r="D101" s="116"/>
      <c r="E101" s="74"/>
      <c r="G101" s="115" t="s">
        <v>571</v>
      </c>
      <c r="H101" s="115"/>
      <c r="I101" s="115"/>
      <c r="J101" s="115"/>
    </row>
    <row r="102" spans="1:11" ht="15" customHeight="1" x14ac:dyDescent="0.3"/>
    <row r="103" spans="1:11" ht="15" customHeight="1" x14ac:dyDescent="0.3"/>
    <row r="104" spans="1:11" ht="15" customHeight="1" x14ac:dyDescent="0.3"/>
    <row r="105" spans="1:11" ht="15" customHeight="1" x14ac:dyDescent="0.3"/>
    <row r="106" spans="1:11" ht="15" customHeight="1" x14ac:dyDescent="0.3"/>
    <row r="107" spans="1:11" ht="15" customHeight="1" x14ac:dyDescent="0.3"/>
    <row r="108" spans="1:11" ht="15" customHeight="1" x14ac:dyDescent="0.3"/>
    <row r="109" spans="1:11" ht="15" customHeight="1" x14ac:dyDescent="0.3"/>
    <row r="110" spans="1:11" ht="15" customHeight="1" x14ac:dyDescent="0.3"/>
    <row r="111" spans="1:11" ht="15" customHeight="1" x14ac:dyDescent="0.3"/>
    <row r="112" spans="1:11" ht="15" customHeight="1" x14ac:dyDescent="0.3"/>
    <row r="113" spans="2:10" ht="15" customHeight="1" x14ac:dyDescent="0.3">
      <c r="B113" s="3"/>
      <c r="C113" s="3"/>
      <c r="D113" s="3"/>
      <c r="E113" s="3"/>
      <c r="F113" s="75"/>
      <c r="J113" s="3"/>
    </row>
    <row r="114" spans="2:10" ht="15" customHeight="1" x14ac:dyDescent="0.3">
      <c r="B114" s="3"/>
      <c r="C114" s="3"/>
      <c r="D114" s="3"/>
      <c r="E114" s="3"/>
      <c r="F114" s="75"/>
      <c r="J114" s="3"/>
    </row>
    <row r="115" spans="2:10" ht="15" customHeight="1" x14ac:dyDescent="0.3">
      <c r="B115" s="3"/>
      <c r="C115" s="3"/>
      <c r="D115" s="3"/>
      <c r="E115" s="3"/>
      <c r="F115" s="75"/>
      <c r="J115" s="3"/>
    </row>
    <row r="116" spans="2:10" ht="15" customHeight="1" x14ac:dyDescent="0.3">
      <c r="B116" s="3"/>
      <c r="C116" s="3"/>
      <c r="D116" s="3"/>
      <c r="E116" s="3"/>
      <c r="F116" s="75"/>
      <c r="J116" s="3"/>
    </row>
    <row r="117" spans="2:10" ht="15" customHeight="1" x14ac:dyDescent="0.3">
      <c r="B117" s="3"/>
      <c r="C117" s="3"/>
      <c r="D117" s="3"/>
      <c r="E117" s="3"/>
      <c r="F117" s="75"/>
      <c r="J117" s="3"/>
    </row>
    <row r="118" spans="2:10" ht="15" customHeight="1" x14ac:dyDescent="0.3">
      <c r="B118" s="3"/>
      <c r="C118" s="3"/>
      <c r="D118" s="3"/>
      <c r="E118" s="3"/>
      <c r="F118" s="75"/>
      <c r="J118" s="3"/>
    </row>
    <row r="119" spans="2:10" ht="15" customHeight="1" x14ac:dyDescent="0.3">
      <c r="B119" s="3"/>
      <c r="C119" s="3"/>
      <c r="D119" s="3"/>
      <c r="E119" s="3"/>
      <c r="F119" s="75"/>
      <c r="J119" s="3"/>
    </row>
    <row r="120" spans="2:10" ht="15" customHeight="1" x14ac:dyDescent="0.3">
      <c r="B120" s="3"/>
      <c r="C120" s="3"/>
      <c r="D120" s="3"/>
      <c r="E120" s="3"/>
      <c r="F120" s="75"/>
      <c r="J120" s="3"/>
    </row>
    <row r="121" spans="2:10" ht="15" customHeight="1" x14ac:dyDescent="0.3">
      <c r="B121" s="3"/>
      <c r="C121" s="3"/>
      <c r="D121" s="3"/>
      <c r="E121" s="3"/>
      <c r="F121" s="75"/>
      <c r="J121" s="3"/>
    </row>
    <row r="122" spans="2:10" ht="15" customHeight="1" x14ac:dyDescent="0.3">
      <c r="B122" s="3"/>
      <c r="C122" s="3"/>
      <c r="D122" s="3"/>
      <c r="E122" s="3"/>
      <c r="F122" s="75"/>
      <c r="J122" s="3"/>
    </row>
    <row r="123" spans="2:10" ht="15" customHeight="1" x14ac:dyDescent="0.3">
      <c r="B123" s="3"/>
      <c r="C123" s="3"/>
      <c r="D123" s="3"/>
      <c r="E123" s="3"/>
      <c r="F123" s="75"/>
      <c r="J123" s="3"/>
    </row>
    <row r="124" spans="2:10" ht="15" customHeight="1" x14ac:dyDescent="0.3">
      <c r="B124" s="3"/>
      <c r="C124" s="3"/>
      <c r="D124" s="3"/>
      <c r="E124" s="3"/>
      <c r="F124" s="75"/>
      <c r="J124" s="3"/>
    </row>
    <row r="125" spans="2:10" ht="15" customHeight="1" x14ac:dyDescent="0.3">
      <c r="B125" s="3"/>
      <c r="C125" s="3"/>
      <c r="D125" s="3"/>
      <c r="E125" s="3"/>
      <c r="F125" s="75"/>
      <c r="J125" s="3"/>
    </row>
    <row r="126" spans="2:10" ht="15" customHeight="1" x14ac:dyDescent="0.3">
      <c r="B126" s="3"/>
      <c r="C126" s="3"/>
      <c r="D126" s="3"/>
      <c r="E126" s="3"/>
      <c r="F126" s="75"/>
      <c r="J126" s="3"/>
    </row>
    <row r="127" spans="2:10" ht="15" customHeight="1" x14ac:dyDescent="0.3">
      <c r="B127" s="3"/>
      <c r="C127" s="3"/>
      <c r="D127" s="3"/>
      <c r="E127" s="3"/>
      <c r="F127" s="75"/>
      <c r="J127" s="3"/>
    </row>
    <row r="128" spans="2:10" ht="15" customHeight="1" x14ac:dyDescent="0.3">
      <c r="B128" s="3"/>
      <c r="C128" s="3"/>
      <c r="D128" s="3"/>
      <c r="E128" s="3"/>
      <c r="F128" s="75"/>
      <c r="J128" s="3"/>
    </row>
    <row r="129" spans="2:10" ht="15" customHeight="1" x14ac:dyDescent="0.3">
      <c r="B129" s="3"/>
      <c r="C129" s="3"/>
      <c r="D129" s="3"/>
      <c r="E129" s="3"/>
      <c r="F129" s="75"/>
      <c r="J129" s="3"/>
    </row>
    <row r="130" spans="2:10" ht="15" customHeight="1" x14ac:dyDescent="0.3">
      <c r="B130" s="3"/>
      <c r="C130" s="3"/>
      <c r="D130" s="3"/>
      <c r="E130" s="3"/>
      <c r="F130" s="75"/>
      <c r="J130" s="3"/>
    </row>
    <row r="131" spans="2:10" ht="15" customHeight="1" x14ac:dyDescent="0.3">
      <c r="B131" s="3"/>
      <c r="C131" s="3"/>
      <c r="D131" s="3"/>
      <c r="E131" s="3"/>
      <c r="F131" s="75"/>
      <c r="J131" s="3"/>
    </row>
    <row r="132" spans="2:10" ht="15" customHeight="1" x14ac:dyDescent="0.3">
      <c r="B132" s="3"/>
      <c r="C132" s="3"/>
      <c r="D132" s="3"/>
      <c r="E132" s="3"/>
      <c r="F132" s="75"/>
      <c r="J132" s="3"/>
    </row>
    <row r="133" spans="2:10" ht="15" customHeight="1" x14ac:dyDescent="0.3">
      <c r="B133" s="3"/>
      <c r="C133" s="3"/>
      <c r="D133" s="3"/>
      <c r="E133" s="3"/>
      <c r="F133" s="75"/>
      <c r="J133" s="3"/>
    </row>
    <row r="134" spans="2:10" ht="15" customHeight="1" x14ac:dyDescent="0.3">
      <c r="B134" s="3"/>
      <c r="C134" s="3"/>
      <c r="D134" s="3"/>
      <c r="E134" s="3"/>
      <c r="F134" s="75"/>
      <c r="J134" s="3"/>
    </row>
    <row r="135" spans="2:10" ht="15" customHeight="1" x14ac:dyDescent="0.3">
      <c r="B135" s="3"/>
      <c r="C135" s="3"/>
      <c r="D135" s="3"/>
      <c r="E135" s="3"/>
      <c r="F135" s="75"/>
      <c r="J135" s="3"/>
    </row>
    <row r="136" spans="2:10" ht="15" customHeight="1" x14ac:dyDescent="0.3">
      <c r="B136" s="3"/>
      <c r="C136" s="3"/>
      <c r="D136" s="3"/>
      <c r="E136" s="3"/>
      <c r="F136" s="75"/>
      <c r="J136" s="3"/>
    </row>
    <row r="137" spans="2:10" ht="15" customHeight="1" x14ac:dyDescent="0.3">
      <c r="B137" s="3"/>
      <c r="C137" s="3"/>
      <c r="D137" s="3"/>
      <c r="E137" s="3"/>
      <c r="F137" s="75"/>
      <c r="J137" s="3"/>
    </row>
    <row r="138" spans="2:10" ht="15" customHeight="1" x14ac:dyDescent="0.3">
      <c r="B138" s="3"/>
      <c r="C138" s="3"/>
      <c r="D138" s="3"/>
      <c r="E138" s="3"/>
      <c r="F138" s="75"/>
      <c r="J138" s="3"/>
    </row>
    <row r="139" spans="2:10" ht="15" customHeight="1" x14ac:dyDescent="0.3">
      <c r="B139" s="3"/>
      <c r="C139" s="3"/>
      <c r="D139" s="3"/>
      <c r="E139" s="3"/>
      <c r="F139" s="75"/>
      <c r="J139" s="3"/>
    </row>
    <row r="140" spans="2:10" ht="15" customHeight="1" x14ac:dyDescent="0.3">
      <c r="B140" s="3"/>
      <c r="C140" s="3"/>
      <c r="D140" s="3"/>
      <c r="E140" s="3"/>
      <c r="F140" s="75"/>
      <c r="J140" s="3"/>
    </row>
    <row r="141" spans="2:10" ht="15" customHeight="1" x14ac:dyDescent="0.3">
      <c r="B141" s="3"/>
      <c r="C141" s="3"/>
      <c r="D141" s="3"/>
      <c r="E141" s="3"/>
      <c r="F141" s="75"/>
      <c r="J141" s="3"/>
    </row>
    <row r="142" spans="2:10" ht="15" customHeight="1" x14ac:dyDescent="0.3">
      <c r="B142" s="3"/>
      <c r="C142" s="3"/>
      <c r="D142" s="3"/>
      <c r="E142" s="3"/>
      <c r="F142" s="75"/>
      <c r="J142" s="3"/>
    </row>
    <row r="143" spans="2:10" ht="15" customHeight="1" x14ac:dyDescent="0.3">
      <c r="B143" s="3"/>
      <c r="C143" s="3"/>
      <c r="D143" s="3"/>
      <c r="E143" s="3"/>
      <c r="F143" s="75"/>
      <c r="J143" s="3"/>
    </row>
    <row r="144" spans="2:10" ht="15" customHeight="1" x14ac:dyDescent="0.3">
      <c r="B144" s="3"/>
      <c r="C144" s="3"/>
      <c r="D144" s="3"/>
      <c r="E144" s="3"/>
      <c r="F144" s="75"/>
      <c r="J144" s="3"/>
    </row>
    <row r="145" spans="2:10" ht="15" customHeight="1" x14ac:dyDescent="0.3">
      <c r="B145" s="3"/>
      <c r="C145" s="3"/>
      <c r="D145" s="3"/>
      <c r="E145" s="3"/>
      <c r="F145" s="75"/>
      <c r="J145" s="3"/>
    </row>
    <row r="146" spans="2:10" ht="15" customHeight="1" x14ac:dyDescent="0.3">
      <c r="B146" s="3"/>
      <c r="C146" s="3"/>
      <c r="D146" s="3"/>
      <c r="E146" s="3"/>
      <c r="F146" s="75"/>
      <c r="J146" s="3"/>
    </row>
    <row r="147" spans="2:10" ht="15" customHeight="1" x14ac:dyDescent="0.3">
      <c r="B147" s="3"/>
      <c r="C147" s="3"/>
      <c r="D147" s="3"/>
      <c r="E147" s="3"/>
      <c r="F147" s="75"/>
      <c r="J147" s="3"/>
    </row>
    <row r="148" spans="2:10" ht="15" customHeight="1" x14ac:dyDescent="0.3">
      <c r="B148" s="3"/>
      <c r="C148" s="3"/>
      <c r="D148" s="3"/>
      <c r="E148" s="3"/>
      <c r="F148" s="75"/>
      <c r="J148" s="3"/>
    </row>
    <row r="149" spans="2:10" ht="15" customHeight="1" x14ac:dyDescent="0.3">
      <c r="B149" s="3"/>
      <c r="C149" s="3"/>
      <c r="D149" s="3"/>
      <c r="E149" s="3"/>
      <c r="F149" s="75"/>
      <c r="J149" s="3"/>
    </row>
    <row r="150" spans="2:10" ht="15" customHeight="1" x14ac:dyDescent="0.3">
      <c r="B150" s="3"/>
      <c r="C150" s="3"/>
      <c r="D150" s="3"/>
      <c r="E150" s="3"/>
      <c r="F150" s="75"/>
      <c r="J150" s="3"/>
    </row>
    <row r="151" spans="2:10" ht="15" customHeight="1" x14ac:dyDescent="0.3">
      <c r="B151" s="3"/>
      <c r="C151" s="3"/>
      <c r="D151" s="3"/>
      <c r="E151" s="3"/>
      <c r="F151" s="75"/>
      <c r="J151" s="3"/>
    </row>
    <row r="152" spans="2:10" ht="15" customHeight="1" x14ac:dyDescent="0.3">
      <c r="B152" s="3"/>
      <c r="C152" s="3"/>
      <c r="D152" s="3"/>
      <c r="E152" s="3"/>
      <c r="F152" s="75"/>
      <c r="J152" s="3"/>
    </row>
    <row r="153" spans="2:10" ht="15" customHeight="1" x14ac:dyDescent="0.3">
      <c r="B153" s="3"/>
      <c r="C153" s="3"/>
      <c r="D153" s="3"/>
      <c r="E153" s="3"/>
      <c r="F153" s="75"/>
      <c r="J153" s="3"/>
    </row>
    <row r="154" spans="2:10" ht="15" customHeight="1" x14ac:dyDescent="0.3">
      <c r="B154" s="3"/>
      <c r="C154" s="3"/>
      <c r="D154" s="3"/>
      <c r="E154" s="3"/>
      <c r="F154" s="75"/>
      <c r="J154" s="3"/>
    </row>
    <row r="155" spans="2:10" ht="15" customHeight="1" x14ac:dyDescent="0.3">
      <c r="B155" s="3"/>
      <c r="C155" s="3"/>
      <c r="D155" s="3"/>
      <c r="E155" s="3"/>
      <c r="F155" s="75"/>
      <c r="J155" s="3"/>
    </row>
    <row r="156" spans="2:10" ht="15" customHeight="1" x14ac:dyDescent="0.3">
      <c r="B156" s="3"/>
      <c r="C156" s="3"/>
      <c r="D156" s="3"/>
      <c r="E156" s="3"/>
      <c r="F156" s="75"/>
      <c r="J156" s="3"/>
    </row>
    <row r="157" spans="2:10" ht="15" customHeight="1" x14ac:dyDescent="0.3">
      <c r="B157" s="3"/>
      <c r="C157" s="3"/>
      <c r="D157" s="3"/>
      <c r="E157" s="3"/>
      <c r="F157" s="75"/>
      <c r="J157" s="3"/>
    </row>
    <row r="158" spans="2:10" ht="15" customHeight="1" x14ac:dyDescent="0.3">
      <c r="B158" s="3"/>
      <c r="C158" s="3"/>
      <c r="D158" s="3"/>
      <c r="E158" s="3"/>
      <c r="F158" s="75"/>
      <c r="J158" s="3"/>
    </row>
    <row r="159" spans="2:10" ht="15" customHeight="1" x14ac:dyDescent="0.3">
      <c r="B159" s="3"/>
      <c r="C159" s="3"/>
      <c r="D159" s="3"/>
      <c r="E159" s="3"/>
      <c r="F159" s="75"/>
      <c r="J159" s="3"/>
    </row>
    <row r="160" spans="2:10" ht="15" customHeight="1" x14ac:dyDescent="0.3">
      <c r="B160" s="3"/>
      <c r="C160" s="3"/>
      <c r="D160" s="3"/>
      <c r="E160" s="3"/>
      <c r="F160" s="75"/>
      <c r="J160" s="3"/>
    </row>
    <row r="161" spans="2:10" ht="15" customHeight="1" x14ac:dyDescent="0.3">
      <c r="B161" s="3"/>
      <c r="C161" s="3"/>
      <c r="D161" s="3"/>
      <c r="E161" s="3"/>
      <c r="F161" s="75"/>
      <c r="J161" s="3"/>
    </row>
    <row r="162" spans="2:10" ht="15" customHeight="1" x14ac:dyDescent="0.3">
      <c r="B162" s="3"/>
      <c r="C162" s="3"/>
      <c r="D162" s="3"/>
      <c r="E162" s="3"/>
      <c r="F162" s="75"/>
      <c r="J162" s="3"/>
    </row>
    <row r="163" spans="2:10" ht="15" customHeight="1" x14ac:dyDescent="0.3">
      <c r="B163" s="3"/>
      <c r="C163" s="3"/>
      <c r="D163" s="3"/>
      <c r="E163" s="3"/>
      <c r="F163" s="75"/>
      <c r="J163" s="3"/>
    </row>
    <row r="164" spans="2:10" ht="15" customHeight="1" x14ac:dyDescent="0.3">
      <c r="B164" s="3"/>
      <c r="C164" s="3"/>
      <c r="D164" s="3"/>
      <c r="E164" s="3"/>
      <c r="F164" s="75"/>
      <c r="J164" s="3"/>
    </row>
    <row r="165" spans="2:10" ht="15" customHeight="1" x14ac:dyDescent="0.3">
      <c r="B165" s="3"/>
      <c r="C165" s="3"/>
      <c r="D165" s="3"/>
      <c r="E165" s="3"/>
      <c r="F165" s="75"/>
      <c r="J165" s="3"/>
    </row>
    <row r="166" spans="2:10" ht="15" customHeight="1" x14ac:dyDescent="0.3">
      <c r="B166" s="3"/>
      <c r="C166" s="3"/>
      <c r="D166" s="3"/>
      <c r="E166" s="3"/>
      <c r="F166" s="75"/>
      <c r="J166" s="3"/>
    </row>
    <row r="167" spans="2:10" ht="15" customHeight="1" x14ac:dyDescent="0.3">
      <c r="B167" s="3"/>
      <c r="C167" s="3"/>
      <c r="D167" s="3"/>
      <c r="E167" s="3"/>
      <c r="F167" s="75"/>
      <c r="J167" s="3"/>
    </row>
    <row r="168" spans="2:10" ht="15" customHeight="1" x14ac:dyDescent="0.3">
      <c r="B168" s="3"/>
      <c r="C168" s="3"/>
      <c r="D168" s="3"/>
      <c r="E168" s="3"/>
      <c r="F168" s="75"/>
      <c r="J168" s="3"/>
    </row>
    <row r="169" spans="2:10" ht="15" customHeight="1" x14ac:dyDescent="0.3">
      <c r="B169" s="3"/>
      <c r="C169" s="3"/>
      <c r="D169" s="3"/>
      <c r="E169" s="3"/>
      <c r="F169" s="75"/>
      <c r="J169" s="3"/>
    </row>
    <row r="170" spans="2:10" ht="15" customHeight="1" x14ac:dyDescent="0.3">
      <c r="B170" s="3"/>
      <c r="C170" s="3"/>
      <c r="D170" s="3"/>
      <c r="E170" s="3"/>
      <c r="F170" s="75"/>
      <c r="J170" s="3"/>
    </row>
    <row r="171" spans="2:10" ht="15" customHeight="1" x14ac:dyDescent="0.3">
      <c r="B171" s="3"/>
      <c r="C171" s="3"/>
      <c r="D171" s="3"/>
      <c r="E171" s="3"/>
      <c r="F171" s="75"/>
      <c r="J171" s="3"/>
    </row>
    <row r="172" spans="2:10" ht="15" customHeight="1" x14ac:dyDescent="0.3">
      <c r="B172" s="3"/>
      <c r="C172" s="3"/>
      <c r="D172" s="3"/>
      <c r="E172" s="3"/>
      <c r="F172" s="75"/>
      <c r="J172" s="3"/>
    </row>
    <row r="173" spans="2:10" ht="15" customHeight="1" x14ac:dyDescent="0.3">
      <c r="B173" s="3"/>
      <c r="C173" s="3"/>
      <c r="D173" s="3"/>
      <c r="E173" s="3"/>
      <c r="F173" s="75"/>
      <c r="J173" s="3"/>
    </row>
    <row r="174" spans="2:10" ht="15" customHeight="1" x14ac:dyDescent="0.3">
      <c r="B174" s="3"/>
      <c r="C174" s="3"/>
      <c r="D174" s="3"/>
      <c r="E174" s="3"/>
      <c r="F174" s="75"/>
      <c r="J174" s="3"/>
    </row>
    <row r="175" spans="2:10" ht="15" customHeight="1" x14ac:dyDescent="0.3">
      <c r="B175" s="3"/>
      <c r="C175" s="3"/>
      <c r="D175" s="3"/>
      <c r="E175" s="3"/>
      <c r="F175" s="75"/>
      <c r="J175" s="3"/>
    </row>
    <row r="176" spans="2:10" ht="15" customHeight="1" x14ac:dyDescent="0.3">
      <c r="B176" s="3"/>
      <c r="C176" s="3"/>
      <c r="D176" s="3"/>
      <c r="E176" s="3"/>
      <c r="F176" s="75"/>
      <c r="J176" s="3"/>
    </row>
    <row r="822" spans="2:10" ht="15" customHeight="1" x14ac:dyDescent="0.3">
      <c r="B822" s="3"/>
      <c r="C822" s="3"/>
      <c r="D822" s="3"/>
      <c r="E822" s="3"/>
      <c r="F822" s="75"/>
      <c r="J822" s="3"/>
    </row>
    <row r="823" spans="2:10" ht="15" customHeight="1" x14ac:dyDescent="0.3">
      <c r="B823" s="3"/>
      <c r="C823" s="3"/>
      <c r="D823" s="3"/>
      <c r="E823" s="3"/>
      <c r="F823" s="75"/>
      <c r="J823" s="3"/>
    </row>
    <row r="824" spans="2:10" ht="15" customHeight="1" x14ac:dyDescent="0.3">
      <c r="B824" s="3"/>
      <c r="C824" s="3"/>
      <c r="D824" s="3"/>
      <c r="E824" s="3"/>
      <c r="F824" s="75"/>
      <c r="J824" s="3"/>
    </row>
    <row r="825" spans="2:10" ht="15" customHeight="1" x14ac:dyDescent="0.3">
      <c r="B825" s="3"/>
      <c r="C825" s="3"/>
      <c r="D825" s="3"/>
      <c r="E825" s="3"/>
      <c r="F825" s="75"/>
      <c r="J825" s="3"/>
    </row>
    <row r="826" spans="2:10" ht="15" customHeight="1" x14ac:dyDescent="0.3">
      <c r="B826" s="3"/>
      <c r="C826" s="3"/>
      <c r="D826" s="3"/>
      <c r="E826" s="3"/>
      <c r="F826" s="75"/>
      <c r="J826" s="3"/>
    </row>
    <row r="827" spans="2:10" ht="15" customHeight="1" x14ac:dyDescent="0.3">
      <c r="B827" s="3"/>
      <c r="C827" s="3"/>
      <c r="D827" s="3"/>
      <c r="E827" s="3"/>
      <c r="F827" s="75"/>
      <c r="J827" s="3"/>
    </row>
    <row r="828" spans="2:10" ht="15" customHeight="1" x14ac:dyDescent="0.3">
      <c r="B828" s="3"/>
      <c r="C828" s="3"/>
      <c r="D828" s="3"/>
      <c r="E828" s="3"/>
      <c r="F828" s="75"/>
      <c r="J828" s="3"/>
    </row>
    <row r="829" spans="2:10" ht="15" customHeight="1" x14ac:dyDescent="0.3">
      <c r="B829" s="3"/>
      <c r="C829" s="3"/>
      <c r="D829" s="3"/>
      <c r="E829" s="3"/>
      <c r="F829" s="75"/>
      <c r="J829" s="3"/>
    </row>
    <row r="830" spans="2:10" ht="15" customHeight="1" x14ac:dyDescent="0.3">
      <c r="B830" s="3"/>
      <c r="C830" s="3"/>
      <c r="D830" s="3"/>
      <c r="E830" s="3"/>
      <c r="F830" s="75"/>
      <c r="J830" s="3"/>
    </row>
    <row r="831" spans="2:10" ht="15" customHeight="1" x14ac:dyDescent="0.3">
      <c r="B831" s="3"/>
      <c r="C831" s="3"/>
      <c r="D831" s="3"/>
      <c r="E831" s="3"/>
      <c r="F831" s="75"/>
      <c r="J831" s="3"/>
    </row>
    <row r="832" spans="2:10" ht="15" customHeight="1" x14ac:dyDescent="0.3">
      <c r="B832" s="3"/>
      <c r="C832" s="3"/>
      <c r="D832" s="3"/>
      <c r="E832" s="3"/>
      <c r="F832" s="75"/>
      <c r="J832" s="3"/>
    </row>
    <row r="833" spans="2:10" ht="15" customHeight="1" x14ac:dyDescent="0.3">
      <c r="B833" s="3"/>
      <c r="C833" s="3"/>
      <c r="D833" s="3"/>
      <c r="E833" s="3"/>
      <c r="F833" s="75"/>
      <c r="J833" s="3"/>
    </row>
    <row r="834" spans="2:10" ht="15" customHeight="1" x14ac:dyDescent="0.3">
      <c r="B834" s="3"/>
      <c r="C834" s="3"/>
      <c r="D834" s="3"/>
      <c r="E834" s="3"/>
      <c r="F834" s="75"/>
      <c r="J834" s="3"/>
    </row>
  </sheetData>
  <mergeCells count="14">
    <mergeCell ref="G83:J83"/>
    <mergeCell ref="G101:J101"/>
    <mergeCell ref="A10:D10"/>
    <mergeCell ref="G19:J19"/>
    <mergeCell ref="G33:J33"/>
    <mergeCell ref="G51:J51"/>
    <mergeCell ref="A60:E60"/>
    <mergeCell ref="G69:J69"/>
    <mergeCell ref="A19:D19"/>
    <mergeCell ref="A33:D33"/>
    <mergeCell ref="A51:D51"/>
    <mergeCell ref="A69:D69"/>
    <mergeCell ref="A83:D83"/>
    <mergeCell ref="A101:D10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834"/>
  <sheetViews>
    <sheetView showGridLines="0" zoomScaleNormal="100" workbookViewId="0"/>
  </sheetViews>
  <sheetFormatPr baseColWidth="10" defaultColWidth="33.109375" defaultRowHeight="13.8" x14ac:dyDescent="0.3"/>
  <cols>
    <col min="1" max="1" width="40.33203125" style="3" customWidth="1"/>
    <col min="2" max="5" width="17.109375" style="6" customWidth="1"/>
    <col min="6" max="6" width="7.44140625" style="74" customWidth="1"/>
    <col min="7" max="7" width="39.6640625" style="3" customWidth="1"/>
    <col min="8" max="9" width="17.109375" style="3" customWidth="1"/>
    <col min="10" max="10" width="17.109375" style="6" customWidth="1"/>
    <col min="11" max="11" width="7.109375" style="75" customWidth="1"/>
    <col min="12" max="12" width="7.44140625" style="3" customWidth="1"/>
    <col min="13" max="16384" width="33.109375" style="3"/>
  </cols>
  <sheetData>
    <row r="1" spans="1:15" ht="18" x14ac:dyDescent="0.35">
      <c r="A1" s="1" t="s">
        <v>435</v>
      </c>
    </row>
    <row r="2" spans="1:15" x14ac:dyDescent="0.3">
      <c r="A2" s="7"/>
    </row>
    <row r="3" spans="1:15" x14ac:dyDescent="0.3">
      <c r="A3" s="7" t="s">
        <v>249</v>
      </c>
    </row>
    <row r="4" spans="1:15" x14ac:dyDescent="0.3">
      <c r="A4" s="7" t="s">
        <v>541</v>
      </c>
    </row>
    <row r="5" spans="1:15" x14ac:dyDescent="0.3">
      <c r="A5" s="8" t="s">
        <v>233</v>
      </c>
      <c r="B5" s="8" t="s">
        <v>0</v>
      </c>
      <c r="C5" s="8" t="s">
        <v>1</v>
      </c>
      <c r="D5" s="24" t="s">
        <v>479</v>
      </c>
      <c r="E5" s="8" t="s">
        <v>59</v>
      </c>
    </row>
    <row r="6" spans="1:15" x14ac:dyDescent="0.3">
      <c r="A6" s="31" t="s">
        <v>234</v>
      </c>
      <c r="B6" s="4">
        <v>36405</v>
      </c>
      <c r="C6" s="4">
        <v>42743</v>
      </c>
      <c r="D6" s="4">
        <v>0</v>
      </c>
      <c r="E6" s="4">
        <v>79148</v>
      </c>
      <c r="M6" s="65"/>
      <c r="N6" s="65"/>
      <c r="O6" s="65"/>
    </row>
    <row r="7" spans="1:15" x14ac:dyDescent="0.3">
      <c r="A7" s="31" t="s">
        <v>235</v>
      </c>
      <c r="B7" s="5">
        <v>165689</v>
      </c>
      <c r="C7" s="5">
        <v>174378</v>
      </c>
      <c r="D7" s="5">
        <v>0</v>
      </c>
      <c r="E7" s="5">
        <v>340067</v>
      </c>
      <c r="M7" s="65"/>
      <c r="N7" s="65"/>
      <c r="O7" s="65"/>
    </row>
    <row r="8" spans="1:15" x14ac:dyDescent="0.3">
      <c r="A8" s="31" t="s">
        <v>478</v>
      </c>
      <c r="B8" s="5">
        <v>0</v>
      </c>
      <c r="C8" s="5">
        <v>0</v>
      </c>
      <c r="D8" s="5">
        <v>0</v>
      </c>
      <c r="E8" s="5">
        <v>0</v>
      </c>
      <c r="M8" s="65"/>
      <c r="N8" s="65"/>
      <c r="O8" s="65"/>
    </row>
    <row r="9" spans="1:15" x14ac:dyDescent="0.3">
      <c r="A9" s="29" t="s">
        <v>60</v>
      </c>
      <c r="B9" s="57">
        <v>202094</v>
      </c>
      <c r="C9" s="57">
        <v>217121</v>
      </c>
      <c r="D9" s="57">
        <v>0</v>
      </c>
      <c r="E9" s="57">
        <v>419215</v>
      </c>
    </row>
    <row r="10" spans="1:15" x14ac:dyDescent="0.3">
      <c r="A10" s="3" t="s">
        <v>483</v>
      </c>
      <c r="B10" s="73"/>
      <c r="C10" s="74"/>
      <c r="D10" s="74"/>
      <c r="E10" s="73"/>
    </row>
    <row r="12" spans="1:15" x14ac:dyDescent="0.3">
      <c r="A12" s="7" t="s">
        <v>250</v>
      </c>
      <c r="G12" s="7" t="s">
        <v>251</v>
      </c>
    </row>
    <row r="13" spans="1:15" x14ac:dyDescent="0.3">
      <c r="A13" s="7" t="s">
        <v>542</v>
      </c>
      <c r="G13" s="7" t="s">
        <v>500</v>
      </c>
    </row>
    <row r="14" spans="1:15" x14ac:dyDescent="0.3">
      <c r="A14" s="44" t="s">
        <v>66</v>
      </c>
      <c r="B14" s="44" t="s">
        <v>229</v>
      </c>
      <c r="C14" s="44" t="s">
        <v>230</v>
      </c>
      <c r="D14" s="24" t="s">
        <v>479</v>
      </c>
      <c r="E14" s="44" t="s">
        <v>64</v>
      </c>
      <c r="F14" s="75"/>
      <c r="G14" s="44" t="s">
        <v>66</v>
      </c>
      <c r="H14" s="44" t="s">
        <v>229</v>
      </c>
      <c r="I14" s="44" t="s">
        <v>230</v>
      </c>
      <c r="J14" s="44" t="s">
        <v>64</v>
      </c>
    </row>
    <row r="15" spans="1:15" x14ac:dyDescent="0.3">
      <c r="A15" s="22" t="s">
        <v>5</v>
      </c>
      <c r="B15" s="4">
        <v>7078</v>
      </c>
      <c r="C15" s="4">
        <v>55498</v>
      </c>
      <c r="D15" s="4">
        <v>0</v>
      </c>
      <c r="E15" s="23">
        <v>62576</v>
      </c>
      <c r="F15" s="76"/>
      <c r="G15" s="22" t="s">
        <v>5</v>
      </c>
      <c r="H15" s="4">
        <v>12337</v>
      </c>
      <c r="I15" s="4">
        <v>87821</v>
      </c>
      <c r="J15" s="23">
        <v>100158</v>
      </c>
      <c r="K15" s="76"/>
    </row>
    <row r="16" spans="1:15" x14ac:dyDescent="0.3">
      <c r="A16" s="25" t="s">
        <v>6</v>
      </c>
      <c r="B16" s="5">
        <v>29327</v>
      </c>
      <c r="C16" s="5">
        <v>110191</v>
      </c>
      <c r="D16" s="5">
        <v>0</v>
      </c>
      <c r="E16" s="14">
        <v>139518</v>
      </c>
      <c r="F16" s="76"/>
      <c r="G16" s="25" t="s">
        <v>6</v>
      </c>
      <c r="H16" s="5">
        <v>30406</v>
      </c>
      <c r="I16" s="5">
        <v>86557</v>
      </c>
      <c r="J16" s="14">
        <v>116963</v>
      </c>
      <c r="K16" s="76"/>
    </row>
    <row r="17" spans="1:11" x14ac:dyDescent="0.3">
      <c r="A17" s="25" t="s">
        <v>478</v>
      </c>
      <c r="B17" s="5">
        <v>0</v>
      </c>
      <c r="C17" s="5">
        <v>0</v>
      </c>
      <c r="D17" s="5">
        <v>0</v>
      </c>
      <c r="E17" s="14">
        <v>0</v>
      </c>
      <c r="F17" s="76"/>
      <c r="G17" s="25" t="s">
        <v>478</v>
      </c>
      <c r="H17" s="5">
        <v>0</v>
      </c>
      <c r="I17" s="5">
        <v>0</v>
      </c>
      <c r="J17" s="14">
        <v>0</v>
      </c>
      <c r="K17" s="76"/>
    </row>
    <row r="18" spans="1:11" x14ac:dyDescent="0.3">
      <c r="A18" s="29" t="s">
        <v>60</v>
      </c>
      <c r="B18" s="57">
        <v>36405</v>
      </c>
      <c r="C18" s="57">
        <v>165689</v>
      </c>
      <c r="D18" s="57">
        <v>0</v>
      </c>
      <c r="E18" s="57">
        <v>202094</v>
      </c>
      <c r="F18" s="76"/>
      <c r="G18" s="29" t="s">
        <v>60</v>
      </c>
      <c r="H18" s="57">
        <v>42743</v>
      </c>
      <c r="I18" s="57">
        <v>174378</v>
      </c>
      <c r="J18" s="57">
        <v>217121</v>
      </c>
      <c r="K18" s="76"/>
    </row>
    <row r="19" spans="1:11" x14ac:dyDescent="0.3">
      <c r="A19" s="3" t="s">
        <v>483</v>
      </c>
      <c r="E19" s="73"/>
      <c r="F19" s="75"/>
      <c r="G19" s="3" t="s">
        <v>483</v>
      </c>
      <c r="H19" s="6"/>
      <c r="I19" s="6"/>
      <c r="J19" s="3"/>
    </row>
    <row r="20" spans="1:11" x14ac:dyDescent="0.3">
      <c r="F20" s="75"/>
      <c r="H20" s="6"/>
      <c r="I20" s="6"/>
      <c r="J20" s="3"/>
    </row>
    <row r="21" spans="1:11" x14ac:dyDescent="0.3">
      <c r="A21" s="7" t="s">
        <v>252</v>
      </c>
      <c r="F21" s="75"/>
      <c r="G21" s="7" t="s">
        <v>253</v>
      </c>
      <c r="H21" s="6"/>
      <c r="I21" s="6"/>
      <c r="J21" s="3"/>
    </row>
    <row r="22" spans="1:11" x14ac:dyDescent="0.3">
      <c r="A22" s="7" t="s">
        <v>543</v>
      </c>
      <c r="F22" s="75"/>
      <c r="G22" s="7" t="s">
        <v>501</v>
      </c>
      <c r="H22" s="6"/>
      <c r="I22" s="6"/>
      <c r="J22" s="3"/>
    </row>
    <row r="23" spans="1:11" x14ac:dyDescent="0.3">
      <c r="A23" s="24" t="s">
        <v>67</v>
      </c>
      <c r="B23" s="44" t="s">
        <v>229</v>
      </c>
      <c r="C23" s="44" t="s">
        <v>230</v>
      </c>
      <c r="D23" s="24" t="s">
        <v>479</v>
      </c>
      <c r="E23" s="44" t="s">
        <v>64</v>
      </c>
      <c r="F23" s="75"/>
      <c r="G23" s="24" t="s">
        <v>67</v>
      </c>
      <c r="H23" s="44" t="s">
        <v>229</v>
      </c>
      <c r="I23" s="44" t="s">
        <v>230</v>
      </c>
      <c r="J23" s="44" t="s">
        <v>64</v>
      </c>
    </row>
    <row r="24" spans="1:11" x14ac:dyDescent="0.3">
      <c r="A24" s="22" t="s">
        <v>53</v>
      </c>
      <c r="B24" s="4">
        <v>33</v>
      </c>
      <c r="C24" s="4">
        <v>843</v>
      </c>
      <c r="D24" s="4">
        <v>0</v>
      </c>
      <c r="E24" s="4">
        <v>876</v>
      </c>
      <c r="F24" s="76"/>
      <c r="G24" s="22" t="s">
        <v>53</v>
      </c>
      <c r="H24" s="4">
        <v>2</v>
      </c>
      <c r="I24" s="4">
        <v>229</v>
      </c>
      <c r="J24" s="4">
        <v>231</v>
      </c>
      <c r="K24" s="76"/>
    </row>
    <row r="25" spans="1:11" x14ac:dyDescent="0.3">
      <c r="A25" s="25" t="s">
        <v>2</v>
      </c>
      <c r="B25" s="5">
        <v>1535</v>
      </c>
      <c r="C25" s="5">
        <v>10580</v>
      </c>
      <c r="D25" s="5">
        <v>0</v>
      </c>
      <c r="E25" s="5">
        <v>12115</v>
      </c>
      <c r="F25" s="76"/>
      <c r="G25" s="25" t="s">
        <v>2</v>
      </c>
      <c r="H25" s="5">
        <v>250</v>
      </c>
      <c r="I25" s="5">
        <v>8119</v>
      </c>
      <c r="J25" s="5">
        <v>8369</v>
      </c>
      <c r="K25" s="76"/>
    </row>
    <row r="26" spans="1:11" x14ac:dyDescent="0.3">
      <c r="A26" s="25" t="s">
        <v>54</v>
      </c>
      <c r="B26" s="5">
        <v>10436</v>
      </c>
      <c r="C26" s="5">
        <v>48427</v>
      </c>
      <c r="D26" s="5">
        <v>0</v>
      </c>
      <c r="E26" s="5">
        <v>58863</v>
      </c>
      <c r="F26" s="76"/>
      <c r="G26" s="25" t="s">
        <v>54</v>
      </c>
      <c r="H26" s="5">
        <v>12731</v>
      </c>
      <c r="I26" s="5">
        <v>61160</v>
      </c>
      <c r="J26" s="5">
        <v>73891</v>
      </c>
      <c r="K26" s="76"/>
    </row>
    <row r="27" spans="1:11" x14ac:dyDescent="0.3">
      <c r="A27" s="25" t="s">
        <v>55</v>
      </c>
      <c r="B27" s="5">
        <v>8170</v>
      </c>
      <c r="C27" s="5">
        <v>39330</v>
      </c>
      <c r="D27" s="5">
        <v>0</v>
      </c>
      <c r="E27" s="5">
        <v>47500</v>
      </c>
      <c r="F27" s="76"/>
      <c r="G27" s="25" t="s">
        <v>55</v>
      </c>
      <c r="H27" s="5">
        <v>12459</v>
      </c>
      <c r="I27" s="5">
        <v>53709</v>
      </c>
      <c r="J27" s="5">
        <v>66168</v>
      </c>
      <c r="K27" s="76"/>
    </row>
    <row r="28" spans="1:11" x14ac:dyDescent="0.3">
      <c r="A28" s="25" t="s">
        <v>56</v>
      </c>
      <c r="B28" s="5">
        <v>6786</v>
      </c>
      <c r="C28" s="5">
        <v>31648</v>
      </c>
      <c r="D28" s="5">
        <v>0</v>
      </c>
      <c r="E28" s="5">
        <v>38434</v>
      </c>
      <c r="F28" s="76"/>
      <c r="G28" s="25" t="s">
        <v>56</v>
      </c>
      <c r="H28" s="5">
        <v>6865</v>
      </c>
      <c r="I28" s="5">
        <v>29903</v>
      </c>
      <c r="J28" s="5">
        <v>36768</v>
      </c>
      <c r="K28" s="76"/>
    </row>
    <row r="29" spans="1:11" x14ac:dyDescent="0.3">
      <c r="A29" s="25" t="s">
        <v>57</v>
      </c>
      <c r="B29" s="5">
        <v>7880</v>
      </c>
      <c r="C29" s="5">
        <v>25551</v>
      </c>
      <c r="D29" s="5">
        <v>0</v>
      </c>
      <c r="E29" s="5">
        <v>33431</v>
      </c>
      <c r="F29" s="76"/>
      <c r="G29" s="25" t="s">
        <v>57</v>
      </c>
      <c r="H29" s="5">
        <v>8312</v>
      </c>
      <c r="I29" s="5">
        <v>17578</v>
      </c>
      <c r="J29" s="5">
        <v>25890</v>
      </c>
      <c r="K29" s="76"/>
    </row>
    <row r="30" spans="1:11" x14ac:dyDescent="0.3">
      <c r="A30" s="25" t="s">
        <v>3</v>
      </c>
      <c r="B30" s="5">
        <v>1565</v>
      </c>
      <c r="C30" s="5">
        <v>9310</v>
      </c>
      <c r="D30" s="5">
        <v>0</v>
      </c>
      <c r="E30" s="5">
        <v>10875</v>
      </c>
      <c r="F30" s="76"/>
      <c r="G30" s="25" t="s">
        <v>3</v>
      </c>
      <c r="H30" s="5">
        <v>2122</v>
      </c>
      <c r="I30" s="5">
        <v>3669</v>
      </c>
      <c r="J30" s="5">
        <v>5791</v>
      </c>
      <c r="K30" s="76"/>
    </row>
    <row r="31" spans="1:11" x14ac:dyDescent="0.3">
      <c r="A31" s="25" t="s">
        <v>478</v>
      </c>
      <c r="B31" s="5">
        <v>0</v>
      </c>
      <c r="C31" s="5">
        <v>0</v>
      </c>
      <c r="D31" s="5">
        <v>0</v>
      </c>
      <c r="E31" s="5">
        <v>0</v>
      </c>
      <c r="F31" s="76"/>
      <c r="G31" s="25" t="s">
        <v>478</v>
      </c>
      <c r="H31" s="5">
        <v>2</v>
      </c>
      <c r="I31" s="5">
        <v>11</v>
      </c>
      <c r="J31" s="5">
        <v>13</v>
      </c>
      <c r="K31" s="76"/>
    </row>
    <row r="32" spans="1:11" x14ac:dyDescent="0.3">
      <c r="A32" s="29" t="s">
        <v>60</v>
      </c>
      <c r="B32" s="57">
        <v>36405</v>
      </c>
      <c r="C32" s="57">
        <v>165689</v>
      </c>
      <c r="D32" s="57">
        <v>0</v>
      </c>
      <c r="E32" s="57">
        <v>202094</v>
      </c>
      <c r="F32" s="76"/>
      <c r="G32" s="29" t="s">
        <v>60</v>
      </c>
      <c r="H32" s="57">
        <v>42743</v>
      </c>
      <c r="I32" s="57">
        <v>174378</v>
      </c>
      <c r="J32" s="57">
        <v>217121</v>
      </c>
      <c r="K32" s="76"/>
    </row>
    <row r="33" spans="1:11" x14ac:dyDescent="0.3">
      <c r="A33" s="3" t="s">
        <v>483</v>
      </c>
      <c r="B33" s="73"/>
      <c r="C33" s="74"/>
      <c r="D33" s="74"/>
      <c r="E33" s="74"/>
      <c r="F33" s="75"/>
      <c r="G33" s="3" t="s">
        <v>483</v>
      </c>
      <c r="H33" s="6"/>
      <c r="I33" s="6"/>
      <c r="J33" s="3"/>
    </row>
    <row r="34" spans="1:11" x14ac:dyDescent="0.3">
      <c r="F34" s="75"/>
      <c r="H34" s="6"/>
      <c r="I34" s="6"/>
      <c r="J34" s="3"/>
    </row>
    <row r="35" spans="1:11" x14ac:dyDescent="0.3">
      <c r="A35" s="7" t="s">
        <v>254</v>
      </c>
      <c r="F35" s="75"/>
      <c r="G35" s="7" t="s">
        <v>255</v>
      </c>
      <c r="H35" s="6"/>
      <c r="I35" s="6"/>
      <c r="J35" s="3"/>
    </row>
    <row r="36" spans="1:11" x14ac:dyDescent="0.3">
      <c r="A36" s="7" t="s">
        <v>544</v>
      </c>
      <c r="F36" s="75"/>
      <c r="G36" s="7" t="s">
        <v>502</v>
      </c>
      <c r="H36" s="6"/>
      <c r="I36" s="6"/>
      <c r="J36" s="3"/>
    </row>
    <row r="37" spans="1:11" x14ac:dyDescent="0.3">
      <c r="A37" s="8" t="s">
        <v>208</v>
      </c>
      <c r="B37" s="44" t="s">
        <v>229</v>
      </c>
      <c r="C37" s="44" t="s">
        <v>230</v>
      </c>
      <c r="D37" s="24" t="s">
        <v>479</v>
      </c>
      <c r="E37" s="44" t="s">
        <v>64</v>
      </c>
      <c r="F37" s="75"/>
      <c r="G37" s="8" t="s">
        <v>208</v>
      </c>
      <c r="H37" s="44" t="s">
        <v>229</v>
      </c>
      <c r="I37" s="44" t="s">
        <v>230</v>
      </c>
      <c r="J37" s="44" t="s">
        <v>64</v>
      </c>
    </row>
    <row r="38" spans="1:11" x14ac:dyDescent="0.3">
      <c r="A38" s="31" t="s">
        <v>9</v>
      </c>
      <c r="B38" s="60">
        <v>19431</v>
      </c>
      <c r="C38" s="60">
        <v>83896</v>
      </c>
      <c r="D38" s="60">
        <v>0</v>
      </c>
      <c r="E38" s="4">
        <v>103327</v>
      </c>
      <c r="F38" s="76"/>
      <c r="G38" s="31" t="s">
        <v>9</v>
      </c>
      <c r="H38" s="4">
        <v>24575</v>
      </c>
      <c r="I38" s="4">
        <v>90919</v>
      </c>
      <c r="J38" s="4">
        <v>115494</v>
      </c>
      <c r="K38" s="76"/>
    </row>
    <row r="39" spans="1:11" x14ac:dyDescent="0.3">
      <c r="A39" s="31" t="s">
        <v>10</v>
      </c>
      <c r="B39" s="61">
        <v>7964</v>
      </c>
      <c r="C39" s="61">
        <v>39684</v>
      </c>
      <c r="D39" s="61">
        <v>0</v>
      </c>
      <c r="E39" s="5">
        <v>47648</v>
      </c>
      <c r="F39" s="76"/>
      <c r="G39" s="31" t="s">
        <v>10</v>
      </c>
      <c r="H39" s="5">
        <v>5960</v>
      </c>
      <c r="I39" s="5">
        <v>31660</v>
      </c>
      <c r="J39" s="5">
        <v>37620</v>
      </c>
      <c r="K39" s="76"/>
    </row>
    <row r="40" spans="1:11" x14ac:dyDescent="0.3">
      <c r="A40" s="31" t="s">
        <v>11</v>
      </c>
      <c r="B40" s="61">
        <v>1535</v>
      </c>
      <c r="C40" s="61">
        <v>5411</v>
      </c>
      <c r="D40" s="61">
        <v>0</v>
      </c>
      <c r="E40" s="5">
        <v>6946</v>
      </c>
      <c r="F40" s="76"/>
      <c r="G40" s="31" t="s">
        <v>11</v>
      </c>
      <c r="H40" s="5">
        <v>2644</v>
      </c>
      <c r="I40" s="5">
        <v>10019</v>
      </c>
      <c r="J40" s="5">
        <v>12663</v>
      </c>
      <c r="K40" s="76"/>
    </row>
    <row r="41" spans="1:11" x14ac:dyDescent="0.3">
      <c r="A41" s="31" t="s">
        <v>12</v>
      </c>
      <c r="B41" s="61">
        <v>1024</v>
      </c>
      <c r="C41" s="61">
        <v>7344</v>
      </c>
      <c r="D41" s="61">
        <v>0</v>
      </c>
      <c r="E41" s="5">
        <v>8368</v>
      </c>
      <c r="F41" s="76"/>
      <c r="G41" s="31" t="s">
        <v>12</v>
      </c>
      <c r="H41" s="5">
        <v>1773</v>
      </c>
      <c r="I41" s="5">
        <v>10643</v>
      </c>
      <c r="J41" s="5">
        <v>12416</v>
      </c>
      <c r="K41" s="76"/>
    </row>
    <row r="42" spans="1:11" x14ac:dyDescent="0.3">
      <c r="A42" s="31" t="s">
        <v>13</v>
      </c>
      <c r="B42" s="61">
        <v>760</v>
      </c>
      <c r="C42" s="61">
        <v>1977</v>
      </c>
      <c r="D42" s="61">
        <v>0</v>
      </c>
      <c r="E42" s="5">
        <v>2737</v>
      </c>
      <c r="F42" s="76"/>
      <c r="G42" s="31" t="s">
        <v>13</v>
      </c>
      <c r="H42" s="5">
        <v>1140</v>
      </c>
      <c r="I42" s="5">
        <v>4592</v>
      </c>
      <c r="J42" s="5">
        <v>5732</v>
      </c>
      <c r="K42" s="76"/>
    </row>
    <row r="43" spans="1:11" x14ac:dyDescent="0.3">
      <c r="A43" s="31" t="s">
        <v>223</v>
      </c>
      <c r="B43" s="61">
        <v>571</v>
      </c>
      <c r="C43" s="61">
        <v>2657</v>
      </c>
      <c r="D43" s="61">
        <v>0</v>
      </c>
      <c r="E43" s="5">
        <v>3228</v>
      </c>
      <c r="F43" s="76"/>
      <c r="G43" s="31" t="s">
        <v>223</v>
      </c>
      <c r="H43" s="5">
        <v>893</v>
      </c>
      <c r="I43" s="5">
        <v>3730</v>
      </c>
      <c r="J43" s="5">
        <v>4623</v>
      </c>
      <c r="K43" s="76"/>
    </row>
    <row r="44" spans="1:11" x14ac:dyDescent="0.3">
      <c r="A44" s="31" t="s">
        <v>224</v>
      </c>
      <c r="B44" s="61">
        <v>493</v>
      </c>
      <c r="C44" s="61">
        <v>1931</v>
      </c>
      <c r="D44" s="61">
        <v>0</v>
      </c>
      <c r="E44" s="5">
        <v>2424</v>
      </c>
      <c r="F44" s="76"/>
      <c r="G44" s="31" t="s">
        <v>224</v>
      </c>
      <c r="H44" s="5">
        <v>927</v>
      </c>
      <c r="I44" s="5">
        <v>2573</v>
      </c>
      <c r="J44" s="5">
        <v>3500</v>
      </c>
      <c r="K44" s="76"/>
    </row>
    <row r="45" spans="1:11" x14ac:dyDescent="0.3">
      <c r="A45" s="31" t="s">
        <v>225</v>
      </c>
      <c r="B45" s="61">
        <v>515</v>
      </c>
      <c r="C45" s="61">
        <v>2648</v>
      </c>
      <c r="D45" s="61">
        <v>0</v>
      </c>
      <c r="E45" s="5">
        <v>3163</v>
      </c>
      <c r="F45" s="76"/>
      <c r="G45" s="31" t="s">
        <v>225</v>
      </c>
      <c r="H45" s="5">
        <v>673</v>
      </c>
      <c r="I45" s="5">
        <v>2540</v>
      </c>
      <c r="J45" s="5">
        <v>3213</v>
      </c>
      <c r="K45" s="76"/>
    </row>
    <row r="46" spans="1:11" x14ac:dyDescent="0.3">
      <c r="A46" s="31" t="s">
        <v>226</v>
      </c>
      <c r="B46" s="61">
        <v>451</v>
      </c>
      <c r="C46" s="61">
        <v>2379</v>
      </c>
      <c r="D46" s="61">
        <v>0</v>
      </c>
      <c r="E46" s="5">
        <v>2830</v>
      </c>
      <c r="F46" s="76"/>
      <c r="G46" s="31" t="s">
        <v>226</v>
      </c>
      <c r="H46" s="5">
        <v>591</v>
      </c>
      <c r="I46" s="5">
        <v>2942</v>
      </c>
      <c r="J46" s="5">
        <v>3533</v>
      </c>
      <c r="K46" s="76"/>
    </row>
    <row r="47" spans="1:11" x14ac:dyDescent="0.3">
      <c r="A47" s="31" t="s">
        <v>263</v>
      </c>
      <c r="B47" s="61">
        <v>761</v>
      </c>
      <c r="C47" s="61">
        <v>4352</v>
      </c>
      <c r="D47" s="61">
        <v>0</v>
      </c>
      <c r="E47" s="5">
        <v>5113</v>
      </c>
      <c r="F47" s="76"/>
      <c r="G47" s="31" t="s">
        <v>263</v>
      </c>
      <c r="H47" s="5">
        <v>508</v>
      </c>
      <c r="I47" s="5">
        <v>2349</v>
      </c>
      <c r="J47" s="5">
        <v>2857</v>
      </c>
      <c r="K47" s="76"/>
    </row>
    <row r="48" spans="1:11" x14ac:dyDescent="0.3">
      <c r="A48" s="31" t="s">
        <v>31</v>
      </c>
      <c r="B48" s="61">
        <v>2900</v>
      </c>
      <c r="C48" s="61">
        <v>13410</v>
      </c>
      <c r="D48" s="61">
        <v>0</v>
      </c>
      <c r="E48" s="5">
        <v>16310</v>
      </c>
      <c r="F48" s="76"/>
      <c r="G48" s="31" t="s">
        <v>31</v>
      </c>
      <c r="H48" s="5">
        <v>3055</v>
      </c>
      <c r="I48" s="5">
        <v>12407</v>
      </c>
      <c r="J48" s="5">
        <v>15462</v>
      </c>
      <c r="K48" s="76"/>
    </row>
    <row r="49" spans="1:11" x14ac:dyDescent="0.3">
      <c r="A49" s="25" t="s">
        <v>478</v>
      </c>
      <c r="B49" s="5">
        <v>0</v>
      </c>
      <c r="C49" s="5">
        <v>0</v>
      </c>
      <c r="D49" s="5">
        <v>0</v>
      </c>
      <c r="E49" s="5">
        <v>0</v>
      </c>
      <c r="F49" s="76"/>
      <c r="G49" s="25" t="s">
        <v>478</v>
      </c>
      <c r="H49" s="5">
        <v>4</v>
      </c>
      <c r="I49" s="5">
        <v>4</v>
      </c>
      <c r="J49" s="5">
        <v>8</v>
      </c>
      <c r="K49" s="76"/>
    </row>
    <row r="50" spans="1:11" x14ac:dyDescent="0.3">
      <c r="A50" s="29" t="s">
        <v>60</v>
      </c>
      <c r="B50" s="62">
        <v>36405</v>
      </c>
      <c r="C50" s="62">
        <v>165689</v>
      </c>
      <c r="D50" s="62">
        <v>0</v>
      </c>
      <c r="E50" s="57">
        <v>202094</v>
      </c>
      <c r="F50" s="76"/>
      <c r="G50" s="29" t="s">
        <v>60</v>
      </c>
      <c r="H50" s="57">
        <v>42743</v>
      </c>
      <c r="I50" s="57">
        <v>174378</v>
      </c>
      <c r="J50" s="57">
        <v>217121</v>
      </c>
      <c r="K50" s="76"/>
    </row>
    <row r="51" spans="1:11" x14ac:dyDescent="0.3">
      <c r="A51" s="3" t="s">
        <v>483</v>
      </c>
      <c r="B51" s="73"/>
      <c r="C51" s="73"/>
      <c r="D51" s="73"/>
      <c r="E51" s="74"/>
      <c r="F51" s="75"/>
      <c r="G51" s="3" t="s">
        <v>483</v>
      </c>
      <c r="H51" s="6"/>
      <c r="I51" s="6"/>
      <c r="J51" s="3"/>
    </row>
    <row r="52" spans="1:11" x14ac:dyDescent="0.3">
      <c r="F52" s="75"/>
      <c r="H52" s="6"/>
      <c r="I52" s="6"/>
      <c r="J52" s="3"/>
    </row>
    <row r="53" spans="1:11" x14ac:dyDescent="0.3">
      <c r="A53" s="7" t="s">
        <v>256</v>
      </c>
      <c r="F53" s="75"/>
      <c r="H53" s="6"/>
      <c r="I53" s="6"/>
    </row>
    <row r="54" spans="1:11" x14ac:dyDescent="0.3">
      <c r="A54" s="7" t="s">
        <v>545</v>
      </c>
      <c r="F54" s="75"/>
      <c r="G54" s="7"/>
      <c r="H54" s="6"/>
      <c r="I54" s="6"/>
    </row>
    <row r="55" spans="1:11" x14ac:dyDescent="0.3">
      <c r="A55" s="8" t="s">
        <v>233</v>
      </c>
      <c r="B55" s="8" t="s">
        <v>0</v>
      </c>
      <c r="C55" s="8" t="s">
        <v>1</v>
      </c>
      <c r="D55" s="24" t="s">
        <v>479</v>
      </c>
      <c r="E55" s="8" t="s">
        <v>59</v>
      </c>
      <c r="F55" s="75"/>
      <c r="G55" s="35"/>
      <c r="H55" s="35"/>
      <c r="I55" s="35"/>
      <c r="J55" s="35"/>
    </row>
    <row r="56" spans="1:11" x14ac:dyDescent="0.3">
      <c r="A56" s="31" t="s">
        <v>234</v>
      </c>
      <c r="B56" s="4">
        <v>710674</v>
      </c>
      <c r="C56" s="4">
        <v>704452</v>
      </c>
      <c r="D56" s="4">
        <v>0</v>
      </c>
      <c r="E56" s="4">
        <v>1415126</v>
      </c>
      <c r="F56" s="75"/>
      <c r="G56" s="34"/>
      <c r="H56" s="17"/>
      <c r="I56" s="17"/>
      <c r="J56" s="17"/>
    </row>
    <row r="57" spans="1:11" x14ac:dyDescent="0.3">
      <c r="A57" s="31" t="s">
        <v>235</v>
      </c>
      <c r="B57" s="5">
        <v>3415694</v>
      </c>
      <c r="C57" s="5">
        <v>2861554</v>
      </c>
      <c r="D57" s="5">
        <v>0</v>
      </c>
      <c r="E57" s="5">
        <v>6277248</v>
      </c>
      <c r="F57" s="75"/>
      <c r="G57" s="34"/>
      <c r="H57" s="17"/>
      <c r="I57" s="17"/>
      <c r="J57" s="17"/>
    </row>
    <row r="58" spans="1:11" x14ac:dyDescent="0.3">
      <c r="A58" s="25" t="s">
        <v>478</v>
      </c>
      <c r="B58" s="5">
        <v>0</v>
      </c>
      <c r="C58" s="5">
        <v>0</v>
      </c>
      <c r="D58" s="5">
        <v>0</v>
      </c>
      <c r="E58" s="5">
        <v>0</v>
      </c>
      <c r="F58" s="75"/>
      <c r="G58" s="34"/>
      <c r="H58" s="17"/>
      <c r="I58" s="17"/>
      <c r="J58" s="17"/>
    </row>
    <row r="59" spans="1:11" x14ac:dyDescent="0.3">
      <c r="A59" s="29" t="s">
        <v>60</v>
      </c>
      <c r="B59" s="57">
        <v>4126368</v>
      </c>
      <c r="C59" s="57">
        <v>3566006</v>
      </c>
      <c r="D59" s="57">
        <v>0</v>
      </c>
      <c r="E59" s="57">
        <v>7692374</v>
      </c>
      <c r="F59" s="75"/>
      <c r="G59" s="45"/>
      <c r="H59" s="17"/>
      <c r="I59" s="17"/>
      <c r="J59" s="17"/>
    </row>
    <row r="60" spans="1:11" x14ac:dyDescent="0.3">
      <c r="A60" s="3" t="s">
        <v>483</v>
      </c>
      <c r="B60" s="73"/>
      <c r="C60" s="74"/>
      <c r="D60" s="74"/>
      <c r="E60" s="73"/>
      <c r="F60" s="75"/>
      <c r="H60" s="6"/>
      <c r="I60" s="6"/>
    </row>
    <row r="61" spans="1:11" x14ac:dyDescent="0.3">
      <c r="F61" s="75"/>
      <c r="H61" s="6"/>
      <c r="I61" s="6"/>
      <c r="J61" s="3"/>
    </row>
    <row r="62" spans="1:11" x14ac:dyDescent="0.3">
      <c r="A62" s="7" t="s">
        <v>257</v>
      </c>
      <c r="F62" s="75"/>
      <c r="G62" s="7" t="s">
        <v>258</v>
      </c>
      <c r="H62" s="6"/>
      <c r="I62" s="6"/>
      <c r="J62" s="3"/>
    </row>
    <row r="63" spans="1:11" x14ac:dyDescent="0.3">
      <c r="A63" s="7" t="s">
        <v>546</v>
      </c>
      <c r="F63" s="75"/>
      <c r="G63" s="7" t="s">
        <v>503</v>
      </c>
      <c r="H63" s="6"/>
      <c r="I63" s="6"/>
      <c r="J63" s="3"/>
    </row>
    <row r="64" spans="1:11" x14ac:dyDescent="0.3">
      <c r="A64" s="44" t="s">
        <v>66</v>
      </c>
      <c r="B64" s="44" t="s">
        <v>229</v>
      </c>
      <c r="C64" s="44" t="s">
        <v>230</v>
      </c>
      <c r="D64" s="24" t="s">
        <v>479</v>
      </c>
      <c r="E64" s="44" t="s">
        <v>64</v>
      </c>
      <c r="G64" s="44" t="s">
        <v>66</v>
      </c>
      <c r="H64" s="44" t="s">
        <v>229</v>
      </c>
      <c r="I64" s="44" t="s">
        <v>230</v>
      </c>
      <c r="J64" s="44" t="s">
        <v>64</v>
      </c>
    </row>
    <row r="65" spans="1:11" x14ac:dyDescent="0.3">
      <c r="A65" s="22" t="s">
        <v>5</v>
      </c>
      <c r="B65" s="4">
        <v>140859</v>
      </c>
      <c r="C65" s="4">
        <v>1206656</v>
      </c>
      <c r="D65" s="4">
        <v>0</v>
      </c>
      <c r="E65" s="23">
        <v>1347515</v>
      </c>
      <c r="F65" s="73"/>
      <c r="G65" s="22" t="s">
        <v>5</v>
      </c>
      <c r="H65" s="4">
        <v>192910</v>
      </c>
      <c r="I65" s="4">
        <v>1405632</v>
      </c>
      <c r="J65" s="23">
        <v>1598542</v>
      </c>
      <c r="K65" s="76"/>
    </row>
    <row r="66" spans="1:11" x14ac:dyDescent="0.3">
      <c r="A66" s="25" t="s">
        <v>6</v>
      </c>
      <c r="B66" s="5">
        <v>569815</v>
      </c>
      <c r="C66" s="5">
        <v>2209038</v>
      </c>
      <c r="D66" s="5">
        <v>0</v>
      </c>
      <c r="E66" s="14">
        <v>2778853</v>
      </c>
      <c r="F66" s="73"/>
      <c r="G66" s="25" t="s">
        <v>6</v>
      </c>
      <c r="H66" s="5">
        <v>511542</v>
      </c>
      <c r="I66" s="5">
        <v>1455922</v>
      </c>
      <c r="J66" s="14">
        <v>1967464</v>
      </c>
      <c r="K66" s="76"/>
    </row>
    <row r="67" spans="1:11" x14ac:dyDescent="0.3">
      <c r="A67" s="25" t="s">
        <v>478</v>
      </c>
      <c r="B67" s="5">
        <v>0</v>
      </c>
      <c r="C67" s="5">
        <v>0</v>
      </c>
      <c r="D67" s="5">
        <v>0</v>
      </c>
      <c r="E67" s="14">
        <v>0</v>
      </c>
      <c r="F67" s="73"/>
      <c r="G67" s="25" t="s">
        <v>478</v>
      </c>
      <c r="H67" s="5">
        <v>0</v>
      </c>
      <c r="I67" s="5">
        <v>0</v>
      </c>
      <c r="J67" s="14">
        <v>0</v>
      </c>
      <c r="K67" s="76"/>
    </row>
    <row r="68" spans="1:11" x14ac:dyDescent="0.3">
      <c r="A68" s="29" t="s">
        <v>60</v>
      </c>
      <c r="B68" s="57">
        <v>710674</v>
      </c>
      <c r="C68" s="57">
        <v>3415694</v>
      </c>
      <c r="D68" s="57">
        <v>0</v>
      </c>
      <c r="E68" s="57">
        <v>4126368</v>
      </c>
      <c r="F68" s="73"/>
      <c r="G68" s="29" t="s">
        <v>60</v>
      </c>
      <c r="H68" s="57">
        <v>704452</v>
      </c>
      <c r="I68" s="57">
        <v>2861554</v>
      </c>
      <c r="J68" s="57">
        <v>3566006</v>
      </c>
      <c r="K68" s="76"/>
    </row>
    <row r="69" spans="1:11" x14ac:dyDescent="0.3">
      <c r="A69" s="3" t="s">
        <v>483</v>
      </c>
      <c r="E69" s="76"/>
      <c r="F69" s="75"/>
      <c r="G69" s="3" t="s">
        <v>483</v>
      </c>
      <c r="H69" s="6"/>
      <c r="I69" s="6"/>
      <c r="J69" s="59"/>
    </row>
    <row r="70" spans="1:11" x14ac:dyDescent="0.3">
      <c r="E70" s="3"/>
      <c r="F70" s="75"/>
      <c r="G70" s="6"/>
      <c r="H70" s="6"/>
      <c r="I70" s="6"/>
      <c r="J70" s="3"/>
    </row>
    <row r="71" spans="1:11" x14ac:dyDescent="0.3">
      <c r="A71" s="7" t="s">
        <v>259</v>
      </c>
      <c r="E71" s="3"/>
      <c r="G71" s="7" t="s">
        <v>260</v>
      </c>
      <c r="H71" s="6"/>
      <c r="I71" s="6"/>
      <c r="J71" s="3"/>
    </row>
    <row r="72" spans="1:11" x14ac:dyDescent="0.3">
      <c r="A72" s="7" t="s">
        <v>547</v>
      </c>
      <c r="E72" s="3"/>
      <c r="G72" s="7" t="s">
        <v>504</v>
      </c>
      <c r="H72" s="6"/>
      <c r="I72" s="6"/>
      <c r="J72" s="3"/>
    </row>
    <row r="73" spans="1:11" x14ac:dyDescent="0.3">
      <c r="A73" s="24" t="s">
        <v>67</v>
      </c>
      <c r="B73" s="44" t="s">
        <v>229</v>
      </c>
      <c r="C73" s="44" t="s">
        <v>230</v>
      </c>
      <c r="D73" s="24" t="s">
        <v>479</v>
      </c>
      <c r="E73" s="44" t="s">
        <v>64</v>
      </c>
      <c r="G73" s="24" t="s">
        <v>67</v>
      </c>
      <c r="H73" s="44" t="s">
        <v>229</v>
      </c>
      <c r="I73" s="44" t="s">
        <v>230</v>
      </c>
      <c r="J73" s="44" t="s">
        <v>64</v>
      </c>
    </row>
    <row r="74" spans="1:11" x14ac:dyDescent="0.3">
      <c r="A74" s="22" t="s">
        <v>53</v>
      </c>
      <c r="B74" s="4">
        <v>278</v>
      </c>
      <c r="C74" s="4">
        <v>8804</v>
      </c>
      <c r="D74" s="4">
        <v>0</v>
      </c>
      <c r="E74" s="4">
        <v>9082</v>
      </c>
      <c r="F74" s="73"/>
      <c r="G74" s="22" t="s">
        <v>53</v>
      </c>
      <c r="H74" s="4">
        <v>15</v>
      </c>
      <c r="I74" s="4">
        <v>2053</v>
      </c>
      <c r="J74" s="4">
        <v>2068</v>
      </c>
      <c r="K74" s="76"/>
    </row>
    <row r="75" spans="1:11" x14ac:dyDescent="0.3">
      <c r="A75" s="25" t="s">
        <v>2</v>
      </c>
      <c r="B75" s="5">
        <v>21994</v>
      </c>
      <c r="C75" s="5">
        <v>156111</v>
      </c>
      <c r="D75" s="5">
        <v>0</v>
      </c>
      <c r="E75" s="5">
        <v>178105</v>
      </c>
      <c r="F75" s="73"/>
      <c r="G75" s="25" t="s">
        <v>2</v>
      </c>
      <c r="H75" s="5">
        <v>2967</v>
      </c>
      <c r="I75" s="5">
        <v>94175</v>
      </c>
      <c r="J75" s="5">
        <v>97142</v>
      </c>
      <c r="K75" s="76"/>
    </row>
    <row r="76" spans="1:11" x14ac:dyDescent="0.3">
      <c r="A76" s="25" t="s">
        <v>54</v>
      </c>
      <c r="B76" s="5">
        <v>171226</v>
      </c>
      <c r="C76" s="5">
        <v>874850</v>
      </c>
      <c r="D76" s="5">
        <v>0</v>
      </c>
      <c r="E76" s="5">
        <v>1046076</v>
      </c>
      <c r="F76" s="73"/>
      <c r="G76" s="25" t="s">
        <v>54</v>
      </c>
      <c r="H76" s="5">
        <v>189730</v>
      </c>
      <c r="I76" s="5">
        <v>907539</v>
      </c>
      <c r="J76" s="5">
        <v>1097269</v>
      </c>
      <c r="K76" s="76"/>
    </row>
    <row r="77" spans="1:11" x14ac:dyDescent="0.3">
      <c r="A77" s="25" t="s">
        <v>55</v>
      </c>
      <c r="B77" s="5">
        <v>145018</v>
      </c>
      <c r="C77" s="5">
        <v>775304</v>
      </c>
      <c r="D77" s="5">
        <v>0</v>
      </c>
      <c r="E77" s="5">
        <v>920322</v>
      </c>
      <c r="F77" s="73"/>
      <c r="G77" s="25" t="s">
        <v>55</v>
      </c>
      <c r="H77" s="5">
        <v>195031</v>
      </c>
      <c r="I77" s="5">
        <v>890426</v>
      </c>
      <c r="J77" s="5">
        <v>1085457</v>
      </c>
      <c r="K77" s="76"/>
    </row>
    <row r="78" spans="1:11" x14ac:dyDescent="0.3">
      <c r="A78" s="25" t="s">
        <v>56</v>
      </c>
      <c r="B78" s="5">
        <v>140655</v>
      </c>
      <c r="C78" s="5">
        <v>703622</v>
      </c>
      <c r="D78" s="5">
        <v>0</v>
      </c>
      <c r="E78" s="5">
        <v>844277</v>
      </c>
      <c r="F78" s="73"/>
      <c r="G78" s="25" t="s">
        <v>56</v>
      </c>
      <c r="H78" s="5">
        <v>110469</v>
      </c>
      <c r="I78" s="5">
        <v>531589</v>
      </c>
      <c r="J78" s="5">
        <v>642058</v>
      </c>
      <c r="K78" s="76"/>
    </row>
    <row r="79" spans="1:11" x14ac:dyDescent="0.3">
      <c r="A79" s="25" t="s">
        <v>57</v>
      </c>
      <c r="B79" s="5">
        <v>190520</v>
      </c>
      <c r="C79" s="5">
        <v>641148</v>
      </c>
      <c r="D79" s="5">
        <v>0</v>
      </c>
      <c r="E79" s="5">
        <v>831668</v>
      </c>
      <c r="F79" s="73"/>
      <c r="G79" s="25" t="s">
        <v>57</v>
      </c>
      <c r="H79" s="5">
        <v>160775</v>
      </c>
      <c r="I79" s="5">
        <v>354852</v>
      </c>
      <c r="J79" s="5">
        <v>515627</v>
      </c>
      <c r="K79" s="76"/>
    </row>
    <row r="80" spans="1:11" x14ac:dyDescent="0.3">
      <c r="A80" s="25" t="s">
        <v>3</v>
      </c>
      <c r="B80" s="5">
        <v>40983</v>
      </c>
      <c r="C80" s="5">
        <v>255855</v>
      </c>
      <c r="D80" s="5">
        <v>0</v>
      </c>
      <c r="E80" s="5">
        <v>296838</v>
      </c>
      <c r="F80" s="73"/>
      <c r="G80" s="25" t="s">
        <v>3</v>
      </c>
      <c r="H80" s="5">
        <v>45459</v>
      </c>
      <c r="I80" s="5">
        <v>80765</v>
      </c>
      <c r="J80" s="5">
        <v>126224</v>
      </c>
      <c r="K80" s="76"/>
    </row>
    <row r="81" spans="1:11" x14ac:dyDescent="0.3">
      <c r="A81" s="25" t="s">
        <v>478</v>
      </c>
      <c r="B81" s="5">
        <v>0</v>
      </c>
      <c r="C81" s="5">
        <v>0</v>
      </c>
      <c r="D81" s="5">
        <v>0</v>
      </c>
      <c r="E81" s="5">
        <v>0</v>
      </c>
      <c r="F81" s="73"/>
      <c r="G81" s="25" t="s">
        <v>478</v>
      </c>
      <c r="H81" s="5">
        <v>6</v>
      </c>
      <c r="I81" s="5">
        <v>155</v>
      </c>
      <c r="J81" s="5">
        <v>161</v>
      </c>
      <c r="K81" s="76"/>
    </row>
    <row r="82" spans="1:11" x14ac:dyDescent="0.3">
      <c r="A82" s="29" t="s">
        <v>60</v>
      </c>
      <c r="B82" s="57">
        <v>710674</v>
      </c>
      <c r="C82" s="57">
        <v>3415694</v>
      </c>
      <c r="D82" s="57">
        <v>0</v>
      </c>
      <c r="E82" s="57">
        <v>4126368</v>
      </c>
      <c r="F82" s="73"/>
      <c r="G82" s="29" t="s">
        <v>60</v>
      </c>
      <c r="H82" s="57">
        <v>704452</v>
      </c>
      <c r="I82" s="57">
        <v>2861554</v>
      </c>
      <c r="J82" s="57">
        <v>3566006</v>
      </c>
      <c r="K82" s="76"/>
    </row>
    <row r="83" spans="1:11" x14ac:dyDescent="0.3">
      <c r="A83" s="3" t="s">
        <v>483</v>
      </c>
      <c r="B83" s="73"/>
      <c r="C83" s="74"/>
      <c r="D83" s="74"/>
      <c r="E83" s="75"/>
      <c r="F83" s="75"/>
      <c r="G83" s="3" t="s">
        <v>483</v>
      </c>
      <c r="H83" s="6"/>
      <c r="I83" s="6"/>
      <c r="J83" s="3"/>
    </row>
    <row r="84" spans="1:11" x14ac:dyDescent="0.3">
      <c r="E84" s="3"/>
      <c r="F84" s="75"/>
      <c r="G84" s="6"/>
      <c r="H84" s="6"/>
      <c r="I84" s="6"/>
      <c r="J84" s="3"/>
    </row>
    <row r="85" spans="1:11" x14ac:dyDescent="0.3">
      <c r="A85" s="7" t="s">
        <v>261</v>
      </c>
      <c r="E85" s="3"/>
      <c r="G85" s="7" t="s">
        <v>262</v>
      </c>
      <c r="H85" s="6"/>
      <c r="I85" s="6"/>
      <c r="J85" s="3"/>
    </row>
    <row r="86" spans="1:11" x14ac:dyDescent="0.3">
      <c r="A86" s="7" t="s">
        <v>548</v>
      </c>
      <c r="E86" s="3"/>
      <c r="G86" s="7" t="s">
        <v>505</v>
      </c>
      <c r="H86" s="6"/>
      <c r="I86" s="6"/>
      <c r="J86" s="3"/>
    </row>
    <row r="87" spans="1:11" x14ac:dyDescent="0.3">
      <c r="A87" s="8" t="s">
        <v>208</v>
      </c>
      <c r="B87" s="44" t="s">
        <v>229</v>
      </c>
      <c r="C87" s="44" t="s">
        <v>230</v>
      </c>
      <c r="D87" s="24" t="s">
        <v>479</v>
      </c>
      <c r="E87" s="44" t="s">
        <v>64</v>
      </c>
      <c r="G87" s="8" t="s">
        <v>208</v>
      </c>
      <c r="H87" s="44" t="s">
        <v>229</v>
      </c>
      <c r="I87" s="44" t="s">
        <v>230</v>
      </c>
      <c r="J87" s="44" t="s">
        <v>64</v>
      </c>
    </row>
    <row r="88" spans="1:11" x14ac:dyDescent="0.3">
      <c r="A88" s="31" t="s">
        <v>9</v>
      </c>
      <c r="B88" s="4">
        <v>403554</v>
      </c>
      <c r="C88" s="4">
        <v>1750337</v>
      </c>
      <c r="D88" s="4">
        <v>0</v>
      </c>
      <c r="E88" s="4">
        <v>2153891</v>
      </c>
      <c r="F88" s="73"/>
      <c r="G88" s="31" t="s">
        <v>9</v>
      </c>
      <c r="H88" s="4">
        <v>467917</v>
      </c>
      <c r="I88" s="4">
        <v>1673777</v>
      </c>
      <c r="J88" s="4">
        <v>2141694</v>
      </c>
      <c r="K88" s="76"/>
    </row>
    <row r="89" spans="1:11" x14ac:dyDescent="0.3">
      <c r="A89" s="31" t="s">
        <v>10</v>
      </c>
      <c r="B89" s="5">
        <v>163788</v>
      </c>
      <c r="C89" s="5">
        <v>873676</v>
      </c>
      <c r="D89" s="5">
        <v>0</v>
      </c>
      <c r="E89" s="5">
        <v>1037464</v>
      </c>
      <c r="F89" s="73"/>
      <c r="G89" s="31" t="s">
        <v>10</v>
      </c>
      <c r="H89" s="5">
        <v>93067</v>
      </c>
      <c r="I89" s="5">
        <v>512459</v>
      </c>
      <c r="J89" s="5">
        <v>605526</v>
      </c>
      <c r="K89" s="76"/>
    </row>
    <row r="90" spans="1:11" ht="15" customHeight="1" x14ac:dyDescent="0.3">
      <c r="A90" s="31" t="s">
        <v>11</v>
      </c>
      <c r="B90" s="5">
        <v>10665</v>
      </c>
      <c r="C90" s="5">
        <v>47169</v>
      </c>
      <c r="D90" s="5">
        <v>0</v>
      </c>
      <c r="E90" s="5">
        <v>57834</v>
      </c>
      <c r="F90" s="73"/>
      <c r="G90" s="31" t="s">
        <v>11</v>
      </c>
      <c r="H90" s="5">
        <v>14302</v>
      </c>
      <c r="I90" s="5">
        <v>51095</v>
      </c>
      <c r="J90" s="5">
        <v>65397</v>
      </c>
      <c r="K90" s="76"/>
    </row>
    <row r="91" spans="1:11" ht="15" customHeight="1" x14ac:dyDescent="0.3">
      <c r="A91" s="31" t="s">
        <v>12</v>
      </c>
      <c r="B91" s="5">
        <v>20484</v>
      </c>
      <c r="C91" s="5">
        <v>159920</v>
      </c>
      <c r="D91" s="5">
        <v>0</v>
      </c>
      <c r="E91" s="5">
        <v>180404</v>
      </c>
      <c r="F91" s="73"/>
      <c r="G91" s="31" t="s">
        <v>12</v>
      </c>
      <c r="H91" s="5">
        <v>27838</v>
      </c>
      <c r="I91" s="5">
        <v>184858</v>
      </c>
      <c r="J91" s="5">
        <v>212696</v>
      </c>
      <c r="K91" s="76"/>
    </row>
    <row r="92" spans="1:11" ht="15" customHeight="1" x14ac:dyDescent="0.3">
      <c r="A92" s="31" t="s">
        <v>13</v>
      </c>
      <c r="B92" s="5">
        <v>3657</v>
      </c>
      <c r="C92" s="5">
        <v>12859</v>
      </c>
      <c r="D92" s="5">
        <v>0</v>
      </c>
      <c r="E92" s="5">
        <v>16516</v>
      </c>
      <c r="F92" s="73"/>
      <c r="G92" s="31" t="s">
        <v>13</v>
      </c>
      <c r="H92" s="5">
        <v>4563</v>
      </c>
      <c r="I92" s="5">
        <v>20885</v>
      </c>
      <c r="J92" s="5">
        <v>25448</v>
      </c>
      <c r="K92" s="76"/>
    </row>
    <row r="93" spans="1:11" ht="15" customHeight="1" x14ac:dyDescent="0.3">
      <c r="A93" s="31" t="s">
        <v>223</v>
      </c>
      <c r="B93" s="5">
        <v>6597</v>
      </c>
      <c r="C93" s="5">
        <v>40365</v>
      </c>
      <c r="D93" s="5">
        <v>0</v>
      </c>
      <c r="E93" s="5">
        <v>46962</v>
      </c>
      <c r="F93" s="73"/>
      <c r="G93" s="31" t="s">
        <v>223</v>
      </c>
      <c r="H93" s="5">
        <v>6651</v>
      </c>
      <c r="I93" s="5">
        <v>32824</v>
      </c>
      <c r="J93" s="5">
        <v>39475</v>
      </c>
      <c r="K93" s="76"/>
    </row>
    <row r="94" spans="1:11" ht="15" customHeight="1" x14ac:dyDescent="0.3">
      <c r="A94" s="31" t="s">
        <v>224</v>
      </c>
      <c r="B94" s="5">
        <v>7740</v>
      </c>
      <c r="C94" s="5">
        <v>30757</v>
      </c>
      <c r="D94" s="5">
        <v>0</v>
      </c>
      <c r="E94" s="5">
        <v>38497</v>
      </c>
      <c r="F94" s="73"/>
      <c r="G94" s="31" t="s">
        <v>224</v>
      </c>
      <c r="H94" s="5">
        <v>14768</v>
      </c>
      <c r="I94" s="5">
        <v>38618</v>
      </c>
      <c r="J94" s="5">
        <v>53386</v>
      </c>
      <c r="K94" s="76"/>
    </row>
    <row r="95" spans="1:11" ht="15" customHeight="1" x14ac:dyDescent="0.3">
      <c r="A95" s="31" t="s">
        <v>225</v>
      </c>
      <c r="B95" s="5">
        <v>7809</v>
      </c>
      <c r="C95" s="5">
        <v>50746</v>
      </c>
      <c r="D95" s="5">
        <v>0</v>
      </c>
      <c r="E95" s="5">
        <v>58555</v>
      </c>
      <c r="F95" s="73"/>
      <c r="G95" s="31" t="s">
        <v>225</v>
      </c>
      <c r="H95" s="5">
        <v>6984</v>
      </c>
      <c r="I95" s="5">
        <v>30968</v>
      </c>
      <c r="J95" s="5">
        <v>37952</v>
      </c>
      <c r="K95" s="76"/>
    </row>
    <row r="96" spans="1:11" ht="15" customHeight="1" x14ac:dyDescent="0.3">
      <c r="A96" s="31" t="s">
        <v>226</v>
      </c>
      <c r="B96" s="5">
        <v>13702</v>
      </c>
      <c r="C96" s="5">
        <v>70969</v>
      </c>
      <c r="D96" s="5">
        <v>0</v>
      </c>
      <c r="E96" s="5">
        <v>84671</v>
      </c>
      <c r="F96" s="73"/>
      <c r="G96" s="31" t="s">
        <v>226</v>
      </c>
      <c r="H96" s="5">
        <v>14998</v>
      </c>
      <c r="I96" s="5">
        <v>79559</v>
      </c>
      <c r="J96" s="5">
        <v>94557</v>
      </c>
      <c r="K96" s="76"/>
    </row>
    <row r="97" spans="1:11" ht="15" customHeight="1" x14ac:dyDescent="0.3">
      <c r="A97" s="31" t="s">
        <v>263</v>
      </c>
      <c r="B97" s="5">
        <v>19281</v>
      </c>
      <c r="C97" s="5">
        <v>121368</v>
      </c>
      <c r="D97" s="5">
        <v>0</v>
      </c>
      <c r="E97" s="5">
        <v>140649</v>
      </c>
      <c r="F97" s="73"/>
      <c r="G97" s="31" t="s">
        <v>263</v>
      </c>
      <c r="H97" s="5">
        <v>10901</v>
      </c>
      <c r="I97" s="5">
        <v>52290</v>
      </c>
      <c r="J97" s="5">
        <v>63191</v>
      </c>
      <c r="K97" s="76"/>
    </row>
    <row r="98" spans="1:11" ht="15" customHeight="1" x14ac:dyDescent="0.3">
      <c r="A98" s="31" t="s">
        <v>31</v>
      </c>
      <c r="B98" s="5">
        <v>53397</v>
      </c>
      <c r="C98" s="5">
        <v>257528</v>
      </c>
      <c r="D98" s="5">
        <v>0</v>
      </c>
      <c r="E98" s="5">
        <v>310925</v>
      </c>
      <c r="F98" s="73"/>
      <c r="G98" s="31" t="s">
        <v>31</v>
      </c>
      <c r="H98" s="5">
        <v>42450</v>
      </c>
      <c r="I98" s="5">
        <v>184200</v>
      </c>
      <c r="J98" s="5">
        <v>226650</v>
      </c>
      <c r="K98" s="76"/>
    </row>
    <row r="99" spans="1:11" ht="15" customHeight="1" x14ac:dyDescent="0.3">
      <c r="A99" s="25" t="s">
        <v>478</v>
      </c>
      <c r="B99" s="5">
        <v>0</v>
      </c>
      <c r="C99" s="5">
        <v>0</v>
      </c>
      <c r="D99" s="5">
        <v>0</v>
      </c>
      <c r="E99" s="5">
        <v>0</v>
      </c>
      <c r="F99" s="73"/>
      <c r="G99" s="25" t="s">
        <v>478</v>
      </c>
      <c r="H99" s="5">
        <v>13</v>
      </c>
      <c r="I99" s="5">
        <v>21</v>
      </c>
      <c r="J99" s="5">
        <v>34</v>
      </c>
      <c r="K99" s="76"/>
    </row>
    <row r="100" spans="1:11" ht="15" customHeight="1" x14ac:dyDescent="0.3">
      <c r="A100" s="29" t="s">
        <v>60</v>
      </c>
      <c r="B100" s="57">
        <v>710674</v>
      </c>
      <c r="C100" s="57">
        <v>3415694</v>
      </c>
      <c r="D100" s="57">
        <v>0</v>
      </c>
      <c r="E100" s="57">
        <v>4126368</v>
      </c>
      <c r="F100" s="73"/>
      <c r="G100" s="29" t="s">
        <v>60</v>
      </c>
      <c r="H100" s="57">
        <v>704452</v>
      </c>
      <c r="I100" s="57">
        <v>2861554</v>
      </c>
      <c r="J100" s="57">
        <v>3566006</v>
      </c>
      <c r="K100" s="76"/>
    </row>
    <row r="101" spans="1:11" ht="15" customHeight="1" x14ac:dyDescent="0.3">
      <c r="A101" s="3" t="s">
        <v>483</v>
      </c>
      <c r="B101" s="73"/>
      <c r="C101" s="73"/>
      <c r="D101" s="73"/>
      <c r="E101" s="74"/>
      <c r="G101" s="3" t="s">
        <v>483</v>
      </c>
    </row>
    <row r="102" spans="1:11" ht="15" customHeight="1" x14ac:dyDescent="0.3"/>
    <row r="103" spans="1:11" ht="15" customHeight="1" x14ac:dyDescent="0.3"/>
    <row r="104" spans="1:11" ht="15" customHeight="1" x14ac:dyDescent="0.3"/>
    <row r="105" spans="1:11" ht="15" customHeight="1" x14ac:dyDescent="0.3"/>
    <row r="106" spans="1:11" ht="15" customHeight="1" x14ac:dyDescent="0.3"/>
    <row r="107" spans="1:11" ht="15" customHeight="1" x14ac:dyDescent="0.3"/>
    <row r="108" spans="1:11" ht="15" customHeight="1" x14ac:dyDescent="0.3"/>
    <row r="109" spans="1:11" ht="15" customHeight="1" x14ac:dyDescent="0.3"/>
    <row r="110" spans="1:11" ht="15" customHeight="1" x14ac:dyDescent="0.3"/>
    <row r="111" spans="1:11" ht="15" customHeight="1" x14ac:dyDescent="0.3"/>
    <row r="112" spans="1:11" ht="15" customHeight="1" x14ac:dyDescent="0.3"/>
    <row r="113" spans="2:10" ht="15" customHeight="1" x14ac:dyDescent="0.3">
      <c r="B113" s="3"/>
      <c r="C113" s="3"/>
      <c r="D113" s="3"/>
      <c r="E113" s="3"/>
      <c r="F113" s="75"/>
      <c r="J113" s="3"/>
    </row>
    <row r="114" spans="2:10" ht="15" customHeight="1" x14ac:dyDescent="0.3">
      <c r="B114" s="3"/>
      <c r="C114" s="3"/>
      <c r="D114" s="3"/>
      <c r="E114" s="3"/>
      <c r="F114" s="75"/>
      <c r="J114" s="3"/>
    </row>
    <row r="115" spans="2:10" ht="15" customHeight="1" x14ac:dyDescent="0.3">
      <c r="B115" s="3"/>
      <c r="C115" s="3"/>
      <c r="D115" s="3"/>
      <c r="E115" s="3"/>
      <c r="F115" s="75"/>
      <c r="J115" s="3"/>
    </row>
    <row r="116" spans="2:10" ht="15" customHeight="1" x14ac:dyDescent="0.3">
      <c r="B116" s="3"/>
      <c r="C116" s="3"/>
      <c r="D116" s="3"/>
      <c r="E116" s="3"/>
      <c r="F116" s="75"/>
      <c r="J116" s="3"/>
    </row>
    <row r="117" spans="2:10" ht="15" customHeight="1" x14ac:dyDescent="0.3">
      <c r="B117" s="3"/>
      <c r="C117" s="3"/>
      <c r="D117" s="3"/>
      <c r="E117" s="3"/>
      <c r="F117" s="75"/>
      <c r="J117" s="3"/>
    </row>
    <row r="118" spans="2:10" ht="15" customHeight="1" x14ac:dyDescent="0.3">
      <c r="B118" s="3"/>
      <c r="C118" s="3"/>
      <c r="D118" s="3"/>
      <c r="E118" s="3"/>
      <c r="F118" s="75"/>
      <c r="J118" s="3"/>
    </row>
    <row r="119" spans="2:10" ht="15" customHeight="1" x14ac:dyDescent="0.3">
      <c r="B119" s="3"/>
      <c r="C119" s="3"/>
      <c r="D119" s="3"/>
      <c r="E119" s="3"/>
      <c r="F119" s="75"/>
      <c r="J119" s="3"/>
    </row>
    <row r="120" spans="2:10" ht="15" customHeight="1" x14ac:dyDescent="0.3">
      <c r="B120" s="3"/>
      <c r="C120" s="3"/>
      <c r="D120" s="3"/>
      <c r="E120" s="3"/>
      <c r="F120" s="75"/>
      <c r="J120" s="3"/>
    </row>
    <row r="121" spans="2:10" ht="15" customHeight="1" x14ac:dyDescent="0.3">
      <c r="B121" s="3"/>
      <c r="C121" s="3"/>
      <c r="D121" s="3"/>
      <c r="E121" s="3"/>
      <c r="F121" s="75"/>
      <c r="J121" s="3"/>
    </row>
    <row r="122" spans="2:10" ht="15" customHeight="1" x14ac:dyDescent="0.3">
      <c r="B122" s="3"/>
      <c r="C122" s="3"/>
      <c r="D122" s="3"/>
      <c r="E122" s="3"/>
      <c r="F122" s="75"/>
      <c r="J122" s="3"/>
    </row>
    <row r="123" spans="2:10" ht="15" customHeight="1" x14ac:dyDescent="0.3">
      <c r="B123" s="3"/>
      <c r="C123" s="3"/>
      <c r="D123" s="3"/>
      <c r="E123" s="3"/>
      <c r="F123" s="75"/>
      <c r="J123" s="3"/>
    </row>
    <row r="124" spans="2:10" ht="15" customHeight="1" x14ac:dyDescent="0.3">
      <c r="B124" s="3"/>
      <c r="C124" s="3"/>
      <c r="D124" s="3"/>
      <c r="E124" s="3"/>
      <c r="F124" s="75"/>
      <c r="J124" s="3"/>
    </row>
    <row r="125" spans="2:10" ht="15" customHeight="1" x14ac:dyDescent="0.3">
      <c r="B125" s="3"/>
      <c r="C125" s="3"/>
      <c r="D125" s="3"/>
      <c r="E125" s="3"/>
      <c r="F125" s="75"/>
      <c r="J125" s="3"/>
    </row>
    <row r="126" spans="2:10" ht="15" customHeight="1" x14ac:dyDescent="0.3">
      <c r="B126" s="3"/>
      <c r="C126" s="3"/>
      <c r="D126" s="3"/>
      <c r="E126" s="3"/>
      <c r="F126" s="75"/>
      <c r="J126" s="3"/>
    </row>
    <row r="127" spans="2:10" ht="15" customHeight="1" x14ac:dyDescent="0.3">
      <c r="B127" s="3"/>
      <c r="C127" s="3"/>
      <c r="D127" s="3"/>
      <c r="E127" s="3"/>
      <c r="F127" s="75"/>
      <c r="J127" s="3"/>
    </row>
    <row r="128" spans="2:10" ht="15" customHeight="1" x14ac:dyDescent="0.3">
      <c r="B128" s="3"/>
      <c r="C128" s="3"/>
      <c r="D128" s="3"/>
      <c r="E128" s="3"/>
      <c r="F128" s="75"/>
      <c r="J128" s="3"/>
    </row>
    <row r="129" spans="2:10" ht="15" customHeight="1" x14ac:dyDescent="0.3">
      <c r="B129" s="3"/>
      <c r="C129" s="3"/>
      <c r="D129" s="3"/>
      <c r="E129" s="3"/>
      <c r="F129" s="75"/>
      <c r="J129" s="3"/>
    </row>
    <row r="130" spans="2:10" ht="15" customHeight="1" x14ac:dyDescent="0.3">
      <c r="B130" s="3"/>
      <c r="C130" s="3"/>
      <c r="D130" s="3"/>
      <c r="E130" s="3"/>
      <c r="F130" s="75"/>
      <c r="J130" s="3"/>
    </row>
    <row r="131" spans="2:10" ht="15" customHeight="1" x14ac:dyDescent="0.3">
      <c r="B131" s="3"/>
      <c r="C131" s="3"/>
      <c r="D131" s="3"/>
      <c r="E131" s="3"/>
      <c r="F131" s="75"/>
      <c r="J131" s="3"/>
    </row>
    <row r="132" spans="2:10" ht="15" customHeight="1" x14ac:dyDescent="0.3">
      <c r="B132" s="3"/>
      <c r="C132" s="3"/>
      <c r="D132" s="3"/>
      <c r="E132" s="3"/>
      <c r="F132" s="75"/>
      <c r="J132" s="3"/>
    </row>
    <row r="133" spans="2:10" ht="15" customHeight="1" x14ac:dyDescent="0.3">
      <c r="B133" s="3"/>
      <c r="C133" s="3"/>
      <c r="D133" s="3"/>
      <c r="E133" s="3"/>
      <c r="F133" s="75"/>
      <c r="J133" s="3"/>
    </row>
    <row r="134" spans="2:10" ht="15" customHeight="1" x14ac:dyDescent="0.3">
      <c r="B134" s="3"/>
      <c r="C134" s="3"/>
      <c r="D134" s="3"/>
      <c r="E134" s="3"/>
      <c r="F134" s="75"/>
      <c r="J134" s="3"/>
    </row>
    <row r="135" spans="2:10" ht="15" customHeight="1" x14ac:dyDescent="0.3">
      <c r="B135" s="3"/>
      <c r="C135" s="3"/>
      <c r="D135" s="3"/>
      <c r="E135" s="3"/>
      <c r="F135" s="75"/>
      <c r="J135" s="3"/>
    </row>
    <row r="136" spans="2:10" ht="15" customHeight="1" x14ac:dyDescent="0.3">
      <c r="B136" s="3"/>
      <c r="C136" s="3"/>
      <c r="D136" s="3"/>
      <c r="E136" s="3"/>
      <c r="F136" s="75"/>
      <c r="J136" s="3"/>
    </row>
    <row r="137" spans="2:10" ht="15" customHeight="1" x14ac:dyDescent="0.3">
      <c r="B137" s="3"/>
      <c r="C137" s="3"/>
      <c r="D137" s="3"/>
      <c r="E137" s="3"/>
      <c r="F137" s="75"/>
      <c r="J137" s="3"/>
    </row>
    <row r="138" spans="2:10" ht="15" customHeight="1" x14ac:dyDescent="0.3">
      <c r="B138" s="3"/>
      <c r="C138" s="3"/>
      <c r="D138" s="3"/>
      <c r="E138" s="3"/>
      <c r="F138" s="75"/>
      <c r="J138" s="3"/>
    </row>
    <row r="139" spans="2:10" ht="15" customHeight="1" x14ac:dyDescent="0.3">
      <c r="B139" s="3"/>
      <c r="C139" s="3"/>
      <c r="D139" s="3"/>
      <c r="E139" s="3"/>
      <c r="F139" s="75"/>
      <c r="J139" s="3"/>
    </row>
    <row r="140" spans="2:10" ht="15" customHeight="1" x14ac:dyDescent="0.3">
      <c r="B140" s="3"/>
      <c r="C140" s="3"/>
      <c r="D140" s="3"/>
      <c r="E140" s="3"/>
      <c r="F140" s="75"/>
      <c r="J140" s="3"/>
    </row>
    <row r="141" spans="2:10" ht="15" customHeight="1" x14ac:dyDescent="0.3">
      <c r="B141" s="3"/>
      <c r="C141" s="3"/>
      <c r="D141" s="3"/>
      <c r="E141" s="3"/>
      <c r="F141" s="75"/>
      <c r="J141" s="3"/>
    </row>
    <row r="142" spans="2:10" ht="15" customHeight="1" x14ac:dyDescent="0.3">
      <c r="B142" s="3"/>
      <c r="C142" s="3"/>
      <c r="D142" s="3"/>
      <c r="E142" s="3"/>
      <c r="F142" s="75"/>
      <c r="J142" s="3"/>
    </row>
    <row r="143" spans="2:10" ht="15" customHeight="1" x14ac:dyDescent="0.3">
      <c r="B143" s="3"/>
      <c r="C143" s="3"/>
      <c r="D143" s="3"/>
      <c r="E143" s="3"/>
      <c r="F143" s="75"/>
      <c r="J143" s="3"/>
    </row>
    <row r="144" spans="2:10" ht="15" customHeight="1" x14ac:dyDescent="0.3">
      <c r="B144" s="3"/>
      <c r="C144" s="3"/>
      <c r="D144" s="3"/>
      <c r="E144" s="3"/>
      <c r="F144" s="75"/>
      <c r="J144" s="3"/>
    </row>
    <row r="145" spans="2:10" ht="15" customHeight="1" x14ac:dyDescent="0.3">
      <c r="B145" s="3"/>
      <c r="C145" s="3"/>
      <c r="D145" s="3"/>
      <c r="E145" s="3"/>
      <c r="F145" s="75"/>
      <c r="J145" s="3"/>
    </row>
    <row r="146" spans="2:10" ht="15" customHeight="1" x14ac:dyDescent="0.3">
      <c r="B146" s="3"/>
      <c r="C146" s="3"/>
      <c r="D146" s="3"/>
      <c r="E146" s="3"/>
      <c r="F146" s="75"/>
      <c r="J146" s="3"/>
    </row>
    <row r="147" spans="2:10" ht="15" customHeight="1" x14ac:dyDescent="0.3">
      <c r="B147" s="3"/>
      <c r="C147" s="3"/>
      <c r="D147" s="3"/>
      <c r="E147" s="3"/>
      <c r="F147" s="75"/>
      <c r="J147" s="3"/>
    </row>
    <row r="148" spans="2:10" ht="15" customHeight="1" x14ac:dyDescent="0.3">
      <c r="B148" s="3"/>
      <c r="C148" s="3"/>
      <c r="D148" s="3"/>
      <c r="E148" s="3"/>
      <c r="F148" s="75"/>
      <c r="J148" s="3"/>
    </row>
    <row r="149" spans="2:10" ht="15" customHeight="1" x14ac:dyDescent="0.3">
      <c r="B149" s="3"/>
      <c r="C149" s="3"/>
      <c r="D149" s="3"/>
      <c r="E149" s="3"/>
      <c r="F149" s="75"/>
      <c r="J149" s="3"/>
    </row>
    <row r="150" spans="2:10" ht="15" customHeight="1" x14ac:dyDescent="0.3">
      <c r="B150" s="3"/>
      <c r="C150" s="3"/>
      <c r="D150" s="3"/>
      <c r="E150" s="3"/>
      <c r="F150" s="75"/>
      <c r="J150" s="3"/>
    </row>
    <row r="151" spans="2:10" ht="15" customHeight="1" x14ac:dyDescent="0.3">
      <c r="B151" s="3"/>
      <c r="C151" s="3"/>
      <c r="D151" s="3"/>
      <c r="E151" s="3"/>
      <c r="F151" s="75"/>
      <c r="J151" s="3"/>
    </row>
    <row r="152" spans="2:10" ht="15" customHeight="1" x14ac:dyDescent="0.3">
      <c r="B152" s="3"/>
      <c r="C152" s="3"/>
      <c r="D152" s="3"/>
      <c r="E152" s="3"/>
      <c r="F152" s="75"/>
      <c r="J152" s="3"/>
    </row>
    <row r="153" spans="2:10" ht="15" customHeight="1" x14ac:dyDescent="0.3">
      <c r="B153" s="3"/>
      <c r="C153" s="3"/>
      <c r="D153" s="3"/>
      <c r="E153" s="3"/>
      <c r="F153" s="75"/>
      <c r="J153" s="3"/>
    </row>
    <row r="154" spans="2:10" ht="15" customHeight="1" x14ac:dyDescent="0.3">
      <c r="B154" s="3"/>
      <c r="C154" s="3"/>
      <c r="D154" s="3"/>
      <c r="E154" s="3"/>
      <c r="F154" s="75"/>
      <c r="J154" s="3"/>
    </row>
    <row r="155" spans="2:10" ht="15" customHeight="1" x14ac:dyDescent="0.3">
      <c r="B155" s="3"/>
      <c r="C155" s="3"/>
      <c r="D155" s="3"/>
      <c r="E155" s="3"/>
      <c r="F155" s="75"/>
      <c r="J155" s="3"/>
    </row>
    <row r="156" spans="2:10" ht="15" customHeight="1" x14ac:dyDescent="0.3">
      <c r="B156" s="3"/>
      <c r="C156" s="3"/>
      <c r="D156" s="3"/>
      <c r="E156" s="3"/>
      <c r="F156" s="75"/>
      <c r="J156" s="3"/>
    </row>
    <row r="157" spans="2:10" ht="15" customHeight="1" x14ac:dyDescent="0.3">
      <c r="B157" s="3"/>
      <c r="C157" s="3"/>
      <c r="D157" s="3"/>
      <c r="E157" s="3"/>
      <c r="F157" s="75"/>
      <c r="J157" s="3"/>
    </row>
    <row r="158" spans="2:10" ht="15" customHeight="1" x14ac:dyDescent="0.3">
      <c r="B158" s="3"/>
      <c r="C158" s="3"/>
      <c r="D158" s="3"/>
      <c r="E158" s="3"/>
      <c r="F158" s="75"/>
      <c r="J158" s="3"/>
    </row>
    <row r="159" spans="2:10" ht="15" customHeight="1" x14ac:dyDescent="0.3">
      <c r="B159" s="3"/>
      <c r="C159" s="3"/>
      <c r="D159" s="3"/>
      <c r="E159" s="3"/>
      <c r="F159" s="75"/>
      <c r="J159" s="3"/>
    </row>
    <row r="160" spans="2:10" ht="15" customHeight="1" x14ac:dyDescent="0.3">
      <c r="B160" s="3"/>
      <c r="C160" s="3"/>
      <c r="D160" s="3"/>
      <c r="E160" s="3"/>
      <c r="F160" s="75"/>
      <c r="J160" s="3"/>
    </row>
    <row r="161" spans="2:10" ht="15" customHeight="1" x14ac:dyDescent="0.3">
      <c r="B161" s="3"/>
      <c r="C161" s="3"/>
      <c r="D161" s="3"/>
      <c r="E161" s="3"/>
      <c r="F161" s="75"/>
      <c r="J161" s="3"/>
    </row>
    <row r="162" spans="2:10" ht="15" customHeight="1" x14ac:dyDescent="0.3">
      <c r="B162" s="3"/>
      <c r="C162" s="3"/>
      <c r="D162" s="3"/>
      <c r="E162" s="3"/>
      <c r="F162" s="75"/>
      <c r="J162" s="3"/>
    </row>
    <row r="163" spans="2:10" ht="15" customHeight="1" x14ac:dyDescent="0.3">
      <c r="B163" s="3"/>
      <c r="C163" s="3"/>
      <c r="D163" s="3"/>
      <c r="E163" s="3"/>
      <c r="F163" s="75"/>
      <c r="J163" s="3"/>
    </row>
    <row r="164" spans="2:10" ht="15" customHeight="1" x14ac:dyDescent="0.3">
      <c r="B164" s="3"/>
      <c r="C164" s="3"/>
      <c r="D164" s="3"/>
      <c r="E164" s="3"/>
      <c r="F164" s="75"/>
      <c r="J164" s="3"/>
    </row>
    <row r="165" spans="2:10" ht="15" customHeight="1" x14ac:dyDescent="0.3">
      <c r="B165" s="3"/>
      <c r="C165" s="3"/>
      <c r="D165" s="3"/>
      <c r="E165" s="3"/>
      <c r="F165" s="75"/>
      <c r="J165" s="3"/>
    </row>
    <row r="166" spans="2:10" ht="15" customHeight="1" x14ac:dyDescent="0.3">
      <c r="B166" s="3"/>
      <c r="C166" s="3"/>
      <c r="D166" s="3"/>
      <c r="E166" s="3"/>
      <c r="F166" s="75"/>
      <c r="J166" s="3"/>
    </row>
    <row r="167" spans="2:10" ht="15" customHeight="1" x14ac:dyDescent="0.3">
      <c r="B167" s="3"/>
      <c r="C167" s="3"/>
      <c r="D167" s="3"/>
      <c r="E167" s="3"/>
      <c r="F167" s="75"/>
      <c r="J167" s="3"/>
    </row>
    <row r="168" spans="2:10" ht="15" customHeight="1" x14ac:dyDescent="0.3">
      <c r="B168" s="3"/>
      <c r="C168" s="3"/>
      <c r="D168" s="3"/>
      <c r="E168" s="3"/>
      <c r="F168" s="75"/>
      <c r="J168" s="3"/>
    </row>
    <row r="169" spans="2:10" ht="15" customHeight="1" x14ac:dyDescent="0.3">
      <c r="B169" s="3"/>
      <c r="C169" s="3"/>
      <c r="D169" s="3"/>
      <c r="E169" s="3"/>
      <c r="F169" s="75"/>
      <c r="J169" s="3"/>
    </row>
    <row r="170" spans="2:10" ht="15" customHeight="1" x14ac:dyDescent="0.3">
      <c r="B170" s="3"/>
      <c r="C170" s="3"/>
      <c r="D170" s="3"/>
      <c r="E170" s="3"/>
      <c r="F170" s="75"/>
      <c r="J170" s="3"/>
    </row>
    <row r="171" spans="2:10" ht="15" customHeight="1" x14ac:dyDescent="0.3">
      <c r="B171" s="3"/>
      <c r="C171" s="3"/>
      <c r="D171" s="3"/>
      <c r="E171" s="3"/>
      <c r="F171" s="75"/>
      <c r="J171" s="3"/>
    </row>
    <row r="172" spans="2:10" ht="15" customHeight="1" x14ac:dyDescent="0.3">
      <c r="B172" s="3"/>
      <c r="C172" s="3"/>
      <c r="D172" s="3"/>
      <c r="E172" s="3"/>
      <c r="F172" s="75"/>
      <c r="J172" s="3"/>
    </row>
    <row r="173" spans="2:10" ht="15" customHeight="1" x14ac:dyDescent="0.3">
      <c r="B173" s="3"/>
      <c r="C173" s="3"/>
      <c r="D173" s="3"/>
      <c r="E173" s="3"/>
      <c r="F173" s="75"/>
      <c r="J173" s="3"/>
    </row>
    <row r="174" spans="2:10" ht="15" customHeight="1" x14ac:dyDescent="0.3">
      <c r="B174" s="3"/>
      <c r="C174" s="3"/>
      <c r="D174" s="3"/>
      <c r="E174" s="3"/>
      <c r="F174" s="75"/>
      <c r="J174" s="3"/>
    </row>
    <row r="175" spans="2:10" ht="15" customHeight="1" x14ac:dyDescent="0.3">
      <c r="B175" s="3"/>
      <c r="C175" s="3"/>
      <c r="D175" s="3"/>
      <c r="E175" s="3"/>
      <c r="F175" s="75"/>
      <c r="J175" s="3"/>
    </row>
    <row r="176" spans="2:10" ht="15" customHeight="1" x14ac:dyDescent="0.3">
      <c r="B176" s="3"/>
      <c r="C176" s="3"/>
      <c r="D176" s="3"/>
      <c r="E176" s="3"/>
      <c r="F176" s="75"/>
      <c r="J176" s="3"/>
    </row>
    <row r="822" spans="2:10" ht="15" customHeight="1" x14ac:dyDescent="0.3">
      <c r="B822" s="3"/>
      <c r="C822" s="3"/>
      <c r="D822" s="3"/>
      <c r="E822" s="3"/>
      <c r="F822" s="75"/>
      <c r="J822" s="3"/>
    </row>
    <row r="823" spans="2:10" ht="15" customHeight="1" x14ac:dyDescent="0.3">
      <c r="B823" s="3"/>
      <c r="C823" s="3"/>
      <c r="D823" s="3"/>
      <c r="E823" s="3"/>
      <c r="F823" s="75"/>
      <c r="J823" s="3"/>
    </row>
    <row r="824" spans="2:10" ht="15" customHeight="1" x14ac:dyDescent="0.3">
      <c r="B824" s="3"/>
      <c r="C824" s="3"/>
      <c r="D824" s="3"/>
      <c r="E824" s="3"/>
      <c r="F824" s="75"/>
      <c r="J824" s="3"/>
    </row>
    <row r="825" spans="2:10" ht="15" customHeight="1" x14ac:dyDescent="0.3">
      <c r="B825" s="3"/>
      <c r="C825" s="3"/>
      <c r="D825" s="3"/>
      <c r="E825" s="3"/>
      <c r="F825" s="75"/>
      <c r="J825" s="3"/>
    </row>
    <row r="826" spans="2:10" ht="15" customHeight="1" x14ac:dyDescent="0.3">
      <c r="B826" s="3"/>
      <c r="C826" s="3"/>
      <c r="D826" s="3"/>
      <c r="E826" s="3"/>
      <c r="F826" s="75"/>
      <c r="J826" s="3"/>
    </row>
    <row r="827" spans="2:10" ht="15" customHeight="1" x14ac:dyDescent="0.3">
      <c r="B827" s="3"/>
      <c r="C827" s="3"/>
      <c r="D827" s="3"/>
      <c r="E827" s="3"/>
      <c r="F827" s="75"/>
      <c r="J827" s="3"/>
    </row>
    <row r="828" spans="2:10" ht="15" customHeight="1" x14ac:dyDescent="0.3">
      <c r="B828" s="3"/>
      <c r="C828" s="3"/>
      <c r="D828" s="3"/>
      <c r="E828" s="3"/>
      <c r="F828" s="75"/>
      <c r="J828" s="3"/>
    </row>
    <row r="829" spans="2:10" ht="15" customHeight="1" x14ac:dyDescent="0.3">
      <c r="B829" s="3"/>
      <c r="C829" s="3"/>
      <c r="D829" s="3"/>
      <c r="E829" s="3"/>
      <c r="F829" s="75"/>
      <c r="J829" s="3"/>
    </row>
    <row r="830" spans="2:10" ht="15" customHeight="1" x14ac:dyDescent="0.3">
      <c r="B830" s="3"/>
      <c r="C830" s="3"/>
      <c r="D830" s="3"/>
      <c r="E830" s="3"/>
      <c r="F830" s="75"/>
      <c r="J830" s="3"/>
    </row>
    <row r="831" spans="2:10" ht="15" customHeight="1" x14ac:dyDescent="0.3">
      <c r="B831" s="3"/>
      <c r="C831" s="3"/>
      <c r="D831" s="3"/>
      <c r="E831" s="3"/>
      <c r="F831" s="75"/>
      <c r="J831" s="3"/>
    </row>
    <row r="832" spans="2:10" ht="15" customHeight="1" x14ac:dyDescent="0.3">
      <c r="B832" s="3"/>
      <c r="C832" s="3"/>
      <c r="D832" s="3"/>
      <c r="E832" s="3"/>
      <c r="F832" s="75"/>
      <c r="J832" s="3"/>
    </row>
    <row r="833" spans="2:10" ht="15" customHeight="1" x14ac:dyDescent="0.3">
      <c r="B833" s="3"/>
      <c r="C833" s="3"/>
      <c r="D833" s="3"/>
      <c r="E833" s="3"/>
      <c r="F833" s="75"/>
      <c r="J833" s="3"/>
    </row>
    <row r="834" spans="2:10" ht="15" customHeight="1" x14ac:dyDescent="0.3">
      <c r="B834" s="3"/>
      <c r="C834" s="3"/>
      <c r="D834" s="3"/>
      <c r="E834" s="3"/>
      <c r="F834" s="75"/>
      <c r="J83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Introducción</vt:lpstr>
      <vt:lpstr>Índice</vt:lpstr>
      <vt:lpstr>Glosario</vt:lpstr>
      <vt:lpstr>C1_COT</vt:lpstr>
      <vt:lpstr>C2_LMT</vt:lpstr>
      <vt:lpstr>C3_LMA</vt:lpstr>
      <vt:lpstr>C4_LMR</vt:lpstr>
      <vt:lpstr>C5_LMT_DIAG</vt:lpstr>
      <vt:lpstr>C6_LMA_DIAG</vt:lpstr>
      <vt:lpstr>C7_LMR_DIAG</vt:lpstr>
      <vt:lpstr>C8_GTO_SIL</vt:lpstr>
      <vt:lpstr>C9_IND_SIL</vt:lpstr>
      <vt:lpstr>C10_LMT_SECTOR</vt:lpstr>
      <vt:lpstr>C11_LMA_SECTOR</vt:lpstr>
      <vt:lpstr>C12_LMR_SECTOR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2026-01-29T12:41:06Z</dcterms:modified>
</cp:coreProperties>
</file>