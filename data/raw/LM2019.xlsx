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91EC162E-CA89-46D5-94F2-965BFF9C67E6}" xr6:coauthVersionLast="47" xr6:coauthVersionMax="47" xr10:uidLastSave="{00000000-0000-0000-0000-000000000000}"/>
  <bookViews>
    <workbookView xWindow="-120" yWindow="-16485" windowWidth="29040" windowHeight="15720" tabRatio="913" activeTab="13" xr2:uid="{00000000-000D-0000-FFFF-FFFF00000000}"/>
  </bookViews>
  <sheets>
    <sheet name="Introducción" sheetId="47" r:id="rId1"/>
    <sheet name="Índice" sheetId="48" r:id="rId2"/>
    <sheet name="Glosario" sheetId="49" r:id="rId3"/>
    <sheet name="C1_COT" sheetId="15" r:id="rId4"/>
    <sheet name="C2_LMT" sheetId="25" r:id="rId5"/>
    <sheet name="C3_LMA" sheetId="10" r:id="rId6"/>
    <sheet name="C4_LMR" sheetId="23" r:id="rId7"/>
    <sheet name="C5_LMT_DIAG" sheetId="26" r:id="rId8"/>
    <sheet name="C6_LMA_DIAG" sheetId="35" r:id="rId9"/>
    <sheet name="C7_LMR_DIAG" sheetId="36" r:id="rId10"/>
    <sheet name="C8_GTO_SIL" sheetId="29" r:id="rId11"/>
    <sheet name="C9_IND_SIL" sheetId="46" r:id="rId12"/>
    <sheet name="C10_LMT_SECTOR" sheetId="38" r:id="rId13"/>
    <sheet name="C11_LMA_SECTOR" sheetId="39" r:id="rId14"/>
    <sheet name="C12_LMR_SECTOR" sheetId="40" r:id="rId15"/>
  </sheets>
  <definedNames>
    <definedName name="_xlnm._FilterDatabase" localSheetId="10" hidden="1">'C8_GTO_SIL'!$L$26:$N$35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35" l="1" a="1"/>
  <c r="B23" i="3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<sst xmlns="http://schemas.openxmlformats.org/spreadsheetml/2006/main" count="2921" uniqueCount="630">
  <si>
    <t>FONASA</t>
  </si>
  <si>
    <t>ISAPRE</t>
  </si>
  <si>
    <t>20-24</t>
  </si>
  <si>
    <t>65 y más</t>
  </si>
  <si>
    <t>Independiente</t>
  </si>
  <si>
    <t>Hombre</t>
  </si>
  <si>
    <t>Mujer</t>
  </si>
  <si>
    <t>Rechazadas</t>
  </si>
  <si>
    <t>Pendientes</t>
  </si>
  <si>
    <t>Trastornos mentales</t>
  </si>
  <si>
    <t>Enf. osteomusculares</t>
  </si>
  <si>
    <t>Enf. respiratorias</t>
  </si>
  <si>
    <t>Traumatismos, env. y otros</t>
  </si>
  <si>
    <t>Enf. infecciosas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</si>
  <si>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</si>
  <si>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</si>
  <si>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</si>
  <si>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</si>
  <si>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</si>
  <si>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</si>
  <si>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</si>
  <si>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</si>
  <si>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</si>
  <si>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Biobío (VIII)</t>
  </si>
  <si>
    <t>La Araucanía (IX)</t>
  </si>
  <si>
    <t>Los Ríos (XIV)</t>
  </si>
  <si>
    <t>Los Lagos (X)</t>
  </si>
  <si>
    <t>Aysén (XI)</t>
  </si>
  <si>
    <t>Magallanes (XII)</t>
  </si>
  <si>
    <t>Dependiente privado</t>
  </si>
  <si>
    <t>Dependiente público</t>
  </si>
  <si>
    <t>Otros diagnósticos</t>
  </si>
  <si>
    <t>Dependiente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</si>
  <si>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</si>
  <si>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</si>
  <si>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</si>
  <si>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</si>
  <si>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</si>
  <si>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</si>
  <si>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</si>
  <si>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19 y menos</t>
  </si>
  <si>
    <t>25-34</t>
  </si>
  <si>
    <t>35-44</t>
  </si>
  <si>
    <t>45-54</t>
  </si>
  <si>
    <t>55-64</t>
  </si>
  <si>
    <t>SISTEMA</t>
  </si>
  <si>
    <t>Total</t>
  </si>
  <si>
    <t>Servicios</t>
  </si>
  <si>
    <t>TOTAL</t>
  </si>
  <si>
    <t>AÑOS</t>
  </si>
  <si>
    <t>SEXO</t>
  </si>
  <si>
    <t>TRAMO ETARIO</t>
  </si>
  <si>
    <t>TIPO DE COTIZANTE</t>
  </si>
  <si>
    <t>TRAMO DE REMUNERACIONES            (EN MILES DE $)</t>
  </si>
  <si>
    <t>ISAPRE (*)</t>
  </si>
  <si>
    <t>(*) incluye los días pagados por las LM reclamadas y acogidas total o parcialmente en las instancias de apelación.</t>
  </si>
  <si>
    <t>(*) incluye LM reclamadas y acogidas total o parcialmente en las instancias de apelación.</t>
  </si>
  <si>
    <t>Cuadro N° 1.1:</t>
  </si>
  <si>
    <t>Cuadro N° 1.2:</t>
  </si>
  <si>
    <t>Cuadro N° 1.3:</t>
  </si>
  <si>
    <t xml:space="preserve">Cuadro N° 1.4: </t>
  </si>
  <si>
    <t>Cuadro N° 1.5:</t>
  </si>
  <si>
    <t xml:space="preserve">Cuadro N° 1.6: </t>
  </si>
  <si>
    <t>Cuadro N° 1.7:</t>
  </si>
  <si>
    <t>Cuadro N° 8.1:</t>
  </si>
  <si>
    <t>Cuadro N° 8.2:</t>
  </si>
  <si>
    <t>Cuadro N° 8.3:</t>
  </si>
  <si>
    <t>Cuadro N° 2.1.1:</t>
  </si>
  <si>
    <t>Cuadro N° 2.1.2:</t>
  </si>
  <si>
    <t>Cuadro N° 2.2.1:</t>
  </si>
  <si>
    <t>Cuadro N° 2.2.2:</t>
  </si>
  <si>
    <t>Cuadro N° 3.1.2:</t>
  </si>
  <si>
    <t>Cuadro N° 3.2.2:</t>
  </si>
  <si>
    <t>Cuadro N° 4.1.1:</t>
  </si>
  <si>
    <t>Cuadro N° 4.1.2:</t>
  </si>
  <si>
    <t>Cuadro N° 4.2.1:</t>
  </si>
  <si>
    <t>Cuadro N° 4.2.2:</t>
  </si>
  <si>
    <t>Cuadro N° 1.8:</t>
  </si>
  <si>
    <t>CUADROS N° 1: COTIZANTES CON DERECHO A LICENCIA MÉDICA</t>
  </si>
  <si>
    <t>Cuadro N° 2.1.3:</t>
  </si>
  <si>
    <t>Cuadro N° 2.1.4:</t>
  </si>
  <si>
    <t>Cuadro N° 2.1.5:</t>
  </si>
  <si>
    <t>Cuadro N° 2.2.3:</t>
  </si>
  <si>
    <t>Cuadro N° 2.2.4:</t>
  </si>
  <si>
    <t>Cuadro N° 2.2.5:</t>
  </si>
  <si>
    <t>Cuadro N° 3.1.3:</t>
  </si>
  <si>
    <t>Cuadro N° 3.1.4:</t>
  </si>
  <si>
    <t>Cuadro N° 3.2.3:</t>
  </si>
  <si>
    <t>Cuadro N° 3.1.1:</t>
  </si>
  <si>
    <t>Cuadro N° 4.1.3:</t>
  </si>
  <si>
    <t>Cuadro N° 4.2.3:</t>
  </si>
  <si>
    <t>Cuadro N° 2.1.6:</t>
  </si>
  <si>
    <t>Cuadro N° 2.2.6:</t>
  </si>
  <si>
    <t>Cuadro N° 3.1.5:</t>
  </si>
  <si>
    <t>Cuadro N° 3.2.1:</t>
  </si>
  <si>
    <t>Cuadro N° 3.2.5:</t>
  </si>
  <si>
    <t>Cuadro N° 3.2.4:</t>
  </si>
  <si>
    <t>Cuadro N° 4.1.4:</t>
  </si>
  <si>
    <t>Cuadro N° 4.2.4:</t>
  </si>
  <si>
    <t>Cuadro N° 5.1.1.1:</t>
  </si>
  <si>
    <t>Cuadro N° 5.1.2.1:</t>
  </si>
  <si>
    <t>Cuadro N° 5.1.2.2:</t>
  </si>
  <si>
    <t>Cuadro N° 5.1.3.1:</t>
  </si>
  <si>
    <t>Cuadro N° 5.1.4.1:</t>
  </si>
  <si>
    <t>Cuadro N° 5.1.3.2:</t>
  </si>
  <si>
    <t>Cuadro N° 5.1.4.2:</t>
  </si>
  <si>
    <t>Cuadro N° 5.2.1.1:</t>
  </si>
  <si>
    <t>Cuadro N° 5.2.2.1:</t>
  </si>
  <si>
    <t>Cuadro N° 5.2.3.1:</t>
  </si>
  <si>
    <t>Cuadro N° 5.2.4.1:</t>
  </si>
  <si>
    <t>Cuadro N° 5.2.2.2:</t>
  </si>
  <si>
    <t>Cuadro N° 5.2.3.2:</t>
  </si>
  <si>
    <t>Cuadro N° 5.2.4.2:</t>
  </si>
  <si>
    <t>Cuadro N° 6.1.1.1:</t>
  </si>
  <si>
    <t>Cuadro N° 6.1.2.1:</t>
  </si>
  <si>
    <t>Cuadro N° 6.1.3.1:</t>
  </si>
  <si>
    <t>Cuadro N° 6.1.4.1:</t>
  </si>
  <si>
    <t>Cuadro N° 6.1.2.2:</t>
  </si>
  <si>
    <t>Cuadro N° 6.1.3.2:</t>
  </si>
  <si>
    <t>Cuadro N° 6.1.4.2:</t>
  </si>
  <si>
    <t>Cuadro N° 6.2.1.1:</t>
  </si>
  <si>
    <t>Cuadro N° 6.2.2.1:</t>
  </si>
  <si>
    <t>Cuadro N° 6.2.3.1:</t>
  </si>
  <si>
    <t>Cuadro N° 6.2.4.1:</t>
  </si>
  <si>
    <t>Cuadro N° 6.2.2.2:</t>
  </si>
  <si>
    <t>Cuadro N° 6.2.3.2:</t>
  </si>
  <si>
    <t>Cuadro N° 6.2.4.2:</t>
  </si>
  <si>
    <t>Cuadro N° 7.1.1.1:</t>
  </si>
  <si>
    <t>Cuadro N° 7.1.2.1:</t>
  </si>
  <si>
    <t>Cuadro N° 7.1.3.1:</t>
  </si>
  <si>
    <t>Cuadro N° 7.1.4.1:</t>
  </si>
  <si>
    <t>Cuadro N° 7.1.2.2:</t>
  </si>
  <si>
    <t>Cuadro N° 7.1.3.2:</t>
  </si>
  <si>
    <t>Cuadro N° 7.1.4.2:</t>
  </si>
  <si>
    <t>Cuadro N° 7.2.1.1:</t>
  </si>
  <si>
    <t>Cuadro N° 7.2.2.1:</t>
  </si>
  <si>
    <t>Cuadro N° 7.2.3.1:</t>
  </si>
  <si>
    <t>Cuadro N° 7.2.4.1:</t>
  </si>
  <si>
    <t>Cuadro N° 7.2.2.2:</t>
  </si>
  <si>
    <t>Cuadro N° 7.2.3.2:</t>
  </si>
  <si>
    <t>Cuadro N° 7.2.4.2:</t>
  </si>
  <si>
    <t>CUADROS N° 2: LICENCIAS MÉDICAS TRAMITADAS Y DÍAS OTORGADOS</t>
  </si>
  <si>
    <t>CUADROS N° 3: LICENCIAS MÉDICAS AUTORIZADAS Y DÍAS PAGADOS</t>
  </si>
  <si>
    <t>CUADROS N° 4: LICENCIAS MÉDICAS RECHAZADAS Y DÍAS RECHAZADOS</t>
  </si>
  <si>
    <t>CUADROS N° 5: LICENCIAS MÉDICAS TRAMITADAS Y DÍAS OTORGADOS POR PRINCIPALES GRUPOS DIAGNÓSTICOS (CIE-10)</t>
  </si>
  <si>
    <t>CUADROS N° 6: LICENCIAS MÉDICAS AUTORIZADAS Y DÍAS PAGADOS POR PRINCIPALES GRUPOS DIAGNÓSTICOS (CIE-10)</t>
  </si>
  <si>
    <t>CUADROS N° 7: LICENCIAS MÉDICAS RECHAZADAS Y DÍAS RECHAZADOS POR PRINCIPALES GRUPOS DIAGNÓSTICOS (CIE-10)</t>
  </si>
  <si>
    <t>CUADROS N° 8: GASTO EN SUBSIDIOS POR INCAPACIDAD LABORAL</t>
  </si>
  <si>
    <t>TIPO DE DIAGNÓSTICO</t>
  </si>
  <si>
    <t>REGIÓN</t>
  </si>
  <si>
    <t>ACTIVIDAD ECONÓMICA</t>
  </si>
  <si>
    <t>TIPO DE RESOLUCIÓN</t>
  </si>
  <si>
    <t xml:space="preserve">Cuadro N° 1.9.1: </t>
  </si>
  <si>
    <t xml:space="preserve">Cuadro N° 1.9.2: </t>
  </si>
  <si>
    <t>HOMBRE</t>
  </si>
  <si>
    <t>MUJER</t>
  </si>
  <si>
    <t xml:space="preserve">Cuadro N° 1.10.1: </t>
  </si>
  <si>
    <t xml:space="preserve">Cuadro N° 1.10.2: </t>
  </si>
  <si>
    <t>VALORES PROMEDIOS</t>
  </si>
  <si>
    <t>Remuneración</t>
  </si>
  <si>
    <t>Reumeración dependientes</t>
  </si>
  <si>
    <t>Remuneración independientes</t>
  </si>
  <si>
    <t>Edad</t>
  </si>
  <si>
    <t>Enf. del Sistema Digestivo</t>
  </si>
  <si>
    <t>Afecciones del embarazo, Parto y Puerperio</t>
  </si>
  <si>
    <t>Enfermedades del Sist Genito urinario</t>
  </si>
  <si>
    <t>Tumores y Cánceres</t>
  </si>
  <si>
    <t>Otros Diagnósticos</t>
  </si>
  <si>
    <t>Cuadro 8.4.1:</t>
  </si>
  <si>
    <t>PÚBLICO</t>
  </si>
  <si>
    <t>PRIVADO</t>
  </si>
  <si>
    <t>Cuadro 8.4.2:</t>
  </si>
  <si>
    <t>Cuadro N° 11.1.1.1:</t>
  </si>
  <si>
    <t>TIPO DE SECTOR</t>
  </si>
  <si>
    <t>Público</t>
  </si>
  <si>
    <t>Privado</t>
  </si>
  <si>
    <t>Cuadro N° 11.1.2.1:</t>
  </si>
  <si>
    <t>Cuadro N° 11.1.2.2:</t>
  </si>
  <si>
    <t>Cuadro N° 11.1.3.1:</t>
  </si>
  <si>
    <t>Cuadro N° 11.1.3.2:</t>
  </si>
  <si>
    <t>Cuadro N° 11.1.4.1:</t>
  </si>
  <si>
    <t>Cuadro N° 11.1.4.2:</t>
  </si>
  <si>
    <t>Cuadro N° 11.2.1.1:</t>
  </si>
  <si>
    <t>Cuadro N° 11.2.2.1:</t>
  </si>
  <si>
    <t>Cuadro N° 11.2.2.2:</t>
  </si>
  <si>
    <t>Cuadro N° 11.2.3.1:</t>
  </si>
  <si>
    <t>Cuadro N° 11.2.3.2:</t>
  </si>
  <si>
    <t>Cuadro N° 11.2.4.1:</t>
  </si>
  <si>
    <t>Cuadro N° 11.2.4.2:</t>
  </si>
  <si>
    <t>Cuadro N° 12.1.1.1:</t>
  </si>
  <si>
    <t>Cuadro N° 12.1.2.1:</t>
  </si>
  <si>
    <t>Cuadro N° 12.1.2.2:</t>
  </si>
  <si>
    <t>Cuadro N° 12.1.3.1:</t>
  </si>
  <si>
    <t>Cuadro N° 12.1.3.2:</t>
  </si>
  <si>
    <t>Cuadro N° 12.1.4.1:</t>
  </si>
  <si>
    <t>Cuadro N° 12.1.4.2:</t>
  </si>
  <si>
    <t>Cuadro N° 12.2.1.1:</t>
  </si>
  <si>
    <t>Cuadro N° 12.2.2.1:</t>
  </si>
  <si>
    <t>Cuadro N° 12.2.2.2:</t>
  </si>
  <si>
    <t>Cuadro N° 12.2.3.1:</t>
  </si>
  <si>
    <t>Cuadro N° 12.2.3.2:</t>
  </si>
  <si>
    <t>Cuadro N° 12.2.4.1:</t>
  </si>
  <si>
    <t>Cuadro N° 12.2.4.2:</t>
  </si>
  <si>
    <t>Enf. cardiovasculares</t>
  </si>
  <si>
    <t>Enf. Cardiovasculares</t>
  </si>
  <si>
    <t>Cuadro N° 10.1.1.1:</t>
  </si>
  <si>
    <t>Cuadro N° 10.1.2.1:</t>
  </si>
  <si>
    <t>Cuadro N° 10.1.2.2:</t>
  </si>
  <si>
    <t>Cuadro N° 10.1.3.1:</t>
  </si>
  <si>
    <t>Cuadro N° 10.1.3.2:</t>
  </si>
  <si>
    <t>Cuadro N° 10.1.4.1:</t>
  </si>
  <si>
    <t>Cuadro N° 10.1.4.2:</t>
  </si>
  <si>
    <t>Cuadro N° 10.2.1.1:</t>
  </si>
  <si>
    <t>Cuadro N° 10.2.2.1:</t>
  </si>
  <si>
    <t>Cuadro N° 10.2.2.2:</t>
  </si>
  <si>
    <t>Cuadro N° 10.2.3.1:</t>
  </si>
  <si>
    <t>Cuadro N° 10.2.3.2:</t>
  </si>
  <si>
    <t>Cuadro N° 10.2.4.1:</t>
  </si>
  <si>
    <t>Cuadro N° 10.2.4.2:</t>
  </si>
  <si>
    <t>CUADROS N° 10: LICENCIAS MÉDICAS TRAMITADAS Y DÍAS OTORGADOS POR TIPO SECTOR</t>
  </si>
  <si>
    <t>CUADROS N° 11: LICENCIAS MÉDICAS AUTORIZADAS Y DÍAS PAGADOS POR TIPO SECTOR</t>
  </si>
  <si>
    <t>CUADROS N° 12: LICENCIAS MÉDICAS RECHAZADAS Y DÍAS RECHAZADOS POR TIPO SECTOR</t>
  </si>
  <si>
    <t>Sin información</t>
  </si>
  <si>
    <t>SIN INFORMACIÓN</t>
  </si>
  <si>
    <t>Traumatismos, envenenamientos y otros</t>
  </si>
  <si>
    <t>Enfermedades del Sist. Genito urinario</t>
  </si>
  <si>
    <t>Sin Información</t>
  </si>
  <si>
    <t>INDEPENDIENTE</t>
  </si>
  <si>
    <t>(*) Se incluye en sector privado las LM de los trabajadores independientes</t>
  </si>
  <si>
    <t>&lt;300</t>
  </si>
  <si>
    <t>Autorizadas</t>
  </si>
  <si>
    <t>Ampliadas</t>
  </si>
  <si>
    <t>Reducidas</t>
  </si>
  <si>
    <t>Cuadro N° 2.1.7:</t>
  </si>
  <si>
    <t>Cuadro N° 2.1.8:</t>
  </si>
  <si>
    <t>Cuadro N° 2.2.7:</t>
  </si>
  <si>
    <t>Cuadro N° 2.2.8:</t>
  </si>
  <si>
    <t>Cuadro N° 3.1.6:</t>
  </si>
  <si>
    <t>Cuadro N° 3.1.7:</t>
  </si>
  <si>
    <t>Cuadro N° 3.2.6:</t>
  </si>
  <si>
    <t>Cuadro N° 3.2.7:</t>
  </si>
  <si>
    <t>Cuadro N° 4.1.5:</t>
  </si>
  <si>
    <t>Cuadro N° 4.1.6:</t>
  </si>
  <si>
    <t>Cuadro N° 4.2.5:</t>
  </si>
  <si>
    <t>Cuadro N° 4.2.6:</t>
  </si>
  <si>
    <t>Número de cotizantes, según seguro de salud y sexo año 2019</t>
  </si>
  <si>
    <t>Número de cotizantes, según seguro de salud y tramo etario año 2019</t>
  </si>
  <si>
    <t>Número de cotizantes, según seguro de salud y tipo de cotizante año 2019</t>
  </si>
  <si>
    <t>Número de cotizantes, según seguro de salud y región año 2019</t>
  </si>
  <si>
    <t>Número de cotizantes, según seguro de salud y tramo de remuneraciones año 2019</t>
  </si>
  <si>
    <t>Número de cotizantes, según seguro de salud y actividad económica año 2019</t>
  </si>
  <si>
    <t>Número de cotizantes FONASA, según sexo y tramo de remuneraciones año 2019</t>
  </si>
  <si>
    <t>Número de cotizantes ISAPREs, según sexo y tramo de remuneraciones año 2019</t>
  </si>
  <si>
    <t>Estadísticas promedio de cotizantes FONASA, según sexo año 2019</t>
  </si>
  <si>
    <t>Estadísticas promedio de cotizantes ISAPREs, según sexo año 2019</t>
  </si>
  <si>
    <t>Número de cotizantes, según seguro de salud años 2015-2019</t>
  </si>
  <si>
    <t>300-600</t>
  </si>
  <si>
    <t>600-900</t>
  </si>
  <si>
    <t>900-1200</t>
  </si>
  <si>
    <t>1200-1500</t>
  </si>
  <si>
    <t>1500-1800</t>
  </si>
  <si>
    <t>1800-2200</t>
  </si>
  <si>
    <t>&gt;2200</t>
  </si>
  <si>
    <t>Renta imponible promedio anual para el universo de cotizantes, según seguro de salud (miles $ de cada año) años 2015-2019</t>
  </si>
  <si>
    <t>Número de licencias médicas tramitadas, según seguro de salud y sexo año 2019</t>
  </si>
  <si>
    <t>Número de días otorgados, según seguro de salud y sexo año 2019</t>
  </si>
  <si>
    <t>Número de licencias médicas tramitadas, según seguro de salud y tramo etario año 2019</t>
  </si>
  <si>
    <t>Número de dias otorgados, según seguro de salud y tramo etario año 2019</t>
  </si>
  <si>
    <t>Número de licencias médicas tramitadas, según seguro de salud y tipo de sector año 2019</t>
  </si>
  <si>
    <t>Número de dias otorgados, según seguro de salud y tipo de sector año 2019</t>
  </si>
  <si>
    <t>Número de licencias médicas tramitadas, según seguro de salud y región año 2019</t>
  </si>
  <si>
    <t>Número de dias otorgados, según seguro de salud y región año 2019</t>
  </si>
  <si>
    <t>Número de licencias médicas tramitadas, según seguro de salud y  tipo de resolución año 2019</t>
  </si>
  <si>
    <t>Número de dias otorgados, según seguro de salud y  tipo de resolución año 2019</t>
  </si>
  <si>
    <t>Número de licencias médicas tramitadas MUJERES, según seguro de salud y región año 2019</t>
  </si>
  <si>
    <t>Número de dias otorgados a MUJERES, según seguro de salud y región año 2019</t>
  </si>
  <si>
    <t>Número de licencias médicas tramitadas HOMBRES, según seguro de salud y región año 2019</t>
  </si>
  <si>
    <t>Número de dias otorgados a HOMBRES, según seguro de salud y región año 2019</t>
  </si>
  <si>
    <t>Número de licencias médicas tramitadas, según seguro de salud años 2015-2019</t>
  </si>
  <si>
    <t>Número de días otorgados, según seguro de salud años 2015-2019</t>
  </si>
  <si>
    <t>Número de licencias médicas autorizadas, según seguro de salud años 2015-2019</t>
  </si>
  <si>
    <t>Número de días pagados, según seguro de salud años 2015-2019</t>
  </si>
  <si>
    <t>Número de licencias médicas autorizadas, según seguro de salud y sexo año 2019</t>
  </si>
  <si>
    <t>Número de días pagados, según seguro de salud y sexo año 2019</t>
  </si>
  <si>
    <t>Número de licencias médicas autorizadas, según seguro de salud y tramo etario año 2019</t>
  </si>
  <si>
    <t>Número de dias pagados, según seguro de salud y tramo etario año 2019</t>
  </si>
  <si>
    <t>Número de licencias médicas autorizadas, según seguro de salud y tipo de sector año 2019</t>
  </si>
  <si>
    <t>Número de dias pagados, según seguro de salud y tipo de sector año 2019</t>
  </si>
  <si>
    <t>Número de licencias médicas autorizadas, según seguro de salud y región año 2019</t>
  </si>
  <si>
    <t>Número de dias pagados, según seguro de salud y región año 2019</t>
  </si>
  <si>
    <t>Número de licencias médicas autorizadas a MUJERES, según seguro de salud y región año 2019</t>
  </si>
  <si>
    <t>Número de dias  pagados a MUJERES, según seguro de salud y región año 2019</t>
  </si>
  <si>
    <t>Número de licencias médicas autorizadas a HOMBRES, según seguro de salud y región año 2019</t>
  </si>
  <si>
    <t>Número de dias pagados a HOMBRES, según seguro de salud y región año 2019</t>
  </si>
  <si>
    <t>Número de licencias médicas rechazadas, según seguro de salud y sexo año 2019</t>
  </si>
  <si>
    <t>Número de días rechazados, según seguro de salud y sexo año 2019</t>
  </si>
  <si>
    <t>Número de licencias médicas rechazadas, según seguro de salud y tramo etario año 2019</t>
  </si>
  <si>
    <t>Número de dias rechazados, según seguro de salud y tramo etario año 2019</t>
  </si>
  <si>
    <t>Número de licencias médicas rechazadas, según seguro de salud y región año 2019</t>
  </si>
  <si>
    <t>Número de dias rechazados, según seguro de salud y región año 2019</t>
  </si>
  <si>
    <t>Número de licencias médicas rechazadas a MUJERES, según seguro de salud y región año 2019</t>
  </si>
  <si>
    <t>Número de dias  rechazados a MUJERES, según seguro de salud y región año 2019</t>
  </si>
  <si>
    <t>Número de licencias médicas rechazadas a HOMBRES, según seguro de salud y región año 2019</t>
  </si>
  <si>
    <t>Número de dias rechazados a HOMBRES, según seguro de salud y región año 2019</t>
  </si>
  <si>
    <t>Número de licencias médicas rechazadas, según seguro de salud años 2015-2019</t>
  </si>
  <si>
    <t>Número de días rechazados, según seguro de salud años 2015-2019</t>
  </si>
  <si>
    <t>Número de licencias médicas tramitadas FONASA, según seguro de salud año 2019</t>
  </si>
  <si>
    <t>Número de licencias médicas tramitadas FONASA, según tipo de diagnóstico y sexo año 2019</t>
  </si>
  <si>
    <t>Número de licencias médicas tramitadas ISAPREs, según tipo de diagnóstico y sexo año 2019</t>
  </si>
  <si>
    <t>Número de licencias médicas tramitadas FONASA, según tipo de diagnóstico y tramo etario año 2019</t>
  </si>
  <si>
    <t>Número de licencias médicas tramitadas ISAPREs, según tipo de diagnóstico y tramo etario año 2019</t>
  </si>
  <si>
    <t>Número de licencias médicas tramitadas FONASA, según tipo de diagnóstico y región año 2019</t>
  </si>
  <si>
    <t>Número de licencias médicas tramitadas ISAPREs, según tipo de diagnóstico y región año 2019</t>
  </si>
  <si>
    <t>Número de días otorgados, según seguro de salud y tipo de diagnóstico año 2019</t>
  </si>
  <si>
    <t>Número de días otorgados FONASA, según tipo de diagnóstico y sexo año 2019</t>
  </si>
  <si>
    <t>Número de días otorgados ISAPREs, según tipo de diagnóstico y sexo año 2019</t>
  </si>
  <si>
    <t>Número de días otorgados FONASA, según tipo de diagnóstico y tramo etario año 2019</t>
  </si>
  <si>
    <t>Número de días otorgados ISAPREs, según tipo de diagnóstico y tramo etario año 2019</t>
  </si>
  <si>
    <t>Número de días otorgados FONASA, según tipo de diagnóstico y región año 2019</t>
  </si>
  <si>
    <t>Número de días otorgados ISAPREs, según tipo de diagnóstico y región año 2019</t>
  </si>
  <si>
    <t>Número de licencias médicas autorizadas, según seguro de salud y tipo de diagnóstico año 2019</t>
  </si>
  <si>
    <t>Número de licencias médicas autorizadas FONASA, según tipo de diagnóstico y sexo año 2019</t>
  </si>
  <si>
    <t>Número de licencias médicas autorizadas ISAPREs, según tipo de diagnóstico y sexo año 2019 (*)</t>
  </si>
  <si>
    <t>Número de licencias médicas autorizadas FONASA, según tipo de diagnóstico y tramo etario año 2019</t>
  </si>
  <si>
    <t>Número de licencias médicas autorizadas ISAPREs, según tipo de diagnóstico y tramo etario año 2019 (*)</t>
  </si>
  <si>
    <t>Número de licencias médicas autorizadas FONASA, según tipo de diagnóstico y región año 2019</t>
  </si>
  <si>
    <t>Número de licencias médicas autorizadas ISAPREs, según tipo de diagnóstico y región año 2019 (*)</t>
  </si>
  <si>
    <t>Número de días pagados, según seguro de salud y tipo de diagnóstico año 2019</t>
  </si>
  <si>
    <t>Número de días pagados FONASA, según tipo de diagnóstico y sexo año 2019</t>
  </si>
  <si>
    <t>Número de días pagados ISAPREs, según tipo de diagnóstico y sexo año 2019 (*)</t>
  </si>
  <si>
    <t>Número de días pagados FONASA, según tipo de diagnóstico y tramo etario año 2019</t>
  </si>
  <si>
    <t>Número de días pagados ISAPREs, según tipo de diagnóstico y tramo etario año 2019 (*)</t>
  </si>
  <si>
    <t>Número de días pagados FONASA, según tipo de diagnóstico y región año 2019</t>
  </si>
  <si>
    <t>Número de días pagados ISAPREs, según tipo de diagnóstico y región año 2019 (*)</t>
  </si>
  <si>
    <t>Número de licencias médicas rechazadas, según seguro de salud y tipo de diagnóstico año 2019</t>
  </si>
  <si>
    <t>Número de licencias médicas rechazadas FONASA, según tipo de diagnóstico y sexo año 2019</t>
  </si>
  <si>
    <t>Número de licencias médicas rechazadas ISAPREs, según tipo de diagnóstico y sexo año 2019</t>
  </si>
  <si>
    <t>Número de licencias médicas rechazadas FONASA, según tipo de diagnóstico y tramo etario año 2019</t>
  </si>
  <si>
    <t>Número de licencias médicas rechazadas ISAPREs, según tipo de diagnóstico y tramo etario año 2019</t>
  </si>
  <si>
    <t>Número de licencias médicas rechazadas FONASA, según tipo de diagnóstico y región año 2019</t>
  </si>
  <si>
    <t>Número de licencias médicas rechazadas ISAPREs, según tipo de diagnóstico y región año 2019</t>
  </si>
  <si>
    <t>Número de días rechazados, según seguro de salud y tipo de diagnóstico año 2019</t>
  </si>
  <si>
    <t>Número de días rechazados FONASA, según tipo de diagnóstico y sexo año 2019</t>
  </si>
  <si>
    <t>Número de días rechazados ISAPREs, según tipo de diagnóstico y sexo año 2019</t>
  </si>
  <si>
    <t>Número de días rechazados FONASA, según tipo de diagnóstico y tramo etario año 2019</t>
  </si>
  <si>
    <t>Número de días rechazados ISAPREs, según tipo de diagnóstico y tramo etario año 2019</t>
  </si>
  <si>
    <t>Número de días rechazados FONASA, según tipo de diagnóstico y región año 2019</t>
  </si>
  <si>
    <t>Número de días rechazados ISAPREs, según tipo de diagnóstico y región año 2019</t>
  </si>
  <si>
    <t>Gasto en SIL por licencias médicas, según seguro de salud y tipo de diagnóstico (miles $ de diciembre 2019) año 2019</t>
  </si>
  <si>
    <t>Gasto en SIL nominal por licencias médicas, según seguro de salud (miles $ de cada año) años 2015-2019</t>
  </si>
  <si>
    <t>Gasto en SIL por licencias médicas, según seguro de salud (miles $ de diciembre 2019) años 2015-2019</t>
  </si>
  <si>
    <t>Número de licencias médicas tramitadas ISAPREs, según tipo de sector y sexo año 2019</t>
  </si>
  <si>
    <t>Número de licencias médicas tramitadas ISAPREs, según tipo de sector y tramo etario año 2019</t>
  </si>
  <si>
    <t>Número de licencias médicas tramitadas ISAPREs, según tipo de sector y diagnóstico año 2019</t>
  </si>
  <si>
    <t>Número de días otorgados, según seguro de salud y tipo de sector año 2019</t>
  </si>
  <si>
    <t>Número de días otorgados ISAPREs, según tipo de sector y sexo año 2019</t>
  </si>
  <si>
    <t>Número de días otorgados ISAPREs, según tipo de sector y tramo etario año 2019</t>
  </si>
  <si>
    <t>Número de días otorgados ISAPREs, según tipo de sector y diagnóstico año 2019</t>
  </si>
  <si>
    <t>Número de días pagados, según seguro de salud y tipo de sector año 2019</t>
  </si>
  <si>
    <t>Número de licencias médicas rechazadas, según seguro de salud y tipo de sector año 2019</t>
  </si>
  <si>
    <t>Número de licencias médicas rechazadas ISAPREs, según tipo de sector y sexo año 2019</t>
  </si>
  <si>
    <t>Número de licencias médicas rechazadas ISAPREs, según tipo de sector y tramo etario año 2019</t>
  </si>
  <si>
    <t>Número de licencias médicas rechazadas ISAPREs, según tipo de sector y diagnóstico año 2019</t>
  </si>
  <si>
    <t>Número de días rechazados, según seguro de salud y tipo de sector año 2019</t>
  </si>
  <si>
    <t>Número de días rechazados ISAPREs, según tipo de sector y sexo año 2019</t>
  </si>
  <si>
    <t>Número de días rechazados ISAPREs, según tipo de sector y tramo etario año 2019</t>
  </si>
  <si>
    <t>Número de días rechazados ISAPREs, según tipo de sector y diagnóstico año 2019</t>
  </si>
  <si>
    <t>Ñuble (XVI)</t>
  </si>
  <si>
    <t>2018-2019</t>
  </si>
  <si>
    <t>TRAMO DE REMUNERACIONES (EN MILES DE $)</t>
  </si>
  <si>
    <t>Indefinido</t>
  </si>
  <si>
    <t>CUADROS N° 9: INDICADORES DE GASTO EN SUBSIDIOS POR INCAPACIDAD LABORAL</t>
  </si>
  <si>
    <t>Cuadro N° 9.1:</t>
  </si>
  <si>
    <t>Cuadro N° 9.2:</t>
  </si>
  <si>
    <t>Cuadro N° 9.3:</t>
  </si>
  <si>
    <t>Cuadro N° 9.4:</t>
  </si>
  <si>
    <t>Cuadro N° 9.5:</t>
  </si>
  <si>
    <t>Cuadro N° 9.6:</t>
  </si>
  <si>
    <t>Gasto en SIL por cotizante, según seguro de salud (miles $ de diciembre 2019) años 2015-2019</t>
  </si>
  <si>
    <t>Número de días pagados por cotizante, según seguro de salud años 2015-2019</t>
  </si>
  <si>
    <t>Porcentaje de cotización necesario para financiar el SIL, según seguro de salud años 2015-2019</t>
  </si>
  <si>
    <t>Número de días pagados por licencia médica autorizada, según seguro de salud años 2015-2019</t>
  </si>
  <si>
    <t>Gasto en SIL por día pagado, según seguro de salud (miles $ de diciembre 2019) años 2015-2019</t>
  </si>
  <si>
    <t>SIN INFORMACION</t>
  </si>
  <si>
    <t>Gasto en SIL por licencia médica autorizada, según seguro de salud (miles $ de diciembre 2019) años 2015-2019</t>
  </si>
  <si>
    <t>Introducción</t>
  </si>
  <si>
    <t>ÍNDICE DE CUADROS</t>
  </si>
  <si>
    <t>CUADROS N° 5: LICENCIAS MÉDICAS TRAMITADAS Y DÍAS OTORGADOS POR PRINCIPALES GRUPOS DIAGNÓSTICO (CIE-10)</t>
  </si>
  <si>
    <t>CUADROS N° 6: LICENCIAS MÉDICAS AUTORIZADAS Y DÍAS PAGADOS POR PRINCIPALES GRUPOS DIAGNÓSTICO (CIE-10)</t>
  </si>
  <si>
    <t>CUADROS N° 7: LICENCIAS MÉDICAS RECHAZADAS Y DÍAS RECHAZADOS POR PRINCIPALES GRUPOS DIAGNÓSTICO (CIE-10)</t>
  </si>
  <si>
    <t>CUADROS N° 8: GASTO POR SUBSIDIO POR INCAPACIDAD LABORAL</t>
  </si>
  <si>
    <t>CUADROS N° 9: INDICADORES DE GASTO POR SUBSIDIO POR INCAPACIDAD LABORAL</t>
  </si>
  <si>
    <t>GLOSARIO</t>
  </si>
  <si>
    <t>Abreviatura</t>
  </si>
  <si>
    <t>Glosa</t>
  </si>
  <si>
    <t>C1</t>
  </si>
  <si>
    <t>Cuadros N° 1</t>
  </si>
  <si>
    <t>C2</t>
  </si>
  <si>
    <t>Cuadros N° 2</t>
  </si>
  <si>
    <t>C3</t>
  </si>
  <si>
    <t>Cuadros N° 3</t>
  </si>
  <si>
    <t>C4</t>
  </si>
  <si>
    <t>Cuadros N° 4</t>
  </si>
  <si>
    <t>C5</t>
  </si>
  <si>
    <t>Cuadros N° 5</t>
  </si>
  <si>
    <t>C6</t>
  </si>
  <si>
    <t>Cuadros N° 6</t>
  </si>
  <si>
    <t>C7</t>
  </si>
  <si>
    <t>Cuadros N° 7</t>
  </si>
  <si>
    <t>C8</t>
  </si>
  <si>
    <t>Cuadros N° 8</t>
  </si>
  <si>
    <t>C9</t>
  </si>
  <si>
    <t>Cuadros N° 9</t>
  </si>
  <si>
    <t>C10</t>
  </si>
  <si>
    <t>Cuadros N° 10</t>
  </si>
  <si>
    <t>C11</t>
  </si>
  <si>
    <t>Cuadros N° 11</t>
  </si>
  <si>
    <t>DIAG</t>
  </si>
  <si>
    <t>Diagnósticos (CIE-10)</t>
  </si>
  <si>
    <t>GTO</t>
  </si>
  <si>
    <t>Gasto</t>
  </si>
  <si>
    <t>IND</t>
  </si>
  <si>
    <t>Indicadores</t>
  </si>
  <si>
    <t>LMA</t>
  </si>
  <si>
    <t>Licencia Médica Autorizada</t>
  </si>
  <si>
    <t>LMR</t>
  </si>
  <si>
    <t>Licencia Médica Rechazada</t>
  </si>
  <si>
    <t>LMT</t>
  </si>
  <si>
    <t>Licencia Médica Tramitada</t>
  </si>
  <si>
    <t>SIL</t>
  </si>
  <si>
    <t>Subsidio por Incapacidad Laboral</t>
  </si>
  <si>
    <t>C12</t>
  </si>
  <si>
    <t>Cuadros N° 12</t>
  </si>
  <si>
    <t>COT</t>
  </si>
  <si>
    <t>Cotizantes con Derecho a Licencia Médica</t>
  </si>
  <si>
    <t>INDETERMINADO</t>
  </si>
  <si>
    <t>Cuadro N° 1.2: Número de cotizantes, según seguro de salud y sexo año 2019</t>
  </si>
  <si>
    <t>Cuadro N° 1.3: Número de cotizantes, según seguro de salud y tramo etario año 2019</t>
  </si>
  <si>
    <t>Cuadro N° 1.4: Número de cotizantes, según seguro de salud y tipo de cotizante año 2019</t>
  </si>
  <si>
    <t>Cuadro N° 1.5: Número de cotizantes, según seguro de salud y región año 2019</t>
  </si>
  <si>
    <t>Cuadro N° 1.6: Número de cotizantes, según seguro de salud y tramo de remuneraciones año 2019</t>
  </si>
  <si>
    <t>Cuadro N° 1.7: Número de cotizantes, según seguro de salud y actividad económica año 2019</t>
  </si>
  <si>
    <t>Cuadro N° 2.1.2: Número de licencias médicas tramitadas, según seguro de salud y sexo año 2019</t>
  </si>
  <si>
    <t>Cuadro N° 2.1.3: Número de licencias médicas tramitadas, según seguro de salud y tramo etario año 2019</t>
  </si>
  <si>
    <t>Cuadro N° 2.1.4: Número de licencias médicas tramitadas, según seguro de salud y tipo de sector año 2019</t>
  </si>
  <si>
    <t>Cuadro N° 2.1.5: Número de licencias médicas tramitadas, según seguro de salud y región año 2019</t>
  </si>
  <si>
    <t>Cuadro N° 2.1.6: Número de licencias médicas tramitadas, según seguro de salud y  tipo de resolución año 2019</t>
  </si>
  <si>
    <t>Cuadro N° 2.2.2: Número de días otorgados, según seguro de salud y sexo año 2019</t>
  </si>
  <si>
    <t>Cuadro N° 2.2.3: Número de días otorgados, según seguro de salud y tramo etario año 2019</t>
  </si>
  <si>
    <t>Cuadro N° 2.2.4: Número de días otorgados, según seguro de salud y tipo de sector año 2019</t>
  </si>
  <si>
    <t>Cuadro N° 2.2.5: Número de días otorgados, según seguro de salud y región año 2019</t>
  </si>
  <si>
    <t>Cuadro N° 3.1.2: Número de licencias médicas autorizadas, según seguro de salud y sexo año 2019</t>
  </si>
  <si>
    <t>Cuadro N° 3.1.3: Número de licencias médicas autorizadas, según seguro de salud y tramo etario año 2019</t>
  </si>
  <si>
    <t>Cuadro N° 3.1.4: Número de licencias médicas autorizadas, según seguro de salud y tipo de sector año 2019</t>
  </si>
  <si>
    <t>Cuadro N° 3.1.5: Número de licencias médicas autorizadas, según seguro de salud y región año 2019</t>
  </si>
  <si>
    <t>Cuadro N° 3.2.2: Número de días pagados, según seguro de salud y sexo año 2019</t>
  </si>
  <si>
    <t>Cuadro N° 3.2.3: Número de días pagados, según seguro de salud y tramo etario año 2019</t>
  </si>
  <si>
    <t>Cuadro N° 3.2.4: Número de días pagados, según seguro de salud y tipo de sector año 2019</t>
  </si>
  <si>
    <t>Cuadro N° 3.2.5: Número de días pagados, según seguro de salud y región año 2019</t>
  </si>
  <si>
    <t>Cuadro N° 4.1.2: Número de licencias médicas rechazadas, según seguro de salud y sexo año 2019</t>
  </si>
  <si>
    <t>Cuadro N° 4.1.3: Número de licencias médicas rechazadas, según seguro de salud y tramo etario año 2019</t>
  </si>
  <si>
    <t>Cuadro N° 4.1.4: Número de licencias médicas rechazadas, según seguro de salud y región año 2019</t>
  </si>
  <si>
    <t>Cuadro N° 4.2.2: Número de días rechazados, según seguro de salud y sexo año 2019</t>
  </si>
  <si>
    <t>Cuadro N° 4.2.3: Número de días rechazados, según seguro de salud y tramo etario año 2019</t>
  </si>
  <si>
    <t>Cuadro N° 4.2.4: Número de días rechazados, según seguro de salud y región año 2019</t>
  </si>
  <si>
    <t>Cuadro N° 5.1.1.1: Número de licencias médicas tramitadas, según seguro de salud y tipo de diagnóstico año 2019</t>
  </si>
  <si>
    <t>Cuadro N° 5.1.2.1: Número de licencias médicas tramitadas FONASA, según tipo de diagnóstico y sexo año 2019</t>
  </si>
  <si>
    <t>Cuadro N° 5.1.2.2: Número de licencias médicas tramitadas ISAPREs, según tipo de diagnóstico y sexo año 2019</t>
  </si>
  <si>
    <t>Cuadro N° 5.1.3.1: Número de licencias médicas tramitadas FONASA, según tipo de diagnóstico y tramo etario año 2019</t>
  </si>
  <si>
    <t>Cuadro N° 5.1.3.2: Número de licencias médicas tramitadas ISAPREs, según tipo de diagnóstico y tramo etario año 2019</t>
  </si>
  <si>
    <t>Cuadro N° 5.1.4.1: Número de licencias médicas tramitadas FONASA, según tipo de diagnóstico y región año 2019</t>
  </si>
  <si>
    <t>Cuadro N° 5.1.4.2: Número de licencias médicas tramitadas ISAPREs, según tipo de diagnóstico y región año 2019</t>
  </si>
  <si>
    <t>Cuadro N° 5.2.1.1: Número de días otorgados, según seguro de salud y tipo de diagnóstico año 2019</t>
  </si>
  <si>
    <t>Cuadro N° 5.2.2.1: Número de días otorgados FONASA, según tipo de diagnóstico y sexo año 2019</t>
  </si>
  <si>
    <t>Cuadro N° 5.2.2.2: Número de días otorgados ISAPREs, según tipo de diagnóstico y sexo año 2019</t>
  </si>
  <si>
    <t>Cuadro N° 5.2.3.1: Número de días otorgados FONASA, según tipo de diagnóstico y tramo etario año 2019</t>
  </si>
  <si>
    <t>Cuadro N° 5.2.3.2: Número de días otorgados ISAPREs, según tipo de diagnóstico y tramo etario año 2019</t>
  </si>
  <si>
    <t>Cuadro N° 5.2.4.1: Número de días otorgados FONASA, según tipo de diagnóstico y región año 2019</t>
  </si>
  <si>
    <t>Cuadro N° 5.2.4.2: Número de días otorgados ISAPREs, según tipo de diagnóstico y región año 2019</t>
  </si>
  <si>
    <t>Cuadro N° 6.1.1.1: Número de licencias médicas autorizadas, según seguro de salud y tipo de diagnóstico año 2019</t>
  </si>
  <si>
    <t>Cuadro N° 6.1.2.1: Número de licencias médicas autorizadas FONASA, según tipo de diagnóstico y sexo año 2019</t>
  </si>
  <si>
    <t>Cuadro N° 6.1.2.2: Número de licencias médicas autorizadas ISAPREs, según tipo de diagnóstico y sexo año 2019</t>
  </si>
  <si>
    <t>Cuadro N° 6.1.3.1: Número de licencias médicas autorizadas FONASA, según tipo de diagnóstico y tramo etario año 2019</t>
  </si>
  <si>
    <t>Cuadro N° 6.1.3.2: Número de licencias médicas autorizadas ISAPREs, según tipo de diagnóstico y tramo etario año 2019</t>
  </si>
  <si>
    <t>Cuadro N° 6.1.4.1: Número de licencias médicas autorizadas FONASA, según tipo de diagnóstico y región año 2019</t>
  </si>
  <si>
    <t>Cuadro N° 6.1.4.2: Número de licencias médicas autorizadas ISAPREs, según tipo de diagnóstico y región año 2019</t>
  </si>
  <si>
    <t>Cuadro N° 6.2.1.1: Número de días pagados, según seguro de salud y tipo de diagnóstico año 2019</t>
  </si>
  <si>
    <t>Cuadro N° 6.2.2.1: Número de días pagados FONASA, según tipo de diagnóstico y sexo año 2019</t>
  </si>
  <si>
    <t>Cuadro N° 6.2.2.2: Número de días pagados ISAPREs, según tipo de diagnóstico y sexo año 2019</t>
  </si>
  <si>
    <t>Cuadro N° 6.2.3.1: Número de días pagados FONASA, según tipo de diagnóstico y tramo etario año 2019</t>
  </si>
  <si>
    <t>Cuadro N° 6.2.3.2: Número de días pagados ISAPREs, según tipo de diagnóstico y tramo etario año 2019</t>
  </si>
  <si>
    <t>Cuadro N° 6.2.4.1: Número de días pagados FONASA, según tipo de diagnóstico y región año 2019</t>
  </si>
  <si>
    <t>Cuadro N° 6.2.4.2: Número de días pagados ISAPREs, según tipo de diagnóstico y región año 2019</t>
  </si>
  <si>
    <t>Cuadro N° 7.1.1.1: Número de licencias médicas rechazadas, según seguro de salud y tipo de diagnóstico año 2019</t>
  </si>
  <si>
    <t>Cuadro N° 7.1.2.1: Número de licencias médicas rechazadas FONASA, según tipo de diagnóstico y sexo año 2019</t>
  </si>
  <si>
    <t>Cuadro N° 7.1.2.2: Número de licencias médicas rechazadas ISAPREs, según tipo de diagnóstico y sexo año 2019</t>
  </si>
  <si>
    <t>Cuadro N° 7.1.3.1: Número de licencias médicas rechazadas FONASA, según tipo de diagnóstico y tramo etario año 2019</t>
  </si>
  <si>
    <t>Cuadro N° 7.1.3.2: Número de licencias médicas rechazadas ISAPREs, según tipo de diagnóstico y tramo etario año 2019</t>
  </si>
  <si>
    <t>Cuadro N° 7.1.4.1: Número de licencias médicas rechazadas FONASA, según tipo de diagnóstico y región año 2019</t>
  </si>
  <si>
    <t>Cuadro N° 7.1.4.2: Número de licencias médicas rechazadas ISAPREs, según tipo de diagnóstico y región año 2019</t>
  </si>
  <si>
    <t>Cuadro N° 7.2.1.1: Número de días rechazados, según seguro de salud y tipo de diagnóstico año 2019</t>
  </si>
  <si>
    <t>Cuadro N° 7.2.2.1: Número de días rechazados FONASA, según tipo de diagnóstico y sexo año 2019</t>
  </si>
  <si>
    <t>Cuadro N° 7.2.2.2: Número de días rechazados ISAPREs, según tipo de diagnóstico y sexo año 2019</t>
  </si>
  <si>
    <t>Cuadro N° 7.2.3.1: Número de días rechazados FONASA, según tipo de diagnóstico y tramo etario año 2019</t>
  </si>
  <si>
    <t>Cuadro N° 7.2.3.2: Número de días rechazados ISAPREs, según tipo de diagnóstico y tramo etario año 2019</t>
  </si>
  <si>
    <t>Cuadro N° 7.2.4.1: Número de días rechazados FONASA, según tipo de diagnóstico y región año 2019</t>
  </si>
  <si>
    <t>Cuadro N° 7.2.4.2: Número de días rechazados ISAPREs, según tipo de diagnóstico y región año 2019</t>
  </si>
  <si>
    <t>Cuadro N° 8.3: Gasto en SIL por licencias médicas, según seguro de salud y tipo de diagnóstico (miles $ de diciembre 2019) año 2019</t>
  </si>
  <si>
    <t>Cuadro N° 8.4.1: Gasto en SIL por licencias médicas FONASA, según  tipo de sector y tipo de diagnóstico (miles $ de diciembre 2019) año 2019</t>
  </si>
  <si>
    <t>Cuadro N° 8.4.2: Gasto en SIL por licencias médicas ISAPREs, según  tipo de sector y tipo de diagnóstico (miles $ de diciembre 2019) año 2019</t>
  </si>
  <si>
    <t>Cuadro N° 10.1.1.1: Número de licencias médicas tramitadas, según seguro de salud y tipo de sector año 2019</t>
  </si>
  <si>
    <t>Cuadro N° 10.1.2.1: Número de licencias médicas tramitadas FONASA, según tipo de sector y sexo año 2019</t>
  </si>
  <si>
    <t>Cuadro N° 10.1.2.2: Número de licencias médicas tramitadas ISAPREs, según tipo de sector y sexo año 2019</t>
  </si>
  <si>
    <t>Cuadro N° 10.1.3.1: Número de licencias médicas tramitadas FONASA, según tipo de sector y tramo etario año 2019</t>
  </si>
  <si>
    <t>Cuadro N° 10.1.3.2: Número de licencias médicas tramitadas ISAPREs, según tipo de sector y tramo etario año 2019</t>
  </si>
  <si>
    <t>Cuadro N° 10.1.4.1: Número de licencias médicas tramitadas FONASA, según tipo de sector y diagnóstico año 2019</t>
  </si>
  <si>
    <t>Cuadro N° 10.1.4.2: Número de licencias médicas tramitadas ISAPREs, según tipo de sector y diagnóstico año 2019</t>
  </si>
  <si>
    <t>Cuadro N° 10.2.1.1: Número de días otorgados, según seguro de salud y tipo de sector año 2019</t>
  </si>
  <si>
    <t>Cuadro N° 10.2.2.1: Número de días otorgados FONASA, según tipo de sector y sexo año 2019</t>
  </si>
  <si>
    <t>Cuadro N° 10.2.2.2: Número de días otorgados ISAPREs, según tipo de sector y sexo año 2019</t>
  </si>
  <si>
    <t>Cuadro N° 10.2.3.1: Número de días otorgados FONASA, según tipo de sector y tramo etario año 2019</t>
  </si>
  <si>
    <t>Cuadro N° 10.2.3.2: Número de días otorgados ISAPREs, según tipo de sector y tramo etario año 2019</t>
  </si>
  <si>
    <t>Cuadro N° 10.2.4.1: Número de días otorgados FONASA, según tipo de sector y diagnóstico año 2019</t>
  </si>
  <si>
    <t>Cuadro N° 10.2.4.2: Número de días otorgados ISAPREs, según tipo de sector y diagnóstico año 2019</t>
  </si>
  <si>
    <t>Cuadro N° 11.1.1.1: Número de licencias médicas autorizadas, según seguro de salud y tipo de sector año 2019</t>
  </si>
  <si>
    <t>Cuadro N° 11.1.2.1: Número de licencias médicas autorizadas FONASA, según tipo de sector y sexo año 2019</t>
  </si>
  <si>
    <t>Cuadro N° 11.1.2.2: Número de licencias médicas autorizadas ISAPREs, según tipo de sector y sexo año 2019</t>
  </si>
  <si>
    <t>Cuadro N° 11.1.3.1: Número de licencias médicas autorizadas FONASA, según tipo de sector y tramo etario año 2019</t>
  </si>
  <si>
    <t>Cuadro N° 11.1.3.2: Número de licencias médicas autorizadas ISAPREs, según tipo de sector y tramo etario año 2019</t>
  </si>
  <si>
    <t>Cuadro N° 11.1.4.1: Número de licencias médicas autorizadas FONASA, según tipo de sector y diagnóstico año 2019</t>
  </si>
  <si>
    <t>Cuadro N° 11.1.4.2: Número de licencias médicas autorizadas ISAPREs, según tipo de sector y diagnóstico año 2019</t>
  </si>
  <si>
    <t>Cuadro N° 11.2.1.1: Número de días pagados, según seguro de salud y tipo de sector año 2019</t>
  </si>
  <si>
    <t>Cuadro N° 11.2.2.1: Número de días pagados FONASA, según tipo de sector y sexo año 2019</t>
  </si>
  <si>
    <t>Cuadro N° 11.2.2.2: Número de días pagados ISAPREs, según tipo de sector y sexo año 2019</t>
  </si>
  <si>
    <t>Cuadro N° 11.2.3.1: Número de días pagados FONASA, según tipo de sector y tramo etario año 2019</t>
  </si>
  <si>
    <t>Cuadro N° 11.2.3.2: Número de días pagados ISAPREs, según tipo de sector y tramo etario año 2019</t>
  </si>
  <si>
    <t>Cuadro N° 11.2.4.1: Número de días pagados FONASA, según tipo de sector y diagnóstico año 2019</t>
  </si>
  <si>
    <t>Cuadro N° 11.2.4.2: Número de días pagados ISAPREs, según tipo de sector y diagnóstico año 2019</t>
  </si>
  <si>
    <t>Cuadro N° 12.1.1.1: Número de licencias médicas rechazadas, según seguro de salud y tipo de sector año 2019</t>
  </si>
  <si>
    <t>Cuadro N° 12.1.2.1: Número de licencias médicas rechazadas FONASA, según tipo de sector y sexo año 2019</t>
  </si>
  <si>
    <t>Cuadro N° 12.1.2.2: Número de licencias médicas rechazadas ISAPREs, según tipo de sector y sexo año 2019</t>
  </si>
  <si>
    <t>Cuadro N° 12.1.3.1: Número de licencias médicas rechazadas FONASA, según tipo de sector y tramo etario año 2019</t>
  </si>
  <si>
    <t>Cuadro N° 12.1.3.2: Número de licencias médicas rechazadas ISAPREs, según tipo de sector y tramo etario año 2019</t>
  </si>
  <si>
    <t>Cuadro N° 12.1.4.1: Número de licencias médicas rechazadas FONASA, según tipo de sector y diagnóstico año 2019</t>
  </si>
  <si>
    <t>Cuadro N° 12.1.4.2: Número de licencias médicas rechazadas ISAPREs, según tipo de sector y diagnóstico año 2019</t>
  </si>
  <si>
    <t>Cuadro N° 12.2.1.1: Número de días rechazados, según seguro de salud y tipo de sector año 2019</t>
  </si>
  <si>
    <t>Cuadro N° 12.2.2.1: Número de días rechazados FONASA, según tipo de sector y sexo año 2019</t>
  </si>
  <si>
    <t>Cuadro N° 12.2.2.2: Número de días rechazados ISAPREs, según tipo de sector y sexo año 2019</t>
  </si>
  <si>
    <t>Cuadro N° 12.2.3.1: Número de días rechazados FONASA, según tipo de sector y tramo etario año 2019</t>
  </si>
  <si>
    <t>Cuadro N° 12.2.3.2: Número de días rechazados ISAPREs, según tipo de sector y tramo etario año 2019</t>
  </si>
  <si>
    <t>Cuadro N° 12.2.4.1: Número de días rechazados FONASA, según tipo de sector y diagnóstico año 2019</t>
  </si>
  <si>
    <t>Cuadro N° 12.2.4.2: Número de días rechazados ISAPREs, según tipo de sector y diagnóstico año 2019</t>
  </si>
  <si>
    <t>Cuadro N° 1.1: Número de cotizantes, según seguro de salud años 2015-2019</t>
  </si>
  <si>
    <t>Cuadro N° 1.8: Renta imponible promedio anual para el universo de cotizantes, según seguro de salud (miles $ de cada año) años 2015-2019</t>
  </si>
  <si>
    <t>Cuadro N° 2.1.1: Número de licencias médicas tramitadas, según seguro de salud años 2015-2019</t>
  </si>
  <si>
    <t>Cuadro N° 2.2.1: Número de días otorgados, según seguro de salud años 2015-2019</t>
  </si>
  <si>
    <t>Cuadro N° 3.1.1: Número de licencias médicas autorizadas, según seguro de salud años 2015-2019</t>
  </si>
  <si>
    <t>Cuadro N° 3.2.1: Número de días pagados, según seguro de salud años 2015-2019</t>
  </si>
  <si>
    <t>Cuadro N° 4.1.1: Número de licencias médicas rechazadas, según seguro de salud años 2015-2019</t>
  </si>
  <si>
    <t>Cuadro N° 4.2.1: Número de días rechazados, según seguro de salud años 2015-2019</t>
  </si>
  <si>
    <t>Cuadro N° 8.1: Gasto en SIL nominal por licencias médicas, según seguro de salud (miles $ de cada año) años 2015-2019</t>
  </si>
  <si>
    <t>Cuadro N° 8.2: Gasto en SIL por licencias médicas, según seguro de salud (miles $ de diciembre 2019) años 2015-2019</t>
  </si>
  <si>
    <t>Cuadro N° 9.1: Gasto en SIL por cotizante, según seguro de salud (miles $ de diciembre 2019) años 2015-2019</t>
  </si>
  <si>
    <t>Cuadro N° 9.2: Número de días pagados por cotizante, según seguro de salud años 2015-2019</t>
  </si>
  <si>
    <t>Cuadro N° 9.3: Gasto en SIL por día pagado, según seguro de salud (miles $ de diciembre 2019) años 2015-2019</t>
  </si>
  <si>
    <t>Cuadro N° 9.4: Gasto en SIL por licencia médica autorizada, según seguro de salud (miles $ de diciembre 2019) años 2015-2019</t>
  </si>
  <si>
    <t>Cuadro N° 9.5: Número de días pagados por licencia médica autorizada, según seguro de salud años 2015-2019</t>
  </si>
  <si>
    <t>Cuadro N° 9.6: Porcentaje de cotización necesario para financiar el SIL, según seguro de salud años 2015-2019</t>
  </si>
  <si>
    <t>Cuadro N° 1.9.1: Número de cotizantes FONASA, según sexo y tramo de remuneraciones año 2019</t>
  </si>
  <si>
    <t>Cuadro N° 1.9.2: Número de cotizantes ISAPREs, según sexo y tramo de remuneraciones año 2019</t>
  </si>
  <si>
    <t>Cuadro N° 1.10.1: Estadísticas promedio de cotizantes FONASA, según sexo año 2019</t>
  </si>
  <si>
    <t>Cuadro N° 1.10.2: Estadísticas promedio de cotizantes ISAPREs, según y sexo año 2019</t>
  </si>
  <si>
    <t>Cuadro N° 2.1.7: Número de licencias médicas tramitadas MUJERES, según seguro de salud y región año 2019</t>
  </si>
  <si>
    <t>Cuadro N° 2.2.6: Número de dias otorgados, según seguro de salud y  tipo de resolución año 2019</t>
  </si>
  <si>
    <t>Cuadro N° 2.2.7: Número de dias otorgados a MUJERES, según seguro de salud y región año 2019</t>
  </si>
  <si>
    <t>Cuadro N° 2.1.8: Número de licencias médicas tramitadas HOMBRES, según seguro de salud y  región año 2019</t>
  </si>
  <si>
    <t>Cuadro N° 2.2.8: Número de dias otorgados a HOMBRES, según seguro de salud y región año 2019</t>
  </si>
  <si>
    <t>Cuadro N° 3.1.6: Número de licencias médicas autorizadas a MUJERES, según seguro de salud y región año 2019</t>
  </si>
  <si>
    <t>Cuadro N° 3.1.7: Número de licencias médicas autorizadas a HOMBRES, según seguro de salud y región año 2019</t>
  </si>
  <si>
    <t>Cuadro N° 3.2.6: Número de dias  pagados a MUJERES, según seguro de salud y región año 2019</t>
  </si>
  <si>
    <t>Cuadro N° 3.2.7: Número de dias pagados a HOMBRES, según seguro de salud y región año 2019</t>
  </si>
  <si>
    <t>Cuadro N° 4.1.5: Número de licencias médicas rechazadas a MUJERES, según seguro de salud y región año 2019</t>
  </si>
  <si>
    <t>Cuadro N° 4.1.6: Número de licencias médicas rechazadas a HOMBRES, según seguro de salud y región año 2019</t>
  </si>
  <si>
    <t>Cuadro N° 4.2.5: Número de dias  rechazados a MUJERES, según seguro de salud y región año 2019</t>
  </si>
  <si>
    <t>Cuadro N° 4.2.6: Número de dias rechazados a HOMBRES, según seguro de salud y región año 2019</t>
  </si>
  <si>
    <t xml:space="preserve">(*)Para una mejor comprensión de la metodología y términos utilizados para elaborar esta información se sugiere revisar el siguiente glosario y documento metodológico </t>
  </si>
  <si>
    <t>"Glosario LM&amp;SIL año 2019".</t>
  </si>
  <si>
    <t>"Metodología LM&amp;SIL año 2019".</t>
  </si>
  <si>
    <r>
      <t xml:space="preserve">
Esta publicación es un trabajo conjunto entre el Fondo Nacional de Salud (FONASA), la Superintendencia de Salud y la Superintendencia de Seguridad Social (SUSESO).
A continuación se presentan las principales estadísticas de licencias médicas y subsibio por incapacidad laboral (SIL) del año 2019, tales como: cotizantes a los seguros de salud, número de licencias médicas, principales patologías asociadas a las licencias médicas, gasto en SIL y número de licencias médicas por tipo de sector (privado y público</t>
    </r>
    <r>
      <rPr>
        <vertAlign val="superscript"/>
        <sz val="12"/>
        <color rgb="FF000000"/>
        <rFont val="Calibri (Cuerpo)"/>
      </rPr>
      <t>)</t>
    </r>
    <r>
      <rPr>
        <sz val="12"/>
        <color rgb="FF000000"/>
        <rFont val="Calibri"/>
        <family val="2"/>
        <scheme val="minor"/>
      </rPr>
      <t xml:space="preserve">*. Las cifras se desagregan por sexo, tramo de edad, tipo de cotizante, región, tipo de sector, entre otras. 
</t>
    </r>
  </si>
  <si>
    <t>ISAPRE(*)</t>
  </si>
  <si>
    <t>FONASA(*)</t>
  </si>
  <si>
    <t>Número de licencias médicas tramitadas FONASA, según tipo de sector y sexo año 2019 (*)</t>
  </si>
  <si>
    <t>Número de licencias médicas tramitadas FONASA, según tipo de sector y tramo etario año 2019 (*)</t>
  </si>
  <si>
    <t>Número de licencias médicas tramitadas FONASA, según tipo de sector y diagnóstico año 2019 (*)</t>
  </si>
  <si>
    <t>FONASA (*)</t>
  </si>
  <si>
    <t>Número de días otorgados FONASA, según tipo de sector y sexo año 2019 (*)</t>
  </si>
  <si>
    <t>Número de días otorgados FONASA, según tipo de sector y tramo etario año 2019 (*)</t>
  </si>
  <si>
    <t>Número de días otorgados FONASA, según tipo de sector y diagnóstico año 2019 (*)</t>
  </si>
  <si>
    <t>Número de licencias médicas autorizadas ISAPREs, según tipo de sector y sexo año 2019 (*)</t>
  </si>
  <si>
    <t>Número de licencias médicas autorizadas ISAPREs, según tipo de sector y tramo etario año 2019 (*)</t>
  </si>
  <si>
    <t>Número de licencias médicas autorizadas ISAPREs, según tipo de sector y diagnóstico año 2019 (*)</t>
  </si>
  <si>
    <t>Número de días pagados ISAPREs, según tipo de sector y sexo año 2019 (*)</t>
  </si>
  <si>
    <t>Número de días pagados ISAPREs, según tipo de sector y tramo etario año 2019 (*)</t>
  </si>
  <si>
    <t>Número de días pagados ISAPREs, según tipo de sector y diagnóstico año 2019 (*)</t>
  </si>
  <si>
    <t>ISAPRE (**)</t>
  </si>
  <si>
    <t>(**) incluye LM reclamadas y acogidas total o parcialmente en las instancias de apelación.</t>
  </si>
  <si>
    <t>Número de licencias médicas autorizadas FONASA, según tipo de sector y sexo año 2019 (*)</t>
  </si>
  <si>
    <t>(**) incluye los días pagados por las LM reclamadas y acogidas total o parcialmente en las instancias de apelación.</t>
  </si>
  <si>
    <t>(*) Se incluye en sector privado los días pagados por las LM de los trabajadores independientes</t>
  </si>
  <si>
    <t>(*) Se incluye en sector privado los días otorgados por las LM de los trabajadores independientes</t>
  </si>
  <si>
    <t>Número de licencias médicas rechazadas FONASA, según tipo de sector y sexo año 2019 (*)</t>
  </si>
  <si>
    <t>Número de licencias médicas rechazadas FONASA, según tipo de sector y tramo etario año 2019 (*)</t>
  </si>
  <si>
    <t>Número de licencias médicas rechazadas FONASA, según tipo de sector y diagnóstico año 2019 (*)</t>
  </si>
  <si>
    <t>(*) Se incluye en sector privado los días rechazados por las LM de los trabajadores independientes</t>
  </si>
  <si>
    <t>Número de días rechazados FONASA, según tipo de sector y sexo año 2019 (*)</t>
  </si>
  <si>
    <t>Número de días rechazados FONASA, según tipo de sector y tramo etario año 2019 (*)</t>
  </si>
  <si>
    <t>Número de días rechazados FONASA, según tipo de sector y diagnóstico año 2019 (*)</t>
  </si>
  <si>
    <t>Número de licencias médicas autorizadas FONASA, según tipo de sector y tramo etario año 2019 (*)</t>
  </si>
  <si>
    <t>Número de licencias médicas autorizadas FONASA, según tipo de sector y diagnóstico año 2019 (*)</t>
  </si>
  <si>
    <t>Número de días pagados FONASA, según tipo de sector y sexo año 2019 (*)</t>
  </si>
  <si>
    <t>Número de días pagados FONASA, según tipo de sector y tramo etario año 2019 (*)</t>
  </si>
  <si>
    <t>Número de días pagados FONASA, según tipo de sector y diagnóstico año 2019 (*)</t>
  </si>
  <si>
    <t>* Incluye el monto pagado en LM atrasadas en COMPIN y gasto no ejecutado de Instituciones Públicas.</t>
  </si>
  <si>
    <t>* Incluye LM reclamadas y acogidas total o parcialmente en las instancias de apelación.</t>
  </si>
  <si>
    <t>** Incluye LM reclamadas y acogidas total o parcialmente en las instancias de apelación.</t>
  </si>
  <si>
    <t>Gasto en SIL por licencias médicas FONASA, según tipo de sector y tipo de diagnóstico (miles $ de diciembre 2019) año 2019 (*)</t>
  </si>
  <si>
    <t>Gasto en SIL por licencias médicas ISAPRE, según tipo de sector y tipo de diagnóstico (miles $ de diciembre 2019) año 2019 (*)</t>
  </si>
  <si>
    <t>Otros*</t>
  </si>
  <si>
    <t>(*) Corresponde a cotizantes categorizados simultaneamente como trabajadores dependientes, independientes y/o pensionados</t>
  </si>
  <si>
    <t>(*) En el caso de FONASA, para el cálculo del valor por día pagado se excluyó el número de días pagados por LM de tipo “reembolso” (7.315.700 días) y su gasto asociado (M$24.721.917). El indicador para el SISTEMA se ajustó con los mismos valores.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</si>
</sst>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#,##0.0"/>
    <numFmt numFmtId="168" formatCode="0.0%"/>
    <numFmt numFmtId="169" formatCode="_(* #,##0.00_);_(* \(#,##0.00\);_(* &quot;-&quot;??_);_(@_)"/>
    <numFmt numFmtId="170" formatCode="#,##0;[Red]#,##0"/>
    <numFmt numFmtId="171" formatCode="_-* #,##0.00\ _P_t_s_-;\-* #,##0.00\ _P_t_s_-;_-* &quot;-&quot;??\ _P_t_s_-;_-@_-"/>
    <numFmt numFmtId="172" formatCode="&quot;$&quot;#,##0.00_);\(&quot;$&quot;#,##0.00\)"/>
    <numFmt numFmtId="173" formatCode="&quot;$&quot;#,##0_);\(&quot;$&quot;#,##0\)"/>
    <numFmt numFmtId="174" formatCode="_-* #,##0_-;\-* #,##0_-;_-* &quot;-&quot;??_-;_-@_-"/>
    <numFmt numFmtId="175" formatCode="#,##0.000"/>
  </numFmts>
  <fonts count="5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b/>
      <sz val="9"/>
      <color theme="1"/>
      <name val="Verdana"/>
      <family val="2"/>
    </font>
    <font>
      <u/>
      <sz val="12"/>
      <color indexed="12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Verdana"/>
      <family val="2"/>
    </font>
    <font>
      <sz val="1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558ED5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558ED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 (Cuerpo)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0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10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5" fillId="6" borderId="0" applyNumberFormat="0" applyBorder="0" applyAlignment="0" applyProtection="0"/>
    <xf numFmtId="0" fontId="16" fillId="23" borderId="7" applyNumberFormat="0" applyAlignment="0" applyProtection="0"/>
    <xf numFmtId="0" fontId="17" fillId="24" borderId="8" applyNumberFormat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10" borderId="7" applyNumberFormat="0" applyAlignment="0" applyProtection="0"/>
    <xf numFmtId="0" fontId="24" fillId="0" borderId="12" applyNumberFormat="0" applyFill="0" applyAlignment="0" applyProtection="0"/>
    <xf numFmtId="0" fontId="25" fillId="25" borderId="0" applyNumberFormat="0" applyBorder="0" applyAlignment="0" applyProtection="0"/>
    <xf numFmtId="0" fontId="10" fillId="0" borderId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26" fillId="23" borderId="14" applyNumberFormat="0" applyAlignment="0" applyProtection="0"/>
    <xf numFmtId="9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28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0" fillId="0" borderId="0"/>
    <xf numFmtId="0" fontId="29" fillId="0" borderId="0" applyNumberFormat="0" applyFont="0" applyFill="0" applyAlignment="0" applyProtection="0"/>
    <xf numFmtId="0" fontId="8" fillId="0" borderId="0" applyNumberFormat="0" applyFont="0" applyFill="0" applyAlignment="0" applyProtection="0"/>
    <xf numFmtId="170" fontId="9" fillId="27" borderId="16"/>
    <xf numFmtId="3" fontId="30" fillId="28" borderId="17">
      <alignment horizontal="center" wrapText="1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top"/>
    </xf>
    <xf numFmtId="0" fontId="10" fillId="0" borderId="0">
      <alignment vertical="top"/>
    </xf>
    <xf numFmtId="0" fontId="6" fillId="0" borderId="0"/>
    <xf numFmtId="0" fontId="11" fillId="0" borderId="0">
      <alignment vertical="top"/>
    </xf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10" fillId="0" borderId="0"/>
    <xf numFmtId="0" fontId="10" fillId="0" borderId="0">
      <alignment vertical="top"/>
    </xf>
    <xf numFmtId="165" fontId="6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2" fillId="4" borderId="0" xfId="0" applyFont="1" applyFill="1"/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 vertical="center"/>
    </xf>
    <xf numFmtId="0" fontId="7" fillId="0" borderId="0" xfId="0" applyFont="1"/>
    <xf numFmtId="3" fontId="3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2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6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/>
    </xf>
    <xf numFmtId="3" fontId="32" fillId="0" borderId="5" xfId="0" applyNumberFormat="1" applyFont="1" applyBorder="1" applyAlignment="1">
      <alignment horizontal="center" vertical="center"/>
    </xf>
    <xf numFmtId="3" fontId="32" fillId="0" borderId="5" xfId="0" applyNumberFormat="1" applyFont="1" applyBorder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5" fillId="4" borderId="0" xfId="0" applyFont="1" applyFill="1"/>
    <xf numFmtId="0" fontId="3" fillId="4" borderId="0" xfId="0" applyFont="1" applyFill="1" applyAlignment="1">
      <alignment vertical="center"/>
    </xf>
    <xf numFmtId="3" fontId="2" fillId="0" borderId="6" xfId="0" applyNumberFormat="1" applyFont="1" applyBorder="1" applyAlignment="1">
      <alignment horizontal="center" vertical="center"/>
    </xf>
    <xf numFmtId="3" fontId="3" fillId="0" borderId="0" xfId="0" applyNumberFormat="1" applyFont="1"/>
    <xf numFmtId="3" fontId="3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9" fontId="3" fillId="0" borderId="0" xfId="1" applyFont="1" applyAlignment="1">
      <alignment vertical="center"/>
    </xf>
    <xf numFmtId="168" fontId="3" fillId="0" borderId="0" xfId="1" applyNumberFormat="1" applyFont="1" applyAlignment="1">
      <alignment vertical="center"/>
    </xf>
    <xf numFmtId="168" fontId="3" fillId="0" borderId="0" xfId="1" applyNumberFormat="1" applyFont="1"/>
    <xf numFmtId="174" fontId="3" fillId="0" borderId="0" xfId="118" applyNumberFormat="1" applyFont="1" applyFill="1" applyAlignment="1">
      <alignment vertical="center"/>
    </xf>
    <xf numFmtId="3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/>
    <xf numFmtId="3" fontId="33" fillId="0" borderId="0" xfId="0" applyNumberFormat="1" applyFont="1"/>
    <xf numFmtId="3" fontId="2" fillId="0" borderId="6" xfId="0" applyNumberFormat="1" applyFont="1" applyBorder="1" applyAlignment="1">
      <alignment horizontal="center"/>
    </xf>
    <xf numFmtId="3" fontId="35" fillId="0" borderId="5" xfId="0" applyNumberFormat="1" applyFont="1" applyBorder="1" applyAlignment="1">
      <alignment horizontal="center"/>
    </xf>
    <xf numFmtId="3" fontId="36" fillId="0" borderId="0" xfId="0" applyNumberFormat="1" applyFont="1" applyAlignment="1">
      <alignment vertical="center"/>
    </xf>
    <xf numFmtId="3" fontId="36" fillId="0" borderId="0" xfId="0" applyNumberFormat="1" applyFont="1"/>
    <xf numFmtId="0" fontId="36" fillId="0" borderId="0" xfId="0" applyFont="1"/>
    <xf numFmtId="0" fontId="36" fillId="0" borderId="0" xfId="0" applyFont="1" applyAlignment="1">
      <alignment vertical="center"/>
    </xf>
    <xf numFmtId="3" fontId="36" fillId="0" borderId="18" xfId="0" applyNumberFormat="1" applyFont="1" applyBorder="1" applyAlignment="1">
      <alignment vertical="center" wrapText="1"/>
    </xf>
    <xf numFmtId="0" fontId="3" fillId="0" borderId="0" xfId="0" applyFont="1" applyAlignment="1">
      <alignment horizontal="center"/>
    </xf>
    <xf numFmtId="168" fontId="3" fillId="0" borderId="0" xfId="1" applyNumberFormat="1" applyFont="1" applyAlignment="1">
      <alignment horizontal="center" vertical="center"/>
    </xf>
    <xf numFmtId="168" fontId="3" fillId="0" borderId="5" xfId="1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8" fontId="3" fillId="0" borderId="0" xfId="0" applyNumberFormat="1" applyFont="1"/>
    <xf numFmtId="168" fontId="3" fillId="0" borderId="4" xfId="1" applyNumberFormat="1" applyFont="1" applyBorder="1" applyAlignment="1">
      <alignment horizontal="center" vertical="center"/>
    </xf>
    <xf numFmtId="168" fontId="3" fillId="0" borderId="5" xfId="1" applyNumberFormat="1" applyFont="1" applyBorder="1" applyAlignment="1">
      <alignment horizontal="center"/>
    </xf>
    <xf numFmtId="168" fontId="3" fillId="0" borderId="6" xfId="1" applyNumberFormat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/>
    </xf>
    <xf numFmtId="175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0" fontId="3" fillId="0" borderId="0" xfId="0" applyNumberFormat="1" applyFont="1"/>
    <xf numFmtId="0" fontId="0" fillId="0" borderId="0" xfId="0" applyAlignment="1">
      <alignment vertical="top" wrapText="1"/>
    </xf>
    <xf numFmtId="0" fontId="38" fillId="4" borderId="0" xfId="3" applyFont="1" applyFill="1" applyAlignment="1">
      <alignment vertical="center" wrapText="1"/>
    </xf>
    <xf numFmtId="0" fontId="40" fillId="0" borderId="0" xfId="0" applyFont="1" applyAlignment="1">
      <alignment horizontal="left"/>
    </xf>
    <xf numFmtId="0" fontId="41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39" fillId="0" borderId="0" xfId="0" applyFont="1" applyAlignment="1">
      <alignment vertical="top"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39" fillId="0" borderId="0" xfId="0" applyFont="1" applyAlignment="1">
      <alignment vertical="center" wrapText="1"/>
    </xf>
    <xf numFmtId="0" fontId="46" fillId="30" borderId="1" xfId="3" applyFont="1" applyFill="1" applyBorder="1" applyAlignment="1">
      <alignment horizontal="left" vertical="top" indent="2"/>
    </xf>
    <xf numFmtId="0" fontId="0" fillId="0" borderId="4" xfId="0" applyBorder="1" applyAlignment="1">
      <alignment horizontal="left" indent="3"/>
    </xf>
    <xf numFmtId="0" fontId="37" fillId="0" borderId="5" xfId="119" applyBorder="1" applyAlignment="1">
      <alignment horizontal="left" indent="1"/>
    </xf>
    <xf numFmtId="0" fontId="47" fillId="0" borderId="0" xfId="0" applyFont="1"/>
    <xf numFmtId="0" fontId="0" fillId="0" borderId="6" xfId="0" applyBorder="1" applyAlignment="1">
      <alignment horizontal="left" indent="3"/>
    </xf>
    <xf numFmtId="0" fontId="0" fillId="0" borderId="6" xfId="0" applyBorder="1" applyAlignment="1">
      <alignment horizontal="left" indent="2"/>
    </xf>
    <xf numFmtId="0" fontId="0" fillId="0" borderId="6" xfId="0" applyBorder="1"/>
    <xf numFmtId="0" fontId="48" fillId="30" borderId="4" xfId="3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indent="2"/>
    </xf>
    <xf numFmtId="0" fontId="0" fillId="0" borderId="6" xfId="0" applyBorder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" fontId="34" fillId="0" borderId="0" xfId="0" applyNumberFormat="1" applyFont="1"/>
    <xf numFmtId="168" fontId="34" fillId="0" borderId="0" xfId="1" applyNumberFormat="1" applyFont="1" applyAlignment="1">
      <alignment vertical="center"/>
    </xf>
    <xf numFmtId="168" fontId="34" fillId="0" borderId="0" xfId="1" applyNumberFormat="1" applyFont="1"/>
    <xf numFmtId="0" fontId="37" fillId="0" borderId="5" xfId="119" applyFill="1" applyBorder="1" applyAlignment="1">
      <alignment horizontal="left" indent="1"/>
    </xf>
    <xf numFmtId="0" fontId="37" fillId="0" borderId="0" xfId="119"/>
    <xf numFmtId="0" fontId="37" fillId="0" borderId="0" xfId="119" applyFill="1"/>
    <xf numFmtId="0" fontId="49" fillId="0" borderId="3" xfId="0" applyFont="1" applyBorder="1" applyAlignment="1">
      <alignment horizontal="left" vertical="center" wrapText="1"/>
    </xf>
    <xf numFmtId="0" fontId="49" fillId="0" borderId="20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49" fillId="0" borderId="21" xfId="0" applyFont="1" applyBorder="1" applyAlignment="1">
      <alignment horizontal="left" vertical="center" wrapText="1"/>
    </xf>
    <xf numFmtId="0" fontId="49" fillId="0" borderId="19" xfId="0" applyFont="1" applyBorder="1" applyAlignment="1">
      <alignment horizontal="left" vertical="center" wrapText="1"/>
    </xf>
    <xf numFmtId="0" fontId="49" fillId="0" borderId="22" xfId="0" applyFont="1" applyBorder="1" applyAlignment="1">
      <alignment horizontal="left" vertical="center" wrapText="1"/>
    </xf>
    <xf numFmtId="0" fontId="45" fillId="29" borderId="4" xfId="0" applyFont="1" applyFill="1" applyBorder="1" applyAlignment="1">
      <alignment horizontal="center" vertical="center"/>
    </xf>
    <xf numFmtId="0" fontId="45" fillId="29" borderId="6" xfId="0" applyFont="1" applyFill="1" applyBorder="1" applyAlignment="1">
      <alignment horizontal="center" vertical="center"/>
    </xf>
    <xf numFmtId="0" fontId="45" fillId="29" borderId="3" xfId="0" applyFont="1" applyFill="1" applyBorder="1" applyAlignment="1">
      <alignment horizontal="center" vertical="center"/>
    </xf>
    <xf numFmtId="0" fontId="45" fillId="29" borderId="20" xfId="0" applyFont="1" applyFill="1" applyBorder="1" applyAlignment="1">
      <alignment horizontal="center" vertical="center"/>
    </xf>
    <xf numFmtId="0" fontId="45" fillId="29" borderId="19" xfId="0" applyFont="1" applyFill="1" applyBorder="1" applyAlignment="1">
      <alignment horizontal="center" vertical="center"/>
    </xf>
    <xf numFmtId="0" fontId="45" fillId="29" borderId="22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wrapText="1"/>
    </xf>
  </cellXfs>
  <cellStyles count="120">
    <cellStyle name="20% - Accent1" xfId="12" xr:uid="{00000000-0005-0000-0000-000000000000}"/>
    <cellStyle name="20% - Accent2" xfId="13" xr:uid="{00000000-0005-0000-0000-000001000000}"/>
    <cellStyle name="20% - Accent3" xfId="14" xr:uid="{00000000-0005-0000-0000-000002000000}"/>
    <cellStyle name="20% - Accent4" xfId="15" xr:uid="{00000000-0005-0000-0000-000003000000}"/>
    <cellStyle name="20% - Accent5" xfId="16" xr:uid="{00000000-0005-0000-0000-000004000000}"/>
    <cellStyle name="20% - Accent6" xfId="17" xr:uid="{00000000-0005-0000-0000-000005000000}"/>
    <cellStyle name="40% - Accent1" xfId="18" xr:uid="{00000000-0005-0000-0000-000006000000}"/>
    <cellStyle name="40% - Accent2" xfId="19" xr:uid="{00000000-0005-0000-0000-000007000000}"/>
    <cellStyle name="40% - Accent3" xfId="20" xr:uid="{00000000-0005-0000-0000-000008000000}"/>
    <cellStyle name="40% - Accent4" xfId="21" xr:uid="{00000000-0005-0000-0000-000009000000}"/>
    <cellStyle name="40% - Accent5" xfId="22" xr:uid="{00000000-0005-0000-0000-00000A000000}"/>
    <cellStyle name="40% - Accent6" xfId="23" xr:uid="{00000000-0005-0000-0000-00000B000000}"/>
    <cellStyle name="60% - Accent1" xfId="24" xr:uid="{00000000-0005-0000-0000-00000C000000}"/>
    <cellStyle name="60% - Accent2" xfId="25" xr:uid="{00000000-0005-0000-0000-00000D000000}"/>
    <cellStyle name="60% - Accent3" xfId="26" xr:uid="{00000000-0005-0000-0000-00000E000000}"/>
    <cellStyle name="60% - Accent4" xfId="27" xr:uid="{00000000-0005-0000-0000-00000F000000}"/>
    <cellStyle name="60% - Accent5" xfId="28" xr:uid="{00000000-0005-0000-0000-000010000000}"/>
    <cellStyle name="60% - Accent6" xfId="29" xr:uid="{00000000-0005-0000-0000-000011000000}"/>
    <cellStyle name="Accent1" xfId="30" xr:uid="{00000000-0005-0000-0000-000012000000}"/>
    <cellStyle name="Accent2" xfId="31" xr:uid="{00000000-0005-0000-0000-000013000000}"/>
    <cellStyle name="Accent3" xfId="32" xr:uid="{00000000-0005-0000-0000-000014000000}"/>
    <cellStyle name="Accent4" xfId="33" xr:uid="{00000000-0005-0000-0000-000015000000}"/>
    <cellStyle name="Accent5" xfId="34" xr:uid="{00000000-0005-0000-0000-000016000000}"/>
    <cellStyle name="Accent6" xfId="35" xr:uid="{00000000-0005-0000-0000-000017000000}"/>
    <cellStyle name="Bad" xfId="36" xr:uid="{00000000-0005-0000-0000-000018000000}"/>
    <cellStyle name="Cabecera 1" xfId="59" xr:uid="{00000000-0005-0000-0000-000019000000}"/>
    <cellStyle name="Cabecera 2" xfId="60" xr:uid="{00000000-0005-0000-0000-00001A000000}"/>
    <cellStyle name="Calculation" xfId="37" xr:uid="{00000000-0005-0000-0000-00001B000000}"/>
    <cellStyle name="Check Cell" xfId="38" xr:uid="{00000000-0005-0000-0000-00001C000000}"/>
    <cellStyle name="Estilo 1" xfId="61" xr:uid="{00000000-0005-0000-0000-00001D000000}"/>
    <cellStyle name="Estilo 2" xfId="62" xr:uid="{00000000-0005-0000-0000-00001E000000}"/>
    <cellStyle name="Explanatory Text" xfId="39" xr:uid="{00000000-0005-0000-0000-00001F000000}"/>
    <cellStyle name="F2" xfId="63" xr:uid="{00000000-0005-0000-0000-000020000000}"/>
    <cellStyle name="F3" xfId="64" xr:uid="{00000000-0005-0000-0000-000021000000}"/>
    <cellStyle name="F4" xfId="65" xr:uid="{00000000-0005-0000-0000-000022000000}"/>
    <cellStyle name="F5" xfId="66" xr:uid="{00000000-0005-0000-0000-000023000000}"/>
    <cellStyle name="F6" xfId="67" xr:uid="{00000000-0005-0000-0000-000024000000}"/>
    <cellStyle name="F7" xfId="68" xr:uid="{00000000-0005-0000-0000-000025000000}"/>
    <cellStyle name="F8" xfId="69" xr:uid="{00000000-0005-0000-0000-000026000000}"/>
    <cellStyle name="Fecha" xfId="70" xr:uid="{00000000-0005-0000-0000-000027000000}"/>
    <cellStyle name="Fecha 2" xfId="71" xr:uid="{00000000-0005-0000-0000-000028000000}"/>
    <cellStyle name="Fijo" xfId="72" xr:uid="{00000000-0005-0000-0000-000029000000}"/>
    <cellStyle name="Fijo 2" xfId="73" xr:uid="{00000000-0005-0000-0000-00002A000000}"/>
    <cellStyle name="Good" xfId="40" xr:uid="{00000000-0005-0000-0000-00002B000000}"/>
    <cellStyle name="Heading 1" xfId="41" xr:uid="{00000000-0005-0000-0000-00002C000000}"/>
    <cellStyle name="Heading 2" xfId="42" xr:uid="{00000000-0005-0000-0000-00002D000000}"/>
    <cellStyle name="Heading 3" xfId="43" xr:uid="{00000000-0005-0000-0000-00002E000000}"/>
    <cellStyle name="Heading 4" xfId="44" xr:uid="{00000000-0005-0000-0000-00002F000000}"/>
    <cellStyle name="Hipervínculo" xfId="119" builtinId="8"/>
    <cellStyle name="Hipervínculo 2" xfId="74" xr:uid="{00000000-0005-0000-0000-000031000000}"/>
    <cellStyle name="Input" xfId="45" xr:uid="{00000000-0005-0000-0000-000032000000}"/>
    <cellStyle name="Linked Cell" xfId="46" xr:uid="{00000000-0005-0000-0000-000033000000}"/>
    <cellStyle name="Millares" xfId="118" builtinId="3"/>
    <cellStyle name="Millares [0] 2" xfId="2" xr:uid="{00000000-0005-0000-0000-000035000000}"/>
    <cellStyle name="Millares 2" xfId="7" xr:uid="{00000000-0005-0000-0000-000036000000}"/>
    <cellStyle name="Millares 2 2" xfId="57" xr:uid="{00000000-0005-0000-0000-000037000000}"/>
    <cellStyle name="Millares 3" xfId="56" xr:uid="{00000000-0005-0000-0000-000038000000}"/>
    <cellStyle name="Millares 4" xfId="75" xr:uid="{00000000-0005-0000-0000-000039000000}"/>
    <cellStyle name="Millares 4 2" xfId="76" xr:uid="{00000000-0005-0000-0000-00003A000000}"/>
    <cellStyle name="Millares 5" xfId="4" xr:uid="{00000000-0005-0000-0000-00003B000000}"/>
    <cellStyle name="Millares 6" xfId="77" xr:uid="{00000000-0005-0000-0000-00003C000000}"/>
    <cellStyle name="Monetario" xfId="78" xr:uid="{00000000-0005-0000-0000-00003D000000}"/>
    <cellStyle name="Monetario 2" xfId="79" xr:uid="{00000000-0005-0000-0000-00003E000000}"/>
    <cellStyle name="Monetario0" xfId="80" xr:uid="{00000000-0005-0000-0000-00003F000000}"/>
    <cellStyle name="Monetario0 2" xfId="81" xr:uid="{00000000-0005-0000-0000-000040000000}"/>
    <cellStyle name="Neutral 2" xfId="47" xr:uid="{00000000-0005-0000-0000-000041000000}"/>
    <cellStyle name="Normal" xfId="0" builtinId="0"/>
    <cellStyle name="Normal 10" xfId="58" xr:uid="{00000000-0005-0000-0000-000043000000}"/>
    <cellStyle name="Normal 11" xfId="82" xr:uid="{00000000-0005-0000-0000-000044000000}"/>
    <cellStyle name="Normal 12" xfId="83" xr:uid="{00000000-0005-0000-0000-000045000000}"/>
    <cellStyle name="Normal 13" xfId="84" xr:uid="{00000000-0005-0000-0000-000046000000}"/>
    <cellStyle name="Normal 14" xfId="85" xr:uid="{00000000-0005-0000-0000-000047000000}"/>
    <cellStyle name="Normal 15" xfId="86" xr:uid="{00000000-0005-0000-0000-000048000000}"/>
    <cellStyle name="Normal 16" xfId="87" xr:uid="{00000000-0005-0000-0000-000049000000}"/>
    <cellStyle name="Normal 17" xfId="88" xr:uid="{00000000-0005-0000-0000-00004A000000}"/>
    <cellStyle name="Normal 18" xfId="89" xr:uid="{00000000-0005-0000-0000-00004B000000}"/>
    <cellStyle name="Normal 19" xfId="90" xr:uid="{00000000-0005-0000-0000-00004C000000}"/>
    <cellStyle name="Normal 2" xfId="5" xr:uid="{00000000-0005-0000-0000-00004D000000}"/>
    <cellStyle name="Normal 2 2" xfId="10" xr:uid="{00000000-0005-0000-0000-00004E000000}"/>
    <cellStyle name="Normal 2 3" xfId="91" xr:uid="{00000000-0005-0000-0000-00004F000000}"/>
    <cellStyle name="Normal 2 4" xfId="117" xr:uid="{00000000-0005-0000-0000-000050000000}"/>
    <cellStyle name="Normal 2 5" xfId="116" xr:uid="{00000000-0005-0000-0000-000051000000}"/>
    <cellStyle name="Normal 20" xfId="92" xr:uid="{00000000-0005-0000-0000-000052000000}"/>
    <cellStyle name="Normal 20 2" xfId="93" xr:uid="{00000000-0005-0000-0000-000053000000}"/>
    <cellStyle name="Normal 20 3" xfId="94" xr:uid="{00000000-0005-0000-0000-000054000000}"/>
    <cellStyle name="Normal 21" xfId="95" xr:uid="{00000000-0005-0000-0000-000055000000}"/>
    <cellStyle name="Normal 21 2" xfId="96" xr:uid="{00000000-0005-0000-0000-000056000000}"/>
    <cellStyle name="Normal 21 3" xfId="97" xr:uid="{00000000-0005-0000-0000-000057000000}"/>
    <cellStyle name="Normal 22" xfId="3" xr:uid="{00000000-0005-0000-0000-000058000000}"/>
    <cellStyle name="Normal 22 2" xfId="98" xr:uid="{00000000-0005-0000-0000-000059000000}"/>
    <cellStyle name="Normal 23" xfId="99" xr:uid="{00000000-0005-0000-0000-00005A000000}"/>
    <cellStyle name="Normal 24" xfId="100" xr:uid="{00000000-0005-0000-0000-00005B000000}"/>
    <cellStyle name="Normal 3" xfId="6" xr:uid="{00000000-0005-0000-0000-00005C000000}"/>
    <cellStyle name="Normal 3 2" xfId="48" xr:uid="{00000000-0005-0000-0000-00005D000000}"/>
    <cellStyle name="Normal 3 3" xfId="101" xr:uid="{00000000-0005-0000-0000-00005E000000}"/>
    <cellStyle name="Normal 3 4" xfId="102" xr:uid="{00000000-0005-0000-0000-00005F000000}"/>
    <cellStyle name="Normal 4" xfId="9" xr:uid="{00000000-0005-0000-0000-000060000000}"/>
    <cellStyle name="Normal 4 2" xfId="103" xr:uid="{00000000-0005-0000-0000-000061000000}"/>
    <cellStyle name="Normal 4 3" xfId="104" xr:uid="{00000000-0005-0000-0000-000062000000}"/>
    <cellStyle name="Normal 4 4" xfId="105" xr:uid="{00000000-0005-0000-0000-000063000000}"/>
    <cellStyle name="Normal 5" xfId="106" xr:uid="{00000000-0005-0000-0000-000064000000}"/>
    <cellStyle name="Normal 6" xfId="107" xr:uid="{00000000-0005-0000-0000-000065000000}"/>
    <cellStyle name="Normal 6 2" xfId="108" xr:uid="{00000000-0005-0000-0000-000066000000}"/>
    <cellStyle name="Normal 7" xfId="109" xr:uid="{00000000-0005-0000-0000-000067000000}"/>
    <cellStyle name="Normal 8" xfId="110" xr:uid="{00000000-0005-0000-0000-000068000000}"/>
    <cellStyle name="Normal 9" xfId="111" xr:uid="{00000000-0005-0000-0000-000069000000}"/>
    <cellStyle name="Notas 2" xfId="49" xr:uid="{00000000-0005-0000-0000-00006A000000}"/>
    <cellStyle name="Note" xfId="50" xr:uid="{00000000-0005-0000-0000-00006B000000}"/>
    <cellStyle name="Output" xfId="51" xr:uid="{00000000-0005-0000-0000-00006C000000}"/>
    <cellStyle name="Porcentaje" xfId="1" builtinId="5"/>
    <cellStyle name="Porcentaje 2" xfId="8" xr:uid="{00000000-0005-0000-0000-00006E000000}"/>
    <cellStyle name="Porcentaje 3" xfId="112" xr:uid="{00000000-0005-0000-0000-00006F000000}"/>
    <cellStyle name="Porcentaje 3 2" xfId="113" xr:uid="{00000000-0005-0000-0000-000070000000}"/>
    <cellStyle name="Porcentual 2" xfId="52" xr:uid="{00000000-0005-0000-0000-000071000000}"/>
    <cellStyle name="Porcentual 3" xfId="11" xr:uid="{00000000-0005-0000-0000-000072000000}"/>
    <cellStyle name="Punto0" xfId="114" xr:uid="{00000000-0005-0000-0000-000073000000}"/>
    <cellStyle name="Punto0 2" xfId="115" xr:uid="{00000000-0005-0000-0000-000074000000}"/>
    <cellStyle name="Title" xfId="53" xr:uid="{00000000-0005-0000-0000-000075000000}"/>
    <cellStyle name="Total 2" xfId="54" xr:uid="{00000000-0005-0000-0000-000076000000}"/>
    <cellStyle name="Warning Text" xfId="55" xr:uid="{00000000-0005-0000-0000-00007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3541276</xdr:colOff>
      <xdr:row>0</xdr:row>
      <xdr:rowOff>38101</xdr:rowOff>
    </xdr:from>
    <xdr:to>
      <xdr:col>2</xdr:col>
      <xdr:colOff>3542353</xdr:colOff>
      <xdr:row>3</xdr:row>
      <xdr:rowOff>219374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364EC633-5446-5E4C-A872-658ECEC7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4676" y="38101"/>
          <a:ext cx="1077" cy="7527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1643380</xdr:colOff>
      <xdr:row>4</xdr:row>
      <xdr:rowOff>41275</xdr:rowOff>
    </xdr:to>
    <xdr:pic>
      <xdr:nvPicPr>
        <xdr:cNvPr id="3" name="6 Imagen">
          <a:extLst>
            <a:ext uri="{FF2B5EF4-FFF2-40B4-BE49-F238E27FC236}">
              <a16:creationId xmlns:a16="http://schemas.microsoft.com/office/drawing/2014/main" id="{0D07B8F4-2A35-0B44-AD6A-8C2BDEBA0D8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0"/>
          <a:ext cx="1643380" cy="993775"/>
        </a:xfrm>
        <a:prstGeom prst="rect">
          <a:avLst/>
        </a:prstGeom>
      </xdr:spPr>
    </xdr:pic>
    <xdr:clientData/>
  </xdr:twoCellAnchor>
  <xdr:twoCellAnchor editAs="oneCell">
    <xdr:from>
      <xdr:col>2</xdr:col>
      <xdr:colOff>1726565</xdr:colOff>
      <xdr:row>0</xdr:row>
      <xdr:rowOff>144780</xdr:rowOff>
    </xdr:from>
    <xdr:to>
      <xdr:col>2</xdr:col>
      <xdr:colOff>3524885</xdr:colOff>
      <xdr:row>3</xdr:row>
      <xdr:rowOff>186690</xdr:rowOff>
    </xdr:to>
    <xdr:pic>
      <xdr:nvPicPr>
        <xdr:cNvPr id="4" name="8 Imagen">
          <a:extLst>
            <a:ext uri="{FF2B5EF4-FFF2-40B4-BE49-F238E27FC236}">
              <a16:creationId xmlns:a16="http://schemas.microsoft.com/office/drawing/2014/main" id="{2093500D-B159-8642-B683-3ADC165639F4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86" t="19359" r="12241" b="47922"/>
        <a:stretch/>
      </xdr:blipFill>
      <xdr:spPr bwMode="auto">
        <a:xfrm>
          <a:off x="2259965" y="144780"/>
          <a:ext cx="1798320" cy="6134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useso.cl/607/w3-article-601324.html" TargetMode="External"/><Relationship Id="rId1" Type="http://schemas.openxmlformats.org/officeDocument/2006/relationships/hyperlink" Target="https://www.suseso.cl/607/w3-article-601325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52"/>
  <sheetViews>
    <sheetView showGridLines="0" workbookViewId="0"/>
  </sheetViews>
  <sheetFormatPr baseColWidth="10" defaultRowHeight="15"/>
  <cols>
    <col min="1" max="2" width="3.42578125" customWidth="1"/>
    <col min="3" max="3" width="65.7109375" customWidth="1"/>
    <col min="4" max="4" width="67.140625" customWidth="1"/>
  </cols>
  <sheetData>
    <row r="1" spans="3:5">
      <c r="C1" s="74"/>
    </row>
    <row r="3" spans="3:5" ht="30" customHeight="1">
      <c r="C3" s="74"/>
    </row>
    <row r="4" spans="3:5" ht="30" customHeight="1"/>
    <row r="5" spans="3:5" ht="30" customHeight="1">
      <c r="C5" s="75" t="s">
        <v>385</v>
      </c>
    </row>
    <row r="6" spans="3:5" ht="19.5" customHeight="1">
      <c r="C6" s="103" t="s">
        <v>588</v>
      </c>
      <c r="D6" s="104"/>
    </row>
    <row r="7" spans="3:5" ht="19.5" customHeight="1">
      <c r="C7" s="105"/>
      <c r="D7" s="106"/>
    </row>
    <row r="8" spans="3:5" ht="19.5" customHeight="1">
      <c r="C8" s="105"/>
      <c r="D8" s="106"/>
    </row>
    <row r="9" spans="3:5" ht="19.5" customHeight="1">
      <c r="C9" s="105"/>
      <c r="D9" s="106"/>
    </row>
    <row r="10" spans="3:5" ht="19.5" customHeight="1">
      <c r="C10" s="105"/>
      <c r="D10" s="106"/>
    </row>
    <row r="11" spans="3:5" ht="19.5" customHeight="1">
      <c r="C11" s="105"/>
      <c r="D11" s="106"/>
    </row>
    <row r="12" spans="3:5">
      <c r="C12" s="107"/>
      <c r="D12" s="108"/>
    </row>
    <row r="13" spans="3:5">
      <c r="C13" s="76" t="s">
        <v>585</v>
      </c>
      <c r="E13" s="102" t="s">
        <v>587</v>
      </c>
    </row>
    <row r="14" spans="3:5">
      <c r="C14" s="78"/>
      <c r="E14" s="101" t="s">
        <v>586</v>
      </c>
    </row>
    <row r="15" spans="3:5">
      <c r="C15" s="78"/>
    </row>
    <row r="16" spans="3:5">
      <c r="C16" s="78"/>
    </row>
    <row r="17" spans="3:4">
      <c r="C17" s="78"/>
    </row>
    <row r="18" spans="3:4">
      <c r="C18" s="78"/>
      <c r="D18" s="101"/>
    </row>
    <row r="19" spans="3:4" ht="15.75">
      <c r="C19" s="77"/>
      <c r="D19" s="101"/>
    </row>
    <row r="20" spans="3:4">
      <c r="C20" s="78"/>
    </row>
    <row r="22" spans="3:4">
      <c r="C22" s="78"/>
    </row>
    <row r="23" spans="3:4">
      <c r="C23" s="78"/>
    </row>
    <row r="24" spans="3:4">
      <c r="C24" s="78"/>
    </row>
    <row r="25" spans="3:4">
      <c r="C25" s="78"/>
    </row>
    <row r="26" spans="3:4">
      <c r="C26" s="79"/>
    </row>
    <row r="27" spans="3:4">
      <c r="C27" s="78"/>
    </row>
    <row r="28" spans="3:4" ht="15.75">
      <c r="C28" s="77"/>
    </row>
    <row r="29" spans="3:4">
      <c r="C29" s="78"/>
    </row>
    <row r="30" spans="3:4">
      <c r="C30" s="78"/>
    </row>
    <row r="31" spans="3:4">
      <c r="C31" s="78"/>
    </row>
    <row r="32" spans="3:4" ht="15.75">
      <c r="C32" s="77"/>
    </row>
    <row r="33" spans="3:3">
      <c r="C33" s="78"/>
    </row>
    <row r="34" spans="3:3">
      <c r="C34" s="78"/>
    </row>
    <row r="35" spans="3:3">
      <c r="C35" s="78"/>
    </row>
    <row r="36" spans="3:3">
      <c r="C36" s="78"/>
    </row>
    <row r="37" spans="3:3" ht="15.75">
      <c r="C37" s="77"/>
    </row>
    <row r="38" spans="3:3">
      <c r="C38" s="78"/>
    </row>
    <row r="39" spans="3:3" ht="33" customHeight="1">
      <c r="C39" s="80"/>
    </row>
    <row r="40" spans="3:3" ht="27.75" customHeight="1">
      <c r="C40" s="78"/>
    </row>
    <row r="41" spans="3:3">
      <c r="C41" s="81"/>
    </row>
    <row r="42" spans="3:3" ht="15.75">
      <c r="C42" s="77"/>
    </row>
    <row r="43" spans="3:3">
      <c r="C43" s="78"/>
    </row>
    <row r="44" spans="3:3">
      <c r="C44" s="78"/>
    </row>
    <row r="45" spans="3:3">
      <c r="C45" s="82"/>
    </row>
    <row r="46" spans="3:3" ht="15.75">
      <c r="C46" s="77"/>
    </row>
    <row r="47" spans="3:3">
      <c r="C47" s="78"/>
    </row>
    <row r="48" spans="3:3">
      <c r="C48" s="78"/>
    </row>
    <row r="49" spans="3:3" ht="17.25" customHeight="1">
      <c r="C49" s="78"/>
    </row>
    <row r="50" spans="3:3">
      <c r="C50" s="78"/>
    </row>
    <row r="51" spans="3:3" ht="15.75">
      <c r="C51" s="77"/>
    </row>
    <row r="52" spans="3:3">
      <c r="C52" s="83"/>
    </row>
  </sheetData>
  <mergeCells count="1">
    <mergeCell ref="C6:D12"/>
  </mergeCells>
  <hyperlinks>
    <hyperlink ref="E14" r:id="rId1" xr:uid="{B5701802-E7CB-4FCC-849D-47F9281A9C25}"/>
    <hyperlink ref="E13" r:id="rId2" xr:uid="{E251BBBA-B524-42AD-A525-872B3B7EFBAE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88"/>
  <sheetViews>
    <sheetView showGridLines="0" workbookViewId="0"/>
  </sheetViews>
  <sheetFormatPr baseColWidth="10" defaultColWidth="11.42578125" defaultRowHeight="15"/>
  <cols>
    <col min="2" max="2" width="142.28515625" bestFit="1" customWidth="1"/>
  </cols>
  <sheetData>
    <row r="2" spans="1:2" ht="18.75" customHeight="1">
      <c r="B2" s="109" t="s">
        <v>386</v>
      </c>
    </row>
    <row r="3" spans="1:2" ht="15" customHeight="1">
      <c r="B3" s="110"/>
    </row>
    <row r="4" spans="1:2" ht="15.75">
      <c r="B4" s="84" t="s">
        <v>78</v>
      </c>
    </row>
    <row r="5" spans="1:2">
      <c r="B5" s="85"/>
    </row>
    <row r="6" spans="1:2">
      <c r="B6" s="86" t="s">
        <v>552</v>
      </c>
    </row>
    <row r="7" spans="1:2">
      <c r="B7" s="86" t="s">
        <v>436</v>
      </c>
    </row>
    <row r="8" spans="1:2">
      <c r="B8" s="86" t="s">
        <v>437</v>
      </c>
    </row>
    <row r="9" spans="1:2">
      <c r="B9" s="86" t="s">
        <v>438</v>
      </c>
    </row>
    <row r="10" spans="1:2">
      <c r="B10" s="86" t="s">
        <v>439</v>
      </c>
    </row>
    <row r="11" spans="1:2">
      <c r="B11" s="86" t="s">
        <v>440</v>
      </c>
    </row>
    <row r="12" spans="1:2">
      <c r="B12" s="86" t="s">
        <v>441</v>
      </c>
    </row>
    <row r="13" spans="1:2">
      <c r="A13" s="87"/>
      <c r="B13" s="86" t="s">
        <v>553</v>
      </c>
    </row>
    <row r="14" spans="1:2">
      <c r="A14" s="87"/>
      <c r="B14" s="86" t="s">
        <v>568</v>
      </c>
    </row>
    <row r="15" spans="1:2">
      <c r="A15" s="87"/>
      <c r="B15" s="86" t="s">
        <v>569</v>
      </c>
    </row>
    <row r="16" spans="1:2">
      <c r="A16" s="87"/>
      <c r="B16" s="86" t="s">
        <v>570</v>
      </c>
    </row>
    <row r="17" spans="1:2">
      <c r="A17" s="87"/>
      <c r="B17" s="86" t="s">
        <v>571</v>
      </c>
    </row>
    <row r="18" spans="1:2">
      <c r="B18" s="88"/>
    </row>
    <row r="19" spans="1:2" ht="15.75">
      <c r="B19" s="84" t="s">
        <v>141</v>
      </c>
    </row>
    <row r="20" spans="1:2">
      <c r="B20" s="85"/>
    </row>
    <row r="21" spans="1:2">
      <c r="B21" s="86" t="s">
        <v>554</v>
      </c>
    </row>
    <row r="22" spans="1:2">
      <c r="B22" s="86" t="s">
        <v>442</v>
      </c>
    </row>
    <row r="23" spans="1:2">
      <c r="B23" s="86" t="s">
        <v>443</v>
      </c>
    </row>
    <row r="24" spans="1:2">
      <c r="B24" s="86" t="s">
        <v>444</v>
      </c>
    </row>
    <row r="25" spans="1:2">
      <c r="B25" s="86" t="s">
        <v>445</v>
      </c>
    </row>
    <row r="26" spans="1:2">
      <c r="B26" s="86" t="s">
        <v>446</v>
      </c>
    </row>
    <row r="27" spans="1:2">
      <c r="B27" s="86" t="s">
        <v>572</v>
      </c>
    </row>
    <row r="28" spans="1:2">
      <c r="B28" s="86" t="s">
        <v>575</v>
      </c>
    </row>
    <row r="29" spans="1:2">
      <c r="B29" s="86" t="s">
        <v>555</v>
      </c>
    </row>
    <row r="30" spans="1:2">
      <c r="B30" s="86" t="s">
        <v>447</v>
      </c>
    </row>
    <row r="31" spans="1:2">
      <c r="B31" s="86" t="s">
        <v>448</v>
      </c>
    </row>
    <row r="32" spans="1:2">
      <c r="B32" s="86" t="s">
        <v>449</v>
      </c>
    </row>
    <row r="33" spans="2:2">
      <c r="B33" s="86" t="s">
        <v>450</v>
      </c>
    </row>
    <row r="34" spans="2:2">
      <c r="B34" s="86" t="s">
        <v>573</v>
      </c>
    </row>
    <row r="35" spans="2:2">
      <c r="B35" s="86" t="s">
        <v>574</v>
      </c>
    </row>
    <row r="36" spans="2:2">
      <c r="B36" s="86" t="s">
        <v>576</v>
      </c>
    </row>
    <row r="37" spans="2:2">
      <c r="B37" s="89"/>
    </row>
    <row r="38" spans="2:2" ht="15.75">
      <c r="B38" s="84" t="s">
        <v>142</v>
      </c>
    </row>
    <row r="39" spans="2:2">
      <c r="B39" s="85"/>
    </row>
    <row r="40" spans="2:2">
      <c r="B40" s="86" t="s">
        <v>556</v>
      </c>
    </row>
    <row r="41" spans="2:2">
      <c r="B41" s="86" t="s">
        <v>451</v>
      </c>
    </row>
    <row r="42" spans="2:2">
      <c r="B42" s="86" t="s">
        <v>452</v>
      </c>
    </row>
    <row r="43" spans="2:2">
      <c r="B43" s="86" t="s">
        <v>453</v>
      </c>
    </row>
    <row r="44" spans="2:2">
      <c r="B44" s="86" t="s">
        <v>454</v>
      </c>
    </row>
    <row r="45" spans="2:2">
      <c r="B45" s="86" t="s">
        <v>577</v>
      </c>
    </row>
    <row r="46" spans="2:2">
      <c r="B46" s="86" t="s">
        <v>578</v>
      </c>
    </row>
    <row r="47" spans="2:2">
      <c r="B47" s="86" t="s">
        <v>557</v>
      </c>
    </row>
    <row r="48" spans="2:2">
      <c r="B48" s="86" t="s">
        <v>455</v>
      </c>
    </row>
    <row r="49" spans="2:2">
      <c r="B49" s="86" t="s">
        <v>456</v>
      </c>
    </row>
    <row r="50" spans="2:2">
      <c r="B50" s="86" t="s">
        <v>457</v>
      </c>
    </row>
    <row r="51" spans="2:2">
      <c r="B51" s="86" t="s">
        <v>458</v>
      </c>
    </row>
    <row r="52" spans="2:2">
      <c r="B52" s="86" t="s">
        <v>579</v>
      </c>
    </row>
    <row r="53" spans="2:2">
      <c r="B53" s="86" t="s">
        <v>580</v>
      </c>
    </row>
    <row r="54" spans="2:2">
      <c r="B54" s="89"/>
    </row>
    <row r="55" spans="2:2" ht="15.75">
      <c r="B55" s="84" t="s">
        <v>143</v>
      </c>
    </row>
    <row r="56" spans="2:2">
      <c r="B56" s="85"/>
    </row>
    <row r="57" spans="2:2">
      <c r="B57" s="86" t="s">
        <v>558</v>
      </c>
    </row>
    <row r="58" spans="2:2">
      <c r="B58" s="86" t="s">
        <v>459</v>
      </c>
    </row>
    <row r="59" spans="2:2">
      <c r="B59" s="86" t="s">
        <v>460</v>
      </c>
    </row>
    <row r="60" spans="2:2">
      <c r="B60" s="86" t="s">
        <v>461</v>
      </c>
    </row>
    <row r="61" spans="2:2">
      <c r="B61" s="86" t="s">
        <v>581</v>
      </c>
    </row>
    <row r="62" spans="2:2">
      <c r="B62" s="86" t="s">
        <v>582</v>
      </c>
    </row>
    <row r="63" spans="2:2">
      <c r="B63" s="86" t="s">
        <v>559</v>
      </c>
    </row>
    <row r="64" spans="2:2">
      <c r="B64" s="86" t="s">
        <v>462</v>
      </c>
    </row>
    <row r="65" spans="2:2">
      <c r="B65" s="86" t="s">
        <v>463</v>
      </c>
    </row>
    <row r="66" spans="2:2">
      <c r="B66" s="86" t="s">
        <v>464</v>
      </c>
    </row>
    <row r="67" spans="2:2">
      <c r="B67" s="100" t="s">
        <v>583</v>
      </c>
    </row>
    <row r="68" spans="2:2">
      <c r="B68" s="86" t="s">
        <v>584</v>
      </c>
    </row>
    <row r="69" spans="2:2">
      <c r="B69" s="89"/>
    </row>
    <row r="70" spans="2:2" ht="15.75">
      <c r="B70" s="84" t="s">
        <v>387</v>
      </c>
    </row>
    <row r="71" spans="2:2">
      <c r="B71" s="85"/>
    </row>
    <row r="72" spans="2:2">
      <c r="B72" s="86" t="s">
        <v>465</v>
      </c>
    </row>
    <row r="73" spans="2:2">
      <c r="B73" s="86" t="s">
        <v>466</v>
      </c>
    </row>
    <row r="74" spans="2:2">
      <c r="B74" s="86" t="s">
        <v>467</v>
      </c>
    </row>
    <row r="75" spans="2:2">
      <c r="B75" s="86" t="s">
        <v>468</v>
      </c>
    </row>
    <row r="76" spans="2:2">
      <c r="B76" s="86" t="s">
        <v>469</v>
      </c>
    </row>
    <row r="77" spans="2:2">
      <c r="B77" s="86" t="s">
        <v>470</v>
      </c>
    </row>
    <row r="78" spans="2:2">
      <c r="B78" s="86" t="s">
        <v>471</v>
      </c>
    </row>
    <row r="79" spans="2:2">
      <c r="B79" s="86" t="s">
        <v>472</v>
      </c>
    </row>
    <row r="80" spans="2:2">
      <c r="B80" s="86" t="s">
        <v>473</v>
      </c>
    </row>
    <row r="81" spans="2:2">
      <c r="B81" s="86" t="s">
        <v>474</v>
      </c>
    </row>
    <row r="82" spans="2:2">
      <c r="B82" s="86" t="s">
        <v>475</v>
      </c>
    </row>
    <row r="83" spans="2:2">
      <c r="B83" s="86" t="s">
        <v>476</v>
      </c>
    </row>
    <row r="84" spans="2:2">
      <c r="B84" s="86" t="s">
        <v>477</v>
      </c>
    </row>
    <row r="85" spans="2:2">
      <c r="B85" s="86" t="s">
        <v>478</v>
      </c>
    </row>
    <row r="86" spans="2:2">
      <c r="B86" s="88"/>
    </row>
    <row r="87" spans="2:2" ht="15.75">
      <c r="B87" s="84" t="s">
        <v>388</v>
      </c>
    </row>
    <row r="88" spans="2:2">
      <c r="B88" s="85"/>
    </row>
    <row r="89" spans="2:2">
      <c r="B89" s="86" t="s">
        <v>479</v>
      </c>
    </row>
    <row r="90" spans="2:2">
      <c r="B90" s="86" t="s">
        <v>480</v>
      </c>
    </row>
    <row r="91" spans="2:2">
      <c r="B91" s="86" t="s">
        <v>481</v>
      </c>
    </row>
    <row r="92" spans="2:2">
      <c r="B92" s="86" t="s">
        <v>482</v>
      </c>
    </row>
    <row r="93" spans="2:2">
      <c r="B93" s="86" t="s">
        <v>483</v>
      </c>
    </row>
    <row r="94" spans="2:2">
      <c r="B94" s="86" t="s">
        <v>484</v>
      </c>
    </row>
    <row r="95" spans="2:2">
      <c r="B95" s="86" t="s">
        <v>485</v>
      </c>
    </row>
    <row r="96" spans="2:2">
      <c r="B96" s="86" t="s">
        <v>486</v>
      </c>
    </row>
    <row r="97" spans="2:2">
      <c r="B97" s="86" t="s">
        <v>487</v>
      </c>
    </row>
    <row r="98" spans="2:2">
      <c r="B98" s="86" t="s">
        <v>488</v>
      </c>
    </row>
    <row r="99" spans="2:2">
      <c r="B99" s="86" t="s">
        <v>489</v>
      </c>
    </row>
    <row r="100" spans="2:2">
      <c r="B100" s="86" t="s">
        <v>490</v>
      </c>
    </row>
    <row r="101" spans="2:2">
      <c r="B101" s="86" t="s">
        <v>491</v>
      </c>
    </row>
    <row r="102" spans="2:2">
      <c r="B102" s="86" t="s">
        <v>492</v>
      </c>
    </row>
    <row r="103" spans="2:2">
      <c r="B103" s="88"/>
    </row>
    <row r="104" spans="2:2" ht="15.75">
      <c r="B104" s="84" t="s">
        <v>389</v>
      </c>
    </row>
    <row r="105" spans="2:2">
      <c r="B105" s="85"/>
    </row>
    <row r="106" spans="2:2">
      <c r="B106" s="86" t="s">
        <v>493</v>
      </c>
    </row>
    <row r="107" spans="2:2">
      <c r="B107" s="86" t="s">
        <v>494</v>
      </c>
    </row>
    <row r="108" spans="2:2">
      <c r="B108" s="86" t="s">
        <v>495</v>
      </c>
    </row>
    <row r="109" spans="2:2">
      <c r="B109" s="86" t="s">
        <v>496</v>
      </c>
    </row>
    <row r="110" spans="2:2">
      <c r="B110" s="86" t="s">
        <v>497</v>
      </c>
    </row>
    <row r="111" spans="2:2">
      <c r="B111" s="86" t="s">
        <v>498</v>
      </c>
    </row>
    <row r="112" spans="2:2">
      <c r="B112" s="86" t="s">
        <v>499</v>
      </c>
    </row>
    <row r="113" spans="2:2">
      <c r="B113" s="86" t="s">
        <v>500</v>
      </c>
    </row>
    <row r="114" spans="2:2">
      <c r="B114" s="86" t="s">
        <v>501</v>
      </c>
    </row>
    <row r="115" spans="2:2">
      <c r="B115" s="86" t="s">
        <v>502</v>
      </c>
    </row>
    <row r="116" spans="2:2">
      <c r="B116" s="86" t="s">
        <v>503</v>
      </c>
    </row>
    <row r="117" spans="2:2">
      <c r="B117" s="86" t="s">
        <v>504</v>
      </c>
    </row>
    <row r="118" spans="2:2">
      <c r="B118" s="86" t="s">
        <v>505</v>
      </c>
    </row>
    <row r="119" spans="2:2">
      <c r="B119" s="86" t="s">
        <v>506</v>
      </c>
    </row>
    <row r="120" spans="2:2">
      <c r="B120" s="88"/>
    </row>
    <row r="121" spans="2:2" ht="15.75">
      <c r="B121" s="84" t="s">
        <v>390</v>
      </c>
    </row>
    <row r="122" spans="2:2">
      <c r="B122" s="85"/>
    </row>
    <row r="123" spans="2:2">
      <c r="B123" s="86" t="s">
        <v>560</v>
      </c>
    </row>
    <row r="124" spans="2:2">
      <c r="B124" s="86" t="s">
        <v>561</v>
      </c>
    </row>
    <row r="125" spans="2:2">
      <c r="B125" s="86" t="s">
        <v>507</v>
      </c>
    </row>
    <row r="126" spans="2:2">
      <c r="B126" s="86" t="s">
        <v>508</v>
      </c>
    </row>
    <row r="127" spans="2:2">
      <c r="B127" s="86" t="s">
        <v>509</v>
      </c>
    </row>
    <row r="128" spans="2:2">
      <c r="B128" s="88"/>
    </row>
    <row r="129" spans="2:2" ht="15.75">
      <c r="B129" s="84" t="s">
        <v>391</v>
      </c>
    </row>
    <row r="130" spans="2:2">
      <c r="B130" s="85"/>
    </row>
    <row r="131" spans="2:2">
      <c r="B131" s="86" t="s">
        <v>562</v>
      </c>
    </row>
    <row r="132" spans="2:2">
      <c r="B132" s="86" t="s">
        <v>563</v>
      </c>
    </row>
    <row r="133" spans="2:2">
      <c r="B133" s="86" t="s">
        <v>564</v>
      </c>
    </row>
    <row r="134" spans="2:2">
      <c r="B134" s="86" t="s">
        <v>565</v>
      </c>
    </row>
    <row r="135" spans="2:2">
      <c r="B135" s="86" t="s">
        <v>566</v>
      </c>
    </row>
    <row r="136" spans="2:2">
      <c r="B136" s="86" t="s">
        <v>567</v>
      </c>
    </row>
    <row r="137" spans="2:2">
      <c r="B137" s="88"/>
    </row>
    <row r="138" spans="2:2" ht="15.75">
      <c r="B138" s="84" t="s">
        <v>219</v>
      </c>
    </row>
    <row r="139" spans="2:2">
      <c r="B139" s="85"/>
    </row>
    <row r="140" spans="2:2">
      <c r="B140" s="86" t="s">
        <v>510</v>
      </c>
    </row>
    <row r="141" spans="2:2">
      <c r="B141" s="86" t="s">
        <v>511</v>
      </c>
    </row>
    <row r="142" spans="2:2">
      <c r="B142" s="86" t="s">
        <v>512</v>
      </c>
    </row>
    <row r="143" spans="2:2">
      <c r="B143" s="86" t="s">
        <v>513</v>
      </c>
    </row>
    <row r="144" spans="2:2">
      <c r="B144" s="86" t="s">
        <v>514</v>
      </c>
    </row>
    <row r="145" spans="2:2">
      <c r="B145" s="86" t="s">
        <v>515</v>
      </c>
    </row>
    <row r="146" spans="2:2">
      <c r="B146" s="86" t="s">
        <v>516</v>
      </c>
    </row>
    <row r="147" spans="2:2">
      <c r="B147" s="86" t="s">
        <v>517</v>
      </c>
    </row>
    <row r="148" spans="2:2">
      <c r="B148" s="86" t="s">
        <v>518</v>
      </c>
    </row>
    <row r="149" spans="2:2">
      <c r="B149" s="86" t="s">
        <v>519</v>
      </c>
    </row>
    <row r="150" spans="2:2">
      <c r="B150" s="86" t="s">
        <v>520</v>
      </c>
    </row>
    <row r="151" spans="2:2">
      <c r="B151" s="86" t="s">
        <v>521</v>
      </c>
    </row>
    <row r="152" spans="2:2">
      <c r="B152" s="86" t="s">
        <v>522</v>
      </c>
    </row>
    <row r="153" spans="2:2">
      <c r="B153" s="86" t="s">
        <v>523</v>
      </c>
    </row>
    <row r="154" spans="2:2">
      <c r="B154" s="88"/>
    </row>
    <row r="155" spans="2:2" ht="15.75">
      <c r="B155" s="84" t="s">
        <v>220</v>
      </c>
    </row>
    <row r="156" spans="2:2">
      <c r="B156" s="85"/>
    </row>
    <row r="157" spans="2:2">
      <c r="B157" s="86" t="s">
        <v>524</v>
      </c>
    </row>
    <row r="158" spans="2:2">
      <c r="B158" s="86" t="s">
        <v>525</v>
      </c>
    </row>
    <row r="159" spans="2:2">
      <c r="B159" s="86" t="s">
        <v>526</v>
      </c>
    </row>
    <row r="160" spans="2:2">
      <c r="B160" s="86" t="s">
        <v>527</v>
      </c>
    </row>
    <row r="161" spans="2:2">
      <c r="B161" s="86" t="s">
        <v>528</v>
      </c>
    </row>
    <row r="162" spans="2:2">
      <c r="B162" s="86" t="s">
        <v>529</v>
      </c>
    </row>
    <row r="163" spans="2:2">
      <c r="B163" s="86" t="s">
        <v>530</v>
      </c>
    </row>
    <row r="164" spans="2:2">
      <c r="B164" s="86" t="s">
        <v>531</v>
      </c>
    </row>
    <row r="165" spans="2:2">
      <c r="B165" s="86" t="s">
        <v>532</v>
      </c>
    </row>
    <row r="166" spans="2:2">
      <c r="B166" s="86" t="s">
        <v>533</v>
      </c>
    </row>
    <row r="167" spans="2:2">
      <c r="B167" s="86" t="s">
        <v>534</v>
      </c>
    </row>
    <row r="168" spans="2:2">
      <c r="B168" s="86" t="s">
        <v>535</v>
      </c>
    </row>
    <row r="169" spans="2:2">
      <c r="B169" s="86" t="s">
        <v>536</v>
      </c>
    </row>
    <row r="170" spans="2:2">
      <c r="B170" s="86" t="s">
        <v>537</v>
      </c>
    </row>
    <row r="171" spans="2:2">
      <c r="B171" s="88"/>
    </row>
    <row r="172" spans="2:2" ht="15.75">
      <c r="B172" s="84" t="s">
        <v>221</v>
      </c>
    </row>
    <row r="173" spans="2:2">
      <c r="B173" s="85"/>
    </row>
    <row r="174" spans="2:2">
      <c r="B174" s="86" t="s">
        <v>538</v>
      </c>
    </row>
    <row r="175" spans="2:2">
      <c r="B175" s="86" t="s">
        <v>539</v>
      </c>
    </row>
    <row r="176" spans="2:2">
      <c r="B176" s="86" t="s">
        <v>540</v>
      </c>
    </row>
    <row r="177" spans="2:2">
      <c r="B177" s="86" t="s">
        <v>541</v>
      </c>
    </row>
    <row r="178" spans="2:2">
      <c r="B178" s="86" t="s">
        <v>542</v>
      </c>
    </row>
    <row r="179" spans="2:2">
      <c r="B179" s="86" t="s">
        <v>543</v>
      </c>
    </row>
    <row r="180" spans="2:2">
      <c r="B180" s="86" t="s">
        <v>544</v>
      </c>
    </row>
    <row r="181" spans="2:2">
      <c r="B181" s="86" t="s">
        <v>545</v>
      </c>
    </row>
    <row r="182" spans="2:2">
      <c r="B182" s="86" t="s">
        <v>546</v>
      </c>
    </row>
    <row r="183" spans="2:2">
      <c r="B183" s="86" t="s">
        <v>547</v>
      </c>
    </row>
    <row r="184" spans="2:2">
      <c r="B184" s="86" t="s">
        <v>548</v>
      </c>
    </row>
    <row r="185" spans="2:2">
      <c r="B185" s="86" t="s">
        <v>549</v>
      </c>
    </row>
    <row r="186" spans="2:2">
      <c r="B186" s="86" t="s">
        <v>550</v>
      </c>
    </row>
    <row r="187" spans="2:2">
      <c r="B187" s="86" t="s">
        <v>551</v>
      </c>
    </row>
    <row r="188" spans="2:2">
      <c r="B188" s="90"/>
    </row>
  </sheetData>
  <mergeCells count="1">
    <mergeCell ref="B2:B3"/>
  </mergeCells>
  <hyperlinks>
    <hyperlink ref="B6" location="'C1_COT'!A3" display="Cuadro N° 1.1: Número de cotizantes, según seguro de salud años 2011-2015" xr:uid="{00000000-0004-0000-0100-000000000000}"/>
    <hyperlink ref="B7" location="'C1_COT'!A13" display="Cuadro N° 1.2: Número de cotizantes, según seguro de salud y sexo año 2015" xr:uid="{00000000-0004-0000-0100-000001000000}"/>
    <hyperlink ref="B8" location="'C1_COT'!A23" display="Cuadro N° 1.3: Número de cotizantes, según seguro de salud y tramo etario año 2019" xr:uid="{00000000-0004-0000-0100-000002000000}"/>
    <hyperlink ref="B9" location="'C1_COT'!A37" display="Cuadro N° 1.4: Número de cotizantes, según seguro de salud y tipo de cotizante año 2019" xr:uid="{00000000-0004-0000-0100-000003000000}"/>
    <hyperlink ref="B10" location="'C1_COT'!A47" display="Cuadro N° 1.5: Número de cotizantes, según seguro de salud y región año 2019" xr:uid="{00000000-0004-0000-0100-000004000000}"/>
    <hyperlink ref="B11" location="'C1_COT'!A70" display="Cuadro N° 1.6: Número de cotizantes, según seguro de salud y tramo de remuneraciones año 2019" xr:uid="{00000000-0004-0000-0100-000005000000}"/>
    <hyperlink ref="B12" location="'C1_COT'!A85" display="Cuadro N° 1.7: Número de cotizantes, según seguro de salud y actividad económica año 2019" xr:uid="{00000000-0004-0000-0100-000006000000}"/>
    <hyperlink ref="B13" location="'C1_COT'!A100" display="Cuadro N° 1.8: Renta imponible promedio anual para el universo de cotizantes, según seguro de salud (miles $ de cada año) años 2015-2019" xr:uid="{00000000-0004-0000-0100-000007000000}"/>
    <hyperlink ref="B21" location="'C2_LMT'!A3" display="Cuadro N° 2.1.: Número de licencias médicas tramitadas, según seguro de salud años 2011-2015" xr:uid="{00000000-0004-0000-0100-000008000000}"/>
    <hyperlink ref="B22" location="'C2_LMT'!A13" display="Cuadro N° 2.1.1: Número de licencias médicas tramitadas, según seguro de salud y sexo año 2015" xr:uid="{00000000-0004-0000-0100-000009000000}"/>
    <hyperlink ref="B23" location="'C2_LMT'!A22" display="Cuadro N° 2.1.3: Número de licencias médicas tramitadas, según seguro de salud y tramo etario año 2017" xr:uid="{00000000-0004-0000-0100-00000A000000}"/>
    <hyperlink ref="B24" location="'C2_LMT'!A36" display="Cuadro N° 2.1.4: Número de licencias médicas tramitadas, según seguro de salud y tipo de sector año 2017" xr:uid="{00000000-0004-0000-0100-00000B000000}"/>
    <hyperlink ref="B25" location="'C2_LMT'!A46" display="Cuadro N° 2.1.5: Número de licencias médicas tramitadas, según seguro de salud y región año 2017" xr:uid="{00000000-0004-0000-0100-00000C000000}"/>
    <hyperlink ref="B28" location="'C2_LMT'!A104" display="Cuadro N° 2.1.8: Número de licencias médicas tramitadas, según seguro de salud y  tipo de resolución año 2019" xr:uid="{00000000-0004-0000-0100-00000D000000}"/>
    <hyperlink ref="B29" location="'C2_LMT'!F3" display="Cuadro N° 2.2.: Número de días otorgados, según seguro de salud años 2011-2015" xr:uid="{00000000-0004-0000-0100-00000E000000}"/>
    <hyperlink ref="B30" location="'C2_LMT'!F13" display="Cuadro N° 2.2.1: Número de días otorgados, según seguro de salud y sexo año 2015" xr:uid="{00000000-0004-0000-0100-00000F000000}"/>
    <hyperlink ref="B31" location="'C2_LMT'!F22" display="Cuadro N° 2.2.3: Número de días otorgados, según seguro de salud y tramo etario año 2017" xr:uid="{00000000-0004-0000-0100-000010000000}"/>
    <hyperlink ref="B32" location="'C2_LMT'!F36" display="Cuadro N° 2.2.4: Número de días otorgados, según seguro de salud y tipo de sector año 2017" xr:uid="{00000000-0004-0000-0100-000011000000}"/>
    <hyperlink ref="B33" location="'C2_LMT'!F46" display="Cuadro N° 2.2.5: Número de días otorgados, según seguro de salud y región año 2017" xr:uid="{00000000-0004-0000-0100-000012000000}"/>
    <hyperlink ref="B36" location="'C2_LMT'!F104" display="Cuadro N° 2.2.6: Número de dias otorgados a HOMBRES, según seguro de salud y región año 2019" xr:uid="{00000000-0004-0000-0100-000013000000}"/>
    <hyperlink ref="B40" location="'C3_LMA'!A3" display="Cuadro N° 3.1.: Número de licencias médicas autorizadas, según seguro de salud años 2011-2015" xr:uid="{00000000-0004-0000-0100-000014000000}"/>
    <hyperlink ref="B41" location="'C3_LMA'!A13" display="Cuadro N° 3.1.1: Número de licencias médicas autorizadas, según seguro de salud y sexo año 2015" xr:uid="{00000000-0004-0000-0100-000015000000}"/>
    <hyperlink ref="B42" location="'C3_LMA'!A22" display="Cuadro N° 3.1.3: Número de licencias médicas autorizadas, según seguro de salud y tramo etario año 2017" xr:uid="{00000000-0004-0000-0100-000016000000}"/>
    <hyperlink ref="B43" location="'C3_LMA'!A36" display="Cuadro N° 3.1.4: Número de licencias médicas autorizadas, según seguro de salud y tipo de sector año 2017" xr:uid="{00000000-0004-0000-0100-000017000000}"/>
    <hyperlink ref="B44" location="'C3_LMA'!A46" display="Cuadro N° 3.1.5: Número de licencias médicas autorizadas, según seguro de salud y región año 2017" xr:uid="{00000000-0004-0000-0100-000018000000}"/>
    <hyperlink ref="B47" location="'C3_LMA'!F3" display="Cuadro N° 3.2.: Número de días pagados, según seguro de salud años 2011-2015" xr:uid="{00000000-0004-0000-0100-000019000000}"/>
    <hyperlink ref="B48" location="'C3_LMA'!F13" display="Cuadro N° 3.2.1: Número de días pagados, según seguro de salud y sexo año 2015" xr:uid="{00000000-0004-0000-0100-00001A000000}"/>
    <hyperlink ref="B49" location="'C3_LMA'!F22" display="Cuadro N° 3.2.3: Número de días pagados, según seguro de salud y tramo etario año 2017" xr:uid="{00000000-0004-0000-0100-00001B000000}"/>
    <hyperlink ref="B50" location="'C3_LMA'!F36" display="Cuadro N° 3.2.4: Número de días pagados, según seguro de salud y tipo de sector año 2017" xr:uid="{00000000-0004-0000-0100-00001C000000}"/>
    <hyperlink ref="B51" location="'C3_LMA'!F46" display="Cuadro N° 3.2.5: Número de días pagados, según seguro de salud y región año 2017" xr:uid="{00000000-0004-0000-0100-00001D000000}"/>
    <hyperlink ref="B57" location="'C4_LMR'!A3" display="Cuadro N° 4.1.: Número de licencias médicas rechazadas, según seguro de salud años 2011-2015" xr:uid="{00000000-0004-0000-0100-00001E000000}"/>
    <hyperlink ref="B58" location="'C4_LMR'!A13" display="Cuadro N° 4.1.1: Número de licencias médicas rechazadas, según seguro de salud y sexo año 2015" xr:uid="{00000000-0004-0000-0100-00001F000000}"/>
    <hyperlink ref="B59" location="'C4_LMR'!A22" display="Cuadro N° 4.1.3: Número de licencias médicas rechazadas, según seguro de salud y tramo etario año 2017" xr:uid="{00000000-0004-0000-0100-000020000000}"/>
    <hyperlink ref="B60" location="'C4_LMR'!A36" display="Cuadro N° 4.1.4: Número de licencias médicas rechazadas, según seguro de salud y región año 2017" xr:uid="{00000000-0004-0000-0100-000021000000}"/>
    <hyperlink ref="B63" location="'C4_LMR'!F3" display="Cuadro N° 4.2.: Número de días rechazados, según seguro de salud años 2011-2015" xr:uid="{00000000-0004-0000-0100-000022000000}"/>
    <hyperlink ref="B64" location="'C4_LMR'!F13" display="Cuadro N° 4.2.1: Número de días rechazados, según seguro de salud y sexo año 2015" xr:uid="{00000000-0004-0000-0100-000023000000}"/>
    <hyperlink ref="B65" location="'C4_LMR'!F22" display="Cuadro N° 4.2.3: Número de días rechazados, según seguro de salud y tramo etario año 2017" xr:uid="{00000000-0004-0000-0100-000024000000}"/>
    <hyperlink ref="B66" location="'C4_LMR'!F36" display="Cuadro N° 4.2.4: Número de días rechazados, según seguro de salud y región año 2017" xr:uid="{00000000-0004-0000-0100-000025000000}"/>
    <hyperlink ref="B123" location="'C8_GTO_SIL'!A3" display="Cuadro N° 8.1: Gasto en SIL nominal por licencias médicas, según seguro de salud (miles $ de cada año) años 2011-2015" xr:uid="{00000000-0004-0000-0100-000026000000}"/>
    <hyperlink ref="B124" location="'C8_GTO_SIL'!A13" display="Cuadro N° 8.2: Gasto en SIL por licencias médicas, según seguro de salud (miles $ de diciembre 2015) años 2011-2015" xr:uid="{00000000-0004-0000-0100-000027000000}"/>
    <hyperlink ref="B125" location="'C8_GTO_SIL'!A23" display="Cuadro N° 8.3: Gasto en SIL por licencias médicas, según seguro de salud y tipo de diagnóstico (miles $ de diciembre 2015) año 2015" xr:uid="{00000000-0004-0000-0100-000028000000}"/>
    <hyperlink ref="B131" location="'C9_IND_SIL'!A3" display="Cuadro N° 9.1: Gasto en SIL por cotizante, según seguro de salud (miles $ de diciembre 2015) años 2011-2015" xr:uid="{00000000-0004-0000-0100-000029000000}"/>
    <hyperlink ref="B132" location="'C9_IND_SIL'!A13" display="Cuadro N° 9.2: Número de días pagados por cotizante, según seguro de salud años 2011-2015" xr:uid="{00000000-0004-0000-0100-00002A000000}"/>
    <hyperlink ref="B134" location="'C9_IND_SIL'!A33" display="Cuadro N° 9.4: Gasto en SIL por licencia médica autorizada, según seguro de salud (miles $ de diciembre 2015) años 2011-2015" xr:uid="{00000000-0004-0000-0100-00002B000000}"/>
    <hyperlink ref="B135" location="'C9_IND_SIL'!A43" display="Cuadro N° 9.5: Número de días pagados por licencia médica autorizada, según seguro de salud años 2011-2015" xr:uid="{00000000-0004-0000-0100-00002C000000}"/>
    <hyperlink ref="B133" location="'C9_IND_SIL'!A23" display="Cuadro N° 9.3: Gasto en SIL por día pagado, según seguro de salud (miles $ de diciembre 2015) años 2011-2015" xr:uid="{00000000-0004-0000-0100-00002D000000}"/>
    <hyperlink ref="B136" location="'C9_IND_SIL'!A53" display="Cuadro N° 9.6: Porcentaje de cotización necesario para financiar el SIL, según seguro de salud años 2011-2015" xr:uid="{00000000-0004-0000-0100-00002E000000}"/>
    <hyperlink ref="B72" location="'C5_LMT_DIAG'!A3" display="Cuadro 5.1.1.1: Número de licencias médicas tramitadas, según seguro de salud y tipo de diagnóstico año 2015" xr:uid="{00000000-0004-0000-0100-00002F000000}"/>
    <hyperlink ref="B73" location="'C5_LMT_DIAG'!A21" display="Cuadro N° 5.1.2.1: Número de licencias médicas tramitadas FONASA, según tipo de diagnóstico y sexo año 2017" xr:uid="{00000000-0004-0000-0100-000030000000}"/>
    <hyperlink ref="B74" location="'C5_LMT_DIAG'!P21" display="Cuadro N° 5.1.2.2: Número de licencias médicas tramitadas ISAPREs, según tipo de diagnóstico y sexo año 2017" xr:uid="{00000000-0004-0000-0100-000031000000}"/>
    <hyperlink ref="B75" location="'C5_LMT_DIAG'!A30" display="Cuadro N° 5.1.3.1: Número de licencias médicas tramitadas FONASA, según tipo de diagnóstico y tramo etario año 2017" xr:uid="{00000000-0004-0000-0100-000032000000}"/>
    <hyperlink ref="B76" location="'C5_LMT_DIAG'!P30" display="Cuadro N° 5.1.3.2: Número de licencias médicas tramitadas ISAPREs, según tipo de diagnóstico y tramo etario año 2017" xr:uid="{00000000-0004-0000-0100-000033000000}"/>
    <hyperlink ref="B77" location="'C5_LMT_DIAG'!A44" display="Cuadro N° 5.1.4.1: Número de licencias médicas tramitadas FONASA, según tipo de diagnóstico y región año 2017" xr:uid="{00000000-0004-0000-0100-000034000000}"/>
    <hyperlink ref="B78" location="'C5_LMT_DIAG'!P44" display="Cuadro N° 5.1.4.2: Número de licencias médicas tramitadas ISAPREs, según tipo de diagnóstico y región año 2017" xr:uid="{00000000-0004-0000-0100-000035000000}"/>
    <hyperlink ref="B79" location="'C5_LMT_DIAG'!A67" display="Cuadro N° 5.2.1.1: Número de días otorgados, según seguro de salud y tipo de diagnóstico año 2019" xr:uid="{00000000-0004-0000-0100-000036000000}"/>
    <hyperlink ref="B80" location="'C5_LMT_DIAG'!A85" display="Cuadro N° 5.2.2.1: Número de días otorgados FONASA, según tipo de diagnóstico y sexo año 2019" xr:uid="{00000000-0004-0000-0100-000037000000}"/>
    <hyperlink ref="B81" location="'C5_LMT_DIAG'!P85" display="Cuadro N° 5.2.2.2: Número de días otorgados ISAPREs, según tipo de diagnóstico y sexo año 2019" xr:uid="{00000000-0004-0000-0100-000038000000}"/>
    <hyperlink ref="B82" location="'C5_LMT_DIAG'!A94" display="Cuadro N° 5.2.3.1: Número de días otorgados FONASA, según tipo de diagnóstico y tramo etario año 2019" xr:uid="{00000000-0004-0000-0100-000039000000}"/>
    <hyperlink ref="B84" location="'C5_LMT_DIAG'!A108" display="Cuadro N° 5.2.4.1: Número de días otorgados FONASA, según tipo de diagnóstico y región año 2019" xr:uid="{00000000-0004-0000-0100-00003A000000}"/>
    <hyperlink ref="B85" location="'C5_LMT_DIAG'!P108" display="Cuadro N° 5.2.4.2: Número de días otorgados ISAPREs, según tipo de diagnóstico y región año 2019" xr:uid="{00000000-0004-0000-0100-00003B000000}"/>
    <hyperlink ref="B83" location="'C5_LMT_DIAG'!P94" display="Cuadro N° 5.2.3.2: Número de días otorgados ISAPREs, según tipo de diagnóstico y tramo etario año 2019" xr:uid="{00000000-0004-0000-0100-00003C000000}"/>
    <hyperlink ref="B89" location="'C6_LMA_DIAG'!A3" display="Cuadro N° 6.1.1.1: Número de licencias médicas autorizadas, según seguro de salud y tipo de diagnóstico año 2015" xr:uid="{00000000-0004-0000-0100-00003D000000}"/>
    <hyperlink ref="B90" location="'C6_LMA_DIAG'!A21" display="Cuadro N° 6.1.2.1: Número de licencias médicas autorizadas FONASA, según tipo de diagnóstico y sexo año 2017" xr:uid="{00000000-0004-0000-0100-00003E000000}"/>
    <hyperlink ref="B91" location="'C6_LMA_DIAG'!P21" display="Cuadro N° 6.1.2.2: Número de licencias médicas autorizadas ISAPREs, según tipo de diagnóstico y sexo año 2017" xr:uid="{00000000-0004-0000-0100-00003F000000}"/>
    <hyperlink ref="B92" location="'C6_LMA_DIAG'!A30" display="Cuadro N° 6.1.3.1: Número de licencias médicas autorizadas FONASA, según tipo de diagnóstico y tramo etario año 2017" xr:uid="{00000000-0004-0000-0100-000040000000}"/>
    <hyperlink ref="B93" location="'C6_LMA_DIAG'!P30" display="Cuadro N° 6.1.3.2: Número de licencias médicas autorizadas ISAPREs, según tipo de diagnóstico y tramo etario año 2017" xr:uid="{00000000-0004-0000-0100-000041000000}"/>
    <hyperlink ref="B94" location="'C6_LMA_DIAG'!A44" display="Cuadro N° 6.1.4.1: Número de licencias médicas autorizadas FONASA, según tipo de diagnóstico y región año 2017" xr:uid="{00000000-0004-0000-0100-000042000000}"/>
    <hyperlink ref="B95" location="'C6_LMA_DIAG'!P44" display="Cuadro N° 6.1.4.2: Número de licencias médicas autorizadas ISAPREs, según tipo de diagnóstico y región año 2017" xr:uid="{00000000-0004-0000-0100-000043000000}"/>
    <hyperlink ref="B96" location="'C6_LMA_DIAG'!A67" display="Cuadro N° 6.2.1.1: Número de días pagados, según seguro de salud y tipo de diagnóstico año 2019" xr:uid="{00000000-0004-0000-0100-000044000000}"/>
    <hyperlink ref="B97" location="'C6_LMA_DIAG'!A85" display="Cuadro N° 6.2.2.1: Número de días pagados FONASA, según tipo de diagnóstico y sexo año 2019" xr:uid="{00000000-0004-0000-0100-000045000000}"/>
    <hyperlink ref="B98" location="'C6_LMA_DIAG'!P85" display="Cuadro N° 6.2.2.2: Número de días pagados ISAPREs, según tipo de diagnóstico y sexo año 2019" xr:uid="{00000000-0004-0000-0100-000046000000}"/>
    <hyperlink ref="B99" location="'C6_LMA_DIAG'!A94" display="Cuadro N° 6.2.3.1: Número de días pagados FONASA, según tipo de diagnóstico y tramo etario año 2019" xr:uid="{00000000-0004-0000-0100-000047000000}"/>
    <hyperlink ref="B101" location="'C6_LMA_DIAG'!A108" display="Cuadro N° 6.2.4.1: Número de días pagados FONASA, según tipo de diagnóstico y región año 2019" xr:uid="{00000000-0004-0000-0100-000048000000}"/>
    <hyperlink ref="B102" location="'C6_LMA_DIAG'!P108" display="Cuadro N° 6.2.4.2: Número de días pagados ISAPREs, según tipo de diagnóstico y región año 2019" xr:uid="{00000000-0004-0000-0100-000049000000}"/>
    <hyperlink ref="B100" location="'C6_LMA_DIAG'!P94" display="Cuadro N° 6.2.3.2: Número de días pagados ISAPREs, según tipo de diagnóstico y tramo etario año 2019" xr:uid="{00000000-0004-0000-0100-00004A000000}"/>
    <hyperlink ref="B106" location="'C7_LMR_DIAG'!A3" display="Cuadro N° 7.1.1.1: Número de licencias médicas rechazadas, según seguro de salud y tipo de diagnóstico año 2015" xr:uid="{00000000-0004-0000-0100-00004B000000}"/>
    <hyperlink ref="B107" location="'C7_LMR_DIAG'!A21" display="Cuadro N° 7.1.2.1: Número de licencias médicas rechazadas FONASA, según tipo de diagnóstico y sexo año 2017" xr:uid="{00000000-0004-0000-0100-00004C000000}"/>
    <hyperlink ref="B108" location="'C7_LMR_DIAG'!P21" display="Cuadro N° 7.1.2.2: Número de licencias médicas rechazadas ISAPREs, según tipo de diagnóstico y sexo año 2017" xr:uid="{00000000-0004-0000-0100-00004D000000}"/>
    <hyperlink ref="B109" location="'C7_LMR_DIAG'!A30" display="Cuadro N° 7.1.3.1: Número de licencias médicas rechazadas FONASA, según tipo de diagnóstico y tramo etario año 2017" xr:uid="{00000000-0004-0000-0100-00004E000000}"/>
    <hyperlink ref="B110" location="'C7_LMR_DIAG'!P30" display="Cuadro N° 7.1.3.2: Número de licencias médicas rechazadas ISAPREs, según tipo de diagnóstico y tramo etario año 2017" xr:uid="{00000000-0004-0000-0100-00004F000000}"/>
    <hyperlink ref="B111" location="'C7_LMR_DIAG'!A44" display="Cuadro N° 7.1.4.1: Número de licencias médicas rechazadas FONASA, según tipo de diagnóstico y región año 2017" xr:uid="{00000000-0004-0000-0100-000050000000}"/>
    <hyperlink ref="B112" location="'C7_LMR_DIAG'!P44" display="Cuadro N° 7.1.4.2: Número de licencias médicas rechazadas ISAPREs, según tipo de diagnóstico y región año 2017" xr:uid="{00000000-0004-0000-0100-000051000000}"/>
    <hyperlink ref="B113" location="'C7_LMR_DIAG'!A67" display="Cuadro N° 7.2.1.1: Número de días rechazados, según seguro de salud y tipo de diagnóstico año 2019" xr:uid="{00000000-0004-0000-0100-000052000000}"/>
    <hyperlink ref="B114" location="'C7_LMR_DIAG'!A85" display="Cuadro N° 7.2.2.1: Número de días rechazados FONASA, según tipo de diagnóstico y sexo año 2019" xr:uid="{00000000-0004-0000-0100-000053000000}"/>
    <hyperlink ref="B115" location="'C7_LMR_DIAG'!P85" display="Cuadro N° 7.2.2.2: Número de días rechazados ISAPREs, según tipo de diagnóstico y sexo año 2019" xr:uid="{00000000-0004-0000-0100-000054000000}"/>
    <hyperlink ref="B116" location="'C7_LMR_DIAG'!A94" display="Cuadro N° 7.2.3.1: Número de días rechazados FONASA, según tipo de diagnóstico y tramo etario año 2019" xr:uid="{00000000-0004-0000-0100-000055000000}"/>
    <hyperlink ref="B118" location="'C7_LMR_DIAG'!A108" display="Cuadro N° 7.2.4.1: Número de días rechazados FONASA, según tipo de diagnóstico y región año 2019" xr:uid="{00000000-0004-0000-0100-000056000000}"/>
    <hyperlink ref="B119" location="'C7_LMR_DIAG'!P108" display="Cuadro N° 7.2.4.2: Número de días rechazados ISAPREs, según tipo de diagnóstico y región año 2019" xr:uid="{00000000-0004-0000-0100-000057000000}"/>
    <hyperlink ref="B117" location="'C7_LMR_DIAG'!P94" display="Cuadro N° 7.2.3.2: Número de días rechazados ISAPREs, según tipo de diagnóstico y tramo etario año 2019" xr:uid="{00000000-0004-0000-0100-000058000000}"/>
    <hyperlink ref="B141" location="'C10_LMT_SECTOR'!A12" display="Cuadro N° 10.1.2.1: Número de licencias médicas tramitadas FONASA, según tipo de sector y sexo año 2017" xr:uid="{00000000-0004-0000-0100-000059000000}"/>
    <hyperlink ref="B142" location="'C10_LMT_SECTOR'!G12" display="Cuadro N° 10.1.2.2: Número de licencias médicas tramitadas ISAPREs, según tipo de sector y sexo año 2019" xr:uid="{00000000-0004-0000-0100-00005A000000}"/>
    <hyperlink ref="B143" location="'C10_LMT_SECTOR'!A21" display="Cuadro N° 10.1.3.1: Número de licencias médicas tramitadas FONASA, según tipo de sector y tramo etario año 2017" xr:uid="{00000000-0004-0000-0100-00005B000000}"/>
    <hyperlink ref="B144" location="'C10_LMT_SECTOR'!G21" display="Cuadro N° 10.1.3.2: Número de licencias médicas tramitadas ISAPREs, según tipo de sector y tramo etario año 2019" xr:uid="{00000000-0004-0000-0100-00005C000000}"/>
    <hyperlink ref="B145" location="'C10_LMT_SECTOR'!A35" display="Cuadro N° 10.1.4.1: Número de licencias médicas tramitadas FONASA, según tipo de sector y región año 2017" xr:uid="{00000000-0004-0000-0100-00005D000000}"/>
    <hyperlink ref="B146" location="'C10_LMT_SECTOR'!G35" display="Cuadro N° 10.1.4.2: Número de licencias médicas tramitadas ISAPREs, según tipo de sector y diagnóstico año 2019" xr:uid="{00000000-0004-0000-0100-00005E000000}"/>
    <hyperlink ref="B147" location="'C10_LMT_SECTOR'!A53" display="Cuadro N° 10.2.1.1: Número de días otorgados, según seguro de salud y tipo de sector año 2017" xr:uid="{00000000-0004-0000-0100-00005F000000}"/>
    <hyperlink ref="B148" location="'C10_LMT_SECTOR'!A62" display="Cuadro N° 10.2.2.1: Número de días otorgados FONASA, según tipo de sector y sexo año 2017" xr:uid="{00000000-0004-0000-0100-000060000000}"/>
    <hyperlink ref="B149" location="'C10_LMT_SECTOR'!G62" display="Cuadro N° 10.2.2.2: Número de días otorgados ISAPREs, según tipo de sector y sexo año 2019" xr:uid="{00000000-0004-0000-0100-000061000000}"/>
    <hyperlink ref="B150" location="'C10_LMT_SECTOR'!A71" display="Cuadro N° 10.2.3.1: Número de días otorgados FONASA, según tipo de sector y tramo etario año 2017" xr:uid="{00000000-0004-0000-0100-000062000000}"/>
    <hyperlink ref="B152" location="'C10_LMT_SECTOR'!A85" display="Cuadro N° 10.2.4.1: Número de días otorgados FONASA, según tipo de sector y región año 2017" xr:uid="{00000000-0004-0000-0100-000063000000}"/>
    <hyperlink ref="B153" location="'C10_LMT_SECTOR'!G85" display="Cuadro N° 10.2.4.2: Número de días otorgados ISAPREs, según tipo de sector y diagnóstico año 2019" xr:uid="{00000000-0004-0000-0100-000064000000}"/>
    <hyperlink ref="B151" location="'C10_LMT_SECTOR'!G71" display="Cuadro N° 10.2.3.2: Número de días otorgados ISAPREs, según tipo de sector y tramo etario año 2019" xr:uid="{00000000-0004-0000-0100-000065000000}"/>
    <hyperlink ref="B157" location="'C11_LMA_SECTOR'!A3" display="Cuadro N° 11.1.1.1: Número de licencias médicas autorizadas, según seguro de salud y tipo de sector año 2017" xr:uid="{00000000-0004-0000-0100-000066000000}"/>
    <hyperlink ref="B158" location="'C11_LMA_SECTOR'!A12" display="Cuadro N° 11.1.2.1: Número de licencias médicas autorizadas FONASA, según tipo de sector y sexo año 2017" xr:uid="{00000000-0004-0000-0100-000067000000}"/>
    <hyperlink ref="B160" location="'C11_LMA_SECTOR'!A21" display="Cuadro N° 11.1.3.1: Número de licencias médicas autorizadas FONASA, según tipo de sector y tramo etario año 2017" xr:uid="{00000000-0004-0000-0100-000068000000}"/>
    <hyperlink ref="B161" location="'C11_LMA_SECTOR'!G21" display="Cuadro N° 11.1.3.2: Número de licencias médicas autorizadas ISAPREs, según tipo de sector y tramo etario año 2017" xr:uid="{00000000-0004-0000-0100-000069000000}"/>
    <hyperlink ref="B162" location="'C11_LMA_SECTOR'!A35" display="Cuadro N° 11.1.4.1: Número de licencias médicas autorizadas FONASA, según tipo de sector y región año 2017" xr:uid="{00000000-0004-0000-0100-00006A000000}"/>
    <hyperlink ref="B163" location="'C11_LMA_SECTOR'!G35" display="Cuadro N° 11.1.4.2: Número de licencias médicas autorizadas ISAPREs, según tipo de sector y región año 2017" xr:uid="{00000000-0004-0000-0100-00006B000000}"/>
    <hyperlink ref="B164" location="'C11_LMA_SECTOR'!A53" display="Cuadro N° 11.2.1.1: Número de días pagados, según seguro de salud y tipo de sector año 2017" xr:uid="{00000000-0004-0000-0100-00006C000000}"/>
    <hyperlink ref="B165" location="'C11_LMA_SECTOR'!A62" display="Cuadro N° 11.2.2.1: Número de días pagados FONASA, según tipo de sector y sexo año 2017" xr:uid="{00000000-0004-0000-0100-00006D000000}"/>
    <hyperlink ref="B166" location="'C11_LMA_SECTOR'!G62" display="Cuadro N° 11.2.2.2: Número de días pagados ISAPREs, según tipo de sector y sexo año 2017" xr:uid="{00000000-0004-0000-0100-00006E000000}"/>
    <hyperlink ref="B167" location="'C11_LMA_SECTOR'!A71" display="Cuadro N° 11.2.3.1: Número de días pagados FONASA, según tipo de sector y tramo etario año 2017" xr:uid="{00000000-0004-0000-0100-00006F000000}"/>
    <hyperlink ref="B169" location="'C11_LMA_SECTOR'!A85" display="Cuadro N° 11.2.4.1: Número de días pagados FONASA, según tipo de sector y región año 2017" xr:uid="{00000000-0004-0000-0100-000070000000}"/>
    <hyperlink ref="B170" location="'C11_LMA_SECTOR'!G85" display="Cuadro N° 11.2.4.2: Número de días pagados ISAPREs, según tipo de sector y región año 2017" xr:uid="{00000000-0004-0000-0100-000071000000}"/>
    <hyperlink ref="B168" location="'C11_LMA_SECTOR'!G71" display="Cuadro N° 11.2.3.2: Número de días pagados ISAPREs, según tipo de sector y tramo etario año 2017" xr:uid="{00000000-0004-0000-0100-000072000000}"/>
    <hyperlink ref="B174" location="'C12_LMR_SECTOR'!A3" display="Cuadro N° 12.1.1.1: Número de licencias médicas rechazadas, según seguro de salud y tipo de sector año 2017" xr:uid="{00000000-0004-0000-0100-000073000000}"/>
    <hyperlink ref="B175" location="'C12_LMR_SECTOR'!A12" display="Cuadro N° 12.1.2.1: Número de licencias médicas rechazadas FONASA, según tipo de sector y sexo año 2017" xr:uid="{00000000-0004-0000-0100-000074000000}"/>
    <hyperlink ref="B176" location="'C12_LMR_SECTOR'!G12" display="Cuadro N° 12.1.2.2: Número de licencias médicas rechazadas ISAPREs, según tipo de sector y sexo año 2017" xr:uid="{00000000-0004-0000-0100-000075000000}"/>
    <hyperlink ref="B177" location="'C12_LMR_SECTOR'!A21" display="Cuadro N° 12.1.3.1: Número de licencias médicas rechazadas FONASA, según tipo de sector y tramo etario año 2017" xr:uid="{00000000-0004-0000-0100-000076000000}"/>
    <hyperlink ref="B178" location="'C12_LMR_SECTOR'!G21" display="Cuadro N° 12.1.3.2: Número de licencias médicas rechazadas ISAPREs, según tipo de sector y tramo etario año 2017" xr:uid="{00000000-0004-0000-0100-000077000000}"/>
    <hyperlink ref="B179" location="'C12_LMR_SECTOR'!A35" display="Cuadro N° 12.1.4.1: Número de licencias médicas rechazadas FONASA, según tipo de sector y región año 2017" xr:uid="{00000000-0004-0000-0100-000078000000}"/>
    <hyperlink ref="B180" location="'C12_LMR_SECTOR'!G35" display="Cuadro N° 12.1.4.2: Número de licencias médicas rechazadas ISAPREs, según tipo de sector y región año 2017" xr:uid="{00000000-0004-0000-0100-000079000000}"/>
    <hyperlink ref="B181" location="'C12_LMR_SECTOR'!A53" display="Cuadro N° 12.2.1.1: Número de días rechazados, según seguro de salud y tipo de sector año 2017" xr:uid="{00000000-0004-0000-0100-00007A000000}"/>
    <hyperlink ref="B182" location="'C12_LMR_SECTOR'!A62" display="Cuadro N° 12.2.2.1: Número de días rechazados FONASA, según tipo de sector y sexo año 2017" xr:uid="{00000000-0004-0000-0100-00007B000000}"/>
    <hyperlink ref="B183" location="'C12_LMR_SECTOR'!G62" display="Cuadro N° 12.2.2.2: Número de días rechazados ISAPREs, según tipo de sector y sexo año 2017" xr:uid="{00000000-0004-0000-0100-00007C000000}"/>
    <hyperlink ref="B184" location="'C12_LMR_SECTOR'!A71" display="Cuadro N° 12.2.3.1: Número de días rechazados FONASA, según tipo de sector y tramo etario año 2017" xr:uid="{00000000-0004-0000-0100-00007D000000}"/>
    <hyperlink ref="B186" location="'C12_LMR_SECTOR'!A85" display="Cuadro N° 12.2.4.1: Número de días rechazados FONASA, según tipo de sector y región año 2017" xr:uid="{00000000-0004-0000-0100-00007E000000}"/>
    <hyperlink ref="B187" location="'C12_LMR_SECTOR'!G85" display="Cuadro N° 12.2.4.2: Número de días rechazados ISAPREs, según tipo de sector y región año 2017" xr:uid="{00000000-0004-0000-0100-00007F000000}"/>
    <hyperlink ref="B185" location="'C12_LMR_SECTOR'!G71" display="Cuadro N° 12.2.3.2: Número de días rechazados ISAPREs, según tipo de sector y tramo etario año 2017" xr:uid="{00000000-0004-0000-0100-000080000000}"/>
    <hyperlink ref="B140" location="'C10_LMT_SECTOR'!A3" display="Cuadro N° 10.1.1.1: Número de licencias médicas tramitadas, según seguro de salud y tipo de sector año 2017" xr:uid="{00000000-0004-0000-0100-000081000000}"/>
    <hyperlink ref="B14" location="'C1_COT'!A110" display="Cuadro N° 1.9.1: Número de cotizantes, según seguro de salud, sexo y tramo de remuneraciones año 2019" xr:uid="{00000000-0004-0000-0100-000082000000}"/>
    <hyperlink ref="B16" location="'C1_COT'!A125" display="Cuadro N° 1.10.1: Estadísticas promedio de cotizantes de cotizantes, según seguro de salud y sexo año 2019" xr:uid="{00000000-0004-0000-0100-000083000000}"/>
    <hyperlink ref="B126" location="'C8_GTO_SIL'!A41" display="Cuadro N° 8.4: Gasto en SIL por licencias médicas, según seguro de salud, tipo de sector y tipo de diagnóstico (miles $ de diciembre 2017) año 2017" xr:uid="{00000000-0004-0000-0100-000084000000}"/>
    <hyperlink ref="B127" location="'C8_GTO_SIL'!H41" display="Cuadro N° 8.4.2: Gasto en SIL por licencias médicas ISAPREs, según  tipo de sector y tipo de diagnóstico (miles $ de diciembre 2017) año 2017" xr:uid="{00000000-0004-0000-0100-000085000000}"/>
    <hyperlink ref="B159" location="'C11_LMA_SECTOR'!G12" display="Cuadro N° 11.1.2.2: Número de licencias médicas autorizadas ISAPREs, según tipo de sector y sexo año 2017" xr:uid="{00000000-0004-0000-0100-000086000000}"/>
    <hyperlink ref="B15" location="'C1_COT'!H110" display="Cuadro N° 1.9.2: Número de cotizantes, según seguro de salud, sexo y tramo de remuneraciones año 2019" xr:uid="{7DC1483B-9F50-D34D-BE2E-E7246FB4CFEA}"/>
    <hyperlink ref="B17" location="'C1_COT'!H125" display="Cuadro N° 1.10.2: Estadísticas promedio de cotizantes de cotizantes, según seguro de salud y sexo año 2019" xr:uid="{AD43B647-B106-674B-84AC-1B9CD342C21D}"/>
    <hyperlink ref="B26" location="'C2_LMT'!A69" display="Cuadro N° 2.1.6: Número de licencias médicas tramitadas, según seguro de salud y  tipo de resolución año 2019" xr:uid="{EA65CB95-CC4A-C041-9926-D26C564C0E34}"/>
    <hyperlink ref="B27" location="'C2_LMT'!A81" display="Cuadro N° 2.1.7: Número de licencias médicas tramitadas MUJERES, según seguro de salud y región año 2019" xr:uid="{CD2E068B-313A-734F-84B8-23E3DDB5461A}"/>
    <hyperlink ref="B34" location="'C2_LMT'!F69" display="Cuadro N° 2.2.6: Número de dias otorgados, según seguro de salud y  tipo de resolución año 2019" xr:uid="{16534D83-AD04-044E-91DF-A4D0C7C8E544}"/>
    <hyperlink ref="B35" location="'C2_LMT'!F81" display="Cuadro N° 2.2.7: Número de dias otorgados a MUJERES, según seguro de salud y región año 2019" xr:uid="{2AEBA6A7-8BC8-F840-87FD-F73D2170F036}"/>
    <hyperlink ref="B45" location="'C3_LMA'!A70" display="Cuadro N° 3.1.6: Número de licencias médicas autorizadas a MUJERES, según seguro de salud y región año 2019" xr:uid="{189BB287-D058-524B-9FA8-D77BF705F94E}"/>
    <hyperlink ref="B46" location="'C3_LMA'!A93" display="Cuadro N° 3.1.7: Número de licencias médicas autorizadas a HOMBRES, según seguro de salud y región año 2019" xr:uid="{1EB5A450-18E1-F049-8B14-40FAC639ABB9}"/>
    <hyperlink ref="B52" location="'C3_LMA'!F70" display="Cuadro N° 3.2.6: Número de dias  pagados a MUJERES, según seguro de salud y región año 2019" xr:uid="{5C4AB389-14FD-4F4D-85A1-38D2CAF2A13A}"/>
    <hyperlink ref="B53" location="'C3_LMA'!F93" display="Cuadro N° 3.2.7: Número de dias pagados a HOMBRES, según seguro de salud y región año 2019" xr:uid="{B1C1D803-782D-F940-A996-B4943CDB7DA3}"/>
    <hyperlink ref="B61" location="'C4_LMR'!A59" display="Cuadro N° 4.1.5: Número de licencias médicas rechazadas a MUJERES, según seguro de salud y región año 2019" xr:uid="{073BDC71-7CAA-394E-B319-ECD8978BE402}"/>
    <hyperlink ref="B62" location="'C4_LMR'!A82" display="Cuadro N° 4.1.6: Número de licencias médicas rechazadas a HOMBRES, según seguro de salud y región año 2019" xr:uid="{580A0EAE-B41A-B041-840D-C122B5635D87}"/>
    <hyperlink ref="B67" location="'C4_LMR'!F59" display="Cuadro N° 4.2.5: Número de dias  rechazados a MUJERES, según seguro de salud y región año 2019" xr:uid="{7F24FF04-C53A-BC41-B40E-940FF900A628}"/>
    <hyperlink ref="B68" location="'C4_LMR'!F82" display="Cuadro N° 4.2.6: Número de dias rechazados a HOMBRES, según seguro de salud y región año 2019" xr:uid="{A620035C-92C4-D54E-B4D6-938745B245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6"/>
  <sheetViews>
    <sheetView showGridLines="0" workbookViewId="0"/>
  </sheetViews>
  <sheetFormatPr baseColWidth="10" defaultRowHeight="15"/>
  <cols>
    <col min="2" max="2" width="18" customWidth="1"/>
    <col min="3" max="3" width="40.7109375" bestFit="1" customWidth="1"/>
  </cols>
  <sheetData>
    <row r="2" spans="2:3" ht="18.75" customHeight="1">
      <c r="B2" s="111" t="s">
        <v>392</v>
      </c>
      <c r="C2" s="112"/>
    </row>
    <row r="3" spans="2:3" ht="15" customHeight="1">
      <c r="B3" s="113"/>
      <c r="C3" s="114"/>
    </row>
    <row r="4" spans="2:3" ht="18.75">
      <c r="B4" s="91" t="s">
        <v>393</v>
      </c>
      <c r="C4" s="91" t="s">
        <v>394</v>
      </c>
    </row>
    <row r="5" spans="2:3">
      <c r="B5" s="92"/>
      <c r="C5" s="92"/>
    </row>
    <row r="6" spans="2:3">
      <c r="B6" s="93" t="s">
        <v>395</v>
      </c>
      <c r="C6" s="94" t="s">
        <v>396</v>
      </c>
    </row>
    <row r="7" spans="2:3">
      <c r="B7" s="93" t="s">
        <v>397</v>
      </c>
      <c r="C7" s="94" t="s">
        <v>398</v>
      </c>
    </row>
    <row r="8" spans="2:3">
      <c r="B8" s="93" t="s">
        <v>399</v>
      </c>
      <c r="C8" s="94" t="s">
        <v>400</v>
      </c>
    </row>
    <row r="9" spans="2:3">
      <c r="B9" s="93" t="s">
        <v>401</v>
      </c>
      <c r="C9" s="94" t="s">
        <v>402</v>
      </c>
    </row>
    <row r="10" spans="2:3">
      <c r="B10" s="93" t="s">
        <v>403</v>
      </c>
      <c r="C10" s="94" t="s">
        <v>404</v>
      </c>
    </row>
    <row r="11" spans="2:3">
      <c r="B11" s="93" t="s">
        <v>405</v>
      </c>
      <c r="C11" s="94" t="s">
        <v>406</v>
      </c>
    </row>
    <row r="12" spans="2:3">
      <c r="B12" s="93" t="s">
        <v>407</v>
      </c>
      <c r="C12" s="94" t="s">
        <v>408</v>
      </c>
    </row>
    <row r="13" spans="2:3">
      <c r="B13" s="93" t="s">
        <v>409</v>
      </c>
      <c r="C13" s="94" t="s">
        <v>410</v>
      </c>
    </row>
    <row r="14" spans="2:3">
      <c r="B14" s="93" t="s">
        <v>411</v>
      </c>
      <c r="C14" s="94" t="s">
        <v>412</v>
      </c>
    </row>
    <row r="15" spans="2:3">
      <c r="B15" s="93" t="s">
        <v>413</v>
      </c>
      <c r="C15" s="94" t="s">
        <v>414</v>
      </c>
    </row>
    <row r="16" spans="2:3">
      <c r="B16" s="93" t="s">
        <v>415</v>
      </c>
      <c r="C16" s="94" t="s">
        <v>416</v>
      </c>
    </row>
    <row r="17" spans="2:3">
      <c r="B17" s="93" t="s">
        <v>431</v>
      </c>
      <c r="C17" s="94" t="s">
        <v>432</v>
      </c>
    </row>
    <row r="18" spans="2:3">
      <c r="B18" s="93" t="s">
        <v>433</v>
      </c>
      <c r="C18" s="94" t="s">
        <v>434</v>
      </c>
    </row>
    <row r="19" spans="2:3">
      <c r="B19" s="93" t="s">
        <v>417</v>
      </c>
      <c r="C19" s="94" t="s">
        <v>418</v>
      </c>
    </row>
    <row r="20" spans="2:3">
      <c r="B20" s="93" t="s">
        <v>419</v>
      </c>
      <c r="C20" s="94" t="s">
        <v>420</v>
      </c>
    </row>
    <row r="21" spans="2:3">
      <c r="B21" s="93" t="s">
        <v>421</v>
      </c>
      <c r="C21" s="94" t="s">
        <v>422</v>
      </c>
    </row>
    <row r="22" spans="2:3">
      <c r="B22" s="93" t="s">
        <v>423</v>
      </c>
      <c r="C22" s="94" t="s">
        <v>424</v>
      </c>
    </row>
    <row r="23" spans="2:3">
      <c r="B23" s="93" t="s">
        <v>425</v>
      </c>
      <c r="C23" s="94" t="s">
        <v>426</v>
      </c>
    </row>
    <row r="24" spans="2:3">
      <c r="B24" s="93" t="s">
        <v>427</v>
      </c>
      <c r="C24" s="94" t="s">
        <v>428</v>
      </c>
    </row>
    <row r="25" spans="2:3">
      <c r="B25" s="93" t="s">
        <v>429</v>
      </c>
      <c r="C25" s="94" t="s">
        <v>430</v>
      </c>
    </row>
    <row r="26" spans="2:3">
      <c r="B26" s="95"/>
      <c r="C26" s="89"/>
    </row>
  </sheetData>
  <mergeCells count="1">
    <mergeCell ref="B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showGridLines="0" zoomScaleNormal="100" workbookViewId="0"/>
  </sheetViews>
  <sheetFormatPr baseColWidth="10" defaultColWidth="33.140625" defaultRowHeight="15"/>
  <cols>
    <col min="1" max="1" width="30.7109375" style="3" customWidth="1"/>
    <col min="2" max="3" width="15.7109375" style="6" customWidth="1"/>
    <col min="4" max="4" width="16.42578125" style="3" bestFit="1" customWidth="1"/>
    <col min="5" max="6" width="15.7109375" customWidth="1"/>
    <col min="7" max="7" width="23.85546875" style="3" customWidth="1"/>
    <col min="8" max="8" width="17.140625" style="3" customWidth="1"/>
    <col min="9" max="10" width="15.7109375" style="3" customWidth="1"/>
    <col min="11" max="11" width="16.42578125" style="3" bestFit="1" customWidth="1"/>
    <col min="12" max="13" width="15.7109375" style="3" customWidth="1"/>
    <col min="14" max="14" width="27.42578125" style="3" bestFit="1" customWidth="1"/>
    <col min="15" max="18" width="15.7109375" style="3" customWidth="1"/>
    <col min="19" max="19" width="27.42578125" style="3" customWidth="1"/>
    <col min="20" max="39" width="15.7109375" style="3" customWidth="1"/>
    <col min="40" max="16384" width="33.140625" style="3"/>
  </cols>
  <sheetData>
    <row r="1" spans="1:13" ht="18.75">
      <c r="A1" s="1" t="s">
        <v>78</v>
      </c>
      <c r="M1" s="12"/>
    </row>
    <row r="2" spans="1:13">
      <c r="A2" s="2"/>
    </row>
    <row r="3" spans="1:13">
      <c r="A3" s="2" t="s">
        <v>57</v>
      </c>
    </row>
    <row r="4" spans="1:13">
      <c r="A4" s="2" t="s">
        <v>255</v>
      </c>
    </row>
    <row r="5" spans="1:13">
      <c r="A5" s="8" t="s">
        <v>49</v>
      </c>
      <c r="B5" s="8" t="s">
        <v>0</v>
      </c>
      <c r="C5" s="8" t="s">
        <v>1</v>
      </c>
      <c r="D5" s="8" t="s">
        <v>45</v>
      </c>
    </row>
    <row r="6" spans="1:13">
      <c r="A6" s="17">
        <v>2015</v>
      </c>
      <c r="B6" s="4">
        <v>4303114.916666667</v>
      </c>
      <c r="C6" s="4">
        <v>1621432.4166666667</v>
      </c>
      <c r="D6" s="4">
        <v>5924547.333333334</v>
      </c>
      <c r="E6" s="51"/>
      <c r="F6" s="51"/>
    </row>
    <row r="7" spans="1:13">
      <c r="A7" s="17">
        <v>2016</v>
      </c>
      <c r="B7" s="5">
        <v>4467115.166666667</v>
      </c>
      <c r="C7" s="5">
        <v>1668243.0833333333</v>
      </c>
      <c r="D7" s="5">
        <v>6135358.25</v>
      </c>
      <c r="E7" s="51"/>
      <c r="F7" s="51"/>
    </row>
    <row r="8" spans="1:13">
      <c r="A8" s="17">
        <v>2017</v>
      </c>
      <c r="B8" s="5">
        <v>4608887.083333334</v>
      </c>
      <c r="C8" s="5">
        <v>1695602.1620541674</v>
      </c>
      <c r="D8" s="5">
        <v>6304489.2453875011</v>
      </c>
      <c r="E8" s="51"/>
      <c r="F8" s="51"/>
      <c r="H8" s="59"/>
      <c r="I8" s="60"/>
      <c r="J8" s="59"/>
    </row>
    <row r="9" spans="1:13">
      <c r="A9" s="17">
        <v>2018</v>
      </c>
      <c r="B9" s="5">
        <v>4503586</v>
      </c>
      <c r="C9" s="5">
        <v>1708586.5683299012</v>
      </c>
      <c r="D9" s="5">
        <v>6212172.5683299014</v>
      </c>
      <c r="E9" s="51"/>
      <c r="F9" s="51"/>
      <c r="G9" s="6"/>
      <c r="H9" s="44"/>
      <c r="I9" s="44"/>
      <c r="J9" s="44"/>
    </row>
    <row r="10" spans="1:13">
      <c r="A10" s="19">
        <v>2019</v>
      </c>
      <c r="B10" s="11">
        <v>4634668</v>
      </c>
      <c r="C10" s="11">
        <v>1752337.3736051747</v>
      </c>
      <c r="D10" s="11">
        <v>6387005.3736051749</v>
      </c>
      <c r="E10" s="51"/>
      <c r="F10" s="51"/>
      <c r="G10" s="6"/>
      <c r="H10" s="44"/>
      <c r="I10" s="44"/>
      <c r="J10" s="44"/>
    </row>
    <row r="11" spans="1:13">
      <c r="B11" s="43"/>
      <c r="C11" s="43"/>
      <c r="D11" s="43"/>
    </row>
    <row r="12" spans="1:13">
      <c r="B12" s="44"/>
      <c r="C12" s="44"/>
      <c r="D12" s="44"/>
    </row>
    <row r="13" spans="1:13">
      <c r="A13" s="2" t="s">
        <v>58</v>
      </c>
    </row>
    <row r="14" spans="1:13">
      <c r="A14" s="2" t="s">
        <v>245</v>
      </c>
    </row>
    <row r="15" spans="1:13">
      <c r="A15" s="8" t="s">
        <v>50</v>
      </c>
      <c r="B15" s="8" t="s">
        <v>0</v>
      </c>
      <c r="C15" s="8" t="s">
        <v>1</v>
      </c>
      <c r="D15" s="8" t="s">
        <v>45</v>
      </c>
    </row>
    <row r="16" spans="1:13">
      <c r="A16" s="14" t="s">
        <v>5</v>
      </c>
      <c r="B16" s="4">
        <v>2553644</v>
      </c>
      <c r="C16" s="4">
        <v>1120912.2207629271</v>
      </c>
      <c r="D16" s="15">
        <v>3674556.2207629271</v>
      </c>
      <c r="E16" s="51"/>
      <c r="F16" s="51"/>
    </row>
    <row r="17" spans="1:6">
      <c r="A17" s="17" t="s">
        <v>6</v>
      </c>
      <c r="B17" s="5">
        <v>2041618</v>
      </c>
      <c r="C17" s="5">
        <v>631425.15284224786</v>
      </c>
      <c r="D17" s="10">
        <v>2673043.1528422479</v>
      </c>
      <c r="E17" s="51"/>
      <c r="F17" s="51"/>
    </row>
    <row r="18" spans="1:6">
      <c r="A18" s="17" t="s">
        <v>370</v>
      </c>
      <c r="B18" s="5">
        <v>64</v>
      </c>
      <c r="C18" s="5">
        <v>0</v>
      </c>
      <c r="D18" s="10">
        <v>64</v>
      </c>
      <c r="E18" s="51"/>
      <c r="F18" s="51"/>
    </row>
    <row r="19" spans="1:6">
      <c r="A19" s="17" t="s">
        <v>222</v>
      </c>
      <c r="B19" s="5">
        <v>39342</v>
      </c>
      <c r="C19" s="5">
        <v>0</v>
      </c>
      <c r="D19" s="10">
        <v>39342</v>
      </c>
      <c r="E19" s="51"/>
      <c r="F19" s="51"/>
    </row>
    <row r="20" spans="1:6">
      <c r="A20" s="21" t="s">
        <v>46</v>
      </c>
      <c r="B20" s="38">
        <v>4634668</v>
      </c>
      <c r="C20" s="38">
        <v>1752337.3736051749</v>
      </c>
      <c r="D20" s="52">
        <v>6387005.3736051749</v>
      </c>
      <c r="E20" s="51"/>
      <c r="F20" s="51"/>
    </row>
    <row r="21" spans="1:6">
      <c r="A21" s="20"/>
      <c r="B21" s="47"/>
      <c r="C21" s="48"/>
      <c r="D21" s="97"/>
    </row>
    <row r="22" spans="1:6">
      <c r="A22" s="20"/>
      <c r="B22" s="43"/>
      <c r="C22" s="43"/>
      <c r="D22" s="43"/>
    </row>
    <row r="23" spans="1:6">
      <c r="A23" s="2" t="s">
        <v>59</v>
      </c>
      <c r="D23" s="43"/>
    </row>
    <row r="24" spans="1:6">
      <c r="A24" s="9" t="s">
        <v>246</v>
      </c>
    </row>
    <row r="25" spans="1:6" ht="29.25" customHeight="1">
      <c r="A25" s="8" t="s">
        <v>51</v>
      </c>
      <c r="B25" s="8" t="s">
        <v>0</v>
      </c>
      <c r="C25" s="8" t="s">
        <v>1</v>
      </c>
      <c r="D25" s="8" t="s">
        <v>45</v>
      </c>
    </row>
    <row r="26" spans="1:6">
      <c r="A26" s="14" t="s">
        <v>40</v>
      </c>
      <c r="B26" s="4">
        <v>45284</v>
      </c>
      <c r="C26" s="4">
        <v>2726.7709838278347</v>
      </c>
      <c r="D26" s="4">
        <v>48010.770983827832</v>
      </c>
      <c r="E26" s="51"/>
      <c r="F26" s="51"/>
    </row>
    <row r="27" spans="1:6">
      <c r="A27" s="17" t="s">
        <v>2</v>
      </c>
      <c r="B27" s="5">
        <v>380972</v>
      </c>
      <c r="C27" s="5">
        <v>54431.758793958281</v>
      </c>
      <c r="D27" s="5">
        <v>435403.75879395829</v>
      </c>
      <c r="E27" s="51"/>
      <c r="F27" s="51"/>
    </row>
    <row r="28" spans="1:6">
      <c r="A28" s="17" t="s">
        <v>41</v>
      </c>
      <c r="B28" s="5">
        <v>1267924</v>
      </c>
      <c r="C28" s="5">
        <v>543349.24358715967</v>
      </c>
      <c r="D28" s="5">
        <v>1811273.2435871596</v>
      </c>
      <c r="E28" s="51"/>
      <c r="F28" s="51"/>
    </row>
    <row r="29" spans="1:6">
      <c r="A29" s="17" t="s">
        <v>42</v>
      </c>
      <c r="B29" s="5">
        <v>1021895</v>
      </c>
      <c r="C29" s="5">
        <v>512963.4790700429</v>
      </c>
      <c r="D29" s="5">
        <v>1534858.479070043</v>
      </c>
      <c r="E29" s="51"/>
      <c r="F29" s="51"/>
    </row>
    <row r="30" spans="1:6">
      <c r="A30" s="17" t="s">
        <v>43</v>
      </c>
      <c r="B30" s="5">
        <v>966130</v>
      </c>
      <c r="C30" s="5">
        <v>356517.58359510329</v>
      </c>
      <c r="D30" s="5">
        <v>1322647.5835951034</v>
      </c>
      <c r="E30" s="51"/>
      <c r="F30" s="51"/>
    </row>
    <row r="31" spans="1:6">
      <c r="A31" s="17" t="s">
        <v>44</v>
      </c>
      <c r="B31" s="5">
        <v>712749</v>
      </c>
      <c r="C31" s="5">
        <v>215180.55271808713</v>
      </c>
      <c r="D31" s="5">
        <v>927929.5527180871</v>
      </c>
      <c r="E31" s="51"/>
      <c r="F31" s="51"/>
    </row>
    <row r="32" spans="1:6">
      <c r="A32" s="17" t="s">
        <v>3</v>
      </c>
      <c r="B32" s="5">
        <v>200335</v>
      </c>
      <c r="C32" s="5">
        <v>67167.984856995841</v>
      </c>
      <c r="D32" s="5">
        <v>267502.98485699587</v>
      </c>
      <c r="E32" s="51"/>
      <c r="F32" s="51"/>
    </row>
    <row r="33" spans="1:6">
      <c r="A33" s="17" t="s">
        <v>222</v>
      </c>
      <c r="B33" s="5">
        <v>39379</v>
      </c>
      <c r="C33" s="5">
        <v>0</v>
      </c>
      <c r="D33" s="5">
        <v>39379</v>
      </c>
      <c r="E33" s="51"/>
      <c r="F33" s="51"/>
    </row>
    <row r="34" spans="1:6">
      <c r="A34" s="21" t="s">
        <v>46</v>
      </c>
      <c r="B34" s="38">
        <v>4634668</v>
      </c>
      <c r="C34" s="38">
        <v>1752337.3736051749</v>
      </c>
      <c r="D34" s="38">
        <v>6387005.3736051749</v>
      </c>
      <c r="E34" s="51"/>
      <c r="F34" s="51"/>
    </row>
    <row r="35" spans="1:6">
      <c r="B35" s="47"/>
      <c r="C35" s="48"/>
      <c r="D35" s="49"/>
    </row>
    <row r="37" spans="1:6">
      <c r="A37" s="2" t="s">
        <v>60</v>
      </c>
    </row>
    <row r="38" spans="1:6">
      <c r="A38" s="9" t="s">
        <v>247</v>
      </c>
    </row>
    <row r="39" spans="1:6">
      <c r="A39" s="8" t="s">
        <v>52</v>
      </c>
      <c r="B39" s="8" t="s">
        <v>0</v>
      </c>
      <c r="C39" s="8" t="s">
        <v>1</v>
      </c>
      <c r="D39" s="8" t="s">
        <v>45</v>
      </c>
    </row>
    <row r="40" spans="1:6">
      <c r="A40" s="14" t="s">
        <v>32</v>
      </c>
      <c r="B40" s="4">
        <v>4243353</v>
      </c>
      <c r="C40" s="4">
        <v>1657662.2524932825</v>
      </c>
      <c r="D40" s="4">
        <v>5901015.2524932828</v>
      </c>
      <c r="E40" s="51"/>
      <c r="F40" s="51"/>
    </row>
    <row r="41" spans="1:6">
      <c r="A41" s="17" t="s">
        <v>4</v>
      </c>
      <c r="B41" s="5">
        <v>145746</v>
      </c>
      <c r="C41" s="5">
        <v>94675.121111892659</v>
      </c>
      <c r="D41" s="5">
        <v>240421.12111189266</v>
      </c>
      <c r="E41" s="51"/>
      <c r="F41" s="51"/>
    </row>
    <row r="42" spans="1:6">
      <c r="A42" s="17" t="s">
        <v>222</v>
      </c>
      <c r="B42" s="5">
        <v>205325</v>
      </c>
      <c r="C42" s="5"/>
      <c r="D42" s="5">
        <v>40244</v>
      </c>
      <c r="E42" s="51"/>
      <c r="F42" s="51"/>
    </row>
    <row r="43" spans="1:6">
      <c r="A43" s="17" t="s">
        <v>627</v>
      </c>
      <c r="B43" s="5">
        <v>40244</v>
      </c>
      <c r="C43" s="5"/>
      <c r="D43" s="5">
        <v>205325</v>
      </c>
      <c r="E43" s="51"/>
    </row>
    <row r="44" spans="1:6">
      <c r="A44" s="21" t="s">
        <v>46</v>
      </c>
      <c r="B44" s="38">
        <v>4634668</v>
      </c>
      <c r="C44" s="38">
        <v>1752337.3736051752</v>
      </c>
      <c r="D44" s="38">
        <v>6387005.3736051759</v>
      </c>
    </row>
    <row r="45" spans="1:6">
      <c r="A45" s="3" t="s">
        <v>628</v>
      </c>
      <c r="B45" s="48"/>
      <c r="C45" s="48"/>
      <c r="D45" s="48"/>
    </row>
    <row r="46" spans="1:6">
      <c r="B46" s="48"/>
      <c r="C46" s="48"/>
      <c r="D46" s="48"/>
    </row>
    <row r="47" spans="1:6">
      <c r="A47" s="2" t="s">
        <v>61</v>
      </c>
    </row>
    <row r="48" spans="1:6">
      <c r="A48" s="9" t="s">
        <v>248</v>
      </c>
    </row>
    <row r="49" spans="1:6">
      <c r="A49" s="8" t="s">
        <v>149</v>
      </c>
      <c r="B49" s="8" t="s">
        <v>0</v>
      </c>
      <c r="C49" s="8" t="s">
        <v>1</v>
      </c>
      <c r="D49" s="8" t="s">
        <v>45</v>
      </c>
    </row>
    <row r="50" spans="1:6">
      <c r="A50" s="22" t="s">
        <v>14</v>
      </c>
      <c r="B50" s="4">
        <v>52304</v>
      </c>
      <c r="C50" s="4">
        <v>14440.314001323997</v>
      </c>
      <c r="D50" s="4">
        <v>66744.314001324004</v>
      </c>
      <c r="E50" s="51"/>
      <c r="F50" s="51"/>
    </row>
    <row r="51" spans="1:6">
      <c r="A51" s="23" t="s">
        <v>15</v>
      </c>
      <c r="B51" s="5">
        <v>45502</v>
      </c>
      <c r="C51" s="5">
        <v>27396.115827058999</v>
      </c>
      <c r="D51" s="5">
        <v>72898.115827058995</v>
      </c>
      <c r="E51" s="51"/>
      <c r="F51" s="51"/>
    </row>
    <row r="52" spans="1:6">
      <c r="A52" s="23" t="s">
        <v>16</v>
      </c>
      <c r="B52" s="5">
        <v>143963</v>
      </c>
      <c r="C52" s="5">
        <v>83605.044821446121</v>
      </c>
      <c r="D52" s="5">
        <v>227568.04482144612</v>
      </c>
      <c r="E52" s="51"/>
      <c r="F52" s="51"/>
    </row>
    <row r="53" spans="1:6">
      <c r="A53" s="23" t="s">
        <v>17</v>
      </c>
      <c r="B53" s="5">
        <v>77628</v>
      </c>
      <c r="C53" s="5">
        <v>23448.78784152733</v>
      </c>
      <c r="D53" s="5">
        <v>101076.78784152733</v>
      </c>
      <c r="E53" s="51"/>
      <c r="F53" s="51"/>
    </row>
    <row r="54" spans="1:6">
      <c r="A54" s="23" t="s">
        <v>18</v>
      </c>
      <c r="B54" s="5">
        <v>193975</v>
      </c>
      <c r="C54" s="5">
        <v>38095.455899964094</v>
      </c>
      <c r="D54" s="5">
        <v>232070.45589996409</v>
      </c>
      <c r="E54" s="51"/>
      <c r="F54" s="51"/>
    </row>
    <row r="55" spans="1:6">
      <c r="A55" s="23" t="s">
        <v>19</v>
      </c>
      <c r="B55" s="5">
        <v>258446</v>
      </c>
      <c r="C55" s="5">
        <v>121483.92549679893</v>
      </c>
      <c r="D55" s="5">
        <v>379929.92549679894</v>
      </c>
      <c r="E55" s="51"/>
      <c r="F55" s="51"/>
    </row>
    <row r="56" spans="1:6">
      <c r="A56" s="23" t="s">
        <v>20</v>
      </c>
      <c r="B56" s="5">
        <v>1703003</v>
      </c>
      <c r="C56" s="5">
        <v>1060134.668305225</v>
      </c>
      <c r="D56" s="5">
        <v>2763137.6683052247</v>
      </c>
      <c r="E56" s="51"/>
      <c r="F56" s="51"/>
    </row>
    <row r="57" spans="1:6">
      <c r="A57" s="23" t="s">
        <v>21</v>
      </c>
      <c r="B57" s="5">
        <v>457573</v>
      </c>
      <c r="C57" s="5">
        <v>59098.44986346332</v>
      </c>
      <c r="D57" s="5">
        <v>516671.44986346329</v>
      </c>
      <c r="E57" s="51"/>
      <c r="F57" s="51"/>
    </row>
    <row r="58" spans="1:6">
      <c r="A58" s="23" t="s">
        <v>22</v>
      </c>
      <c r="B58" s="5">
        <v>280713</v>
      </c>
      <c r="C58" s="5">
        <v>51152.446127428731</v>
      </c>
      <c r="D58" s="5">
        <v>331865.44612742873</v>
      </c>
      <c r="E58" s="51"/>
      <c r="F58" s="51"/>
    </row>
    <row r="59" spans="1:6">
      <c r="A59" s="23" t="s">
        <v>367</v>
      </c>
      <c r="B59" s="5">
        <v>116576</v>
      </c>
      <c r="C59" s="5">
        <v>20104.566477219047</v>
      </c>
      <c r="D59" s="5">
        <v>136680.56647721905</v>
      </c>
      <c r="E59" s="51"/>
      <c r="F59" s="51"/>
    </row>
    <row r="60" spans="1:6">
      <c r="A60" s="23" t="s">
        <v>23</v>
      </c>
      <c r="B60" s="5">
        <v>410084</v>
      </c>
      <c r="C60" s="5">
        <v>101704.81341132121</v>
      </c>
      <c r="D60" s="5">
        <v>511788.8134113212</v>
      </c>
      <c r="E60" s="51"/>
      <c r="F60" s="51"/>
    </row>
    <row r="61" spans="1:6">
      <c r="A61" s="23" t="s">
        <v>24</v>
      </c>
      <c r="B61" s="5">
        <v>225854</v>
      </c>
      <c r="C61" s="5">
        <v>46725.032007840382</v>
      </c>
      <c r="D61" s="5">
        <v>272579.0320078404</v>
      </c>
      <c r="E61" s="51"/>
      <c r="F61" s="51"/>
    </row>
    <row r="62" spans="1:6">
      <c r="A62" s="23" t="s">
        <v>25</v>
      </c>
      <c r="B62" s="5">
        <v>91311</v>
      </c>
      <c r="C62" s="5">
        <v>19966.160522244954</v>
      </c>
      <c r="D62" s="5">
        <v>111277.16052224496</v>
      </c>
      <c r="E62" s="51"/>
      <c r="F62" s="51"/>
    </row>
    <row r="63" spans="1:6">
      <c r="A63" s="23" t="s">
        <v>26</v>
      </c>
      <c r="B63" s="5">
        <v>255589</v>
      </c>
      <c r="C63" s="5">
        <v>61917.943800562905</v>
      </c>
      <c r="D63" s="5">
        <v>317506.94380056288</v>
      </c>
      <c r="E63" s="51"/>
      <c r="F63" s="51"/>
    </row>
    <row r="64" spans="1:6">
      <c r="A64" s="23" t="s">
        <v>27</v>
      </c>
      <c r="B64" s="5">
        <v>26606</v>
      </c>
      <c r="C64" s="5">
        <v>5369.0004144418217</v>
      </c>
      <c r="D64" s="5">
        <v>31975.00041444182</v>
      </c>
      <c r="E64" s="51"/>
      <c r="F64" s="51"/>
    </row>
    <row r="65" spans="1:6">
      <c r="A65" s="23" t="s">
        <v>28</v>
      </c>
      <c r="B65" s="5">
        <v>47373</v>
      </c>
      <c r="C65" s="5">
        <v>17689.713514105522</v>
      </c>
      <c r="D65" s="5">
        <v>65062.713514105519</v>
      </c>
      <c r="E65" s="51"/>
      <c r="F65" s="51"/>
    </row>
    <row r="66" spans="1:6">
      <c r="A66" s="23" t="s">
        <v>222</v>
      </c>
      <c r="B66" s="5">
        <v>248168</v>
      </c>
      <c r="C66" s="5">
        <v>4.9352732025949715</v>
      </c>
      <c r="D66" s="5">
        <v>248172.9352732026</v>
      </c>
      <c r="E66" s="51"/>
      <c r="F66" s="51"/>
    </row>
    <row r="67" spans="1:6">
      <c r="A67" s="21" t="s">
        <v>46</v>
      </c>
      <c r="B67" s="38">
        <v>4634668</v>
      </c>
      <c r="C67" s="38">
        <v>1752337.3736051749</v>
      </c>
      <c r="D67" s="38">
        <v>6387005.3736051749</v>
      </c>
      <c r="E67" s="51"/>
      <c r="F67" s="51"/>
    </row>
    <row r="68" spans="1:6">
      <c r="B68" s="47"/>
      <c r="C68" s="48"/>
      <c r="D68" s="49"/>
    </row>
    <row r="70" spans="1:6">
      <c r="A70" s="2" t="s">
        <v>62</v>
      </c>
    </row>
    <row r="71" spans="1:6">
      <c r="A71" s="9" t="s">
        <v>249</v>
      </c>
    </row>
    <row r="72" spans="1:6" ht="26.25">
      <c r="A72" s="24" t="s">
        <v>369</v>
      </c>
      <c r="B72" s="16" t="s">
        <v>0</v>
      </c>
      <c r="C72" s="16" t="s">
        <v>1</v>
      </c>
      <c r="D72" s="16" t="s">
        <v>45</v>
      </c>
    </row>
    <row r="73" spans="1:6">
      <c r="A73" s="23" t="s">
        <v>229</v>
      </c>
      <c r="B73" s="4">
        <v>785192</v>
      </c>
      <c r="C73" s="4">
        <v>35005.864319429827</v>
      </c>
      <c r="D73" s="4">
        <v>820197.86431942985</v>
      </c>
      <c r="E73" s="51"/>
      <c r="F73" s="51"/>
    </row>
    <row r="74" spans="1:6">
      <c r="A74" s="23" t="s">
        <v>256</v>
      </c>
      <c r="B74" s="5">
        <v>2241283</v>
      </c>
      <c r="C74" s="5">
        <v>56625.263628409033</v>
      </c>
      <c r="D74" s="5">
        <v>2297908.2636284092</v>
      </c>
      <c r="E74" s="51"/>
      <c r="F74" s="51"/>
    </row>
    <row r="75" spans="1:6">
      <c r="A75" s="23" t="s">
        <v>257</v>
      </c>
      <c r="B75" s="5">
        <v>941457</v>
      </c>
      <c r="C75" s="5">
        <v>74068.24976776207</v>
      </c>
      <c r="D75" s="5">
        <v>1015525.249767762</v>
      </c>
      <c r="E75" s="51"/>
      <c r="F75" s="51"/>
    </row>
    <row r="76" spans="1:6">
      <c r="A76" s="23" t="s">
        <v>258</v>
      </c>
      <c r="B76" s="5">
        <v>384777</v>
      </c>
      <c r="C76" s="5">
        <v>245629.69238989847</v>
      </c>
      <c r="D76" s="5">
        <v>630406.69238989847</v>
      </c>
      <c r="E76" s="51"/>
      <c r="F76" s="51"/>
    </row>
    <row r="77" spans="1:6">
      <c r="A77" s="23" t="s">
        <v>259</v>
      </c>
      <c r="B77" s="5">
        <v>152174</v>
      </c>
      <c r="C77" s="5">
        <v>722207.94399949152</v>
      </c>
      <c r="D77" s="5">
        <v>874381.94399949152</v>
      </c>
      <c r="E77" s="51"/>
      <c r="F77" s="51"/>
    </row>
    <row r="78" spans="1:6">
      <c r="A78" s="23" t="s">
        <v>260</v>
      </c>
      <c r="B78" s="5">
        <v>67075</v>
      </c>
      <c r="C78" s="5">
        <v>525411.63807789935</v>
      </c>
      <c r="D78" s="5">
        <v>592486.63807789935</v>
      </c>
      <c r="E78" s="51"/>
      <c r="F78" s="51"/>
    </row>
    <row r="79" spans="1:6">
      <c r="A79" s="23" t="s">
        <v>261</v>
      </c>
      <c r="B79" s="5">
        <v>43017</v>
      </c>
      <c r="C79" s="5">
        <v>83373.362709391033</v>
      </c>
      <c r="D79" s="5">
        <v>126390.36270939103</v>
      </c>
      <c r="E79" s="51"/>
      <c r="F79" s="51"/>
    </row>
    <row r="80" spans="1:6">
      <c r="A80" s="23" t="s">
        <v>262</v>
      </c>
      <c r="B80" s="5">
        <v>19635</v>
      </c>
      <c r="C80" s="5">
        <v>5875.9184195685311</v>
      </c>
      <c r="D80" s="5">
        <v>25510.91841956853</v>
      </c>
      <c r="E80" s="51"/>
      <c r="F80" s="51"/>
    </row>
    <row r="81" spans="1:6">
      <c r="A81" s="23" t="s">
        <v>226</v>
      </c>
      <c r="B81" s="5">
        <v>58</v>
      </c>
      <c r="C81" s="5">
        <v>4139.4402933252031</v>
      </c>
      <c r="D81" s="5">
        <v>4197.4402933252031</v>
      </c>
      <c r="E81" s="51"/>
      <c r="F81" s="51"/>
    </row>
    <row r="82" spans="1:6">
      <c r="A82" s="21" t="s">
        <v>46</v>
      </c>
      <c r="B82" s="38">
        <v>4634668</v>
      </c>
      <c r="C82" s="38">
        <v>1752337.3736051749</v>
      </c>
      <c r="D82" s="38">
        <v>6387005.3736051749</v>
      </c>
      <c r="E82" s="51"/>
      <c r="F82" s="51"/>
    </row>
    <row r="83" spans="1:6">
      <c r="B83" s="48"/>
      <c r="C83" s="48"/>
      <c r="D83" s="48"/>
    </row>
    <row r="84" spans="1:6">
      <c r="B84" s="48"/>
      <c r="C84" s="48"/>
      <c r="D84" s="48"/>
    </row>
    <row r="85" spans="1:6">
      <c r="A85" s="2" t="s">
        <v>63</v>
      </c>
    </row>
    <row r="86" spans="1:6">
      <c r="A86" s="9" t="s">
        <v>250</v>
      </c>
    </row>
    <row r="87" spans="1:6">
      <c r="A87" s="24" t="s">
        <v>150</v>
      </c>
      <c r="B87" s="16" t="s">
        <v>0</v>
      </c>
      <c r="C87" s="16" t="s">
        <v>1</v>
      </c>
      <c r="D87" s="16" t="s">
        <v>45</v>
      </c>
    </row>
    <row r="88" spans="1:6">
      <c r="A88" s="23" t="s">
        <v>33</v>
      </c>
      <c r="B88" s="4">
        <v>482795</v>
      </c>
      <c r="C88" s="4">
        <v>20011.858012716159</v>
      </c>
      <c r="D88" s="4">
        <v>502806.85801271617</v>
      </c>
      <c r="E88" s="51"/>
      <c r="F88" s="51"/>
    </row>
    <row r="89" spans="1:6">
      <c r="A89" s="23" t="s">
        <v>34</v>
      </c>
      <c r="B89" s="5">
        <v>13287</v>
      </c>
      <c r="C89" s="5">
        <v>37747.500609803326</v>
      </c>
      <c r="D89" s="5">
        <v>51034.500609803326</v>
      </c>
      <c r="E89" s="51"/>
      <c r="F89" s="51"/>
    </row>
    <row r="90" spans="1:6">
      <c r="A90" s="23" t="s">
        <v>35</v>
      </c>
      <c r="B90" s="5">
        <v>272856</v>
      </c>
      <c r="C90" s="5">
        <v>162317.70619037113</v>
      </c>
      <c r="D90" s="5">
        <v>435173.70619037113</v>
      </c>
      <c r="E90" s="51"/>
      <c r="F90" s="51"/>
    </row>
    <row r="91" spans="1:6">
      <c r="A91" s="23" t="s">
        <v>36</v>
      </c>
      <c r="B91" s="5">
        <v>10251</v>
      </c>
      <c r="C91" s="5">
        <v>17820.411998772659</v>
      </c>
      <c r="D91" s="5">
        <v>28071.411998772659</v>
      </c>
      <c r="E91" s="51"/>
      <c r="F91" s="51"/>
    </row>
    <row r="92" spans="1:6">
      <c r="A92" s="23" t="s">
        <v>37</v>
      </c>
      <c r="B92" s="5">
        <v>374303</v>
      </c>
      <c r="C92" s="5">
        <v>74534.281333837731</v>
      </c>
      <c r="D92" s="5">
        <v>448837.28133383772</v>
      </c>
      <c r="E92" s="51"/>
      <c r="F92" s="51"/>
    </row>
    <row r="93" spans="1:6">
      <c r="A93" s="23" t="s">
        <v>38</v>
      </c>
      <c r="B93" s="5">
        <v>597744</v>
      </c>
      <c r="C93" s="5">
        <v>209829.38603135536</v>
      </c>
      <c r="D93" s="5">
        <v>807573.38603135536</v>
      </c>
      <c r="E93" s="51"/>
      <c r="F93" s="51"/>
    </row>
    <row r="94" spans="1:6">
      <c r="A94" s="23" t="s">
        <v>39</v>
      </c>
      <c r="B94" s="5">
        <v>211247</v>
      </c>
      <c r="C94" s="5">
        <v>125191.84785959475</v>
      </c>
      <c r="D94" s="5">
        <v>336438.84785959474</v>
      </c>
      <c r="E94" s="51"/>
      <c r="F94" s="51"/>
    </row>
    <row r="95" spans="1:6">
      <c r="A95" s="23" t="s">
        <v>47</v>
      </c>
      <c r="B95" s="5">
        <v>912597</v>
      </c>
      <c r="C95" s="5">
        <v>1072659.4504983569</v>
      </c>
      <c r="D95" s="5">
        <v>1985256.4504983569</v>
      </c>
      <c r="E95" s="51"/>
      <c r="F95" s="51"/>
    </row>
    <row r="96" spans="1:6">
      <c r="A96" s="23" t="s">
        <v>222</v>
      </c>
      <c r="B96" s="5">
        <v>1759588</v>
      </c>
      <c r="C96" s="5">
        <v>32224.931070366903</v>
      </c>
      <c r="D96" s="5">
        <v>1791812.9310703669</v>
      </c>
      <c r="E96" s="51"/>
      <c r="F96" s="51"/>
    </row>
    <row r="97" spans="1:13">
      <c r="A97" s="21" t="s">
        <v>46</v>
      </c>
      <c r="B97" s="38">
        <v>4634668</v>
      </c>
      <c r="C97" s="38">
        <v>1752337.3736051749</v>
      </c>
      <c r="D97" s="38">
        <v>6387005.3736051749</v>
      </c>
      <c r="E97" s="51"/>
      <c r="F97" s="51"/>
    </row>
    <row r="98" spans="1:13">
      <c r="B98" s="47"/>
      <c r="C98" s="48"/>
      <c r="D98" s="49"/>
    </row>
    <row r="100" spans="1:13">
      <c r="A100" s="2" t="s">
        <v>77</v>
      </c>
    </row>
    <row r="101" spans="1:13">
      <c r="A101" s="2" t="s">
        <v>263</v>
      </c>
    </row>
    <row r="102" spans="1:13">
      <c r="A102" s="8" t="s">
        <v>49</v>
      </c>
      <c r="B102" s="8" t="s">
        <v>0</v>
      </c>
      <c r="C102" s="8" t="s">
        <v>1</v>
      </c>
      <c r="D102" s="8" t="s">
        <v>45</v>
      </c>
    </row>
    <row r="103" spans="1:13">
      <c r="A103" s="17">
        <v>2015</v>
      </c>
      <c r="B103" s="4">
        <v>22837210242.483002</v>
      </c>
      <c r="C103" s="4">
        <v>21729028637</v>
      </c>
      <c r="D103" s="4">
        <v>44566238879.483002</v>
      </c>
      <c r="E103" s="51"/>
      <c r="F103" s="51"/>
    </row>
    <row r="104" spans="1:13">
      <c r="A104" s="17">
        <v>2016</v>
      </c>
      <c r="B104" s="5">
        <v>25003746551.73</v>
      </c>
      <c r="C104" s="5">
        <v>23151888710.3078</v>
      </c>
      <c r="D104" s="5">
        <v>48155635262.037796</v>
      </c>
      <c r="E104" s="51"/>
      <c r="F104" s="51"/>
    </row>
    <row r="105" spans="1:13">
      <c r="A105" s="17">
        <v>2017</v>
      </c>
      <c r="B105" s="5">
        <v>27027027514.971001</v>
      </c>
      <c r="C105" s="5">
        <v>24348667633.509499</v>
      </c>
      <c r="D105" s="5">
        <v>51375695148.480499</v>
      </c>
      <c r="E105" s="51"/>
      <c r="F105" s="51"/>
    </row>
    <row r="106" spans="1:13">
      <c r="A106" s="17">
        <v>2018</v>
      </c>
      <c r="B106" s="5">
        <v>29975520825.710999</v>
      </c>
      <c r="C106" s="5">
        <v>25841096188.730499</v>
      </c>
      <c r="D106" s="5">
        <v>55816617014.441498</v>
      </c>
      <c r="E106" s="51"/>
      <c r="F106" s="51"/>
    </row>
    <row r="107" spans="1:13">
      <c r="A107" s="19">
        <v>2019</v>
      </c>
      <c r="B107" s="11">
        <v>32135447397.625</v>
      </c>
      <c r="C107" s="11">
        <v>28039114649.832298</v>
      </c>
      <c r="D107" s="11">
        <v>60174562047.457298</v>
      </c>
      <c r="E107" s="51"/>
      <c r="F107" s="51"/>
    </row>
    <row r="108" spans="1:13">
      <c r="B108" s="47"/>
      <c r="C108" s="48"/>
      <c r="D108" s="49"/>
      <c r="L108" s="45"/>
      <c r="M108" s="45"/>
    </row>
    <row r="109" spans="1:13">
      <c r="C109" s="34"/>
    </row>
    <row r="110" spans="1:13" ht="12.75">
      <c r="A110" s="2" t="s">
        <v>152</v>
      </c>
      <c r="E110" s="3"/>
      <c r="F110" s="3"/>
      <c r="H110" s="2" t="s">
        <v>153</v>
      </c>
      <c r="J110" s="6"/>
      <c r="K110" s="6"/>
    </row>
    <row r="111" spans="1:13" ht="12.75">
      <c r="A111" s="9" t="s">
        <v>251</v>
      </c>
      <c r="E111" s="3"/>
      <c r="F111" s="3"/>
      <c r="H111" s="9" t="s">
        <v>252</v>
      </c>
      <c r="J111" s="6"/>
      <c r="K111" s="6"/>
    </row>
    <row r="112" spans="1:13" ht="38.25">
      <c r="A112" s="28" t="s">
        <v>53</v>
      </c>
      <c r="B112" s="16" t="s">
        <v>154</v>
      </c>
      <c r="C112" s="16" t="s">
        <v>155</v>
      </c>
      <c r="D112" s="16" t="s">
        <v>435</v>
      </c>
      <c r="E112" s="16" t="s">
        <v>223</v>
      </c>
      <c r="F112" s="16" t="s">
        <v>48</v>
      </c>
      <c r="H112" s="28" t="s">
        <v>53</v>
      </c>
      <c r="I112" s="16" t="s">
        <v>154</v>
      </c>
      <c r="J112" s="16" t="s">
        <v>155</v>
      </c>
      <c r="K112" s="16" t="s">
        <v>223</v>
      </c>
      <c r="L112" s="16" t="s">
        <v>48</v>
      </c>
    </row>
    <row r="113" spans="1:12" ht="12.75">
      <c r="A113" s="23" t="s">
        <v>229</v>
      </c>
      <c r="B113" s="4">
        <v>367340</v>
      </c>
      <c r="C113" s="4">
        <v>408330</v>
      </c>
      <c r="D113" s="4">
        <v>13</v>
      </c>
      <c r="E113" s="3">
        <v>9509</v>
      </c>
      <c r="F113" s="4">
        <v>785192</v>
      </c>
      <c r="G113" s="50"/>
      <c r="H113" s="23" t="s">
        <v>229</v>
      </c>
      <c r="I113" s="4">
        <v>22424.117426392331</v>
      </c>
      <c r="J113" s="4">
        <v>12581.746893037491</v>
      </c>
      <c r="K113" s="4">
        <v>0</v>
      </c>
      <c r="L113" s="4">
        <v>35005.86431942982</v>
      </c>
    </row>
    <row r="114" spans="1:12" ht="12.75">
      <c r="A114" s="23" t="s">
        <v>256</v>
      </c>
      <c r="B114" s="5">
        <v>1200553</v>
      </c>
      <c r="C114" s="5">
        <v>1014441</v>
      </c>
      <c r="D114" s="5">
        <v>48</v>
      </c>
      <c r="E114" s="3">
        <v>26241</v>
      </c>
      <c r="F114" s="5">
        <v>2241283</v>
      </c>
      <c r="G114" s="50"/>
      <c r="H114" s="23" t="s">
        <v>256</v>
      </c>
      <c r="I114" s="5">
        <v>48735.352446254437</v>
      </c>
      <c r="J114" s="5">
        <v>7889.9111821545803</v>
      </c>
      <c r="K114" s="5">
        <v>0</v>
      </c>
      <c r="L114" s="5">
        <v>56625.263628409019</v>
      </c>
    </row>
    <row r="115" spans="1:12" ht="12.75">
      <c r="A115" s="23" t="s">
        <v>257</v>
      </c>
      <c r="B115" s="5">
        <v>575308</v>
      </c>
      <c r="C115" s="5">
        <v>363879</v>
      </c>
      <c r="D115" s="5">
        <v>2</v>
      </c>
      <c r="E115" s="3">
        <v>2268</v>
      </c>
      <c r="F115" s="5">
        <v>941457</v>
      </c>
      <c r="G115" s="50"/>
      <c r="H115" s="23" t="s">
        <v>257</v>
      </c>
      <c r="I115" s="5">
        <v>59793.943622783096</v>
      </c>
      <c r="J115" s="5">
        <v>14274.30614497898</v>
      </c>
      <c r="K115" s="5">
        <v>0</v>
      </c>
      <c r="L115" s="5">
        <v>74068.24976776207</v>
      </c>
    </row>
    <row r="116" spans="1:12" ht="12.75">
      <c r="A116" s="23" t="s">
        <v>258</v>
      </c>
      <c r="B116" s="5">
        <v>234706</v>
      </c>
      <c r="C116" s="5">
        <v>149575</v>
      </c>
      <c r="D116" s="5">
        <v>0</v>
      </c>
      <c r="E116" s="3">
        <v>496</v>
      </c>
      <c r="F116" s="5">
        <v>384777</v>
      </c>
      <c r="G116" s="50"/>
      <c r="H116" s="23" t="s">
        <v>258</v>
      </c>
      <c r="I116" s="5">
        <v>169097.80195885882</v>
      </c>
      <c r="J116" s="5">
        <v>76531.89043103969</v>
      </c>
      <c r="K116" s="5">
        <v>0</v>
      </c>
      <c r="L116" s="5">
        <v>245629.69238989853</v>
      </c>
    </row>
    <row r="117" spans="1:12" ht="12.75">
      <c r="A117" s="23" t="s">
        <v>259</v>
      </c>
      <c r="B117" s="5">
        <v>92450</v>
      </c>
      <c r="C117" s="5">
        <v>59509</v>
      </c>
      <c r="D117" s="5">
        <v>0</v>
      </c>
      <c r="E117" s="3">
        <v>215</v>
      </c>
      <c r="F117" s="5">
        <v>152174</v>
      </c>
      <c r="G117" s="50"/>
      <c r="H117" s="23" t="s">
        <v>259</v>
      </c>
      <c r="I117" s="5">
        <v>403951.61607256386</v>
      </c>
      <c r="J117" s="5">
        <v>318256.3279269276</v>
      </c>
      <c r="K117" s="5">
        <v>0</v>
      </c>
      <c r="L117" s="5">
        <v>722207.9439994914</v>
      </c>
    </row>
    <row r="118" spans="1:12" ht="12.75">
      <c r="A118" s="23" t="s">
        <v>260</v>
      </c>
      <c r="B118" s="5">
        <v>41719</v>
      </c>
      <c r="C118" s="5">
        <v>25215</v>
      </c>
      <c r="D118" s="5">
        <v>1</v>
      </c>
      <c r="E118" s="3">
        <v>140</v>
      </c>
      <c r="F118" s="5">
        <v>67075</v>
      </c>
      <c r="G118" s="50"/>
      <c r="H118" s="23" t="s">
        <v>260</v>
      </c>
      <c r="I118" s="5">
        <v>331792.69713222631</v>
      </c>
      <c r="J118" s="5">
        <v>193618.94094567301</v>
      </c>
      <c r="K118" s="5">
        <v>0</v>
      </c>
      <c r="L118" s="5">
        <v>525411.63807789935</v>
      </c>
    </row>
    <row r="119" spans="1:12" ht="12.75">
      <c r="A119" s="23" t="s">
        <v>261</v>
      </c>
      <c r="B119" s="5">
        <v>28036</v>
      </c>
      <c r="C119" s="5">
        <v>14769</v>
      </c>
      <c r="D119" s="5">
        <v>0</v>
      </c>
      <c r="E119" s="3">
        <v>212</v>
      </c>
      <c r="F119" s="5">
        <v>43017</v>
      </c>
      <c r="G119" s="50"/>
      <c r="H119" s="23" t="s">
        <v>261</v>
      </c>
      <c r="I119" s="5">
        <v>77013.391864343736</v>
      </c>
      <c r="J119" s="5">
        <v>6359.9708450472981</v>
      </c>
      <c r="K119" s="5">
        <v>0</v>
      </c>
      <c r="L119" s="5">
        <v>83373.362709391033</v>
      </c>
    </row>
    <row r="120" spans="1:12" ht="12.75">
      <c r="A120" s="23" t="s">
        <v>262</v>
      </c>
      <c r="B120" s="5">
        <v>13532</v>
      </c>
      <c r="C120" s="5">
        <v>5900</v>
      </c>
      <c r="D120" s="5">
        <v>0</v>
      </c>
      <c r="E120" s="3">
        <v>203</v>
      </c>
      <c r="F120" s="5">
        <v>19635</v>
      </c>
      <c r="G120" s="50"/>
      <c r="H120" s="23" t="s">
        <v>262</v>
      </c>
      <c r="I120" s="5">
        <v>5512.7491186697289</v>
      </c>
      <c r="J120" s="5">
        <v>363.16930089880293</v>
      </c>
      <c r="K120" s="5">
        <v>0</v>
      </c>
      <c r="L120" s="5">
        <v>5875.918419568532</v>
      </c>
    </row>
    <row r="121" spans="1:12" ht="12.75">
      <c r="A121" s="23" t="s">
        <v>226</v>
      </c>
      <c r="B121" s="5">
        <v>0</v>
      </c>
      <c r="C121" s="5">
        <v>0</v>
      </c>
      <c r="D121" s="5">
        <v>0</v>
      </c>
      <c r="E121" s="3">
        <v>58</v>
      </c>
      <c r="F121" s="5">
        <v>58</v>
      </c>
      <c r="G121" s="50"/>
      <c r="H121" s="23" t="s">
        <v>226</v>
      </c>
      <c r="I121" s="5">
        <v>2590.5511208347411</v>
      </c>
      <c r="J121" s="5">
        <v>1548.8891724904622</v>
      </c>
      <c r="K121" s="5">
        <v>0</v>
      </c>
      <c r="L121" s="5">
        <v>4139.4402933252031</v>
      </c>
    </row>
    <row r="122" spans="1:12" ht="12.75">
      <c r="A122" s="21" t="s">
        <v>46</v>
      </c>
      <c r="B122" s="38">
        <v>2553644</v>
      </c>
      <c r="C122" s="38">
        <v>2041618</v>
      </c>
      <c r="D122" s="38">
        <v>64</v>
      </c>
      <c r="E122" s="38">
        <v>39342</v>
      </c>
      <c r="F122" s="38">
        <v>4634668</v>
      </c>
      <c r="G122" s="50"/>
      <c r="H122" s="21" t="s">
        <v>46</v>
      </c>
      <c r="I122" s="38">
        <v>1120912.2207629269</v>
      </c>
      <c r="J122" s="38">
        <v>631425.15284224786</v>
      </c>
      <c r="K122" s="38">
        <v>0</v>
      </c>
      <c r="L122" s="38">
        <v>1752337.3736051747</v>
      </c>
    </row>
    <row r="123" spans="1:12" ht="12.75">
      <c r="B123" s="50"/>
      <c r="C123" s="50"/>
      <c r="D123" s="50"/>
      <c r="E123" s="50"/>
      <c r="F123" s="50"/>
      <c r="I123" s="39"/>
      <c r="J123" s="39"/>
      <c r="L123" s="50"/>
    </row>
    <row r="124" spans="1:12" ht="12.75">
      <c r="E124" s="3"/>
      <c r="F124" s="3"/>
    </row>
    <row r="125" spans="1:12" ht="12.75">
      <c r="A125" s="2" t="s">
        <v>156</v>
      </c>
      <c r="E125" s="3"/>
      <c r="F125" s="3"/>
      <c r="H125" s="2" t="s">
        <v>157</v>
      </c>
      <c r="I125" s="6"/>
      <c r="J125" s="6"/>
    </row>
    <row r="126" spans="1:12" ht="12.75">
      <c r="A126" s="9" t="s">
        <v>253</v>
      </c>
      <c r="E126" s="3"/>
      <c r="F126" s="3"/>
      <c r="H126" s="9" t="s">
        <v>254</v>
      </c>
      <c r="I126" s="6"/>
      <c r="J126" s="6"/>
    </row>
    <row r="127" spans="1:12" ht="25.5">
      <c r="A127" s="28" t="s">
        <v>158</v>
      </c>
      <c r="B127" s="16" t="s">
        <v>154</v>
      </c>
      <c r="C127" s="16" t="s">
        <v>155</v>
      </c>
      <c r="D127" s="16" t="s">
        <v>223</v>
      </c>
      <c r="E127" s="16" t="s">
        <v>48</v>
      </c>
      <c r="F127" s="6"/>
      <c r="H127" s="28" t="s">
        <v>158</v>
      </c>
      <c r="I127" s="16" t="s">
        <v>154</v>
      </c>
      <c r="J127" s="16" t="s">
        <v>155</v>
      </c>
      <c r="K127" s="16" t="s">
        <v>223</v>
      </c>
      <c r="L127" s="16" t="s">
        <v>48</v>
      </c>
    </row>
    <row r="128" spans="1:12" ht="12.75">
      <c r="A128" s="14" t="s">
        <v>159</v>
      </c>
      <c r="B128" s="4">
        <v>732166.38072378153</v>
      </c>
      <c r="C128" s="4">
        <v>657201.88709076412</v>
      </c>
      <c r="D128" s="4">
        <v>1007439.397899346</v>
      </c>
      <c r="E128" s="4">
        <v>702814.11887961987</v>
      </c>
      <c r="F128" s="13"/>
      <c r="G128" s="39"/>
      <c r="H128" s="14" t="s">
        <v>159</v>
      </c>
      <c r="I128" s="4">
        <v>1532314.2670525974</v>
      </c>
      <c r="J128" s="4">
        <v>1514980.5835801559</v>
      </c>
      <c r="K128" s="4">
        <v>0</v>
      </c>
      <c r="L128" s="4">
        <v>1528224.3683939739</v>
      </c>
    </row>
    <row r="129" spans="1:12" ht="12.75">
      <c r="A129" s="17" t="s">
        <v>160</v>
      </c>
      <c r="B129" s="5">
        <v>724948.24271923851</v>
      </c>
      <c r="C129" s="5">
        <v>650607.0728511014</v>
      </c>
      <c r="D129" s="5">
        <v>1000350.6559736077</v>
      </c>
      <c r="E129" s="5">
        <v>696433.92707439058</v>
      </c>
      <c r="F129" s="13"/>
      <c r="G129" s="39"/>
      <c r="H129" s="17" t="s">
        <v>160</v>
      </c>
      <c r="I129" s="5">
        <v>1537270.0448877802</v>
      </c>
      <c r="J129" s="5">
        <v>1515270.8696885235</v>
      </c>
      <c r="K129" s="5">
        <v>0</v>
      </c>
      <c r="L129" s="5">
        <v>1529180.7224812792</v>
      </c>
    </row>
    <row r="130" spans="1:12" ht="12.75">
      <c r="A130" s="17" t="s">
        <v>161</v>
      </c>
      <c r="B130" s="5">
        <v>581893.88602856034</v>
      </c>
      <c r="C130" s="5">
        <v>661347.6566907363</v>
      </c>
      <c r="D130" s="5">
        <v>1930526.6253799391</v>
      </c>
      <c r="E130" s="5">
        <v>620450.95775304362</v>
      </c>
      <c r="F130" s="13"/>
      <c r="G130" s="39"/>
      <c r="H130" s="17" t="s">
        <v>161</v>
      </c>
      <c r="I130" s="5">
        <v>1504479.605691653</v>
      </c>
      <c r="J130" s="5">
        <v>1417440.8893452641</v>
      </c>
      <c r="K130" s="5">
        <v>0</v>
      </c>
      <c r="L130" s="5">
        <v>1470668.2870596834</v>
      </c>
    </row>
    <row r="131" spans="1:12" ht="12.75">
      <c r="A131" s="19" t="s">
        <v>162</v>
      </c>
      <c r="B131" s="11">
        <v>41.242525771367355</v>
      </c>
      <c r="C131" s="11">
        <v>39.049475118799634</v>
      </c>
      <c r="D131" s="11">
        <v>34.769230769230774</v>
      </c>
      <c r="E131" s="11">
        <v>39.510687403557711</v>
      </c>
      <c r="F131" s="96"/>
      <c r="G131" s="39"/>
      <c r="H131" s="19" t="s">
        <v>162</v>
      </c>
      <c r="I131" s="11">
        <v>41.107525301809375</v>
      </c>
      <c r="J131" s="11">
        <v>41.192206734006739</v>
      </c>
      <c r="K131" s="11">
        <v>0</v>
      </c>
      <c r="L131" s="11">
        <v>41.13791533782279</v>
      </c>
    </row>
    <row r="133" spans="1:12" ht="12.75">
      <c r="B133" s="25"/>
      <c r="D133" s="6"/>
      <c r="E133" s="6"/>
      <c r="F133" s="6"/>
    </row>
    <row r="134" spans="1:12" ht="12.75">
      <c r="B134" s="46"/>
      <c r="D134" s="6"/>
      <c r="E134" s="6"/>
      <c r="F134" s="6"/>
    </row>
    <row r="135" spans="1:12" ht="12.75">
      <c r="B135" s="46"/>
      <c r="D135" s="6"/>
      <c r="E135" s="6"/>
      <c r="F135" s="6"/>
    </row>
    <row r="136" spans="1:12" ht="12.75">
      <c r="B136" s="46"/>
      <c r="D136" s="6"/>
      <c r="E136" s="6"/>
      <c r="F136" s="6"/>
    </row>
    <row r="137" spans="1:12" ht="12.75">
      <c r="D137" s="6"/>
      <c r="E137" s="6"/>
      <c r="F137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5"/>
  <sheetViews>
    <sheetView showGridLines="0" zoomScaleNormal="100" workbookViewId="0"/>
  </sheetViews>
  <sheetFormatPr baseColWidth="10" defaultColWidth="33.140625" defaultRowHeight="12.75"/>
  <cols>
    <col min="1" max="1" width="30.7109375" style="3" customWidth="1"/>
    <col min="2" max="6" width="14.140625" style="6" customWidth="1"/>
    <col min="7" max="8" width="14.140625" style="3" customWidth="1"/>
    <col min="9" max="9" width="13.85546875" style="3" customWidth="1"/>
    <col min="10" max="54" width="15.7109375" style="3" customWidth="1"/>
    <col min="55" max="16384" width="33.140625" style="3"/>
  </cols>
  <sheetData>
    <row r="1" spans="1:9" ht="18.75">
      <c r="A1" s="1" t="s">
        <v>141</v>
      </c>
    </row>
    <row r="3" spans="1:9">
      <c r="A3" s="2" t="s">
        <v>67</v>
      </c>
      <c r="F3" s="2" t="s">
        <v>69</v>
      </c>
      <c r="G3" s="6"/>
      <c r="H3" s="6"/>
      <c r="I3" s="6"/>
    </row>
    <row r="4" spans="1:9">
      <c r="A4" s="2" t="s">
        <v>278</v>
      </c>
      <c r="F4" s="2" t="s">
        <v>279</v>
      </c>
      <c r="G4" s="6"/>
      <c r="H4" s="6"/>
      <c r="I4" s="6"/>
    </row>
    <row r="5" spans="1:9">
      <c r="A5" s="8" t="s">
        <v>49</v>
      </c>
      <c r="B5" s="8" t="s">
        <v>0</v>
      </c>
      <c r="C5" s="8" t="s">
        <v>1</v>
      </c>
      <c r="D5" s="8" t="s">
        <v>45</v>
      </c>
      <c r="F5" s="8" t="s">
        <v>49</v>
      </c>
      <c r="G5" s="8" t="s">
        <v>0</v>
      </c>
      <c r="H5" s="8" t="s">
        <v>1</v>
      </c>
      <c r="I5" s="8" t="s">
        <v>45</v>
      </c>
    </row>
    <row r="6" spans="1:9">
      <c r="A6" s="17">
        <v>2015</v>
      </c>
      <c r="B6" s="4">
        <v>3341885</v>
      </c>
      <c r="C6" s="4">
        <v>1402972</v>
      </c>
      <c r="D6" s="15">
        <v>4744857</v>
      </c>
      <c r="E6" s="50"/>
      <c r="F6" s="17">
        <v>2015</v>
      </c>
      <c r="G6" s="4">
        <v>42577491</v>
      </c>
      <c r="H6" s="4">
        <v>14198125</v>
      </c>
      <c r="I6" s="15">
        <v>56775616</v>
      </c>
    </row>
    <row r="7" spans="1:9">
      <c r="A7" s="17">
        <v>2016</v>
      </c>
      <c r="B7" s="5">
        <v>3563432</v>
      </c>
      <c r="C7" s="5">
        <v>1463628</v>
      </c>
      <c r="D7" s="10">
        <v>5027060</v>
      </c>
      <c r="E7" s="50"/>
      <c r="F7" s="17">
        <v>2016</v>
      </c>
      <c r="G7" s="5">
        <v>46810880</v>
      </c>
      <c r="H7" s="5">
        <v>14893358</v>
      </c>
      <c r="I7" s="10">
        <v>61704238</v>
      </c>
    </row>
    <row r="8" spans="1:9">
      <c r="A8" s="17">
        <v>2017</v>
      </c>
      <c r="B8" s="5">
        <v>3866212</v>
      </c>
      <c r="C8" s="5">
        <v>1438822</v>
      </c>
      <c r="D8" s="10">
        <v>5305034</v>
      </c>
      <c r="E8" s="50"/>
      <c r="F8" s="17">
        <v>2017</v>
      </c>
      <c r="G8" s="5">
        <v>50424418</v>
      </c>
      <c r="H8" s="5">
        <v>14568534</v>
      </c>
      <c r="I8" s="10">
        <v>64992952</v>
      </c>
    </row>
    <row r="9" spans="1:9">
      <c r="A9" s="17">
        <v>2018</v>
      </c>
      <c r="B9" s="5">
        <v>4219301</v>
      </c>
      <c r="C9" s="5">
        <v>1473554</v>
      </c>
      <c r="D9" s="10">
        <v>5692855</v>
      </c>
      <c r="E9" s="50"/>
      <c r="F9" s="17">
        <v>2018</v>
      </c>
      <c r="G9" s="5">
        <v>55416081</v>
      </c>
      <c r="H9" s="5">
        <v>15265154</v>
      </c>
      <c r="I9" s="10">
        <v>70681235</v>
      </c>
    </row>
    <row r="10" spans="1:9">
      <c r="A10" s="19">
        <v>2019</v>
      </c>
      <c r="B10" s="11">
        <v>4561580</v>
      </c>
      <c r="C10" s="11">
        <v>1588723</v>
      </c>
      <c r="D10" s="18">
        <v>6150303</v>
      </c>
      <c r="E10" s="50"/>
      <c r="F10" s="19">
        <v>2019</v>
      </c>
      <c r="G10" s="11">
        <v>61031995</v>
      </c>
      <c r="H10" s="11">
        <v>16571158</v>
      </c>
      <c r="I10" s="18">
        <v>77603153</v>
      </c>
    </row>
    <row r="11" spans="1:9">
      <c r="B11" s="43"/>
      <c r="C11" s="43"/>
      <c r="E11" s="44"/>
      <c r="G11" s="50"/>
      <c r="H11" s="50"/>
      <c r="I11" s="50"/>
    </row>
    <row r="12" spans="1:9">
      <c r="A12" s="6" t="s">
        <v>368</v>
      </c>
      <c r="B12" s="44"/>
      <c r="C12" s="44"/>
      <c r="D12" s="44"/>
    </row>
    <row r="13" spans="1:9">
      <c r="A13" s="2" t="s">
        <v>68</v>
      </c>
      <c r="B13" s="44"/>
      <c r="C13" s="44"/>
      <c r="D13" s="44"/>
      <c r="F13" s="2" t="s">
        <v>70</v>
      </c>
    </row>
    <row r="14" spans="1:9">
      <c r="A14" s="2" t="s">
        <v>264</v>
      </c>
      <c r="F14" s="2" t="s">
        <v>265</v>
      </c>
    </row>
    <row r="15" spans="1:9">
      <c r="A15" s="8" t="s">
        <v>50</v>
      </c>
      <c r="B15" s="8" t="s">
        <v>0</v>
      </c>
      <c r="C15" s="8" t="s">
        <v>1</v>
      </c>
      <c r="D15" s="8" t="s">
        <v>45</v>
      </c>
      <c r="F15" s="8" t="s">
        <v>50</v>
      </c>
      <c r="G15" s="8" t="s">
        <v>0</v>
      </c>
      <c r="H15" s="8" t="s">
        <v>1</v>
      </c>
      <c r="I15" s="8" t="s">
        <v>45</v>
      </c>
    </row>
    <row r="16" spans="1:9">
      <c r="A16" s="14" t="s">
        <v>5</v>
      </c>
      <c r="B16" s="4">
        <v>1634208</v>
      </c>
      <c r="C16" s="4">
        <v>758365</v>
      </c>
      <c r="D16" s="15">
        <v>2392573</v>
      </c>
      <c r="E16" s="50"/>
      <c r="F16" s="14" t="s">
        <v>5</v>
      </c>
      <c r="G16" s="4">
        <v>23649958</v>
      </c>
      <c r="H16" s="4">
        <v>8155304</v>
      </c>
      <c r="I16" s="15">
        <v>31805262</v>
      </c>
    </row>
    <row r="17" spans="1:9">
      <c r="A17" s="17" t="s">
        <v>6</v>
      </c>
      <c r="B17" s="5">
        <v>2927372</v>
      </c>
      <c r="C17" s="5">
        <v>830358</v>
      </c>
      <c r="D17" s="10">
        <v>3757730</v>
      </c>
      <c r="E17" s="50"/>
      <c r="F17" s="17" t="s">
        <v>6</v>
      </c>
      <c r="G17" s="5">
        <v>37382037</v>
      </c>
      <c r="H17" s="5">
        <v>8415854</v>
      </c>
      <c r="I17" s="10">
        <v>45797891</v>
      </c>
    </row>
    <row r="18" spans="1:9">
      <c r="A18" s="17" t="s">
        <v>222</v>
      </c>
      <c r="B18" s="5">
        <v>0</v>
      </c>
      <c r="C18" s="5">
        <v>0</v>
      </c>
      <c r="D18" s="10">
        <v>0</v>
      </c>
      <c r="E18" s="50"/>
      <c r="F18" s="17" t="s">
        <v>222</v>
      </c>
      <c r="G18" s="5">
        <v>0</v>
      </c>
      <c r="H18" s="5">
        <v>0</v>
      </c>
      <c r="I18" s="10">
        <v>0</v>
      </c>
    </row>
    <row r="19" spans="1:9">
      <c r="A19" s="21" t="s">
        <v>46</v>
      </c>
      <c r="B19" s="38">
        <v>4561580</v>
      </c>
      <c r="C19" s="38">
        <v>1588723</v>
      </c>
      <c r="D19" s="52">
        <v>6150303</v>
      </c>
      <c r="E19" s="50"/>
      <c r="F19" s="21" t="s">
        <v>46</v>
      </c>
      <c r="G19" s="38">
        <v>61031995</v>
      </c>
      <c r="H19" s="38">
        <v>16571158</v>
      </c>
      <c r="I19" s="52">
        <v>77603153</v>
      </c>
    </row>
    <row r="20" spans="1:9">
      <c r="B20" s="47"/>
      <c r="C20" s="47"/>
      <c r="D20" s="47"/>
      <c r="G20" s="50"/>
      <c r="H20" s="50"/>
      <c r="I20" s="50"/>
    </row>
    <row r="22" spans="1:9">
      <c r="A22" s="2" t="s">
        <v>79</v>
      </c>
      <c r="F22" s="2" t="s">
        <v>82</v>
      </c>
    </row>
    <row r="23" spans="1:9">
      <c r="A23" s="2" t="s">
        <v>266</v>
      </c>
      <c r="F23" s="2" t="s">
        <v>267</v>
      </c>
    </row>
    <row r="24" spans="1:9">
      <c r="A24" s="8" t="s">
        <v>51</v>
      </c>
      <c r="B24" s="8" t="s">
        <v>0</v>
      </c>
      <c r="C24" s="8" t="s">
        <v>1</v>
      </c>
      <c r="D24" s="8" t="s">
        <v>45</v>
      </c>
      <c r="F24" s="8" t="s">
        <v>51</v>
      </c>
      <c r="G24" s="8" t="s">
        <v>0</v>
      </c>
      <c r="H24" s="8" t="s">
        <v>1</v>
      </c>
      <c r="I24" s="8" t="s">
        <v>45</v>
      </c>
    </row>
    <row r="25" spans="1:9">
      <c r="A25" s="14" t="s">
        <v>40</v>
      </c>
      <c r="B25" s="4">
        <v>28973</v>
      </c>
      <c r="C25" s="4">
        <v>1305</v>
      </c>
      <c r="D25" s="4">
        <v>30278</v>
      </c>
      <c r="E25" s="50"/>
      <c r="F25" s="14" t="s">
        <v>40</v>
      </c>
      <c r="G25" s="4">
        <v>252237</v>
      </c>
      <c r="H25" s="4">
        <v>9861</v>
      </c>
      <c r="I25" s="4">
        <v>262098</v>
      </c>
    </row>
    <row r="26" spans="1:9">
      <c r="A26" s="17" t="s">
        <v>2</v>
      </c>
      <c r="B26" s="5">
        <v>343792</v>
      </c>
      <c r="C26" s="5">
        <v>47017</v>
      </c>
      <c r="D26" s="5">
        <v>390809</v>
      </c>
      <c r="E26" s="50"/>
      <c r="F26" s="17" t="s">
        <v>2</v>
      </c>
      <c r="G26" s="5">
        <v>3520836</v>
      </c>
      <c r="H26" s="5">
        <v>390484</v>
      </c>
      <c r="I26" s="5">
        <v>3911320</v>
      </c>
    </row>
    <row r="27" spans="1:9">
      <c r="A27" s="17" t="s">
        <v>41</v>
      </c>
      <c r="B27" s="5">
        <v>1359323</v>
      </c>
      <c r="C27" s="5">
        <v>541703</v>
      </c>
      <c r="D27" s="5">
        <v>1901026</v>
      </c>
      <c r="E27" s="50"/>
      <c r="F27" s="17" t="s">
        <v>41</v>
      </c>
      <c r="G27" s="5">
        <v>15761230</v>
      </c>
      <c r="H27" s="5">
        <v>4821671</v>
      </c>
      <c r="I27" s="5">
        <v>20582901</v>
      </c>
    </row>
    <row r="28" spans="1:9">
      <c r="A28" s="17" t="s">
        <v>42</v>
      </c>
      <c r="B28" s="5">
        <v>1061162</v>
      </c>
      <c r="C28" s="5">
        <v>473720</v>
      </c>
      <c r="D28" s="5">
        <v>1534882</v>
      </c>
      <c r="E28" s="50"/>
      <c r="F28" s="17" t="s">
        <v>42</v>
      </c>
      <c r="G28" s="5">
        <v>13533258</v>
      </c>
      <c r="H28" s="5">
        <v>4830407</v>
      </c>
      <c r="I28" s="5">
        <v>18363665</v>
      </c>
    </row>
    <row r="29" spans="1:9">
      <c r="A29" s="17" t="s">
        <v>43</v>
      </c>
      <c r="B29" s="5">
        <v>882952</v>
      </c>
      <c r="C29" s="5">
        <v>282777</v>
      </c>
      <c r="D29" s="5">
        <v>1165729</v>
      </c>
      <c r="E29" s="50"/>
      <c r="F29" s="17" t="s">
        <v>43</v>
      </c>
      <c r="G29" s="5">
        <v>12631835</v>
      </c>
      <c r="H29" s="5">
        <v>3223929</v>
      </c>
      <c r="I29" s="5">
        <v>15855764</v>
      </c>
    </row>
    <row r="30" spans="1:9">
      <c r="A30" s="17" t="s">
        <v>44</v>
      </c>
      <c r="B30" s="5">
        <v>679333</v>
      </c>
      <c r="C30" s="5">
        <v>198239</v>
      </c>
      <c r="D30" s="5">
        <v>877572</v>
      </c>
      <c r="E30" s="50"/>
      <c r="F30" s="17" t="s">
        <v>44</v>
      </c>
      <c r="G30" s="5">
        <v>11351700</v>
      </c>
      <c r="H30" s="5">
        <v>2620125</v>
      </c>
      <c r="I30" s="5">
        <v>13971825</v>
      </c>
    </row>
    <row r="31" spans="1:9">
      <c r="A31" s="17" t="s">
        <v>3</v>
      </c>
      <c r="B31" s="5">
        <v>206045</v>
      </c>
      <c r="C31" s="5">
        <v>43956</v>
      </c>
      <c r="D31" s="5">
        <v>250001</v>
      </c>
      <c r="E31" s="50"/>
      <c r="F31" s="17" t="s">
        <v>3</v>
      </c>
      <c r="G31" s="5">
        <v>3980899</v>
      </c>
      <c r="H31" s="5">
        <v>674657</v>
      </c>
      <c r="I31" s="5">
        <v>4655556</v>
      </c>
    </row>
    <row r="32" spans="1:9">
      <c r="A32" s="17" t="s">
        <v>222</v>
      </c>
      <c r="B32" s="5">
        <v>0</v>
      </c>
      <c r="C32" s="5">
        <v>6</v>
      </c>
      <c r="D32" s="5">
        <v>6</v>
      </c>
      <c r="E32" s="50"/>
      <c r="F32" s="17" t="s">
        <v>222</v>
      </c>
      <c r="G32" s="5">
        <v>0</v>
      </c>
      <c r="H32" s="5">
        <v>24</v>
      </c>
      <c r="I32" s="5">
        <v>24</v>
      </c>
    </row>
    <row r="33" spans="1:9">
      <c r="A33" s="21" t="s">
        <v>46</v>
      </c>
      <c r="B33" s="38">
        <v>4561580</v>
      </c>
      <c r="C33" s="38">
        <v>1588723</v>
      </c>
      <c r="D33" s="38">
        <v>6150303</v>
      </c>
      <c r="E33" s="50"/>
      <c r="F33" s="21" t="s">
        <v>46</v>
      </c>
      <c r="G33" s="38">
        <v>61031995</v>
      </c>
      <c r="H33" s="38">
        <v>16571158</v>
      </c>
      <c r="I33" s="38">
        <v>77603153</v>
      </c>
    </row>
    <row r="34" spans="1:9">
      <c r="B34" s="47"/>
      <c r="C34" s="47"/>
      <c r="D34" s="47"/>
      <c r="G34" s="50"/>
      <c r="H34" s="50"/>
      <c r="I34" s="50"/>
    </row>
    <row r="36" spans="1:9">
      <c r="A36" s="2" t="s">
        <v>80</v>
      </c>
      <c r="F36" s="2" t="s">
        <v>83</v>
      </c>
    </row>
    <row r="37" spans="1:9">
      <c r="A37" s="2" t="s">
        <v>268</v>
      </c>
      <c r="F37" s="2" t="s">
        <v>269</v>
      </c>
    </row>
    <row r="38" spans="1:9">
      <c r="A38" s="8" t="s">
        <v>52</v>
      </c>
      <c r="B38" s="8" t="s">
        <v>0</v>
      </c>
      <c r="C38" s="8" t="s">
        <v>1</v>
      </c>
      <c r="D38" s="8" t="s">
        <v>45</v>
      </c>
      <c r="F38" s="8" t="s">
        <v>52</v>
      </c>
      <c r="G38" s="8" t="s">
        <v>0</v>
      </c>
      <c r="H38" s="8" t="s">
        <v>1</v>
      </c>
      <c r="I38" s="8" t="s">
        <v>45</v>
      </c>
    </row>
    <row r="39" spans="1:9">
      <c r="A39" s="14" t="s">
        <v>29</v>
      </c>
      <c r="B39" s="4">
        <v>1447011</v>
      </c>
      <c r="C39" s="4">
        <v>1079020</v>
      </c>
      <c r="D39" s="4">
        <v>2526031</v>
      </c>
      <c r="E39" s="50"/>
      <c r="F39" s="14" t="s">
        <v>29</v>
      </c>
      <c r="G39" s="4">
        <v>23384375</v>
      </c>
      <c r="H39" s="4">
        <v>12362790</v>
      </c>
      <c r="I39" s="4">
        <v>35747165</v>
      </c>
    </row>
    <row r="40" spans="1:9">
      <c r="A40" s="17" t="s">
        <v>30</v>
      </c>
      <c r="B40" s="5">
        <v>2788703</v>
      </c>
      <c r="C40" s="5">
        <v>499468</v>
      </c>
      <c r="D40" s="5">
        <v>3288171</v>
      </c>
      <c r="E40" s="50"/>
      <c r="F40" s="17" t="s">
        <v>30</v>
      </c>
      <c r="G40" s="5">
        <v>33104772</v>
      </c>
      <c r="H40" s="5">
        <v>4030075</v>
      </c>
      <c r="I40" s="5">
        <v>37134847</v>
      </c>
    </row>
    <row r="41" spans="1:9">
      <c r="A41" s="17" t="s">
        <v>4</v>
      </c>
      <c r="B41" s="5">
        <v>325852</v>
      </c>
      <c r="C41" s="5">
        <v>10235</v>
      </c>
      <c r="D41" s="5">
        <v>336087</v>
      </c>
      <c r="E41" s="50"/>
      <c r="F41" s="17" t="s">
        <v>4</v>
      </c>
      <c r="G41" s="5">
        <v>4542659</v>
      </c>
      <c r="H41" s="5">
        <v>178293</v>
      </c>
      <c r="I41" s="5">
        <v>4720952</v>
      </c>
    </row>
    <row r="42" spans="1:9">
      <c r="A42" s="17" t="s">
        <v>222</v>
      </c>
      <c r="B42" s="5">
        <v>14</v>
      </c>
      <c r="C42" s="5">
        <v>0</v>
      </c>
      <c r="D42" s="5">
        <v>14</v>
      </c>
      <c r="E42" s="50"/>
      <c r="F42" s="17" t="s">
        <v>222</v>
      </c>
      <c r="G42" s="5">
        <v>189</v>
      </c>
      <c r="H42" s="5">
        <v>0</v>
      </c>
      <c r="I42" s="5">
        <v>189</v>
      </c>
    </row>
    <row r="43" spans="1:9">
      <c r="A43" s="21" t="s">
        <v>46</v>
      </c>
      <c r="B43" s="38">
        <v>4561580</v>
      </c>
      <c r="C43" s="38">
        <v>1588723</v>
      </c>
      <c r="D43" s="38">
        <v>6150303</v>
      </c>
      <c r="E43" s="50"/>
      <c r="F43" s="21" t="s">
        <v>46</v>
      </c>
      <c r="G43" s="38">
        <v>61031995</v>
      </c>
      <c r="H43" s="38">
        <v>16571158</v>
      </c>
      <c r="I43" s="38">
        <v>77603153</v>
      </c>
    </row>
    <row r="44" spans="1:9">
      <c r="B44" s="47"/>
      <c r="C44" s="47"/>
      <c r="D44" s="47"/>
      <c r="G44" s="50"/>
      <c r="H44" s="50"/>
      <c r="I44" s="50"/>
    </row>
    <row r="46" spans="1:9">
      <c r="A46" s="7" t="s">
        <v>81</v>
      </c>
      <c r="F46" s="2" t="s">
        <v>84</v>
      </c>
    </row>
    <row r="47" spans="1:9">
      <c r="A47" s="2" t="s">
        <v>270</v>
      </c>
      <c r="F47" s="2" t="s">
        <v>271</v>
      </c>
    </row>
    <row r="48" spans="1:9">
      <c r="A48" s="8" t="s">
        <v>149</v>
      </c>
      <c r="B48" s="8" t="s">
        <v>0</v>
      </c>
      <c r="C48" s="8" t="s">
        <v>1</v>
      </c>
      <c r="D48" s="8" t="s">
        <v>45</v>
      </c>
      <c r="F48" s="8" t="s">
        <v>149</v>
      </c>
      <c r="G48" s="8" t="s">
        <v>0</v>
      </c>
      <c r="H48" s="8" t="s">
        <v>1</v>
      </c>
      <c r="I48" s="8" t="s">
        <v>45</v>
      </c>
    </row>
    <row r="49" spans="1:9">
      <c r="A49" s="22" t="s">
        <v>14</v>
      </c>
      <c r="B49" s="4">
        <v>29442</v>
      </c>
      <c r="C49" s="4">
        <v>9625</v>
      </c>
      <c r="D49" s="4">
        <v>39067</v>
      </c>
      <c r="E49" s="50"/>
      <c r="F49" s="22" t="s">
        <v>14</v>
      </c>
      <c r="G49" s="4">
        <v>298097</v>
      </c>
      <c r="H49" s="4">
        <v>84254</v>
      </c>
      <c r="I49" s="4">
        <v>382351</v>
      </c>
    </row>
    <row r="50" spans="1:9">
      <c r="A50" s="23" t="s">
        <v>15</v>
      </c>
      <c r="B50" s="5">
        <v>82386</v>
      </c>
      <c r="C50" s="5">
        <v>23492</v>
      </c>
      <c r="D50" s="5">
        <v>105878</v>
      </c>
      <c r="E50" s="50"/>
      <c r="F50" s="23" t="s">
        <v>15</v>
      </c>
      <c r="G50" s="5">
        <v>1045318</v>
      </c>
      <c r="H50" s="5">
        <v>282930</v>
      </c>
      <c r="I50" s="5">
        <v>1328248</v>
      </c>
    </row>
    <row r="51" spans="1:9">
      <c r="A51" s="23" t="s">
        <v>16</v>
      </c>
      <c r="B51" s="5">
        <v>138365</v>
      </c>
      <c r="C51" s="5">
        <v>66724</v>
      </c>
      <c r="D51" s="5">
        <v>205089</v>
      </c>
      <c r="E51" s="50"/>
      <c r="F51" s="23" t="s">
        <v>16</v>
      </c>
      <c r="G51" s="5">
        <v>1850932</v>
      </c>
      <c r="H51" s="5">
        <v>840411</v>
      </c>
      <c r="I51" s="5">
        <v>2691343</v>
      </c>
    </row>
    <row r="52" spans="1:9">
      <c r="A52" s="23" t="s">
        <v>17</v>
      </c>
      <c r="B52" s="5">
        <v>73864</v>
      </c>
      <c r="C52" s="5">
        <v>16730</v>
      </c>
      <c r="D52" s="5">
        <v>90594</v>
      </c>
      <c r="E52" s="50"/>
      <c r="F52" s="23" t="s">
        <v>17</v>
      </c>
      <c r="G52" s="5">
        <v>1063628</v>
      </c>
      <c r="H52" s="5">
        <v>201549</v>
      </c>
      <c r="I52" s="5">
        <v>1265177</v>
      </c>
    </row>
    <row r="53" spans="1:9">
      <c r="A53" s="23" t="s">
        <v>18</v>
      </c>
      <c r="B53" s="5">
        <v>123550</v>
      </c>
      <c r="C53" s="5">
        <v>19434</v>
      </c>
      <c r="D53" s="5">
        <v>142984</v>
      </c>
      <c r="E53" s="50"/>
      <c r="F53" s="23" t="s">
        <v>18</v>
      </c>
      <c r="G53" s="5">
        <v>1667680</v>
      </c>
      <c r="H53" s="5">
        <v>218559</v>
      </c>
      <c r="I53" s="5">
        <v>1886239</v>
      </c>
    </row>
    <row r="54" spans="1:9">
      <c r="A54" s="23" t="s">
        <v>19</v>
      </c>
      <c r="B54" s="5">
        <v>375533</v>
      </c>
      <c r="C54" s="5">
        <v>84122</v>
      </c>
      <c r="D54" s="5">
        <v>459655</v>
      </c>
      <c r="E54" s="50"/>
      <c r="F54" s="23" t="s">
        <v>19</v>
      </c>
      <c r="G54" s="5">
        <v>5191198</v>
      </c>
      <c r="H54" s="5">
        <v>959049</v>
      </c>
      <c r="I54" s="5">
        <v>6150247</v>
      </c>
    </row>
    <row r="55" spans="1:9">
      <c r="A55" s="23" t="s">
        <v>20</v>
      </c>
      <c r="B55" s="5">
        <v>2385806</v>
      </c>
      <c r="C55" s="5">
        <v>1027923</v>
      </c>
      <c r="D55" s="5">
        <v>3413729</v>
      </c>
      <c r="E55" s="50"/>
      <c r="F55" s="23" t="s">
        <v>20</v>
      </c>
      <c r="G55" s="5">
        <v>31436731</v>
      </c>
      <c r="H55" s="5">
        <v>10212697</v>
      </c>
      <c r="I55" s="5">
        <v>41649428</v>
      </c>
    </row>
    <row r="56" spans="1:9">
      <c r="A56" s="23" t="s">
        <v>21</v>
      </c>
      <c r="B56" s="5">
        <v>211352</v>
      </c>
      <c r="C56" s="5">
        <v>45871</v>
      </c>
      <c r="D56" s="5">
        <v>257223</v>
      </c>
      <c r="E56" s="50"/>
      <c r="F56" s="23" t="s">
        <v>21</v>
      </c>
      <c r="G56" s="5">
        <v>3479245</v>
      </c>
      <c r="H56" s="5">
        <v>571379</v>
      </c>
      <c r="I56" s="5">
        <v>4050624</v>
      </c>
    </row>
    <row r="57" spans="1:9">
      <c r="A57" s="23" t="s">
        <v>22</v>
      </c>
      <c r="B57" s="5">
        <v>215443</v>
      </c>
      <c r="C57" s="5">
        <v>41722</v>
      </c>
      <c r="D57" s="5">
        <v>257165</v>
      </c>
      <c r="E57" s="50"/>
      <c r="F57" s="23" t="s">
        <v>22</v>
      </c>
      <c r="G57" s="5">
        <v>3077021</v>
      </c>
      <c r="H57" s="5">
        <v>450306</v>
      </c>
      <c r="I57" s="5">
        <v>3527327</v>
      </c>
    </row>
    <row r="58" spans="1:9">
      <c r="A58" s="23" t="s">
        <v>367</v>
      </c>
      <c r="B58" s="5">
        <v>79374</v>
      </c>
      <c r="C58" s="5">
        <v>18586</v>
      </c>
      <c r="D58" s="5">
        <v>97960</v>
      </c>
      <c r="E58" s="50"/>
      <c r="F58" s="23" t="s">
        <v>367</v>
      </c>
      <c r="G58" s="5">
        <v>1103090</v>
      </c>
      <c r="H58" s="5">
        <v>204383</v>
      </c>
      <c r="I58" s="5">
        <v>1307473</v>
      </c>
    </row>
    <row r="59" spans="1:9">
      <c r="A59" s="23" t="s">
        <v>23</v>
      </c>
      <c r="B59" s="5">
        <v>355661</v>
      </c>
      <c r="C59" s="5">
        <v>92655</v>
      </c>
      <c r="D59" s="5">
        <v>448316</v>
      </c>
      <c r="E59" s="50"/>
      <c r="F59" s="23" t="s">
        <v>23</v>
      </c>
      <c r="G59" s="5">
        <v>5186983</v>
      </c>
      <c r="H59" s="5">
        <v>1079917</v>
      </c>
      <c r="I59" s="5">
        <v>6266900</v>
      </c>
    </row>
    <row r="60" spans="1:9">
      <c r="A60" s="23" t="s">
        <v>24</v>
      </c>
      <c r="B60" s="5">
        <v>177573</v>
      </c>
      <c r="C60" s="5">
        <v>45160</v>
      </c>
      <c r="D60" s="5">
        <v>222733</v>
      </c>
      <c r="E60" s="50"/>
      <c r="F60" s="23" t="s">
        <v>24</v>
      </c>
      <c r="G60" s="5">
        <v>2228876</v>
      </c>
      <c r="H60" s="5">
        <v>491015</v>
      </c>
      <c r="I60" s="5">
        <v>2719891</v>
      </c>
    </row>
    <row r="61" spans="1:9">
      <c r="A61" s="23" t="s">
        <v>25</v>
      </c>
      <c r="B61" s="5">
        <v>58739</v>
      </c>
      <c r="C61" s="5">
        <v>16727</v>
      </c>
      <c r="D61" s="5">
        <v>75466</v>
      </c>
      <c r="E61" s="50"/>
      <c r="F61" s="23" t="s">
        <v>25</v>
      </c>
      <c r="G61" s="5">
        <v>553604</v>
      </c>
      <c r="H61" s="5">
        <v>148931</v>
      </c>
      <c r="I61" s="5">
        <v>702535</v>
      </c>
    </row>
    <row r="62" spans="1:9">
      <c r="A62" s="23" t="s">
        <v>26</v>
      </c>
      <c r="B62" s="5">
        <v>183375</v>
      </c>
      <c r="C62" s="5">
        <v>51047</v>
      </c>
      <c r="D62" s="5">
        <v>234422</v>
      </c>
      <c r="E62" s="50"/>
      <c r="F62" s="23" t="s">
        <v>26</v>
      </c>
      <c r="G62" s="5">
        <v>2012743</v>
      </c>
      <c r="H62" s="5">
        <v>511542</v>
      </c>
      <c r="I62" s="5">
        <v>2524285</v>
      </c>
    </row>
    <row r="63" spans="1:9">
      <c r="A63" s="23" t="s">
        <v>27</v>
      </c>
      <c r="B63" s="5">
        <v>24985</v>
      </c>
      <c r="C63" s="5">
        <v>5081</v>
      </c>
      <c r="D63" s="5">
        <v>30066</v>
      </c>
      <c r="E63" s="50"/>
      <c r="F63" s="23" t="s">
        <v>27</v>
      </c>
      <c r="G63" s="5">
        <v>271700</v>
      </c>
      <c r="H63" s="5">
        <v>51051</v>
      </c>
      <c r="I63" s="5">
        <v>322751</v>
      </c>
    </row>
    <row r="64" spans="1:9">
      <c r="A64" s="23" t="s">
        <v>28</v>
      </c>
      <c r="B64" s="5">
        <v>46132</v>
      </c>
      <c r="C64" s="5">
        <v>17718</v>
      </c>
      <c r="D64" s="5">
        <v>63850</v>
      </c>
      <c r="E64" s="50"/>
      <c r="F64" s="23" t="s">
        <v>28</v>
      </c>
      <c r="G64" s="5">
        <v>565149</v>
      </c>
      <c r="H64" s="5">
        <v>214266</v>
      </c>
      <c r="I64" s="5">
        <v>779415</v>
      </c>
    </row>
    <row r="65" spans="1:9">
      <c r="A65" s="23" t="s">
        <v>222</v>
      </c>
      <c r="B65" s="5">
        <v>0</v>
      </c>
      <c r="C65" s="5">
        <v>6106</v>
      </c>
      <c r="D65" s="5">
        <v>6106</v>
      </c>
      <c r="E65" s="50"/>
      <c r="F65" s="23" t="s">
        <v>222</v>
      </c>
      <c r="G65" s="5">
        <v>0</v>
      </c>
      <c r="H65" s="5">
        <v>48919</v>
      </c>
      <c r="I65" s="5">
        <v>48919</v>
      </c>
    </row>
    <row r="66" spans="1:9">
      <c r="A66" s="21" t="s">
        <v>46</v>
      </c>
      <c r="B66" s="38">
        <v>4561580</v>
      </c>
      <c r="C66" s="38">
        <v>1588723</v>
      </c>
      <c r="D66" s="38">
        <v>6150303</v>
      </c>
      <c r="E66" s="50"/>
      <c r="F66" s="21" t="s">
        <v>46</v>
      </c>
      <c r="G66" s="38">
        <v>61031995</v>
      </c>
      <c r="H66" s="38">
        <v>16571158</v>
      </c>
      <c r="I66" s="38">
        <v>77603153</v>
      </c>
    </row>
    <row r="67" spans="1:9">
      <c r="B67" s="47"/>
      <c r="C67" s="47"/>
      <c r="D67" s="47"/>
      <c r="G67" s="50"/>
      <c r="H67" s="50"/>
      <c r="I67" s="50"/>
    </row>
    <row r="69" spans="1:9">
      <c r="A69" s="7" t="s">
        <v>91</v>
      </c>
      <c r="F69" s="2" t="s">
        <v>92</v>
      </c>
    </row>
    <row r="70" spans="1:9">
      <c r="A70" s="7" t="s">
        <v>272</v>
      </c>
      <c r="F70" s="2" t="s">
        <v>273</v>
      </c>
    </row>
    <row r="71" spans="1:9">
      <c r="A71" s="8" t="s">
        <v>151</v>
      </c>
      <c r="B71" s="8" t="s">
        <v>0</v>
      </c>
      <c r="C71" s="8" t="s">
        <v>1</v>
      </c>
      <c r="D71" s="8" t="s">
        <v>45</v>
      </c>
      <c r="F71" s="8" t="s">
        <v>151</v>
      </c>
      <c r="G71" s="8" t="s">
        <v>0</v>
      </c>
      <c r="H71" s="8" t="s">
        <v>1</v>
      </c>
      <c r="I71" s="8" t="s">
        <v>45</v>
      </c>
    </row>
    <row r="72" spans="1:9">
      <c r="A72" s="23" t="s">
        <v>230</v>
      </c>
      <c r="B72" s="4">
        <v>4219705</v>
      </c>
      <c r="C72" s="4">
        <v>1221385</v>
      </c>
      <c r="D72" s="4">
        <v>5441090</v>
      </c>
      <c r="E72" s="50"/>
      <c r="F72" s="23" t="s">
        <v>230</v>
      </c>
      <c r="G72" s="4">
        <v>54547714</v>
      </c>
      <c r="H72" s="4">
        <v>10319726</v>
      </c>
      <c r="I72" s="4">
        <v>64867440</v>
      </c>
    </row>
    <row r="73" spans="1:9">
      <c r="A73" s="23" t="s">
        <v>231</v>
      </c>
      <c r="B73" s="5">
        <v>42603</v>
      </c>
      <c r="C73" s="5">
        <v>80</v>
      </c>
      <c r="D73" s="5">
        <v>42683</v>
      </c>
      <c r="E73" s="50"/>
      <c r="F73" s="23" t="s">
        <v>231</v>
      </c>
      <c r="G73" s="5">
        <v>1018093</v>
      </c>
      <c r="H73" s="5">
        <v>1063</v>
      </c>
      <c r="I73" s="5">
        <v>1019156</v>
      </c>
    </row>
    <row r="74" spans="1:9">
      <c r="A74" s="23" t="s">
        <v>232</v>
      </c>
      <c r="B74" s="5">
        <v>49659</v>
      </c>
      <c r="C74" s="5">
        <v>151865</v>
      </c>
      <c r="D74" s="5">
        <v>201524</v>
      </c>
      <c r="E74" s="50"/>
      <c r="F74" s="23" t="s">
        <v>232</v>
      </c>
      <c r="G74" s="5">
        <v>813884</v>
      </c>
      <c r="H74" s="5">
        <v>2503091</v>
      </c>
      <c r="I74" s="5">
        <v>3316975</v>
      </c>
    </row>
    <row r="75" spans="1:9">
      <c r="A75" s="23" t="s">
        <v>7</v>
      </c>
      <c r="B75" s="5">
        <v>245925</v>
      </c>
      <c r="C75" s="5">
        <v>215393</v>
      </c>
      <c r="D75" s="5">
        <v>461318</v>
      </c>
      <c r="E75" s="50"/>
      <c r="F75" s="23" t="s">
        <v>7</v>
      </c>
      <c r="G75" s="5">
        <v>4600056</v>
      </c>
      <c r="H75" s="5">
        <v>3747278</v>
      </c>
      <c r="I75" s="5">
        <v>8347334</v>
      </c>
    </row>
    <row r="76" spans="1:9">
      <c r="A76" s="23" t="s">
        <v>8</v>
      </c>
      <c r="B76" s="5">
        <v>2933</v>
      </c>
      <c r="C76" s="5">
        <v>0</v>
      </c>
      <c r="D76" s="5">
        <v>2933</v>
      </c>
      <c r="E76" s="50"/>
      <c r="F76" s="23" t="s">
        <v>8</v>
      </c>
      <c r="G76" s="5">
        <v>43658</v>
      </c>
      <c r="H76" s="5">
        <v>0</v>
      </c>
      <c r="I76" s="5">
        <v>43658</v>
      </c>
    </row>
    <row r="77" spans="1:9">
      <c r="A77" s="23" t="s">
        <v>222</v>
      </c>
      <c r="B77" s="5">
        <v>755</v>
      </c>
      <c r="C77" s="5">
        <v>0</v>
      </c>
      <c r="D77" s="5">
        <v>755</v>
      </c>
      <c r="E77" s="50"/>
      <c r="F77" s="23" t="s">
        <v>222</v>
      </c>
      <c r="G77" s="5">
        <v>8590</v>
      </c>
      <c r="H77" s="5">
        <v>0</v>
      </c>
      <c r="I77" s="5">
        <v>8590</v>
      </c>
    </row>
    <row r="78" spans="1:9">
      <c r="A78" s="21" t="s">
        <v>46</v>
      </c>
      <c r="B78" s="38">
        <v>4561580</v>
      </c>
      <c r="C78" s="38">
        <v>1588723</v>
      </c>
      <c r="D78" s="38">
        <v>6150303</v>
      </c>
      <c r="E78" s="50"/>
      <c r="F78" s="21" t="s">
        <v>46</v>
      </c>
      <c r="G78" s="38">
        <v>61031995</v>
      </c>
      <c r="H78" s="38">
        <v>16571158</v>
      </c>
      <c r="I78" s="38">
        <v>77603153</v>
      </c>
    </row>
    <row r="79" spans="1:9">
      <c r="B79" s="47"/>
      <c r="C79" s="47"/>
      <c r="D79" s="47"/>
      <c r="G79" s="50"/>
      <c r="H79" s="50"/>
      <c r="I79" s="50"/>
    </row>
    <row r="81" spans="1:9">
      <c r="A81" s="7" t="s">
        <v>233</v>
      </c>
      <c r="F81" s="2" t="s">
        <v>235</v>
      </c>
    </row>
    <row r="82" spans="1:9">
      <c r="A82" s="2" t="s">
        <v>274</v>
      </c>
      <c r="F82" s="2" t="s">
        <v>275</v>
      </c>
    </row>
    <row r="83" spans="1:9">
      <c r="A83" s="8" t="s">
        <v>149</v>
      </c>
      <c r="B83" s="8" t="s">
        <v>0</v>
      </c>
      <c r="C83" s="8" t="s">
        <v>1</v>
      </c>
      <c r="D83" s="8" t="s">
        <v>45</v>
      </c>
      <c r="F83" s="8" t="s">
        <v>149</v>
      </c>
      <c r="G83" s="8" t="s">
        <v>0</v>
      </c>
      <c r="H83" s="8" t="s">
        <v>1</v>
      </c>
      <c r="I83" s="8" t="s">
        <v>45</v>
      </c>
    </row>
    <row r="84" spans="1:9">
      <c r="A84" s="23" t="s">
        <v>14</v>
      </c>
      <c r="B84" s="4">
        <v>19249</v>
      </c>
      <c r="C84" s="4">
        <v>5318</v>
      </c>
      <c r="D84" s="4">
        <v>24567</v>
      </c>
      <c r="E84" s="50"/>
      <c r="F84" s="23" t="s">
        <v>14</v>
      </c>
      <c r="G84" s="4">
        <v>173245</v>
      </c>
      <c r="H84" s="4">
        <v>44643</v>
      </c>
      <c r="I84" s="4">
        <v>217888</v>
      </c>
    </row>
    <row r="85" spans="1:9">
      <c r="A85" s="23" t="s">
        <v>15</v>
      </c>
      <c r="B85" s="5">
        <v>51508</v>
      </c>
      <c r="C85" s="5">
        <v>10376</v>
      </c>
      <c r="D85" s="5">
        <v>61884</v>
      </c>
      <c r="E85" s="50"/>
      <c r="F85" s="23" t="s">
        <v>15</v>
      </c>
      <c r="G85" s="5">
        <v>634144</v>
      </c>
      <c r="H85" s="5">
        <v>122101</v>
      </c>
      <c r="I85" s="5">
        <v>756245</v>
      </c>
    </row>
    <row r="86" spans="1:9">
      <c r="A86" s="23" t="s">
        <v>16</v>
      </c>
      <c r="B86" s="5">
        <v>72421</v>
      </c>
      <c r="C86" s="5">
        <v>25291</v>
      </c>
      <c r="D86" s="5">
        <v>97712</v>
      </c>
      <c r="E86" s="50"/>
      <c r="F86" s="23" t="s">
        <v>16</v>
      </c>
      <c r="G86" s="5">
        <v>914270</v>
      </c>
      <c r="H86" s="5">
        <v>305416</v>
      </c>
      <c r="I86" s="5">
        <v>1219686</v>
      </c>
    </row>
    <row r="87" spans="1:9">
      <c r="A87" s="23" t="s">
        <v>17</v>
      </c>
      <c r="B87" s="5">
        <v>43780</v>
      </c>
      <c r="C87" s="5">
        <v>7510</v>
      </c>
      <c r="D87" s="5">
        <v>51290</v>
      </c>
      <c r="E87" s="50"/>
      <c r="F87" s="23" t="s">
        <v>17</v>
      </c>
      <c r="G87" s="5">
        <v>592081</v>
      </c>
      <c r="H87" s="5">
        <v>82288</v>
      </c>
      <c r="I87" s="5">
        <v>674369</v>
      </c>
    </row>
    <row r="88" spans="1:9">
      <c r="A88" s="23" t="s">
        <v>18</v>
      </c>
      <c r="B88" s="5">
        <v>84162</v>
      </c>
      <c r="C88" s="5">
        <v>10567</v>
      </c>
      <c r="D88" s="5">
        <v>94729</v>
      </c>
      <c r="E88" s="50"/>
      <c r="F88" s="23" t="s">
        <v>18</v>
      </c>
      <c r="G88" s="5">
        <v>1064718</v>
      </c>
      <c r="H88" s="5">
        <v>117372</v>
      </c>
      <c r="I88" s="5">
        <v>1182090</v>
      </c>
    </row>
    <row r="89" spans="1:9">
      <c r="A89" s="23" t="s">
        <v>19</v>
      </c>
      <c r="B89" s="5">
        <v>240482</v>
      </c>
      <c r="C89" s="5">
        <v>45115</v>
      </c>
      <c r="D89" s="5">
        <v>285597</v>
      </c>
      <c r="E89" s="50"/>
      <c r="F89" s="23" t="s">
        <v>19</v>
      </c>
      <c r="G89" s="5">
        <v>3158786</v>
      </c>
      <c r="H89" s="5">
        <v>494488</v>
      </c>
      <c r="I89" s="5">
        <v>3653274</v>
      </c>
    </row>
    <row r="90" spans="1:9">
      <c r="A90" s="23" t="s">
        <v>20</v>
      </c>
      <c r="B90" s="5">
        <v>1550208</v>
      </c>
      <c r="C90" s="5">
        <v>539661</v>
      </c>
      <c r="D90" s="5">
        <v>2089869</v>
      </c>
      <c r="E90" s="50"/>
      <c r="F90" s="23" t="s">
        <v>20</v>
      </c>
      <c r="G90" s="5">
        <v>19744795</v>
      </c>
      <c r="H90" s="5">
        <v>5247656</v>
      </c>
      <c r="I90" s="5">
        <v>24992451</v>
      </c>
    </row>
    <row r="91" spans="1:9">
      <c r="A91" s="23" t="s">
        <v>21</v>
      </c>
      <c r="B91" s="5">
        <v>128397</v>
      </c>
      <c r="C91" s="5">
        <v>23228</v>
      </c>
      <c r="D91" s="5">
        <v>151625</v>
      </c>
      <c r="E91" s="50"/>
      <c r="F91" s="23" t="s">
        <v>21</v>
      </c>
      <c r="G91" s="5">
        <v>2003932</v>
      </c>
      <c r="H91" s="5">
        <v>280798</v>
      </c>
      <c r="I91" s="5">
        <v>2284730</v>
      </c>
    </row>
    <row r="92" spans="1:9">
      <c r="A92" s="23" t="s">
        <v>22</v>
      </c>
      <c r="B92" s="5">
        <v>142888</v>
      </c>
      <c r="C92" s="5">
        <v>22700</v>
      </c>
      <c r="D92" s="5">
        <v>165588</v>
      </c>
      <c r="E92" s="50"/>
      <c r="F92" s="23" t="s">
        <v>22</v>
      </c>
      <c r="G92" s="5">
        <v>1906673</v>
      </c>
      <c r="H92" s="5">
        <v>234495</v>
      </c>
      <c r="I92" s="5">
        <v>2141168</v>
      </c>
    </row>
    <row r="93" spans="1:9">
      <c r="A93" s="23" t="s">
        <v>367</v>
      </c>
      <c r="B93" s="5">
        <v>52439</v>
      </c>
      <c r="C93" s="5">
        <v>10418</v>
      </c>
      <c r="D93" s="5">
        <v>62857</v>
      </c>
      <c r="E93" s="50"/>
      <c r="F93" s="23" t="s">
        <v>367</v>
      </c>
      <c r="G93" s="5">
        <v>693901</v>
      </c>
      <c r="H93" s="5">
        <v>112077</v>
      </c>
      <c r="I93" s="5">
        <v>805978</v>
      </c>
    </row>
    <row r="94" spans="1:9">
      <c r="A94" s="23" t="s">
        <v>23</v>
      </c>
      <c r="B94" s="5">
        <v>216864</v>
      </c>
      <c r="C94" s="5">
        <v>51919</v>
      </c>
      <c r="D94" s="5">
        <v>268783</v>
      </c>
      <c r="E94" s="50"/>
      <c r="F94" s="23" t="s">
        <v>23</v>
      </c>
      <c r="G94" s="5">
        <v>3004193</v>
      </c>
      <c r="H94" s="5">
        <v>585865</v>
      </c>
      <c r="I94" s="5">
        <v>3590058</v>
      </c>
    </row>
    <row r="95" spans="1:9">
      <c r="A95" s="23" t="s">
        <v>24</v>
      </c>
      <c r="B95" s="5">
        <v>119563</v>
      </c>
      <c r="C95" s="5">
        <v>26951</v>
      </c>
      <c r="D95" s="5">
        <v>146514</v>
      </c>
      <c r="E95" s="50"/>
      <c r="F95" s="23" t="s">
        <v>24</v>
      </c>
      <c r="G95" s="5">
        <v>1444392</v>
      </c>
      <c r="H95" s="5">
        <v>297327</v>
      </c>
      <c r="I95" s="5">
        <v>1741719</v>
      </c>
    </row>
    <row r="96" spans="1:9">
      <c r="A96" s="23" t="s">
        <v>25</v>
      </c>
      <c r="B96" s="5">
        <v>37799</v>
      </c>
      <c r="C96" s="5">
        <v>9440</v>
      </c>
      <c r="D96" s="5">
        <v>47239</v>
      </c>
      <c r="E96" s="50"/>
      <c r="F96" s="23" t="s">
        <v>25</v>
      </c>
      <c r="G96" s="5">
        <v>315731</v>
      </c>
      <c r="H96" s="5">
        <v>82717</v>
      </c>
      <c r="I96" s="5">
        <v>398448</v>
      </c>
    </row>
    <row r="97" spans="1:9">
      <c r="A97" s="23" t="s">
        <v>26</v>
      </c>
      <c r="B97" s="5">
        <v>119694</v>
      </c>
      <c r="C97" s="5">
        <v>27398</v>
      </c>
      <c r="D97" s="5">
        <v>147092</v>
      </c>
      <c r="E97" s="50"/>
      <c r="F97" s="23" t="s">
        <v>26</v>
      </c>
      <c r="G97" s="5">
        <v>1201865</v>
      </c>
      <c r="H97" s="5">
        <v>259594</v>
      </c>
      <c r="I97" s="5">
        <v>1461459</v>
      </c>
    </row>
    <row r="98" spans="1:9">
      <c r="A98" s="23" t="s">
        <v>27</v>
      </c>
      <c r="B98" s="5">
        <v>17588</v>
      </c>
      <c r="C98" s="5">
        <v>2914</v>
      </c>
      <c r="D98" s="5">
        <v>20502</v>
      </c>
      <c r="E98" s="50"/>
      <c r="F98" s="23" t="s">
        <v>27</v>
      </c>
      <c r="G98" s="5">
        <v>176751</v>
      </c>
      <c r="H98" s="5">
        <v>28801</v>
      </c>
      <c r="I98" s="5">
        <v>205552</v>
      </c>
    </row>
    <row r="99" spans="1:9">
      <c r="A99" s="23" t="s">
        <v>28</v>
      </c>
      <c r="B99" s="5">
        <v>30330</v>
      </c>
      <c r="C99" s="5">
        <v>8774</v>
      </c>
      <c r="D99" s="5">
        <v>39104</v>
      </c>
      <c r="E99" s="50"/>
      <c r="F99" s="23" t="s">
        <v>28</v>
      </c>
      <c r="G99" s="5">
        <v>352560</v>
      </c>
      <c r="H99" s="5">
        <v>99856</v>
      </c>
      <c r="I99" s="5">
        <v>452416</v>
      </c>
    </row>
    <row r="100" spans="1:9">
      <c r="A100" s="23" t="s">
        <v>222</v>
      </c>
      <c r="B100" s="5">
        <v>0</v>
      </c>
      <c r="C100" s="5">
        <v>2778</v>
      </c>
      <c r="D100" s="5">
        <v>2778</v>
      </c>
      <c r="E100" s="50"/>
      <c r="F100" s="23" t="s">
        <v>222</v>
      </c>
      <c r="G100" s="5">
        <v>0</v>
      </c>
      <c r="H100" s="5">
        <v>20360</v>
      </c>
      <c r="I100" s="5">
        <v>20360</v>
      </c>
    </row>
    <row r="101" spans="1:9">
      <c r="A101" s="21" t="s">
        <v>46</v>
      </c>
      <c r="B101" s="38">
        <v>2927372</v>
      </c>
      <c r="C101" s="38">
        <v>830358</v>
      </c>
      <c r="D101" s="38">
        <v>3757730</v>
      </c>
      <c r="E101" s="50"/>
      <c r="F101" s="21" t="s">
        <v>46</v>
      </c>
      <c r="G101" s="38">
        <v>37382037</v>
      </c>
      <c r="H101" s="38">
        <v>8415854</v>
      </c>
      <c r="I101" s="38">
        <v>45797891</v>
      </c>
    </row>
    <row r="102" spans="1:9">
      <c r="B102" s="47"/>
      <c r="C102" s="47"/>
      <c r="D102" s="47"/>
      <c r="G102" s="47"/>
      <c r="H102" s="47"/>
      <c r="I102" s="47"/>
    </row>
    <row r="103" spans="1:9">
      <c r="B103" s="47"/>
      <c r="C103" s="47"/>
      <c r="D103" s="47"/>
      <c r="G103" s="50"/>
      <c r="H103" s="50"/>
      <c r="I103" s="50"/>
    </row>
    <row r="104" spans="1:9">
      <c r="A104" s="7" t="s">
        <v>234</v>
      </c>
      <c r="F104" s="2" t="s">
        <v>236</v>
      </c>
      <c r="G104" s="6"/>
      <c r="H104" s="6"/>
      <c r="I104" s="6"/>
    </row>
    <row r="105" spans="1:9">
      <c r="A105" s="2" t="s">
        <v>276</v>
      </c>
      <c r="F105" s="2" t="s">
        <v>277</v>
      </c>
    </row>
    <row r="106" spans="1:9">
      <c r="A106" s="8" t="s">
        <v>149</v>
      </c>
      <c r="B106" s="8" t="s">
        <v>0</v>
      </c>
      <c r="C106" s="8" t="s">
        <v>1</v>
      </c>
      <c r="D106" s="8" t="s">
        <v>45</v>
      </c>
      <c r="F106" s="8" t="s">
        <v>149</v>
      </c>
      <c r="G106" s="8" t="s">
        <v>0</v>
      </c>
      <c r="H106" s="8" t="s">
        <v>1</v>
      </c>
      <c r="I106" s="8" t="s">
        <v>45</v>
      </c>
    </row>
    <row r="107" spans="1:9">
      <c r="A107" s="23" t="s">
        <v>14</v>
      </c>
      <c r="B107" s="4">
        <v>10193</v>
      </c>
      <c r="C107" s="4">
        <v>4307</v>
      </c>
      <c r="D107" s="4">
        <v>14500</v>
      </c>
      <c r="E107" s="47"/>
      <c r="F107" s="23" t="s">
        <v>14</v>
      </c>
      <c r="G107" s="4">
        <v>124852</v>
      </c>
      <c r="H107" s="4">
        <v>39611</v>
      </c>
      <c r="I107" s="4">
        <v>164463</v>
      </c>
    </row>
    <row r="108" spans="1:9">
      <c r="A108" s="23" t="s">
        <v>15</v>
      </c>
      <c r="B108" s="5">
        <v>30878</v>
      </c>
      <c r="C108" s="5">
        <v>13116</v>
      </c>
      <c r="D108" s="5">
        <v>43994</v>
      </c>
      <c r="E108" s="48"/>
      <c r="F108" s="23" t="s">
        <v>15</v>
      </c>
      <c r="G108" s="5">
        <v>411174</v>
      </c>
      <c r="H108" s="5">
        <v>160829</v>
      </c>
      <c r="I108" s="5">
        <v>572003</v>
      </c>
    </row>
    <row r="109" spans="1:9">
      <c r="A109" s="23" t="s">
        <v>16</v>
      </c>
      <c r="B109" s="5">
        <v>65944</v>
      </c>
      <c r="C109" s="5">
        <v>41433</v>
      </c>
      <c r="D109" s="5">
        <v>107377</v>
      </c>
      <c r="E109" s="48"/>
      <c r="F109" s="23" t="s">
        <v>16</v>
      </c>
      <c r="G109" s="5">
        <v>936662</v>
      </c>
      <c r="H109" s="5">
        <v>534995</v>
      </c>
      <c r="I109" s="5">
        <v>1471657</v>
      </c>
    </row>
    <row r="110" spans="1:9">
      <c r="A110" s="23" t="s">
        <v>17</v>
      </c>
      <c r="B110" s="5">
        <v>30084</v>
      </c>
      <c r="C110" s="5">
        <v>9220</v>
      </c>
      <c r="D110" s="5">
        <v>39304</v>
      </c>
      <c r="E110" s="48"/>
      <c r="F110" s="23" t="s">
        <v>17</v>
      </c>
      <c r="G110" s="5">
        <v>471547</v>
      </c>
      <c r="H110" s="5">
        <v>119261</v>
      </c>
      <c r="I110" s="5">
        <v>590808</v>
      </c>
    </row>
    <row r="111" spans="1:9">
      <c r="A111" s="23" t="s">
        <v>18</v>
      </c>
      <c r="B111" s="5">
        <v>39388</v>
      </c>
      <c r="C111" s="5">
        <v>8867</v>
      </c>
      <c r="D111" s="5">
        <v>48255</v>
      </c>
      <c r="E111" s="48"/>
      <c r="F111" s="23" t="s">
        <v>18</v>
      </c>
      <c r="G111" s="5">
        <v>602962</v>
      </c>
      <c r="H111" s="5">
        <v>101187</v>
      </c>
      <c r="I111" s="5">
        <v>704149</v>
      </c>
    </row>
    <row r="112" spans="1:9">
      <c r="A112" s="23" t="s">
        <v>19</v>
      </c>
      <c r="B112" s="5">
        <v>135051</v>
      </c>
      <c r="C112" s="5">
        <v>39007</v>
      </c>
      <c r="D112" s="5">
        <v>174058</v>
      </c>
      <c r="E112" s="48"/>
      <c r="F112" s="23" t="s">
        <v>19</v>
      </c>
      <c r="G112" s="5">
        <v>2032412</v>
      </c>
      <c r="H112" s="5">
        <v>464561</v>
      </c>
      <c r="I112" s="5">
        <v>2496973</v>
      </c>
    </row>
    <row r="113" spans="1:9">
      <c r="A113" s="23" t="s">
        <v>20</v>
      </c>
      <c r="B113" s="5">
        <v>835598</v>
      </c>
      <c r="C113" s="5">
        <v>488262</v>
      </c>
      <c r="D113" s="5">
        <v>1323860</v>
      </c>
      <c r="E113" s="48"/>
      <c r="F113" s="23" t="s">
        <v>20</v>
      </c>
      <c r="G113" s="5">
        <v>11691936</v>
      </c>
      <c r="H113" s="5">
        <v>4965041</v>
      </c>
      <c r="I113" s="5">
        <v>16656977</v>
      </c>
    </row>
    <row r="114" spans="1:9">
      <c r="A114" s="23" t="s">
        <v>21</v>
      </c>
      <c r="B114" s="5">
        <v>82955</v>
      </c>
      <c r="C114" s="5">
        <v>22643</v>
      </c>
      <c r="D114" s="5">
        <v>105598</v>
      </c>
      <c r="E114" s="48"/>
      <c r="F114" s="23" t="s">
        <v>21</v>
      </c>
      <c r="G114" s="5">
        <v>1475313</v>
      </c>
      <c r="H114" s="5">
        <v>290581</v>
      </c>
      <c r="I114" s="5">
        <v>1765894</v>
      </c>
    </row>
    <row r="115" spans="1:9">
      <c r="A115" s="23" t="s">
        <v>22</v>
      </c>
      <c r="B115" s="5">
        <v>72555</v>
      </c>
      <c r="C115" s="5">
        <v>19022</v>
      </c>
      <c r="D115" s="5">
        <v>91577</v>
      </c>
      <c r="E115" s="48"/>
      <c r="F115" s="23" t="s">
        <v>22</v>
      </c>
      <c r="G115" s="5">
        <v>1170348</v>
      </c>
      <c r="H115" s="5">
        <v>215811</v>
      </c>
      <c r="I115" s="5">
        <v>1386159</v>
      </c>
    </row>
    <row r="116" spans="1:9">
      <c r="A116" s="23" t="s">
        <v>367</v>
      </c>
      <c r="B116" s="5">
        <v>26935</v>
      </c>
      <c r="C116" s="5">
        <v>8168</v>
      </c>
      <c r="D116" s="5">
        <v>35103</v>
      </c>
      <c r="E116" s="48"/>
      <c r="F116" s="23" t="s">
        <v>367</v>
      </c>
      <c r="G116" s="5">
        <v>409189</v>
      </c>
      <c r="H116" s="5">
        <v>92306</v>
      </c>
      <c r="I116" s="5">
        <v>501495</v>
      </c>
    </row>
    <row r="117" spans="1:9">
      <c r="A117" s="23" t="s">
        <v>23</v>
      </c>
      <c r="B117" s="5">
        <v>138797</v>
      </c>
      <c r="C117" s="5">
        <v>40736</v>
      </c>
      <c r="D117" s="5">
        <v>179533</v>
      </c>
      <c r="E117" s="48"/>
      <c r="F117" s="23" t="s">
        <v>23</v>
      </c>
      <c r="G117" s="5">
        <v>2182790</v>
      </c>
      <c r="H117" s="5">
        <v>494052</v>
      </c>
      <c r="I117" s="5">
        <v>2676842</v>
      </c>
    </row>
    <row r="118" spans="1:9">
      <c r="A118" s="23" t="s">
        <v>24</v>
      </c>
      <c r="B118" s="5">
        <v>58010</v>
      </c>
      <c r="C118" s="5">
        <v>18209</v>
      </c>
      <c r="D118" s="5">
        <v>76219</v>
      </c>
      <c r="E118" s="48"/>
      <c r="F118" s="23" t="s">
        <v>24</v>
      </c>
      <c r="G118" s="5">
        <v>784484</v>
      </c>
      <c r="H118" s="5">
        <v>193688</v>
      </c>
      <c r="I118" s="5">
        <v>978172</v>
      </c>
    </row>
    <row r="119" spans="1:9">
      <c r="A119" s="23" t="s">
        <v>25</v>
      </c>
      <c r="B119" s="5">
        <v>20940</v>
      </c>
      <c r="C119" s="5">
        <v>7287</v>
      </c>
      <c r="D119" s="5">
        <v>28227</v>
      </c>
      <c r="E119" s="48"/>
      <c r="F119" s="23" t="s">
        <v>25</v>
      </c>
      <c r="G119" s="5">
        <v>237873</v>
      </c>
      <c r="H119" s="5">
        <v>66214</v>
      </c>
      <c r="I119" s="5">
        <v>304087</v>
      </c>
    </row>
    <row r="120" spans="1:9">
      <c r="A120" s="23" t="s">
        <v>26</v>
      </c>
      <c r="B120" s="5">
        <v>63681</v>
      </c>
      <c r="C120" s="5">
        <v>23649</v>
      </c>
      <c r="D120" s="5">
        <v>87330</v>
      </c>
      <c r="E120" s="48"/>
      <c r="F120" s="23" t="s">
        <v>26</v>
      </c>
      <c r="G120" s="5">
        <v>810878</v>
      </c>
      <c r="H120" s="5">
        <v>251948</v>
      </c>
      <c r="I120" s="5">
        <v>1062826</v>
      </c>
    </row>
    <row r="121" spans="1:9">
      <c r="A121" s="23" t="s">
        <v>27</v>
      </c>
      <c r="B121" s="5">
        <v>7397</v>
      </c>
      <c r="C121" s="5">
        <v>2167</v>
      </c>
      <c r="D121" s="5">
        <v>9564</v>
      </c>
      <c r="E121" s="48"/>
      <c r="F121" s="23" t="s">
        <v>27</v>
      </c>
      <c r="G121" s="5">
        <v>94949</v>
      </c>
      <c r="H121" s="5">
        <v>22250</v>
      </c>
      <c r="I121" s="5">
        <v>117199</v>
      </c>
    </row>
    <row r="122" spans="1:9">
      <c r="A122" s="23" t="s">
        <v>28</v>
      </c>
      <c r="B122" s="5">
        <v>15802</v>
      </c>
      <c r="C122" s="5">
        <v>8944</v>
      </c>
      <c r="D122" s="5">
        <v>24746</v>
      </c>
      <c r="E122" s="48"/>
      <c r="F122" s="23" t="s">
        <v>28</v>
      </c>
      <c r="G122" s="5">
        <v>212589</v>
      </c>
      <c r="H122" s="5">
        <v>114410</v>
      </c>
      <c r="I122" s="5">
        <v>326999</v>
      </c>
    </row>
    <row r="123" spans="1:9">
      <c r="A123" s="23" t="s">
        <v>222</v>
      </c>
      <c r="B123" s="5">
        <v>0</v>
      </c>
      <c r="C123" s="5">
        <v>3328</v>
      </c>
      <c r="D123" s="5">
        <v>3328</v>
      </c>
      <c r="E123" s="48"/>
      <c r="F123" s="23" t="s">
        <v>222</v>
      </c>
      <c r="G123" s="5"/>
      <c r="H123" s="5">
        <v>28559</v>
      </c>
      <c r="I123" s="5">
        <v>28559</v>
      </c>
    </row>
    <row r="124" spans="1:9">
      <c r="A124" s="21" t="s">
        <v>46</v>
      </c>
      <c r="B124" s="38">
        <v>1634208</v>
      </c>
      <c r="C124" s="38">
        <v>758365</v>
      </c>
      <c r="D124" s="38">
        <v>2392573</v>
      </c>
      <c r="E124" s="48"/>
      <c r="F124" s="21" t="s">
        <v>46</v>
      </c>
      <c r="G124" s="38">
        <v>23649958</v>
      </c>
      <c r="H124" s="38">
        <v>8155304</v>
      </c>
      <c r="I124" s="38">
        <v>31805262</v>
      </c>
    </row>
    <row r="125" spans="1:9">
      <c r="B125" s="54"/>
      <c r="C125" s="54"/>
      <c r="D125" s="54"/>
      <c r="G125" s="54"/>
      <c r="H125" s="54"/>
      <c r="I125" s="5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5"/>
  <sheetViews>
    <sheetView showGridLines="0" topLeftCell="A96" zoomScaleNormal="100" workbookViewId="0">
      <selection activeCell="C96" sqref="C96:C112"/>
    </sheetView>
  </sheetViews>
  <sheetFormatPr baseColWidth="10" defaultColWidth="33.140625" defaultRowHeight="12.75"/>
  <cols>
    <col min="1" max="1" width="30.7109375" style="3" customWidth="1"/>
    <col min="2" max="5" width="15.7109375" style="6" customWidth="1"/>
    <col min="6" max="6" width="30.7109375" style="6" customWidth="1"/>
    <col min="7" max="36" width="15.7109375" style="3" customWidth="1"/>
    <col min="37" max="16384" width="33.140625" style="3"/>
  </cols>
  <sheetData>
    <row r="1" spans="1:10" ht="18.75">
      <c r="A1" s="1" t="s">
        <v>142</v>
      </c>
    </row>
    <row r="2" spans="1:10" ht="18.75">
      <c r="A2" s="1"/>
    </row>
    <row r="3" spans="1:10">
      <c r="A3" s="2" t="s">
        <v>88</v>
      </c>
      <c r="F3" s="2" t="s">
        <v>94</v>
      </c>
      <c r="G3" s="6"/>
      <c r="H3" s="6"/>
      <c r="I3" s="6"/>
    </row>
    <row r="4" spans="1:10">
      <c r="A4" s="2" t="s">
        <v>280</v>
      </c>
      <c r="F4" s="2" t="s">
        <v>281</v>
      </c>
      <c r="G4" s="6"/>
      <c r="H4" s="6"/>
      <c r="I4" s="6"/>
    </row>
    <row r="5" spans="1:10">
      <c r="A5" s="8" t="s">
        <v>49</v>
      </c>
      <c r="B5" s="8" t="s">
        <v>0</v>
      </c>
      <c r="C5" s="8" t="s">
        <v>54</v>
      </c>
      <c r="D5" s="8" t="s">
        <v>45</v>
      </c>
      <c r="F5" s="8" t="s">
        <v>49</v>
      </c>
      <c r="G5" s="8" t="s">
        <v>0</v>
      </c>
      <c r="H5" s="8" t="s">
        <v>54</v>
      </c>
      <c r="I5" s="8" t="s">
        <v>45</v>
      </c>
    </row>
    <row r="6" spans="1:10">
      <c r="A6" s="17">
        <v>2015</v>
      </c>
      <c r="B6" s="4">
        <v>3159058</v>
      </c>
      <c r="C6" s="4">
        <v>1696620</v>
      </c>
      <c r="D6" s="15">
        <v>4855678</v>
      </c>
      <c r="E6" s="47"/>
      <c r="F6" s="17">
        <v>2015</v>
      </c>
      <c r="G6" s="4">
        <v>35572645</v>
      </c>
      <c r="H6" s="4">
        <v>12310568</v>
      </c>
      <c r="I6" s="15">
        <v>47883213</v>
      </c>
      <c r="J6" s="47"/>
    </row>
    <row r="7" spans="1:10">
      <c r="A7" s="17">
        <v>2016</v>
      </c>
      <c r="B7" s="5">
        <v>3348560</v>
      </c>
      <c r="C7" s="5">
        <v>1685906</v>
      </c>
      <c r="D7" s="10">
        <v>5034466</v>
      </c>
      <c r="E7" s="47"/>
      <c r="F7" s="17">
        <v>2016</v>
      </c>
      <c r="G7" s="5">
        <v>38924481</v>
      </c>
      <c r="H7" s="5">
        <v>11774964</v>
      </c>
      <c r="I7" s="10">
        <v>50699445</v>
      </c>
      <c r="J7" s="47"/>
    </row>
    <row r="8" spans="1:10">
      <c r="A8" s="17">
        <v>2017</v>
      </c>
      <c r="B8" s="5">
        <v>3664072</v>
      </c>
      <c r="C8" s="5">
        <v>1816124</v>
      </c>
      <c r="D8" s="10">
        <v>5480196</v>
      </c>
      <c r="E8" s="47"/>
      <c r="F8" s="17">
        <v>2017</v>
      </c>
      <c r="G8" s="5">
        <v>42158224</v>
      </c>
      <c r="H8" s="5">
        <v>12922841</v>
      </c>
      <c r="I8" s="10">
        <v>55081065</v>
      </c>
      <c r="J8" s="47"/>
    </row>
    <row r="9" spans="1:10">
      <c r="A9" s="17">
        <v>2018</v>
      </c>
      <c r="B9" s="5">
        <v>4005604</v>
      </c>
      <c r="C9" s="5">
        <v>1885351</v>
      </c>
      <c r="D9" s="10">
        <v>5890955</v>
      </c>
      <c r="E9" s="47"/>
      <c r="F9" s="17">
        <v>2018</v>
      </c>
      <c r="G9" s="5">
        <v>46456319</v>
      </c>
      <c r="H9" s="5">
        <v>14295948</v>
      </c>
      <c r="I9" s="10">
        <v>60752267</v>
      </c>
      <c r="J9" s="47"/>
    </row>
    <row r="10" spans="1:10">
      <c r="A10" s="19">
        <v>2019</v>
      </c>
      <c r="B10" s="11">
        <v>4311164</v>
      </c>
      <c r="C10" s="11">
        <v>2016708</v>
      </c>
      <c r="D10" s="18">
        <v>6327872</v>
      </c>
      <c r="E10" s="47"/>
      <c r="F10" s="19">
        <v>2019</v>
      </c>
      <c r="G10" s="11">
        <v>56365698</v>
      </c>
      <c r="H10" s="11">
        <v>15178225</v>
      </c>
      <c r="I10" s="18">
        <v>71543923</v>
      </c>
      <c r="J10" s="47"/>
    </row>
    <row r="11" spans="1:10">
      <c r="A11" s="3" t="s">
        <v>56</v>
      </c>
      <c r="B11" s="47"/>
      <c r="C11" s="47"/>
      <c r="D11" s="98"/>
      <c r="E11" s="44"/>
      <c r="F11" s="3" t="s">
        <v>55</v>
      </c>
      <c r="G11" s="50"/>
      <c r="H11" s="50"/>
      <c r="I11" s="99"/>
      <c r="J11" s="45"/>
    </row>
    <row r="12" spans="1:10">
      <c r="E12" s="44"/>
      <c r="F12" s="3"/>
      <c r="J12" s="45"/>
    </row>
    <row r="13" spans="1:10">
      <c r="A13" s="2" t="s">
        <v>71</v>
      </c>
      <c r="F13" s="2" t="s">
        <v>72</v>
      </c>
    </row>
    <row r="14" spans="1:10">
      <c r="A14" s="2" t="s">
        <v>282</v>
      </c>
      <c r="F14" s="2" t="s">
        <v>283</v>
      </c>
    </row>
    <row r="15" spans="1:10">
      <c r="A15" s="8" t="s">
        <v>50</v>
      </c>
      <c r="B15" s="8" t="s">
        <v>0</v>
      </c>
      <c r="C15" s="8" t="s">
        <v>54</v>
      </c>
      <c r="D15" s="8" t="s">
        <v>45</v>
      </c>
      <c r="F15" s="8" t="s">
        <v>50</v>
      </c>
      <c r="G15" s="8" t="s">
        <v>0</v>
      </c>
      <c r="H15" s="8" t="s">
        <v>54</v>
      </c>
      <c r="I15" s="8" t="s">
        <v>45</v>
      </c>
    </row>
    <row r="16" spans="1:10">
      <c r="A16" s="14" t="s">
        <v>5</v>
      </c>
      <c r="B16" s="4">
        <v>1550635</v>
      </c>
      <c r="C16" s="4">
        <v>969402.56101592479</v>
      </c>
      <c r="D16" s="15">
        <v>2520037.5610159249</v>
      </c>
      <c r="E16" s="47"/>
      <c r="F16" s="14" t="s">
        <v>5</v>
      </c>
      <c r="G16" s="4">
        <v>22155862</v>
      </c>
      <c r="H16" s="4">
        <v>8034066.357550703</v>
      </c>
      <c r="I16" s="15">
        <v>30189928.357550703</v>
      </c>
      <c r="J16" s="47"/>
    </row>
    <row r="17" spans="1:10">
      <c r="A17" s="17" t="s">
        <v>6</v>
      </c>
      <c r="B17" s="5">
        <v>2760529</v>
      </c>
      <c r="C17" s="5">
        <v>1047305.4389840752</v>
      </c>
      <c r="D17" s="10">
        <v>3807834.4389840751</v>
      </c>
      <c r="E17" s="47"/>
      <c r="F17" s="17" t="s">
        <v>6</v>
      </c>
      <c r="G17" s="5">
        <v>34209836</v>
      </c>
      <c r="H17" s="5">
        <v>7144158.642449297</v>
      </c>
      <c r="I17" s="10">
        <v>41353994.642449297</v>
      </c>
      <c r="J17" s="47"/>
    </row>
    <row r="18" spans="1:10">
      <c r="A18" s="17" t="s">
        <v>222</v>
      </c>
      <c r="B18" s="5"/>
      <c r="C18" s="5"/>
      <c r="D18" s="10">
        <v>0</v>
      </c>
      <c r="E18" s="47"/>
      <c r="F18" s="17" t="s">
        <v>222</v>
      </c>
      <c r="G18" s="5"/>
      <c r="H18" s="5"/>
      <c r="I18" s="10">
        <v>0</v>
      </c>
      <c r="J18" s="47"/>
    </row>
    <row r="19" spans="1:10">
      <c r="A19" s="21" t="s">
        <v>46</v>
      </c>
      <c r="B19" s="38">
        <v>4311164</v>
      </c>
      <c r="C19" s="38">
        <v>2016708</v>
      </c>
      <c r="D19" s="38">
        <v>6327872</v>
      </c>
      <c r="E19" s="47"/>
      <c r="F19" s="21" t="s">
        <v>46</v>
      </c>
      <c r="G19" s="38">
        <v>56365698</v>
      </c>
      <c r="H19" s="38">
        <v>15178225</v>
      </c>
      <c r="I19" s="38">
        <v>71543923</v>
      </c>
      <c r="J19" s="47"/>
    </row>
    <row r="20" spans="1:10">
      <c r="A20" s="3" t="s">
        <v>56</v>
      </c>
      <c r="B20" s="47"/>
      <c r="C20" s="47"/>
      <c r="D20" s="47"/>
      <c r="F20" s="3" t="s">
        <v>55</v>
      </c>
      <c r="G20" s="50"/>
      <c r="H20" s="50"/>
      <c r="I20" s="50"/>
    </row>
    <row r="21" spans="1:10">
      <c r="F21" s="3"/>
    </row>
    <row r="22" spans="1:10">
      <c r="A22" s="2" t="s">
        <v>85</v>
      </c>
      <c r="F22" s="2" t="s">
        <v>87</v>
      </c>
    </row>
    <row r="23" spans="1:10">
      <c r="A23" s="2" t="s">
        <v>284</v>
      </c>
      <c r="F23" s="2" t="s">
        <v>285</v>
      </c>
    </row>
    <row r="24" spans="1:10" ht="12.75" customHeight="1">
      <c r="A24" s="8" t="s">
        <v>51</v>
      </c>
      <c r="B24" s="8" t="s">
        <v>0</v>
      </c>
      <c r="C24" s="8" t="s">
        <v>54</v>
      </c>
      <c r="D24" s="8" t="s">
        <v>45</v>
      </c>
      <c r="F24" s="8" t="s">
        <v>51</v>
      </c>
      <c r="G24" s="8" t="s">
        <v>0</v>
      </c>
      <c r="H24" s="8" t="s">
        <v>54</v>
      </c>
      <c r="I24" s="8" t="s">
        <v>45</v>
      </c>
    </row>
    <row r="25" spans="1:10">
      <c r="A25" s="14" t="s">
        <v>40</v>
      </c>
      <c r="B25" s="4">
        <v>26826</v>
      </c>
      <c r="C25" s="4">
        <v>1712.2479870096772</v>
      </c>
      <c r="D25" s="4">
        <v>28538.247987009676</v>
      </c>
      <c r="E25" s="47"/>
      <c r="F25" s="14" t="s">
        <v>40</v>
      </c>
      <c r="G25" s="4">
        <v>234883</v>
      </c>
      <c r="H25" s="4">
        <v>8714.7198133882885</v>
      </c>
      <c r="I25" s="4">
        <v>243597.71981338828</v>
      </c>
      <c r="J25" s="47"/>
    </row>
    <row r="26" spans="1:10">
      <c r="A26" s="17" t="s">
        <v>2</v>
      </c>
      <c r="B26" s="5">
        <v>324874</v>
      </c>
      <c r="C26" s="5">
        <v>60122.518940094516</v>
      </c>
      <c r="D26" s="5">
        <v>384996.51894009451</v>
      </c>
      <c r="E26" s="47"/>
      <c r="F26" s="17" t="s">
        <v>2</v>
      </c>
      <c r="G26" s="5">
        <v>3285478</v>
      </c>
      <c r="H26" s="5">
        <v>336229.7997690757</v>
      </c>
      <c r="I26" s="5">
        <v>3621707.7997690756</v>
      </c>
      <c r="J26" s="47"/>
    </row>
    <row r="27" spans="1:10">
      <c r="A27" s="17" t="s">
        <v>41</v>
      </c>
      <c r="B27" s="5">
        <v>1280677</v>
      </c>
      <c r="C27" s="5">
        <v>693409.03792970371</v>
      </c>
      <c r="D27" s="5">
        <v>1974086.0379297037</v>
      </c>
      <c r="E27" s="47"/>
      <c r="F27" s="17" t="s">
        <v>41</v>
      </c>
      <c r="G27" s="5">
        <v>14485538</v>
      </c>
      <c r="H27" s="5">
        <v>4051543.929863967</v>
      </c>
      <c r="I27" s="5">
        <v>18537081.929863967</v>
      </c>
      <c r="J27" s="47"/>
    </row>
    <row r="28" spans="1:10">
      <c r="A28" s="17" t="s">
        <v>42</v>
      </c>
      <c r="B28" s="5">
        <v>1002073</v>
      </c>
      <c r="C28" s="5">
        <v>597576.01594664063</v>
      </c>
      <c r="D28" s="5">
        <v>1599649.0159466406</v>
      </c>
      <c r="E28" s="47"/>
      <c r="F28" s="17" t="s">
        <v>42</v>
      </c>
      <c r="G28" s="5">
        <v>12455247</v>
      </c>
      <c r="H28" s="5">
        <v>4243361.6629225891</v>
      </c>
      <c r="I28" s="5">
        <v>16698608.662922589</v>
      </c>
      <c r="J28" s="47"/>
    </row>
    <row r="29" spans="1:10">
      <c r="A29" s="17" t="s">
        <v>43</v>
      </c>
      <c r="B29" s="5">
        <v>841525</v>
      </c>
      <c r="C29" s="5">
        <v>359799.69171284395</v>
      </c>
      <c r="D29" s="5">
        <v>1201324.691712844</v>
      </c>
      <c r="E29" s="47"/>
      <c r="F29" s="17" t="s">
        <v>43</v>
      </c>
      <c r="G29" s="5">
        <v>11792872</v>
      </c>
      <c r="H29" s="5">
        <v>3179334.9443693394</v>
      </c>
      <c r="I29" s="5">
        <v>14972206.944369338</v>
      </c>
      <c r="J29" s="47"/>
    </row>
    <row r="30" spans="1:10">
      <c r="A30" s="17" t="s">
        <v>44</v>
      </c>
      <c r="B30" s="5">
        <v>642889</v>
      </c>
      <c r="C30" s="5">
        <v>249519.76089941966</v>
      </c>
      <c r="D30" s="5">
        <v>892408.76089941966</v>
      </c>
      <c r="E30" s="47"/>
      <c r="F30" s="17" t="s">
        <v>44</v>
      </c>
      <c r="G30" s="5">
        <v>10487486</v>
      </c>
      <c r="H30" s="5">
        <v>2649822.2614530725</v>
      </c>
      <c r="I30" s="5">
        <v>13137308.261453073</v>
      </c>
      <c r="J30" s="47"/>
    </row>
    <row r="31" spans="1:10">
      <c r="A31" s="17" t="s">
        <v>3</v>
      </c>
      <c r="B31" s="5">
        <v>192300</v>
      </c>
      <c r="C31" s="5">
        <v>54561.38418297132</v>
      </c>
      <c r="D31" s="5">
        <v>246861.38418297132</v>
      </c>
      <c r="E31" s="47"/>
      <c r="F31" s="17" t="s">
        <v>3</v>
      </c>
      <c r="G31" s="5">
        <v>3624194</v>
      </c>
      <c r="H31" s="5">
        <v>709203.50865172583</v>
      </c>
      <c r="I31" s="5">
        <v>4333397.5086517259</v>
      </c>
      <c r="J31" s="47"/>
    </row>
    <row r="32" spans="1:10">
      <c r="A32" s="17" t="s">
        <v>222</v>
      </c>
      <c r="B32" s="5"/>
      <c r="C32" s="5">
        <v>7.3424013165080497</v>
      </c>
      <c r="D32" s="5">
        <v>7.3424013165080497</v>
      </c>
      <c r="E32" s="47"/>
      <c r="F32" s="17" t="s">
        <v>222</v>
      </c>
      <c r="G32" s="5"/>
      <c r="H32" s="5">
        <v>14.173156842265971</v>
      </c>
      <c r="I32" s="5">
        <v>14.173156842265971</v>
      </c>
      <c r="J32" s="47"/>
    </row>
    <row r="33" spans="1:10">
      <c r="A33" s="21" t="s">
        <v>46</v>
      </c>
      <c r="B33" s="38">
        <v>4311164</v>
      </c>
      <c r="C33" s="38">
        <v>2016708.0000000002</v>
      </c>
      <c r="D33" s="38">
        <v>6327872</v>
      </c>
      <c r="E33" s="47"/>
      <c r="F33" s="21" t="s">
        <v>46</v>
      </c>
      <c r="G33" s="38">
        <v>56365698</v>
      </c>
      <c r="H33" s="38">
        <v>15178225</v>
      </c>
      <c r="I33" s="38">
        <v>71543923.000000015</v>
      </c>
      <c r="J33" s="47"/>
    </row>
    <row r="34" spans="1:10">
      <c r="A34" s="3" t="s">
        <v>56</v>
      </c>
      <c r="B34" s="47"/>
      <c r="C34" s="47"/>
      <c r="D34" s="47"/>
      <c r="F34" s="3" t="s">
        <v>55</v>
      </c>
      <c r="G34" s="50"/>
      <c r="H34" s="50"/>
      <c r="I34" s="50"/>
    </row>
    <row r="35" spans="1:10">
      <c r="F35" s="3"/>
    </row>
    <row r="36" spans="1:10">
      <c r="A36" s="2" t="s">
        <v>86</v>
      </c>
      <c r="F36" s="2" t="s">
        <v>96</v>
      </c>
    </row>
    <row r="37" spans="1:10">
      <c r="A37" s="2" t="s">
        <v>286</v>
      </c>
      <c r="F37" s="2" t="s">
        <v>287</v>
      </c>
    </row>
    <row r="38" spans="1:10">
      <c r="A38" s="8" t="s">
        <v>52</v>
      </c>
      <c r="B38" s="8" t="s">
        <v>0</v>
      </c>
      <c r="C38" s="8" t="s">
        <v>54</v>
      </c>
      <c r="D38" s="8" t="s">
        <v>45</v>
      </c>
      <c r="F38" s="8" t="s">
        <v>52</v>
      </c>
      <c r="G38" s="8" t="s">
        <v>0</v>
      </c>
      <c r="H38" s="8" t="s">
        <v>54</v>
      </c>
      <c r="I38" s="8" t="s">
        <v>45</v>
      </c>
    </row>
    <row r="39" spans="1:10">
      <c r="A39" s="14" t="s">
        <v>29</v>
      </c>
      <c r="B39" s="4">
        <v>1379338</v>
      </c>
      <c r="C39" s="4">
        <v>1341888.4537234313</v>
      </c>
      <c r="D39" s="5">
        <v>2721226.4537234316</v>
      </c>
      <c r="E39" s="47"/>
      <c r="F39" s="14" t="s">
        <v>29</v>
      </c>
      <c r="G39" s="4">
        <v>21924301</v>
      </c>
      <c r="H39" s="4">
        <v>12295571.432875998</v>
      </c>
      <c r="I39" s="4">
        <v>34219872.432875998</v>
      </c>
      <c r="J39" s="47"/>
    </row>
    <row r="40" spans="1:10">
      <c r="A40" s="17" t="s">
        <v>30</v>
      </c>
      <c r="B40" s="5">
        <v>2629967</v>
      </c>
      <c r="C40" s="5">
        <v>661929.22652530705</v>
      </c>
      <c r="D40" s="5">
        <v>3291896.2265253072</v>
      </c>
      <c r="E40" s="47"/>
      <c r="F40" s="17" t="s">
        <v>30</v>
      </c>
      <c r="G40" s="5">
        <v>30377891</v>
      </c>
      <c r="H40" s="5">
        <v>2706851.5012971405</v>
      </c>
      <c r="I40" s="5">
        <v>33084742.501297139</v>
      </c>
      <c r="J40" s="47"/>
    </row>
    <row r="41" spans="1:10">
      <c r="A41" s="17" t="s">
        <v>4</v>
      </c>
      <c r="B41" s="5">
        <v>301847</v>
      </c>
      <c r="C41" s="5">
        <v>12890.319751261533</v>
      </c>
      <c r="D41" s="5">
        <v>314737.31975126156</v>
      </c>
      <c r="E41" s="47"/>
      <c r="F41" s="17" t="s">
        <v>4</v>
      </c>
      <c r="G41" s="5">
        <v>4063352</v>
      </c>
      <c r="H41" s="5">
        <v>175802.06582686183</v>
      </c>
      <c r="I41" s="5">
        <v>4239154.0658268621</v>
      </c>
      <c r="J41" s="47"/>
    </row>
    <row r="42" spans="1:10">
      <c r="A42" s="17" t="s">
        <v>222</v>
      </c>
      <c r="B42" s="5">
        <v>12</v>
      </c>
      <c r="C42" s="5"/>
      <c r="D42" s="5">
        <v>12</v>
      </c>
      <c r="E42" s="47"/>
      <c r="F42" s="17" t="s">
        <v>222</v>
      </c>
      <c r="G42" s="5">
        <v>154</v>
      </c>
      <c r="H42" s="5"/>
      <c r="I42" s="5">
        <v>154</v>
      </c>
      <c r="J42" s="47"/>
    </row>
    <row r="43" spans="1:10">
      <c r="A43" s="21" t="s">
        <v>46</v>
      </c>
      <c r="B43" s="38">
        <v>4311164</v>
      </c>
      <c r="C43" s="38">
        <v>2016707.9999999998</v>
      </c>
      <c r="D43" s="38">
        <v>6327872.0000000009</v>
      </c>
      <c r="E43" s="47"/>
      <c r="F43" s="21" t="s">
        <v>46</v>
      </c>
      <c r="G43" s="38">
        <v>56365698</v>
      </c>
      <c r="H43" s="38">
        <v>15178225</v>
      </c>
      <c r="I43" s="38">
        <v>71543923</v>
      </c>
      <c r="J43" s="47"/>
    </row>
    <row r="44" spans="1:10">
      <c r="A44" s="3" t="s">
        <v>56</v>
      </c>
      <c r="B44" s="47"/>
      <c r="C44" s="47"/>
      <c r="D44" s="47"/>
      <c r="F44" s="3" t="s">
        <v>55</v>
      </c>
      <c r="G44" s="50"/>
      <c r="H44" s="50"/>
      <c r="I44" s="50"/>
    </row>
    <row r="45" spans="1:10">
      <c r="F45" s="3"/>
    </row>
    <row r="46" spans="1:10" ht="12.75" customHeight="1">
      <c r="A46" s="2" t="s">
        <v>93</v>
      </c>
      <c r="F46" s="2" t="s">
        <v>95</v>
      </c>
    </row>
    <row r="47" spans="1:10" ht="12.75" customHeight="1">
      <c r="A47" s="2" t="s">
        <v>288</v>
      </c>
      <c r="F47" s="2" t="s">
        <v>289</v>
      </c>
    </row>
    <row r="48" spans="1:10">
      <c r="A48" s="8" t="s">
        <v>149</v>
      </c>
      <c r="B48" s="8" t="s">
        <v>0</v>
      </c>
      <c r="C48" s="8" t="s">
        <v>54</v>
      </c>
      <c r="D48" s="8" t="s">
        <v>45</v>
      </c>
      <c r="F48" s="8" t="s">
        <v>149</v>
      </c>
      <c r="G48" s="8" t="s">
        <v>0</v>
      </c>
      <c r="H48" s="8" t="s">
        <v>54</v>
      </c>
      <c r="I48" s="8" t="s">
        <v>45</v>
      </c>
    </row>
    <row r="49" spans="1:10">
      <c r="A49" s="22" t="s">
        <v>14</v>
      </c>
      <c r="B49" s="4">
        <v>28262</v>
      </c>
      <c r="C49" s="4">
        <v>13010.735132852264</v>
      </c>
      <c r="D49" s="4">
        <v>41272.735132852264</v>
      </c>
      <c r="E49" s="47"/>
      <c r="F49" s="22" t="s">
        <v>14</v>
      </c>
      <c r="G49" s="4">
        <v>286123</v>
      </c>
      <c r="H49" s="4">
        <v>75732.491942042936</v>
      </c>
      <c r="I49" s="4">
        <v>361855.49194204295</v>
      </c>
      <c r="J49" s="47"/>
    </row>
    <row r="50" spans="1:10">
      <c r="A50" s="23" t="s">
        <v>15</v>
      </c>
      <c r="B50" s="5">
        <v>77285</v>
      </c>
      <c r="C50" s="5">
        <v>28802.771884397778</v>
      </c>
      <c r="D50" s="5">
        <v>106087.77188439778</v>
      </c>
      <c r="E50" s="47"/>
      <c r="F50" s="23" t="s">
        <v>15</v>
      </c>
      <c r="G50" s="5">
        <v>966111</v>
      </c>
      <c r="H50" s="5">
        <v>263085.6805953515</v>
      </c>
      <c r="I50" s="5">
        <v>1229196.6805953514</v>
      </c>
      <c r="J50" s="47"/>
    </row>
    <row r="51" spans="1:10">
      <c r="A51" s="23" t="s">
        <v>16</v>
      </c>
      <c r="B51" s="5">
        <v>118289</v>
      </c>
      <c r="C51" s="5">
        <v>80302.374718385239</v>
      </c>
      <c r="D51" s="5">
        <v>198591.37471838522</v>
      </c>
      <c r="E51" s="47"/>
      <c r="F51" s="23" t="s">
        <v>16</v>
      </c>
      <c r="G51" s="5">
        <v>1661289</v>
      </c>
      <c r="H51" s="5">
        <v>782779.90910913912</v>
      </c>
      <c r="I51" s="5">
        <v>2444068.9091091389</v>
      </c>
      <c r="J51" s="47"/>
    </row>
    <row r="52" spans="1:10">
      <c r="A52" s="23" t="s">
        <v>17</v>
      </c>
      <c r="B52" s="5">
        <v>65319</v>
      </c>
      <c r="C52" s="5">
        <v>20570.471528328952</v>
      </c>
      <c r="D52" s="5">
        <v>85889.471528328955</v>
      </c>
      <c r="E52" s="47"/>
      <c r="F52" s="23" t="s">
        <v>17</v>
      </c>
      <c r="G52" s="5">
        <v>928345</v>
      </c>
      <c r="H52" s="5">
        <v>170511.93503548607</v>
      </c>
      <c r="I52" s="5">
        <v>1098856.935035486</v>
      </c>
      <c r="J52" s="47"/>
    </row>
    <row r="53" spans="1:10">
      <c r="A53" s="23" t="s">
        <v>18</v>
      </c>
      <c r="B53" s="5">
        <v>118263</v>
      </c>
      <c r="C53" s="5">
        <v>24798.226206374289</v>
      </c>
      <c r="D53" s="5">
        <v>143061.2262063743</v>
      </c>
      <c r="E53" s="47"/>
      <c r="F53" s="23" t="s">
        <v>18</v>
      </c>
      <c r="G53" s="5">
        <v>1554319</v>
      </c>
      <c r="H53" s="5">
        <v>181937.27109495772</v>
      </c>
      <c r="I53" s="5">
        <v>1736256.2710949578</v>
      </c>
      <c r="J53" s="47"/>
    </row>
    <row r="54" spans="1:10">
      <c r="A54" s="23" t="s">
        <v>19</v>
      </c>
      <c r="B54" s="5">
        <v>352748</v>
      </c>
      <c r="C54" s="5">
        <v>106000.77932616341</v>
      </c>
      <c r="D54" s="5">
        <v>458748.77932616341</v>
      </c>
      <c r="E54" s="47"/>
      <c r="F54" s="23" t="s">
        <v>19</v>
      </c>
      <c r="G54" s="5">
        <v>4747956</v>
      </c>
      <c r="H54" s="5">
        <v>861003.33336621022</v>
      </c>
      <c r="I54" s="5">
        <v>5608959.3333662106</v>
      </c>
      <c r="J54" s="47"/>
    </row>
    <row r="55" spans="1:10">
      <c r="A55" s="23" t="s">
        <v>20</v>
      </c>
      <c r="B55" s="5">
        <v>2276027</v>
      </c>
      <c r="C55" s="5">
        <v>1321052.1872674448</v>
      </c>
      <c r="D55" s="5">
        <v>3597079.187267445</v>
      </c>
      <c r="E55" s="47"/>
      <c r="F55" s="23" t="s">
        <v>20</v>
      </c>
      <c r="G55" s="5">
        <v>29122883</v>
      </c>
      <c r="H55" s="5">
        <v>9648603.2908820361</v>
      </c>
      <c r="I55" s="5">
        <v>38771486.290882036</v>
      </c>
      <c r="J55" s="47"/>
    </row>
    <row r="56" spans="1:10">
      <c r="A56" s="23" t="s">
        <v>21</v>
      </c>
      <c r="B56" s="5">
        <v>192545</v>
      </c>
      <c r="C56" s="5">
        <v>54167.831472406484</v>
      </c>
      <c r="D56" s="5">
        <v>246712.83147240648</v>
      </c>
      <c r="E56" s="47"/>
      <c r="F56" s="23" t="s">
        <v>21</v>
      </c>
      <c r="G56" s="5">
        <v>3106905</v>
      </c>
      <c r="H56" s="5">
        <v>473023.79467681097</v>
      </c>
      <c r="I56" s="5">
        <v>3579928.794676811</v>
      </c>
      <c r="J56" s="47"/>
    </row>
    <row r="57" spans="1:10">
      <c r="A57" s="23" t="s">
        <v>22</v>
      </c>
      <c r="B57" s="5">
        <v>206237</v>
      </c>
      <c r="C57" s="5">
        <v>53511.420794710662</v>
      </c>
      <c r="D57" s="5">
        <v>259748.42079471066</v>
      </c>
      <c r="E57" s="47"/>
      <c r="F57" s="23" t="s">
        <v>22</v>
      </c>
      <c r="G57" s="5">
        <v>2913965</v>
      </c>
      <c r="H57" s="5">
        <v>362549.35202516359</v>
      </c>
      <c r="I57" s="5">
        <v>3276514.3520251634</v>
      </c>
      <c r="J57" s="47"/>
    </row>
    <row r="58" spans="1:10">
      <c r="A58" s="23" t="s">
        <v>367</v>
      </c>
      <c r="B58" s="5">
        <v>74989</v>
      </c>
      <c r="C58" s="5">
        <v>23780.569383906273</v>
      </c>
      <c r="D58" s="5">
        <v>98769.569383906273</v>
      </c>
      <c r="E58" s="47"/>
      <c r="F58" s="23" t="s">
        <v>367</v>
      </c>
      <c r="G58" s="5">
        <v>1023814</v>
      </c>
      <c r="H58" s="5">
        <v>181744.16183298183</v>
      </c>
      <c r="I58" s="5">
        <v>1205558.1618329817</v>
      </c>
      <c r="J58" s="47"/>
    </row>
    <row r="59" spans="1:10">
      <c r="A59" s="23" t="s">
        <v>23</v>
      </c>
      <c r="B59" s="5">
        <v>336679</v>
      </c>
      <c r="C59" s="5">
        <v>115557.64887973029</v>
      </c>
      <c r="D59" s="5">
        <v>452236.64887973026</v>
      </c>
      <c r="E59" s="47"/>
      <c r="F59" s="23" t="s">
        <v>23</v>
      </c>
      <c r="G59" s="5">
        <v>4813063</v>
      </c>
      <c r="H59" s="5">
        <v>967358.70231057401</v>
      </c>
      <c r="I59" s="5">
        <v>5780421.7023105742</v>
      </c>
      <c r="J59" s="47"/>
    </row>
    <row r="60" spans="1:10">
      <c r="A60" s="23" t="s">
        <v>24</v>
      </c>
      <c r="B60" s="5">
        <v>167439</v>
      </c>
      <c r="C60" s="5">
        <v>56543.832538428491</v>
      </c>
      <c r="D60" s="5">
        <v>223982.83253842848</v>
      </c>
      <c r="E60" s="47"/>
      <c r="F60" s="23" t="s">
        <v>24</v>
      </c>
      <c r="G60" s="5">
        <v>2047790</v>
      </c>
      <c r="H60" s="5">
        <v>388872.44757046201</v>
      </c>
      <c r="I60" s="5">
        <v>2436662.4475704618</v>
      </c>
      <c r="J60" s="47"/>
    </row>
    <row r="61" spans="1:10">
      <c r="A61" s="23" t="s">
        <v>25</v>
      </c>
      <c r="B61" s="5">
        <v>54828</v>
      </c>
      <c r="C61" s="5">
        <v>22060.978995580088</v>
      </c>
      <c r="D61" s="5">
        <v>76888.978995580081</v>
      </c>
      <c r="E61" s="47"/>
      <c r="F61" s="23" t="s">
        <v>25</v>
      </c>
      <c r="G61" s="5">
        <v>506197</v>
      </c>
      <c r="H61" s="5">
        <v>129324.74125186115</v>
      </c>
      <c r="I61" s="5">
        <v>635521.74125186121</v>
      </c>
      <c r="J61" s="47"/>
    </row>
    <row r="62" spans="1:10">
      <c r="A62" s="23" t="s">
        <v>26</v>
      </c>
      <c r="B62" s="5">
        <v>174857</v>
      </c>
      <c r="C62" s="5">
        <v>66297.478447277783</v>
      </c>
      <c r="D62" s="5">
        <v>241154.4784472778</v>
      </c>
      <c r="E62" s="47"/>
      <c r="F62" s="23" t="s">
        <v>26</v>
      </c>
      <c r="G62" s="5">
        <v>1909671</v>
      </c>
      <c r="H62" s="5">
        <v>452697.71612039628</v>
      </c>
      <c r="I62" s="5">
        <v>2362368.7161203963</v>
      </c>
      <c r="J62" s="47"/>
    </row>
    <row r="63" spans="1:10">
      <c r="A63" s="23" t="s">
        <v>27</v>
      </c>
      <c r="B63" s="5">
        <v>23497</v>
      </c>
      <c r="C63" s="5">
        <v>6589.0709414343237</v>
      </c>
      <c r="D63" s="5">
        <v>30086.070941434322</v>
      </c>
      <c r="E63" s="47"/>
      <c r="F63" s="23" t="s">
        <v>27</v>
      </c>
      <c r="G63" s="5">
        <v>253241</v>
      </c>
      <c r="H63" s="5">
        <v>42737.38281324775</v>
      </c>
      <c r="I63" s="5">
        <v>295978.38281324774</v>
      </c>
      <c r="J63" s="47"/>
    </row>
    <row r="64" spans="1:10">
      <c r="A64" s="23" t="s">
        <v>28</v>
      </c>
      <c r="B64" s="5">
        <v>43900</v>
      </c>
      <c r="C64" s="5">
        <v>21959.653857412275</v>
      </c>
      <c r="D64" s="5">
        <v>65859.653857412282</v>
      </c>
      <c r="E64" s="47"/>
      <c r="F64" s="23" t="s">
        <v>28</v>
      </c>
      <c r="G64" s="5">
        <v>524026</v>
      </c>
      <c r="H64" s="5">
        <v>185960.67599355598</v>
      </c>
      <c r="I64" s="5">
        <v>709986.67599355592</v>
      </c>
      <c r="J64" s="47"/>
    </row>
    <row r="65" spans="1:10">
      <c r="A65" s="23" t="s">
        <v>222</v>
      </c>
      <c r="B65" s="5">
        <v>0</v>
      </c>
      <c r="C65" s="5">
        <v>1701.9686251665657</v>
      </c>
      <c r="D65" s="5">
        <v>1701.9686251665657</v>
      </c>
      <c r="E65" s="47"/>
      <c r="F65" s="23" t="s">
        <v>222</v>
      </c>
      <c r="G65" s="5"/>
      <c r="H65" s="5">
        <v>10302.113379722079</v>
      </c>
      <c r="I65" s="5">
        <v>10302.113379722079</v>
      </c>
      <c r="J65" s="47"/>
    </row>
    <row r="66" spans="1:10">
      <c r="A66" s="21" t="s">
        <v>46</v>
      </c>
      <c r="B66" s="38">
        <v>4311164</v>
      </c>
      <c r="C66" s="38">
        <v>2016707.9999999998</v>
      </c>
      <c r="D66" s="38">
        <v>6327871.9999999991</v>
      </c>
      <c r="E66" s="47"/>
      <c r="F66" s="21" t="s">
        <v>46</v>
      </c>
      <c r="G66" s="38">
        <v>56365698</v>
      </c>
      <c r="H66" s="38">
        <v>15178225</v>
      </c>
      <c r="I66" s="38">
        <v>71543923</v>
      </c>
      <c r="J66" s="47"/>
    </row>
    <row r="67" spans="1:10">
      <c r="A67" s="3" t="s">
        <v>56</v>
      </c>
      <c r="B67" s="47"/>
      <c r="C67" s="47"/>
      <c r="D67" s="47"/>
      <c r="F67" s="3" t="s">
        <v>55</v>
      </c>
      <c r="G67" s="50"/>
      <c r="H67" s="50"/>
      <c r="I67" s="50"/>
    </row>
    <row r="68" spans="1:10">
      <c r="F68" s="3"/>
    </row>
    <row r="70" spans="1:10">
      <c r="A70" s="2" t="s">
        <v>237</v>
      </c>
      <c r="F70" s="2" t="s">
        <v>239</v>
      </c>
    </row>
    <row r="71" spans="1:10">
      <c r="A71" s="2" t="s">
        <v>290</v>
      </c>
      <c r="F71" s="2" t="s">
        <v>291</v>
      </c>
    </row>
    <row r="72" spans="1:10">
      <c r="A72" s="8" t="s">
        <v>149</v>
      </c>
      <c r="B72" s="8" t="s">
        <v>0</v>
      </c>
      <c r="C72" s="8" t="s">
        <v>54</v>
      </c>
      <c r="D72" s="8" t="s">
        <v>45</v>
      </c>
      <c r="F72" s="8" t="s">
        <v>149</v>
      </c>
      <c r="G72" s="8" t="s">
        <v>0</v>
      </c>
      <c r="H72" s="8" t="s">
        <v>54</v>
      </c>
      <c r="I72" s="8" t="s">
        <v>45</v>
      </c>
    </row>
    <row r="73" spans="1:10">
      <c r="A73" s="22" t="s">
        <v>14</v>
      </c>
      <c r="B73" s="4">
        <v>18498</v>
      </c>
      <c r="C73" s="4">
        <v>7213.175053337508</v>
      </c>
      <c r="D73" s="4">
        <v>25711.175053337509</v>
      </c>
      <c r="E73" s="50"/>
      <c r="F73" s="22" t="s">
        <v>14</v>
      </c>
      <c r="G73" s="4">
        <v>165940</v>
      </c>
      <c r="H73" s="4">
        <v>36100.802121856716</v>
      </c>
      <c r="I73" s="4">
        <v>202040.80212185672</v>
      </c>
      <c r="J73" s="49"/>
    </row>
    <row r="74" spans="1:10">
      <c r="A74" s="23" t="s">
        <v>15</v>
      </c>
      <c r="B74" s="5">
        <v>48637</v>
      </c>
      <c r="C74" s="5">
        <v>12496.767040696701</v>
      </c>
      <c r="D74" s="5">
        <v>61133.767040696701</v>
      </c>
      <c r="E74" s="50"/>
      <c r="F74" s="23" t="s">
        <v>15</v>
      </c>
      <c r="G74" s="5">
        <v>585928</v>
      </c>
      <c r="H74" s="5">
        <v>101683.54212023193</v>
      </c>
      <c r="I74" s="5">
        <v>687611.5421202319</v>
      </c>
      <c r="J74" s="49"/>
    </row>
    <row r="75" spans="1:10">
      <c r="A75" s="23" t="s">
        <v>16</v>
      </c>
      <c r="B75" s="5">
        <v>64570</v>
      </c>
      <c r="C75" s="5">
        <v>29620.715391056772</v>
      </c>
      <c r="D75" s="5">
        <v>94190.715391056772</v>
      </c>
      <c r="E75" s="50"/>
      <c r="F75" s="23" t="s">
        <v>16</v>
      </c>
      <c r="G75" s="5">
        <v>835440</v>
      </c>
      <c r="H75" s="5">
        <v>244401.91658803442</v>
      </c>
      <c r="I75" s="5">
        <v>1079841.9165880345</v>
      </c>
      <c r="J75" s="49"/>
    </row>
    <row r="76" spans="1:10">
      <c r="A76" s="23" t="s">
        <v>17</v>
      </c>
      <c r="B76" s="5">
        <v>39197</v>
      </c>
      <c r="C76" s="5">
        <v>9201.4973298478872</v>
      </c>
      <c r="D76" s="5">
        <v>48398.497329847887</v>
      </c>
      <c r="E76" s="50"/>
      <c r="F76" s="23" t="s">
        <v>17</v>
      </c>
      <c r="G76" s="5">
        <v>513010</v>
      </c>
      <c r="H76" s="5">
        <v>56557.982379062363</v>
      </c>
      <c r="I76" s="5">
        <v>569567.98237906233</v>
      </c>
      <c r="J76" s="49"/>
    </row>
    <row r="77" spans="1:10">
      <c r="A77" s="23" t="s">
        <v>18</v>
      </c>
      <c r="B77" s="5">
        <v>80430</v>
      </c>
      <c r="C77" s="5">
        <v>13324.989909198808</v>
      </c>
      <c r="D77" s="5">
        <v>93754.989909198805</v>
      </c>
      <c r="E77" s="50"/>
      <c r="F77" s="23" t="s">
        <v>18</v>
      </c>
      <c r="G77" s="5">
        <v>985869</v>
      </c>
      <c r="H77" s="5">
        <v>88754.079790874792</v>
      </c>
      <c r="I77" s="5">
        <v>1074623.0797908749</v>
      </c>
      <c r="J77" s="49"/>
    </row>
    <row r="78" spans="1:10" ht="12.75" customHeight="1">
      <c r="A78" s="23" t="s">
        <v>19</v>
      </c>
      <c r="B78" s="5">
        <v>225706</v>
      </c>
      <c r="C78" s="5">
        <v>56446.91284105058</v>
      </c>
      <c r="D78" s="5">
        <v>282152.91284105059</v>
      </c>
      <c r="E78" s="50"/>
      <c r="F78" s="23" t="s">
        <v>19</v>
      </c>
      <c r="G78" s="5">
        <v>2864461</v>
      </c>
      <c r="H78" s="5">
        <v>399923.96661821892</v>
      </c>
      <c r="I78" s="5">
        <v>3264384.9666182189</v>
      </c>
      <c r="J78" s="49"/>
    </row>
    <row r="79" spans="1:10">
      <c r="A79" s="23" t="s">
        <v>20</v>
      </c>
      <c r="B79" s="5">
        <v>1469528</v>
      </c>
      <c r="C79" s="5">
        <v>689078.48963322723</v>
      </c>
      <c r="D79" s="5">
        <v>2158606.4896332272</v>
      </c>
      <c r="E79" s="50"/>
      <c r="F79" s="23" t="s">
        <v>20</v>
      </c>
      <c r="G79" s="5">
        <v>18081377</v>
      </c>
      <c r="H79" s="5">
        <v>4677308.2925406676</v>
      </c>
      <c r="I79" s="5">
        <v>22758685.292540669</v>
      </c>
      <c r="J79" s="49"/>
    </row>
    <row r="80" spans="1:10">
      <c r="A80" s="23" t="s">
        <v>21</v>
      </c>
      <c r="B80" s="5">
        <v>115679</v>
      </c>
      <c r="C80" s="5">
        <v>26763.052798671844</v>
      </c>
      <c r="D80" s="5">
        <v>142442.05279867185</v>
      </c>
      <c r="E80" s="50"/>
      <c r="F80" s="23" t="s">
        <v>21</v>
      </c>
      <c r="G80" s="5">
        <v>1753145</v>
      </c>
      <c r="H80" s="5">
        <v>203648.77573270391</v>
      </c>
      <c r="I80" s="5">
        <v>1956793.775732704</v>
      </c>
      <c r="J80" s="49"/>
    </row>
    <row r="81" spans="1:10">
      <c r="A81" s="23" t="s">
        <v>22</v>
      </c>
      <c r="B81" s="5">
        <v>136446</v>
      </c>
      <c r="C81" s="5">
        <v>29130.242983114036</v>
      </c>
      <c r="D81" s="5">
        <v>165576.24298311403</v>
      </c>
      <c r="E81" s="50"/>
      <c r="F81" s="23" t="s">
        <v>22</v>
      </c>
      <c r="G81" s="5">
        <v>1790978</v>
      </c>
      <c r="H81" s="5">
        <v>167156.44015307957</v>
      </c>
      <c r="I81" s="5">
        <v>1958134.4401530796</v>
      </c>
      <c r="J81" s="49"/>
    </row>
    <row r="82" spans="1:10">
      <c r="A82" s="23" t="s">
        <v>367</v>
      </c>
      <c r="B82" s="5">
        <v>49775</v>
      </c>
      <c r="C82" s="5">
        <v>13211.916928924584</v>
      </c>
      <c r="D82" s="5">
        <v>62986.916928924584</v>
      </c>
      <c r="E82" s="50"/>
      <c r="F82" s="23" t="s">
        <v>367</v>
      </c>
      <c r="G82" s="5">
        <v>645202</v>
      </c>
      <c r="H82" s="5">
        <v>91356.625716035895</v>
      </c>
      <c r="I82" s="5">
        <v>736558.62571603595</v>
      </c>
      <c r="J82" s="49"/>
    </row>
    <row r="83" spans="1:10">
      <c r="A83" s="23" t="s">
        <v>23</v>
      </c>
      <c r="B83" s="5">
        <v>204913</v>
      </c>
      <c r="C83" s="5">
        <v>64248.948479972038</v>
      </c>
      <c r="D83" s="5">
        <v>269161.94847997202</v>
      </c>
      <c r="E83" s="50"/>
      <c r="F83" s="23" t="s">
        <v>23</v>
      </c>
      <c r="G83" s="5">
        <v>2770101</v>
      </c>
      <c r="H83" s="5">
        <v>483671.37875456328</v>
      </c>
      <c r="I83" s="5">
        <v>3253772.3787545632</v>
      </c>
      <c r="J83" s="49"/>
    </row>
    <row r="84" spans="1:10">
      <c r="A84" s="23" t="s">
        <v>24</v>
      </c>
      <c r="B84" s="5">
        <v>112206</v>
      </c>
      <c r="C84" s="5">
        <v>33253.735562464957</v>
      </c>
      <c r="D84" s="5">
        <v>145459.73556246495</v>
      </c>
      <c r="E84" s="50"/>
      <c r="F84" s="23" t="s">
        <v>24</v>
      </c>
      <c r="G84" s="5">
        <v>1312185</v>
      </c>
      <c r="H84" s="5">
        <v>216163.67322442477</v>
      </c>
      <c r="I84" s="5">
        <v>1528348.6732244247</v>
      </c>
      <c r="J84" s="49"/>
    </row>
    <row r="85" spans="1:10">
      <c r="A85" s="23" t="s">
        <v>25</v>
      </c>
      <c r="B85" s="5">
        <v>35116</v>
      </c>
      <c r="C85" s="5">
        <v>12361.666856472952</v>
      </c>
      <c r="D85" s="5">
        <v>47477.666856472948</v>
      </c>
      <c r="E85" s="50"/>
      <c r="F85" s="23" t="s">
        <v>25</v>
      </c>
      <c r="G85" s="5">
        <v>282923</v>
      </c>
      <c r="H85" s="5">
        <v>66426.042830490042</v>
      </c>
      <c r="I85" s="5">
        <v>349349.04283049004</v>
      </c>
      <c r="J85" s="49"/>
    </row>
    <row r="86" spans="1:10">
      <c r="A86" s="23" t="s">
        <v>26</v>
      </c>
      <c r="B86" s="5">
        <v>114495</v>
      </c>
      <c r="C86" s="5">
        <v>35590.087661377824</v>
      </c>
      <c r="D86" s="5">
        <v>150085.08766137782</v>
      </c>
      <c r="E86" s="50"/>
      <c r="F86" s="23" t="s">
        <v>26</v>
      </c>
      <c r="G86" s="5">
        <v>1137089</v>
      </c>
      <c r="H86" s="5">
        <v>206286.75454997065</v>
      </c>
      <c r="I86" s="5">
        <v>1343375.7545499706</v>
      </c>
      <c r="J86" s="49"/>
    </row>
    <row r="87" spans="1:10">
      <c r="A87" s="23" t="s">
        <v>27</v>
      </c>
      <c r="B87" s="5">
        <v>16596</v>
      </c>
      <c r="C87" s="5">
        <v>3773.9942766851373</v>
      </c>
      <c r="D87" s="5">
        <v>20369.994276685138</v>
      </c>
      <c r="E87" s="50"/>
      <c r="F87" s="23" t="s">
        <v>27</v>
      </c>
      <c r="G87" s="5">
        <v>163824</v>
      </c>
      <c r="H87" s="5">
        <v>23663.856992768324</v>
      </c>
      <c r="I87" s="5">
        <v>187487.85699276833</v>
      </c>
      <c r="J87" s="49"/>
    </row>
    <row r="88" spans="1:10">
      <c r="A88" s="23" t="s">
        <v>28</v>
      </c>
      <c r="B88" s="5">
        <v>28737</v>
      </c>
      <c r="C88" s="5">
        <v>10790.392974740231</v>
      </c>
      <c r="D88" s="5">
        <v>39527.392974740229</v>
      </c>
      <c r="E88" s="50"/>
      <c r="F88" s="23" t="s">
        <v>28</v>
      </c>
      <c r="G88" s="5">
        <v>322364</v>
      </c>
      <c r="H88" s="5">
        <v>77420.869250877877</v>
      </c>
      <c r="I88" s="5">
        <v>399784.86925087788</v>
      </c>
      <c r="J88" s="49"/>
    </row>
    <row r="89" spans="1:10">
      <c r="A89" s="23" t="s">
        <v>222</v>
      </c>
      <c r="B89" s="5">
        <v>0</v>
      </c>
      <c r="C89" s="5">
        <v>798.8532632360758</v>
      </c>
      <c r="D89" s="5">
        <v>798.8532632360758</v>
      </c>
      <c r="E89" s="50"/>
      <c r="F89" s="23" t="s">
        <v>222</v>
      </c>
      <c r="G89" s="5">
        <v>0</v>
      </c>
      <c r="H89" s="5">
        <v>3633.6430854359387</v>
      </c>
      <c r="I89" s="5">
        <v>3633.6430854359387</v>
      </c>
      <c r="J89" s="49"/>
    </row>
    <row r="90" spans="1:10">
      <c r="A90" s="21" t="s">
        <v>46</v>
      </c>
      <c r="B90" s="38">
        <v>2760529</v>
      </c>
      <c r="C90" s="38">
        <v>1047305.4389840754</v>
      </c>
      <c r="D90" s="38">
        <v>3807834.4389840751</v>
      </c>
      <c r="E90" s="50"/>
      <c r="F90" s="21" t="s">
        <v>46</v>
      </c>
      <c r="G90" s="38">
        <v>34209836</v>
      </c>
      <c r="H90" s="38">
        <v>7144158.642449297</v>
      </c>
      <c r="I90" s="38">
        <v>41353994.642449304</v>
      </c>
      <c r="J90" s="49"/>
    </row>
    <row r="91" spans="1:10">
      <c r="A91" s="3" t="s">
        <v>56</v>
      </c>
      <c r="B91" s="47"/>
      <c r="C91" s="47"/>
      <c r="D91" s="47"/>
      <c r="F91" s="3" t="s">
        <v>55</v>
      </c>
      <c r="G91" s="47"/>
      <c r="H91" s="47"/>
      <c r="I91" s="47"/>
    </row>
    <row r="92" spans="1:10">
      <c r="B92" s="47"/>
      <c r="C92" s="47"/>
      <c r="D92" s="47"/>
      <c r="G92" s="50"/>
      <c r="H92" s="50"/>
      <c r="I92" s="50"/>
    </row>
    <row r="93" spans="1:10">
      <c r="A93" s="2" t="s">
        <v>238</v>
      </c>
      <c r="F93" s="2" t="s">
        <v>240</v>
      </c>
      <c r="G93" s="6"/>
      <c r="H93" s="6"/>
      <c r="I93" s="6"/>
    </row>
    <row r="94" spans="1:10">
      <c r="A94" s="2" t="s">
        <v>292</v>
      </c>
      <c r="F94" s="2" t="s">
        <v>293</v>
      </c>
    </row>
    <row r="95" spans="1:10">
      <c r="A95" s="8" t="s">
        <v>149</v>
      </c>
      <c r="B95" s="8" t="s">
        <v>0</v>
      </c>
      <c r="C95" s="8" t="s">
        <v>54</v>
      </c>
      <c r="D95" s="8" t="s">
        <v>45</v>
      </c>
      <c r="F95" s="8" t="s">
        <v>149</v>
      </c>
      <c r="G95" s="8" t="s">
        <v>0</v>
      </c>
      <c r="H95" s="8" t="s">
        <v>54</v>
      </c>
      <c r="I95" s="8" t="s">
        <v>45</v>
      </c>
    </row>
    <row r="96" spans="1:10">
      <c r="A96" s="22" t="s">
        <v>14</v>
      </c>
      <c r="B96" s="4">
        <v>9764</v>
      </c>
      <c r="C96" s="4">
        <v>5797.5600795147566</v>
      </c>
      <c r="D96" s="4">
        <v>15561.560079514757</v>
      </c>
      <c r="E96" s="47"/>
      <c r="F96" s="22" t="s">
        <v>14</v>
      </c>
      <c r="G96" s="4">
        <v>120183</v>
      </c>
      <c r="H96" s="4">
        <v>39631.68982018622</v>
      </c>
      <c r="I96" s="4">
        <v>159814.68982018624</v>
      </c>
      <c r="J96" s="49"/>
    </row>
    <row r="97" spans="1:10" ht="12.75" customHeight="1">
      <c r="A97" s="23" t="s">
        <v>15</v>
      </c>
      <c r="B97" s="5">
        <v>28648</v>
      </c>
      <c r="C97" s="5">
        <v>16306.004843701077</v>
      </c>
      <c r="D97" s="5">
        <v>44954.004843701077</v>
      </c>
      <c r="E97" s="48"/>
      <c r="F97" s="23" t="s">
        <v>15</v>
      </c>
      <c r="G97" s="5">
        <v>380183</v>
      </c>
      <c r="H97" s="5">
        <v>161402.1384751196</v>
      </c>
      <c r="I97" s="5">
        <v>541585.1384751196</v>
      </c>
      <c r="J97" s="49"/>
    </row>
    <row r="98" spans="1:10">
      <c r="A98" s="23" t="s">
        <v>16</v>
      </c>
      <c r="B98" s="5">
        <v>53719</v>
      </c>
      <c r="C98" s="5">
        <v>50681.659327328467</v>
      </c>
      <c r="D98" s="5">
        <v>104400.65932732847</v>
      </c>
      <c r="E98" s="48"/>
      <c r="F98" s="23" t="s">
        <v>16</v>
      </c>
      <c r="G98" s="5">
        <v>825849</v>
      </c>
      <c r="H98" s="5">
        <v>538377.99252110464</v>
      </c>
      <c r="I98" s="5">
        <v>1364226.9925211046</v>
      </c>
      <c r="J98" s="49"/>
    </row>
    <row r="99" spans="1:10">
      <c r="A99" s="23" t="s">
        <v>17</v>
      </c>
      <c r="B99" s="5">
        <v>26122</v>
      </c>
      <c r="C99" s="5">
        <v>11368.974198481064</v>
      </c>
      <c r="D99" s="5">
        <v>37490.974198481068</v>
      </c>
      <c r="E99" s="48"/>
      <c r="F99" s="23" t="s">
        <v>17</v>
      </c>
      <c r="G99" s="5">
        <v>415335</v>
      </c>
      <c r="H99" s="5">
        <v>113953.9526564237</v>
      </c>
      <c r="I99" s="5">
        <v>529288.95265642367</v>
      </c>
      <c r="J99" s="49"/>
    </row>
    <row r="100" spans="1:10">
      <c r="A100" s="23" t="s">
        <v>18</v>
      </c>
      <c r="B100" s="5">
        <v>37833</v>
      </c>
      <c r="C100" s="5">
        <v>11473.236297175477</v>
      </c>
      <c r="D100" s="5">
        <v>49306.236297175477</v>
      </c>
      <c r="E100" s="48"/>
      <c r="F100" s="23" t="s">
        <v>18</v>
      </c>
      <c r="G100" s="5">
        <v>568450</v>
      </c>
      <c r="H100" s="5">
        <v>93183.191304082924</v>
      </c>
      <c r="I100" s="5">
        <v>661633.19130408298</v>
      </c>
      <c r="J100" s="49"/>
    </row>
    <row r="101" spans="1:10">
      <c r="A101" s="23" t="s">
        <v>19</v>
      </c>
      <c r="B101" s="5">
        <v>127042</v>
      </c>
      <c r="C101" s="5">
        <v>49553.866485112827</v>
      </c>
      <c r="D101" s="5">
        <v>176595.86648511281</v>
      </c>
      <c r="E101" s="48"/>
      <c r="F101" s="23" t="s">
        <v>19</v>
      </c>
      <c r="G101" s="5">
        <v>1883495</v>
      </c>
      <c r="H101" s="5">
        <v>461079.3667479913</v>
      </c>
      <c r="I101" s="5">
        <v>2344574.3667479912</v>
      </c>
      <c r="J101" s="49"/>
    </row>
    <row r="102" spans="1:10">
      <c r="A102" s="23" t="s">
        <v>20</v>
      </c>
      <c r="B102" s="5">
        <v>806499</v>
      </c>
      <c r="C102" s="5">
        <v>631973.69763421756</v>
      </c>
      <c r="D102" s="5">
        <v>1438472.6976342176</v>
      </c>
      <c r="E102" s="48"/>
      <c r="F102" s="23" t="s">
        <v>20</v>
      </c>
      <c r="G102" s="5">
        <v>11041506</v>
      </c>
      <c r="H102" s="5">
        <v>4971294.9983413685</v>
      </c>
      <c r="I102" s="5">
        <v>16012800.998341369</v>
      </c>
      <c r="J102" s="49"/>
    </row>
    <row r="103" spans="1:10">
      <c r="A103" s="23" t="s">
        <v>21</v>
      </c>
      <c r="B103" s="5">
        <v>76866</v>
      </c>
      <c r="C103" s="5">
        <v>27404.778673734647</v>
      </c>
      <c r="D103" s="5">
        <v>104270.77867373465</v>
      </c>
      <c r="E103" s="48"/>
      <c r="F103" s="23" t="s">
        <v>21</v>
      </c>
      <c r="G103" s="5">
        <v>1353760</v>
      </c>
      <c r="H103" s="5">
        <v>269375.01894410705</v>
      </c>
      <c r="I103" s="5">
        <v>1623135.018944107</v>
      </c>
      <c r="J103" s="49"/>
    </row>
    <row r="104" spans="1:10">
      <c r="A104" s="23" t="s">
        <v>22</v>
      </c>
      <c r="B104" s="5">
        <v>69791</v>
      </c>
      <c r="C104" s="5">
        <v>24381.17781159663</v>
      </c>
      <c r="D104" s="5">
        <v>94172.17781159663</v>
      </c>
      <c r="E104" s="48"/>
      <c r="F104" s="23" t="s">
        <v>22</v>
      </c>
      <c r="G104" s="5">
        <v>1122987</v>
      </c>
      <c r="H104" s="5">
        <v>195392.91187208396</v>
      </c>
      <c r="I104" s="5">
        <v>1318379.911872084</v>
      </c>
      <c r="J104" s="49"/>
    </row>
    <row r="105" spans="1:10">
      <c r="A105" s="23" t="s">
        <v>367</v>
      </c>
      <c r="B105" s="5">
        <v>25214</v>
      </c>
      <c r="C105" s="5">
        <v>10568.652454981686</v>
      </c>
      <c r="D105" s="5">
        <v>35782.652454981682</v>
      </c>
      <c r="E105" s="48"/>
      <c r="F105" s="23" t="s">
        <v>367</v>
      </c>
      <c r="G105" s="5">
        <v>378612</v>
      </c>
      <c r="H105" s="5">
        <v>90387.53611694595</v>
      </c>
      <c r="I105" s="5">
        <v>468999.53611694596</v>
      </c>
      <c r="J105" s="49"/>
    </row>
    <row r="106" spans="1:10">
      <c r="A106" s="23" t="s">
        <v>23</v>
      </c>
      <c r="B106" s="5">
        <v>131766</v>
      </c>
      <c r="C106" s="5">
        <v>51308.700399758251</v>
      </c>
      <c r="D106" s="5">
        <v>183074.70039975824</v>
      </c>
      <c r="E106" s="48"/>
      <c r="F106" s="23" t="s">
        <v>23</v>
      </c>
      <c r="G106" s="5">
        <v>2042962</v>
      </c>
      <c r="H106" s="5">
        <v>483687.32355601084</v>
      </c>
      <c r="I106" s="5">
        <v>2526649.3235560106</v>
      </c>
      <c r="J106" s="49"/>
    </row>
    <row r="107" spans="1:10">
      <c r="A107" s="23" t="s">
        <v>24</v>
      </c>
      <c r="B107" s="5">
        <v>55233</v>
      </c>
      <c r="C107" s="5">
        <v>23290.096975963534</v>
      </c>
      <c r="D107" s="5">
        <v>78523.096975963534</v>
      </c>
      <c r="E107" s="48"/>
      <c r="F107" s="23" t="s">
        <v>24</v>
      </c>
      <c r="G107" s="5">
        <v>735605</v>
      </c>
      <c r="H107" s="5">
        <v>172708.7743460373</v>
      </c>
      <c r="I107" s="5">
        <v>908313.7743460373</v>
      </c>
      <c r="J107" s="49"/>
    </row>
    <row r="108" spans="1:10">
      <c r="A108" s="23" t="s">
        <v>25</v>
      </c>
      <c r="B108" s="5">
        <v>19712</v>
      </c>
      <c r="C108" s="5">
        <v>9699.3121391071327</v>
      </c>
      <c r="D108" s="5">
        <v>29411.312139107133</v>
      </c>
      <c r="E108" s="48"/>
      <c r="F108" s="23" t="s">
        <v>25</v>
      </c>
      <c r="G108" s="5">
        <v>223274</v>
      </c>
      <c r="H108" s="5">
        <v>62898.698421371097</v>
      </c>
      <c r="I108" s="5">
        <v>286172.69842137111</v>
      </c>
      <c r="J108" s="49"/>
    </row>
    <row r="109" spans="1:10">
      <c r="A109" s="23" t="s">
        <v>26</v>
      </c>
      <c r="B109" s="5">
        <v>60362</v>
      </c>
      <c r="C109" s="5">
        <v>30707.390785899966</v>
      </c>
      <c r="D109" s="5">
        <v>91069.390785899974</v>
      </c>
      <c r="E109" s="48"/>
      <c r="F109" s="23" t="s">
        <v>26</v>
      </c>
      <c r="G109" s="5">
        <v>772582</v>
      </c>
      <c r="H109" s="5">
        <v>246410.9615704256</v>
      </c>
      <c r="I109" s="5">
        <v>1018992.9615704257</v>
      </c>
      <c r="J109" s="49"/>
    </row>
    <row r="110" spans="1:10">
      <c r="A110" s="23" t="s">
        <v>27</v>
      </c>
      <c r="B110" s="5">
        <v>6901</v>
      </c>
      <c r="C110" s="5">
        <v>2815.0766647491864</v>
      </c>
      <c r="D110" s="5">
        <v>9716.0766647491873</v>
      </c>
      <c r="E110" s="48"/>
      <c r="F110" s="23" t="s">
        <v>27</v>
      </c>
      <c r="G110" s="5">
        <v>89417</v>
      </c>
      <c r="H110" s="5">
        <v>19073.52582047943</v>
      </c>
      <c r="I110" s="5">
        <v>108490.52582047944</v>
      </c>
      <c r="J110" s="49"/>
    </row>
    <row r="111" spans="1:10">
      <c r="A111" s="23" t="s">
        <v>28</v>
      </c>
      <c r="B111" s="5">
        <v>15163</v>
      </c>
      <c r="C111" s="5">
        <v>11169.260882672046</v>
      </c>
      <c r="D111" s="5">
        <v>26332.260882672046</v>
      </c>
      <c r="E111" s="48"/>
      <c r="F111" s="23" t="s">
        <v>28</v>
      </c>
      <c r="G111" s="5">
        <v>201662</v>
      </c>
      <c r="H111" s="5">
        <v>108539.80674267811</v>
      </c>
      <c r="I111" s="5">
        <v>310201.80674267811</v>
      </c>
      <c r="J111" s="49"/>
    </row>
    <row r="112" spans="1:10">
      <c r="A112" s="23" t="s">
        <v>222</v>
      </c>
      <c r="B112" s="5">
        <v>0</v>
      </c>
      <c r="C112" s="5">
        <v>903.11536193049017</v>
      </c>
      <c r="D112" s="5">
        <v>903.11536193049017</v>
      </c>
      <c r="E112" s="48"/>
      <c r="F112" s="23" t="s">
        <v>222</v>
      </c>
      <c r="G112" s="5">
        <v>0</v>
      </c>
      <c r="H112" s="5">
        <v>6668.4702942861404</v>
      </c>
      <c r="I112" s="5">
        <v>6668.4702942861404</v>
      </c>
      <c r="J112" s="49"/>
    </row>
    <row r="113" spans="1:10">
      <c r="A113" s="21" t="s">
        <v>46</v>
      </c>
      <c r="B113" s="38">
        <v>1550635</v>
      </c>
      <c r="C113" s="38">
        <v>969402.5610159249</v>
      </c>
      <c r="D113" s="38">
        <v>2520037.5610159244</v>
      </c>
      <c r="E113" s="48"/>
      <c r="F113" s="21" t="s">
        <v>46</v>
      </c>
      <c r="G113" s="38">
        <v>22155862</v>
      </c>
      <c r="H113" s="38">
        <v>8034066.3575507039</v>
      </c>
      <c r="I113" s="38">
        <v>30189928.357550703</v>
      </c>
      <c r="J113" s="49"/>
    </row>
    <row r="114" spans="1:10">
      <c r="A114" s="3" t="s">
        <v>56</v>
      </c>
      <c r="B114" s="54"/>
      <c r="C114" s="54"/>
      <c r="D114" s="54"/>
      <c r="F114" s="3" t="s">
        <v>55</v>
      </c>
      <c r="G114" s="54"/>
      <c r="H114" s="54"/>
      <c r="I114" s="54"/>
    </row>
    <row r="132" ht="12.75" customHeight="1"/>
    <row r="151" ht="12.75" customHeight="1"/>
    <row r="175" ht="12.75" customHeight="1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3"/>
  <sheetViews>
    <sheetView showGridLines="0" zoomScaleNormal="100" workbookViewId="0"/>
  </sheetViews>
  <sheetFormatPr baseColWidth="10" defaultColWidth="33.140625" defaultRowHeight="12.75"/>
  <cols>
    <col min="1" max="1" width="30.7109375" style="3" customWidth="1"/>
    <col min="2" max="4" width="15.7109375" style="6" customWidth="1"/>
    <col min="5" max="5" width="20.7109375" style="6" customWidth="1"/>
    <col min="6" max="6" width="30.7109375" style="6" customWidth="1"/>
    <col min="7" max="9" width="15.7109375" style="3" customWidth="1"/>
    <col min="10" max="10" width="16" style="3" customWidth="1"/>
    <col min="11" max="11" width="25.28515625" style="3" customWidth="1"/>
    <col min="12" max="49" width="15.7109375" style="3" customWidth="1"/>
    <col min="50" max="16384" width="33.140625" style="3"/>
  </cols>
  <sheetData>
    <row r="1" spans="1:10" ht="18.75">
      <c r="A1" s="1" t="s">
        <v>143</v>
      </c>
    </row>
    <row r="3" spans="1:10">
      <c r="A3" s="2" t="s">
        <v>73</v>
      </c>
      <c r="F3" s="2" t="s">
        <v>75</v>
      </c>
      <c r="G3" s="6"/>
      <c r="H3" s="6"/>
      <c r="I3" s="6"/>
    </row>
    <row r="4" spans="1:10">
      <c r="A4" s="2" t="s">
        <v>304</v>
      </c>
      <c r="F4" s="2" t="s">
        <v>305</v>
      </c>
      <c r="G4" s="6"/>
      <c r="H4" s="6"/>
      <c r="I4" s="6"/>
    </row>
    <row r="5" spans="1:10">
      <c r="A5" s="8" t="s">
        <v>49</v>
      </c>
      <c r="B5" s="8" t="s">
        <v>0</v>
      </c>
      <c r="C5" s="8" t="s">
        <v>1</v>
      </c>
      <c r="D5" s="8" t="s">
        <v>45</v>
      </c>
      <c r="F5" s="8" t="s">
        <v>49</v>
      </c>
      <c r="G5" s="8" t="s">
        <v>0</v>
      </c>
      <c r="H5" s="8" t="s">
        <v>1</v>
      </c>
      <c r="I5" s="8" t="s">
        <v>45</v>
      </c>
    </row>
    <row r="6" spans="1:10">
      <c r="A6" s="17">
        <v>2015</v>
      </c>
      <c r="B6" s="4">
        <v>182821</v>
      </c>
      <c r="C6" s="4">
        <v>203429</v>
      </c>
      <c r="D6" s="15">
        <v>386250</v>
      </c>
      <c r="E6" s="47"/>
      <c r="F6" s="17">
        <v>2015</v>
      </c>
      <c r="G6" s="30">
        <v>3302819</v>
      </c>
      <c r="H6" s="30">
        <v>3173685</v>
      </c>
      <c r="I6" s="31">
        <v>6476504</v>
      </c>
      <c r="J6" s="47"/>
    </row>
    <row r="7" spans="1:10">
      <c r="A7" s="17">
        <v>2016</v>
      </c>
      <c r="B7" s="5">
        <v>191527</v>
      </c>
      <c r="C7" s="5">
        <v>229740</v>
      </c>
      <c r="D7" s="10">
        <v>421267</v>
      </c>
      <c r="E7" s="47"/>
      <c r="F7" s="17">
        <v>2016</v>
      </c>
      <c r="G7" s="32">
        <v>3695679</v>
      </c>
      <c r="H7" s="32">
        <v>3674319</v>
      </c>
      <c r="I7" s="33">
        <v>7369998</v>
      </c>
      <c r="J7" s="47"/>
    </row>
    <row r="8" spans="1:10">
      <c r="A8" s="17">
        <v>2017</v>
      </c>
      <c r="B8" s="5">
        <v>202094</v>
      </c>
      <c r="C8" s="5">
        <v>218062</v>
      </c>
      <c r="D8" s="10">
        <v>420156</v>
      </c>
      <c r="E8" s="47"/>
      <c r="F8" s="17">
        <v>2017</v>
      </c>
      <c r="G8" s="32">
        <v>4126368</v>
      </c>
      <c r="H8" s="32">
        <v>3574022</v>
      </c>
      <c r="I8" s="33">
        <v>7700390</v>
      </c>
      <c r="J8" s="47"/>
    </row>
    <row r="9" spans="1:10">
      <c r="A9" s="17">
        <v>2018</v>
      </c>
      <c r="B9" s="5">
        <v>213564</v>
      </c>
      <c r="C9" s="5">
        <v>220651</v>
      </c>
      <c r="D9" s="10">
        <v>434215</v>
      </c>
      <c r="E9" s="47"/>
      <c r="F9" s="17">
        <v>2018</v>
      </c>
      <c r="G9" s="32">
        <v>4434589</v>
      </c>
      <c r="H9" s="32">
        <v>3701531</v>
      </c>
      <c r="I9" s="33">
        <v>8136120</v>
      </c>
      <c r="J9" s="47"/>
    </row>
    <row r="10" spans="1:10">
      <c r="A10" s="19">
        <v>2019</v>
      </c>
      <c r="B10" s="11">
        <v>245925</v>
      </c>
      <c r="C10" s="11">
        <v>215393</v>
      </c>
      <c r="D10" s="18">
        <v>461318</v>
      </c>
      <c r="E10" s="47"/>
      <c r="F10" s="19">
        <v>2019</v>
      </c>
      <c r="G10" s="11">
        <v>4600056</v>
      </c>
      <c r="H10" s="11">
        <v>3747278</v>
      </c>
      <c r="I10" s="18">
        <v>8347334</v>
      </c>
      <c r="J10" s="47"/>
    </row>
    <row r="11" spans="1:10">
      <c r="B11" s="47"/>
      <c r="C11" s="47"/>
      <c r="D11" s="47"/>
      <c r="F11" s="3"/>
      <c r="G11" s="47"/>
      <c r="H11" s="47"/>
      <c r="I11" s="47"/>
    </row>
    <row r="12" spans="1:10">
      <c r="F12" s="3"/>
    </row>
    <row r="13" spans="1:10">
      <c r="A13" s="2" t="s">
        <v>74</v>
      </c>
      <c r="F13" s="2" t="s">
        <v>76</v>
      </c>
    </row>
    <row r="14" spans="1:10">
      <c r="A14" s="2" t="s">
        <v>294</v>
      </c>
      <c r="F14" s="2" t="s">
        <v>295</v>
      </c>
    </row>
    <row r="15" spans="1:10">
      <c r="A15" s="8" t="s">
        <v>50</v>
      </c>
      <c r="B15" s="8" t="s">
        <v>0</v>
      </c>
      <c r="C15" s="8" t="s">
        <v>1</v>
      </c>
      <c r="D15" s="8" t="s">
        <v>45</v>
      </c>
      <c r="F15" s="8" t="s">
        <v>50</v>
      </c>
      <c r="G15" s="8" t="s">
        <v>0</v>
      </c>
      <c r="H15" s="8" t="s">
        <v>1</v>
      </c>
      <c r="I15" s="8" t="s">
        <v>45</v>
      </c>
    </row>
    <row r="16" spans="1:10">
      <c r="A16" s="14" t="s">
        <v>5</v>
      </c>
      <c r="B16" s="4">
        <v>82013</v>
      </c>
      <c r="C16" s="4">
        <v>98225</v>
      </c>
      <c r="D16" s="15">
        <v>180238</v>
      </c>
      <c r="E16" s="47"/>
      <c r="F16" s="14" t="s">
        <v>5</v>
      </c>
      <c r="G16" s="4">
        <v>1469980</v>
      </c>
      <c r="H16" s="4">
        <v>1660211</v>
      </c>
      <c r="I16" s="15">
        <v>3130191</v>
      </c>
      <c r="J16" s="47"/>
    </row>
    <row r="17" spans="1:10">
      <c r="A17" s="17" t="s">
        <v>6</v>
      </c>
      <c r="B17" s="5">
        <v>163912</v>
      </c>
      <c r="C17" s="5">
        <v>117168</v>
      </c>
      <c r="D17" s="10">
        <v>281080</v>
      </c>
      <c r="E17" s="47"/>
      <c r="F17" s="17" t="s">
        <v>6</v>
      </c>
      <c r="G17" s="5">
        <v>3130076</v>
      </c>
      <c r="H17" s="5">
        <v>2087067</v>
      </c>
      <c r="I17" s="10">
        <v>5217143</v>
      </c>
      <c r="J17" s="47"/>
    </row>
    <row r="18" spans="1:10">
      <c r="A18" s="17" t="s">
        <v>222</v>
      </c>
      <c r="B18" s="5">
        <v>0</v>
      </c>
      <c r="C18" s="5"/>
      <c r="D18" s="10">
        <v>0</v>
      </c>
      <c r="E18" s="47"/>
      <c r="F18" s="17" t="s">
        <v>222</v>
      </c>
      <c r="G18" s="5">
        <v>0</v>
      </c>
      <c r="H18" s="5"/>
      <c r="I18" s="10">
        <v>0</v>
      </c>
      <c r="J18" s="47"/>
    </row>
    <row r="19" spans="1:10">
      <c r="A19" s="21" t="s">
        <v>46</v>
      </c>
      <c r="B19" s="38">
        <v>245925</v>
      </c>
      <c r="C19" s="38">
        <v>215393</v>
      </c>
      <c r="D19" s="38">
        <v>461318</v>
      </c>
      <c r="E19" s="47"/>
      <c r="F19" s="21" t="s">
        <v>46</v>
      </c>
      <c r="G19" s="38">
        <v>4600056</v>
      </c>
      <c r="H19" s="38">
        <v>3747278</v>
      </c>
      <c r="I19" s="38">
        <v>8347334</v>
      </c>
      <c r="J19" s="47"/>
    </row>
    <row r="20" spans="1:10">
      <c r="B20" s="47"/>
      <c r="C20" s="47"/>
      <c r="D20" s="47"/>
      <c r="F20" s="3"/>
      <c r="G20" s="50"/>
      <c r="H20" s="50"/>
      <c r="I20" s="50"/>
    </row>
    <row r="21" spans="1:10">
      <c r="F21" s="3"/>
    </row>
    <row r="22" spans="1:10">
      <c r="A22" s="2" t="s">
        <v>89</v>
      </c>
      <c r="F22" s="2" t="s">
        <v>90</v>
      </c>
    </row>
    <row r="23" spans="1:10">
      <c r="A23" s="2" t="s">
        <v>296</v>
      </c>
      <c r="F23" s="2" t="s">
        <v>297</v>
      </c>
    </row>
    <row r="24" spans="1:10">
      <c r="A24" s="8" t="s">
        <v>51</v>
      </c>
      <c r="B24" s="8" t="s">
        <v>0</v>
      </c>
      <c r="C24" s="8" t="s">
        <v>1</v>
      </c>
      <c r="D24" s="8" t="s">
        <v>45</v>
      </c>
      <c r="F24" s="8" t="s">
        <v>51</v>
      </c>
      <c r="G24" s="8" t="s">
        <v>0</v>
      </c>
      <c r="H24" s="8" t="s">
        <v>1</v>
      </c>
      <c r="I24" s="8" t="s">
        <v>45</v>
      </c>
    </row>
    <row r="25" spans="1:10">
      <c r="A25" s="14" t="s">
        <v>40</v>
      </c>
      <c r="B25" s="4">
        <v>2120</v>
      </c>
      <c r="C25" s="4">
        <v>139</v>
      </c>
      <c r="D25" s="4">
        <v>2259</v>
      </c>
      <c r="E25" s="47"/>
      <c r="F25" s="14" t="s">
        <v>40</v>
      </c>
      <c r="G25" s="4">
        <v>17136</v>
      </c>
      <c r="H25" s="4">
        <v>1372</v>
      </c>
      <c r="I25" s="4">
        <v>18508</v>
      </c>
      <c r="J25" s="47"/>
    </row>
    <row r="26" spans="1:10">
      <c r="A26" s="17" t="s">
        <v>2</v>
      </c>
      <c r="B26" s="5">
        <v>18538</v>
      </c>
      <c r="C26" s="5">
        <v>6075</v>
      </c>
      <c r="D26" s="5">
        <v>24613</v>
      </c>
      <c r="E26" s="47"/>
      <c r="F26" s="17" t="s">
        <v>2</v>
      </c>
      <c r="G26" s="5">
        <v>231228</v>
      </c>
      <c r="H26" s="5">
        <v>80151</v>
      </c>
      <c r="I26" s="5">
        <v>311379</v>
      </c>
      <c r="J26" s="47"/>
    </row>
    <row r="27" spans="1:10">
      <c r="A27" s="17" t="s">
        <v>41</v>
      </c>
      <c r="B27" s="5">
        <v>77214</v>
      </c>
      <c r="C27" s="5">
        <v>69508</v>
      </c>
      <c r="D27" s="5">
        <v>146722</v>
      </c>
      <c r="E27" s="47"/>
      <c r="F27" s="17" t="s">
        <v>41</v>
      </c>
      <c r="G27" s="5">
        <v>1257544</v>
      </c>
      <c r="H27" s="5">
        <v>1092346</v>
      </c>
      <c r="I27" s="5">
        <v>2349890</v>
      </c>
      <c r="J27" s="47"/>
    </row>
    <row r="28" spans="1:10">
      <c r="A28" s="17" t="s">
        <v>42</v>
      </c>
      <c r="B28" s="5">
        <v>58088</v>
      </c>
      <c r="C28" s="5">
        <v>66785</v>
      </c>
      <c r="D28" s="5">
        <v>124873</v>
      </c>
      <c r="E28" s="47"/>
      <c r="F28" s="17" t="s">
        <v>42</v>
      </c>
      <c r="G28" s="5">
        <v>1064076</v>
      </c>
      <c r="H28" s="5">
        <v>1148640</v>
      </c>
      <c r="I28" s="5">
        <v>2212716</v>
      </c>
      <c r="J28" s="47"/>
    </row>
    <row r="29" spans="1:10">
      <c r="A29" s="17" t="s">
        <v>43</v>
      </c>
      <c r="B29" s="5">
        <v>40596</v>
      </c>
      <c r="C29" s="5">
        <v>37762</v>
      </c>
      <c r="D29" s="5">
        <v>78358</v>
      </c>
      <c r="E29" s="47"/>
      <c r="F29" s="17" t="s">
        <v>43</v>
      </c>
      <c r="G29" s="5">
        <v>825421</v>
      </c>
      <c r="H29" s="5">
        <v>687158</v>
      </c>
      <c r="I29" s="5">
        <v>1512579</v>
      </c>
      <c r="J29" s="47"/>
    </row>
    <row r="30" spans="1:10">
      <c r="A30" s="17" t="s">
        <v>44</v>
      </c>
      <c r="B30" s="5">
        <v>35812</v>
      </c>
      <c r="C30" s="5">
        <v>28322</v>
      </c>
      <c r="D30" s="5">
        <v>64134</v>
      </c>
      <c r="E30" s="47"/>
      <c r="F30" s="17" t="s">
        <v>44</v>
      </c>
      <c r="G30" s="5">
        <v>851710</v>
      </c>
      <c r="H30" s="5">
        <v>587217</v>
      </c>
      <c r="I30" s="5">
        <v>1438927</v>
      </c>
      <c r="J30" s="47"/>
    </row>
    <row r="31" spans="1:10">
      <c r="A31" s="17" t="s">
        <v>3</v>
      </c>
      <c r="B31" s="5">
        <v>13557</v>
      </c>
      <c r="C31" s="5">
        <v>6801</v>
      </c>
      <c r="D31" s="5">
        <v>20358</v>
      </c>
      <c r="E31" s="47"/>
      <c r="F31" s="17" t="s">
        <v>3</v>
      </c>
      <c r="G31" s="5">
        <v>352941</v>
      </c>
      <c r="H31" s="5">
        <v>150393</v>
      </c>
      <c r="I31" s="5">
        <v>503334</v>
      </c>
      <c r="J31" s="47"/>
    </row>
    <row r="32" spans="1:10">
      <c r="A32" s="17" t="s">
        <v>222</v>
      </c>
      <c r="B32" s="5">
        <v>0</v>
      </c>
      <c r="C32" s="5">
        <v>1</v>
      </c>
      <c r="D32" s="5">
        <v>1</v>
      </c>
      <c r="E32" s="47"/>
      <c r="F32" s="17" t="s">
        <v>222</v>
      </c>
      <c r="G32" s="5">
        <v>0</v>
      </c>
      <c r="H32" s="5">
        <v>1</v>
      </c>
      <c r="I32" s="5">
        <v>1</v>
      </c>
      <c r="J32" s="47"/>
    </row>
    <row r="33" spans="1:10">
      <c r="A33" s="21" t="s">
        <v>46</v>
      </c>
      <c r="B33" s="38">
        <v>245925</v>
      </c>
      <c r="C33" s="38">
        <v>215393</v>
      </c>
      <c r="D33" s="38">
        <v>461318</v>
      </c>
      <c r="E33" s="47"/>
      <c r="F33" s="21" t="s">
        <v>46</v>
      </c>
      <c r="G33" s="38">
        <v>4600056</v>
      </c>
      <c r="H33" s="38">
        <v>3747278</v>
      </c>
      <c r="I33" s="38">
        <v>8347334</v>
      </c>
      <c r="J33" s="47"/>
    </row>
    <row r="34" spans="1:10">
      <c r="B34" s="47"/>
      <c r="C34" s="47"/>
      <c r="D34" s="47"/>
      <c r="F34" s="3"/>
      <c r="G34" s="50"/>
      <c r="H34" s="50"/>
      <c r="I34" s="50"/>
    </row>
    <row r="35" spans="1:10">
      <c r="F35" s="3"/>
    </row>
    <row r="36" spans="1:10">
      <c r="A36" s="2" t="s">
        <v>97</v>
      </c>
      <c r="F36" s="2" t="s">
        <v>98</v>
      </c>
    </row>
    <row r="37" spans="1:10">
      <c r="A37" s="2" t="s">
        <v>298</v>
      </c>
      <c r="F37" s="2" t="s">
        <v>299</v>
      </c>
    </row>
    <row r="38" spans="1:10">
      <c r="A38" s="8" t="s">
        <v>149</v>
      </c>
      <c r="B38" s="8" t="s">
        <v>0</v>
      </c>
      <c r="C38" s="8" t="s">
        <v>1</v>
      </c>
      <c r="D38" s="8" t="s">
        <v>45</v>
      </c>
      <c r="F38" s="8" t="s">
        <v>149</v>
      </c>
      <c r="G38" s="8" t="s">
        <v>0</v>
      </c>
      <c r="H38" s="8" t="s">
        <v>1</v>
      </c>
      <c r="I38" s="8" t="s">
        <v>45</v>
      </c>
    </row>
    <row r="39" spans="1:10">
      <c r="A39" s="22" t="s">
        <v>14</v>
      </c>
      <c r="B39" s="4">
        <v>1174</v>
      </c>
      <c r="C39" s="4">
        <v>765</v>
      </c>
      <c r="D39" s="4">
        <v>1939</v>
      </c>
      <c r="E39" s="47"/>
      <c r="F39" s="22" t="s">
        <v>14</v>
      </c>
      <c r="G39" s="4">
        <v>11871</v>
      </c>
      <c r="H39" s="4">
        <v>10809</v>
      </c>
      <c r="I39" s="4">
        <v>22680</v>
      </c>
      <c r="J39" s="47"/>
    </row>
    <row r="40" spans="1:10">
      <c r="A40" s="23" t="s">
        <v>15</v>
      </c>
      <c r="B40" s="5">
        <v>5046</v>
      </c>
      <c r="C40" s="5">
        <v>3878</v>
      </c>
      <c r="D40" s="5">
        <v>8924</v>
      </c>
      <c r="E40" s="47"/>
      <c r="F40" s="23" t="s">
        <v>15</v>
      </c>
      <c r="G40" s="5">
        <v>78619</v>
      </c>
      <c r="H40" s="5">
        <v>70619</v>
      </c>
      <c r="I40" s="5">
        <v>149238</v>
      </c>
      <c r="J40" s="47"/>
    </row>
    <row r="41" spans="1:10">
      <c r="A41" s="23" t="s">
        <v>16</v>
      </c>
      <c r="B41" s="5">
        <v>19970</v>
      </c>
      <c r="C41" s="5">
        <v>12040</v>
      </c>
      <c r="D41" s="5">
        <v>32010</v>
      </c>
      <c r="E41" s="47"/>
      <c r="F41" s="23" t="s">
        <v>16</v>
      </c>
      <c r="G41" s="5">
        <v>187825</v>
      </c>
      <c r="H41" s="5">
        <v>222132</v>
      </c>
      <c r="I41" s="5">
        <v>409957</v>
      </c>
      <c r="J41" s="47"/>
    </row>
    <row r="42" spans="1:10">
      <c r="A42" s="23" t="s">
        <v>17</v>
      </c>
      <c r="B42" s="5">
        <v>8504</v>
      </c>
      <c r="C42" s="5">
        <v>2722</v>
      </c>
      <c r="D42" s="5">
        <v>11226</v>
      </c>
      <c r="E42" s="47"/>
      <c r="F42" s="23" t="s">
        <v>17</v>
      </c>
      <c r="G42" s="5">
        <v>134626</v>
      </c>
      <c r="H42" s="5">
        <v>52874</v>
      </c>
      <c r="I42" s="5">
        <v>187500</v>
      </c>
      <c r="J42" s="47"/>
    </row>
    <row r="43" spans="1:10">
      <c r="A43" s="23" t="s">
        <v>18</v>
      </c>
      <c r="B43" s="5">
        <v>5262</v>
      </c>
      <c r="C43" s="5">
        <v>2547</v>
      </c>
      <c r="D43" s="5">
        <v>7809</v>
      </c>
      <c r="E43" s="47"/>
      <c r="F43" s="23" t="s">
        <v>18</v>
      </c>
      <c r="G43" s="5">
        <v>112975</v>
      </c>
      <c r="H43" s="5">
        <v>50009</v>
      </c>
      <c r="I43" s="5">
        <v>162984</v>
      </c>
      <c r="J43" s="47"/>
    </row>
    <row r="44" spans="1:10">
      <c r="A44" s="23" t="s">
        <v>19</v>
      </c>
      <c r="B44" s="5">
        <v>22578</v>
      </c>
      <c r="C44" s="5">
        <v>11938</v>
      </c>
      <c r="D44" s="5">
        <v>34516</v>
      </c>
      <c r="E44" s="47"/>
      <c r="F44" s="23" t="s">
        <v>19</v>
      </c>
      <c r="G44" s="5">
        <v>440341</v>
      </c>
      <c r="H44" s="5">
        <v>231834</v>
      </c>
      <c r="I44" s="5">
        <v>672175</v>
      </c>
      <c r="J44" s="47"/>
    </row>
    <row r="45" spans="1:10">
      <c r="A45" s="23" t="s">
        <v>20</v>
      </c>
      <c r="B45" s="5">
        <v>106374</v>
      </c>
      <c r="C45" s="5">
        <v>128318</v>
      </c>
      <c r="D45" s="5">
        <v>234692</v>
      </c>
      <c r="E45" s="47"/>
      <c r="F45" s="23" t="s">
        <v>20</v>
      </c>
      <c r="G45" s="5">
        <v>2264079</v>
      </c>
      <c r="H45" s="5">
        <v>2172495</v>
      </c>
      <c r="I45" s="5">
        <v>4436574</v>
      </c>
      <c r="J45" s="47"/>
    </row>
    <row r="46" spans="1:10">
      <c r="A46" s="23" t="s">
        <v>21</v>
      </c>
      <c r="B46" s="5">
        <v>18709</v>
      </c>
      <c r="C46" s="5">
        <v>8984</v>
      </c>
      <c r="D46" s="5">
        <v>27693</v>
      </c>
      <c r="E46" s="47"/>
      <c r="F46" s="23" t="s">
        <v>21</v>
      </c>
      <c r="G46" s="5">
        <v>370496</v>
      </c>
      <c r="H46" s="5">
        <v>167230</v>
      </c>
      <c r="I46" s="5">
        <v>537726</v>
      </c>
      <c r="J46" s="47"/>
    </row>
    <row r="47" spans="1:10">
      <c r="A47" s="23" t="s">
        <v>22</v>
      </c>
      <c r="B47" s="5">
        <v>9160</v>
      </c>
      <c r="C47" s="5">
        <v>5282</v>
      </c>
      <c r="D47" s="5">
        <v>14442</v>
      </c>
      <c r="E47" s="47"/>
      <c r="F47" s="23" t="s">
        <v>22</v>
      </c>
      <c r="G47" s="5">
        <v>162369</v>
      </c>
      <c r="H47" s="5">
        <v>94320</v>
      </c>
      <c r="I47" s="5">
        <v>256689</v>
      </c>
      <c r="J47" s="47"/>
    </row>
    <row r="48" spans="1:10">
      <c r="A48" s="23" t="s">
        <v>367</v>
      </c>
      <c r="B48" s="5">
        <v>4342</v>
      </c>
      <c r="C48" s="5">
        <v>2392</v>
      </c>
      <c r="D48" s="5">
        <v>6734</v>
      </c>
      <c r="E48" s="47"/>
      <c r="F48" s="23" t="s">
        <v>367</v>
      </c>
      <c r="G48" s="5">
        <v>78634</v>
      </c>
      <c r="H48" s="5">
        <v>46676</v>
      </c>
      <c r="I48" s="5">
        <v>125310</v>
      </c>
      <c r="J48" s="47"/>
    </row>
    <row r="49" spans="1:10">
      <c r="A49" s="23" t="s">
        <v>23</v>
      </c>
      <c r="B49" s="5">
        <v>18710</v>
      </c>
      <c r="C49" s="5">
        <v>13963</v>
      </c>
      <c r="D49" s="5">
        <v>32673</v>
      </c>
      <c r="E49" s="47"/>
      <c r="F49" s="23" t="s">
        <v>23</v>
      </c>
      <c r="G49" s="5">
        <v>369748</v>
      </c>
      <c r="H49" s="5">
        <v>268139</v>
      </c>
      <c r="I49" s="5">
        <v>637887</v>
      </c>
      <c r="J49" s="47"/>
    </row>
    <row r="50" spans="1:10">
      <c r="A50" s="23" t="s">
        <v>24</v>
      </c>
      <c r="B50" s="5">
        <v>10089</v>
      </c>
      <c r="C50" s="5">
        <v>6655</v>
      </c>
      <c r="D50" s="5">
        <v>16744</v>
      </c>
      <c r="E50" s="47"/>
      <c r="F50" s="23" t="s">
        <v>24</v>
      </c>
      <c r="G50" s="5">
        <v>180283</v>
      </c>
      <c r="H50" s="5">
        <v>126078</v>
      </c>
      <c r="I50" s="5">
        <v>306361</v>
      </c>
      <c r="J50" s="47"/>
    </row>
    <row r="51" spans="1:10">
      <c r="A51" s="23" t="s">
        <v>25</v>
      </c>
      <c r="B51" s="5">
        <v>3867</v>
      </c>
      <c r="C51" s="5">
        <v>1704</v>
      </c>
      <c r="D51" s="5">
        <v>5571</v>
      </c>
      <c r="E51" s="47"/>
      <c r="F51" s="23" t="s">
        <v>25</v>
      </c>
      <c r="G51" s="5">
        <v>46908</v>
      </c>
      <c r="H51" s="5">
        <v>27760</v>
      </c>
      <c r="I51" s="5">
        <v>74668</v>
      </c>
      <c r="J51" s="47"/>
    </row>
    <row r="52" spans="1:10">
      <c r="A52" s="23" t="s">
        <v>26</v>
      </c>
      <c r="B52" s="5">
        <v>8452</v>
      </c>
      <c r="C52" s="5">
        <v>5900</v>
      </c>
      <c r="D52" s="5">
        <v>14352</v>
      </c>
      <c r="E52" s="47"/>
      <c r="F52" s="23" t="s">
        <v>26</v>
      </c>
      <c r="G52" s="5">
        <v>102070</v>
      </c>
      <c r="H52" s="5">
        <v>102759</v>
      </c>
      <c r="I52" s="5">
        <v>204829</v>
      </c>
      <c r="J52" s="47"/>
    </row>
    <row r="53" spans="1:10">
      <c r="A53" s="23" t="s">
        <v>27</v>
      </c>
      <c r="B53" s="5">
        <v>1473</v>
      </c>
      <c r="C53" s="5">
        <v>594</v>
      </c>
      <c r="D53" s="5">
        <v>2067</v>
      </c>
      <c r="E53" s="47"/>
      <c r="F53" s="23" t="s">
        <v>27</v>
      </c>
      <c r="G53" s="5">
        <v>18295</v>
      </c>
      <c r="H53" s="5">
        <v>9872</v>
      </c>
      <c r="I53" s="5">
        <v>28167</v>
      </c>
      <c r="J53" s="47"/>
    </row>
    <row r="54" spans="1:10">
      <c r="A54" s="23" t="s">
        <v>28</v>
      </c>
      <c r="B54" s="5">
        <v>2215</v>
      </c>
      <c r="C54" s="5">
        <v>2764</v>
      </c>
      <c r="D54" s="5">
        <v>4979</v>
      </c>
      <c r="E54" s="47"/>
      <c r="F54" s="23" t="s">
        <v>28</v>
      </c>
      <c r="G54" s="5">
        <v>40917</v>
      </c>
      <c r="H54" s="5">
        <v>55230</v>
      </c>
      <c r="I54" s="5">
        <v>96147</v>
      </c>
      <c r="J54" s="47"/>
    </row>
    <row r="55" spans="1:10">
      <c r="A55" s="23" t="s">
        <v>222</v>
      </c>
      <c r="B55" s="5">
        <v>0</v>
      </c>
      <c r="C55" s="5">
        <v>4947</v>
      </c>
      <c r="D55" s="5">
        <v>4947</v>
      </c>
      <c r="E55" s="47"/>
      <c r="F55" s="23" t="s">
        <v>222</v>
      </c>
      <c r="G55" s="5">
        <v>0</v>
      </c>
      <c r="H55" s="5">
        <v>38442</v>
      </c>
      <c r="I55" s="5">
        <v>38442</v>
      </c>
      <c r="J55" s="47"/>
    </row>
    <row r="56" spans="1:10">
      <c r="A56" s="21" t="s">
        <v>46</v>
      </c>
      <c r="B56" s="38">
        <v>245925</v>
      </c>
      <c r="C56" s="38">
        <v>215393</v>
      </c>
      <c r="D56" s="38">
        <v>461318</v>
      </c>
      <c r="E56" s="47"/>
      <c r="F56" s="21" t="s">
        <v>46</v>
      </c>
      <c r="G56" s="38">
        <v>4600056</v>
      </c>
      <c r="H56" s="38">
        <v>3747278</v>
      </c>
      <c r="I56" s="38">
        <v>8347334</v>
      </c>
      <c r="J56" s="47"/>
    </row>
    <row r="57" spans="1:10">
      <c r="B57" s="47"/>
      <c r="C57" s="47"/>
      <c r="D57" s="47"/>
      <c r="F57" s="3"/>
      <c r="G57" s="50"/>
      <c r="H57" s="50"/>
      <c r="I57" s="50"/>
    </row>
    <row r="58" spans="1:10">
      <c r="F58" s="3"/>
    </row>
    <row r="59" spans="1:10">
      <c r="A59" s="2" t="s">
        <v>241</v>
      </c>
      <c r="F59" s="2" t="s">
        <v>243</v>
      </c>
    </row>
    <row r="60" spans="1:10">
      <c r="A60" s="2" t="s">
        <v>300</v>
      </c>
      <c r="F60" s="2" t="s">
        <v>301</v>
      </c>
    </row>
    <row r="61" spans="1:10">
      <c r="A61" s="8" t="s">
        <v>149</v>
      </c>
      <c r="B61" s="8" t="s">
        <v>0</v>
      </c>
      <c r="C61" s="8" t="s">
        <v>1</v>
      </c>
      <c r="D61" s="8" t="s">
        <v>45</v>
      </c>
      <c r="F61" s="8" t="s">
        <v>149</v>
      </c>
      <c r="G61" s="8" t="s">
        <v>0</v>
      </c>
      <c r="H61" s="8" t="s">
        <v>1</v>
      </c>
      <c r="I61" s="8" t="s">
        <v>45</v>
      </c>
    </row>
    <row r="62" spans="1:10">
      <c r="A62" s="22" t="s">
        <v>14</v>
      </c>
      <c r="B62" s="4">
        <v>747</v>
      </c>
      <c r="C62" s="4">
        <v>406</v>
      </c>
      <c r="D62" s="4">
        <v>1153</v>
      </c>
      <c r="E62" s="50"/>
      <c r="F62" s="22" t="s">
        <v>14</v>
      </c>
      <c r="G62" s="4">
        <v>7233</v>
      </c>
      <c r="H62" s="4">
        <v>5855</v>
      </c>
      <c r="I62" s="4">
        <v>13088</v>
      </c>
      <c r="J62" s="49"/>
    </row>
    <row r="63" spans="1:10">
      <c r="A63" s="23" t="s">
        <v>15</v>
      </c>
      <c r="B63" s="5">
        <v>2846</v>
      </c>
      <c r="C63" s="5">
        <v>1866</v>
      </c>
      <c r="D63" s="5">
        <v>4712</v>
      </c>
      <c r="E63" s="50"/>
      <c r="F63" s="23" t="s">
        <v>15</v>
      </c>
      <c r="G63" s="5">
        <v>47978</v>
      </c>
      <c r="H63" s="5">
        <v>34912</v>
      </c>
      <c r="I63" s="5">
        <v>82890</v>
      </c>
      <c r="J63" s="49"/>
    </row>
    <row r="64" spans="1:10">
      <c r="A64" s="23" t="s">
        <v>16</v>
      </c>
      <c r="B64" s="5">
        <v>7800</v>
      </c>
      <c r="C64" s="5">
        <v>5120</v>
      </c>
      <c r="D64" s="5">
        <v>12920</v>
      </c>
      <c r="E64" s="50"/>
      <c r="F64" s="23" t="s">
        <v>16</v>
      </c>
      <c r="G64" s="5">
        <v>77942</v>
      </c>
      <c r="H64" s="5">
        <v>95788</v>
      </c>
      <c r="I64" s="5">
        <v>173730</v>
      </c>
      <c r="J64" s="49"/>
    </row>
    <row r="65" spans="1:10">
      <c r="A65" s="23" t="s">
        <v>17</v>
      </c>
      <c r="B65" s="5">
        <v>4569</v>
      </c>
      <c r="C65" s="5">
        <v>1244</v>
      </c>
      <c r="D65" s="5">
        <v>5813</v>
      </c>
      <c r="E65" s="50"/>
      <c r="F65" s="23" t="s">
        <v>17</v>
      </c>
      <c r="G65" s="5">
        <v>78899</v>
      </c>
      <c r="H65" s="5">
        <v>24337</v>
      </c>
      <c r="I65" s="5">
        <v>103236</v>
      </c>
      <c r="J65" s="49"/>
    </row>
    <row r="66" spans="1:10">
      <c r="A66" s="23" t="s">
        <v>18</v>
      </c>
      <c r="B66" s="5">
        <v>3717</v>
      </c>
      <c r="C66" s="5">
        <v>1493</v>
      </c>
      <c r="D66" s="5">
        <v>5210</v>
      </c>
      <c r="E66" s="50"/>
      <c r="F66" s="23" t="s">
        <v>18</v>
      </c>
      <c r="G66" s="5">
        <v>78639</v>
      </c>
      <c r="H66" s="5">
        <v>30103</v>
      </c>
      <c r="I66" s="5">
        <v>108742</v>
      </c>
      <c r="J66" s="49"/>
    </row>
    <row r="67" spans="1:10">
      <c r="A67" s="23" t="s">
        <v>19</v>
      </c>
      <c r="B67" s="5">
        <v>14659</v>
      </c>
      <c r="C67" s="5">
        <v>6676</v>
      </c>
      <c r="D67" s="5">
        <v>21335</v>
      </c>
      <c r="E67" s="50"/>
      <c r="F67" s="23" t="s">
        <v>19</v>
      </c>
      <c r="G67" s="5">
        <v>292733</v>
      </c>
      <c r="H67" s="5">
        <v>131633</v>
      </c>
      <c r="I67" s="5">
        <v>424366</v>
      </c>
      <c r="J67" s="49"/>
    </row>
    <row r="68" spans="1:10">
      <c r="A68" s="23" t="s">
        <v>20</v>
      </c>
      <c r="B68" s="5">
        <v>78336</v>
      </c>
      <c r="C68" s="5">
        <v>70415</v>
      </c>
      <c r="D68" s="5">
        <v>148751</v>
      </c>
      <c r="E68" s="50"/>
      <c r="F68" s="23" t="s">
        <v>20</v>
      </c>
      <c r="G68" s="5">
        <v>1629776</v>
      </c>
      <c r="H68" s="5">
        <v>1224001</v>
      </c>
      <c r="I68" s="5">
        <v>2853777</v>
      </c>
      <c r="J68" s="49"/>
    </row>
    <row r="69" spans="1:10">
      <c r="A69" s="23" t="s">
        <v>21</v>
      </c>
      <c r="B69" s="5">
        <v>12656</v>
      </c>
      <c r="C69" s="5">
        <v>5003</v>
      </c>
      <c r="D69" s="5">
        <v>17659</v>
      </c>
      <c r="E69" s="50"/>
      <c r="F69" s="23" t="s">
        <v>21</v>
      </c>
      <c r="G69" s="5">
        <v>249622</v>
      </c>
      <c r="H69" s="5">
        <v>92616</v>
      </c>
      <c r="I69" s="5">
        <v>342238</v>
      </c>
      <c r="J69" s="49"/>
    </row>
    <row r="70" spans="1:10">
      <c r="A70" s="23" t="s">
        <v>22</v>
      </c>
      <c r="B70" s="5">
        <v>6422</v>
      </c>
      <c r="C70" s="5">
        <v>2863</v>
      </c>
      <c r="D70" s="5">
        <v>9285</v>
      </c>
      <c r="E70" s="50"/>
      <c r="F70" s="23" t="s">
        <v>22</v>
      </c>
      <c r="G70" s="5">
        <v>115367</v>
      </c>
      <c r="H70" s="5">
        <v>53049</v>
      </c>
      <c r="I70" s="5">
        <v>168416</v>
      </c>
      <c r="J70" s="49"/>
    </row>
    <row r="71" spans="1:10">
      <c r="A71" s="23" t="s">
        <v>367</v>
      </c>
      <c r="B71" s="5">
        <v>2640</v>
      </c>
      <c r="C71" s="5">
        <v>1421</v>
      </c>
      <c r="D71" s="5">
        <v>4061</v>
      </c>
      <c r="E71" s="50"/>
      <c r="F71" s="23" t="s">
        <v>367</v>
      </c>
      <c r="G71" s="5">
        <v>48323</v>
      </c>
      <c r="H71" s="5">
        <v>27768</v>
      </c>
      <c r="I71" s="5">
        <v>76091</v>
      </c>
      <c r="J71" s="49"/>
    </row>
    <row r="72" spans="1:10">
      <c r="A72" s="23" t="s">
        <v>23</v>
      </c>
      <c r="B72" s="5">
        <v>11807</v>
      </c>
      <c r="C72" s="5">
        <v>8167</v>
      </c>
      <c r="D72" s="5">
        <v>19974</v>
      </c>
      <c r="E72" s="50"/>
      <c r="F72" s="23" t="s">
        <v>23</v>
      </c>
      <c r="G72" s="5">
        <v>232121</v>
      </c>
      <c r="H72" s="5">
        <v>157842</v>
      </c>
      <c r="I72" s="5">
        <v>389963</v>
      </c>
      <c r="J72" s="49"/>
    </row>
    <row r="73" spans="1:10">
      <c r="A73" s="23" t="s">
        <v>24</v>
      </c>
      <c r="B73" s="5">
        <v>7330</v>
      </c>
      <c r="C73" s="5">
        <v>4306</v>
      </c>
      <c r="D73" s="5">
        <v>11636</v>
      </c>
      <c r="E73" s="50"/>
      <c r="F73" s="23" t="s">
        <v>24</v>
      </c>
      <c r="G73" s="5">
        <v>131814</v>
      </c>
      <c r="H73" s="5">
        <v>85463</v>
      </c>
      <c r="I73" s="5">
        <v>217277</v>
      </c>
      <c r="J73" s="49"/>
    </row>
    <row r="74" spans="1:10">
      <c r="A74" s="23" t="s">
        <v>25</v>
      </c>
      <c r="B74" s="5">
        <v>2656</v>
      </c>
      <c r="C74" s="5">
        <v>1022</v>
      </c>
      <c r="D74" s="5">
        <v>3678</v>
      </c>
      <c r="E74" s="50"/>
      <c r="F74" s="23" t="s">
        <v>25</v>
      </c>
      <c r="G74" s="5">
        <v>32535</v>
      </c>
      <c r="H74" s="5">
        <v>16686</v>
      </c>
      <c r="I74" s="5">
        <v>49221</v>
      </c>
      <c r="J74" s="49"/>
    </row>
    <row r="75" spans="1:10">
      <c r="A75" s="23" t="s">
        <v>26</v>
      </c>
      <c r="B75" s="5">
        <v>5163</v>
      </c>
      <c r="C75" s="5">
        <v>3162</v>
      </c>
      <c r="D75" s="5">
        <v>8325</v>
      </c>
      <c r="E75" s="50"/>
      <c r="F75" s="23" t="s">
        <v>26</v>
      </c>
      <c r="G75" s="5">
        <v>64178</v>
      </c>
      <c r="H75" s="5">
        <v>56747</v>
      </c>
      <c r="I75" s="5">
        <v>120925</v>
      </c>
      <c r="J75" s="49"/>
    </row>
    <row r="76" spans="1:10">
      <c r="A76" s="23" t="s">
        <v>27</v>
      </c>
      <c r="B76" s="5">
        <v>981</v>
      </c>
      <c r="C76" s="5">
        <v>344</v>
      </c>
      <c r="D76" s="5">
        <v>1325</v>
      </c>
      <c r="E76" s="50"/>
      <c r="F76" s="23" t="s">
        <v>27</v>
      </c>
      <c r="G76" s="5">
        <v>12817</v>
      </c>
      <c r="H76" s="5">
        <v>5930</v>
      </c>
      <c r="I76" s="5">
        <v>18747</v>
      </c>
      <c r="J76" s="49"/>
    </row>
    <row r="77" spans="1:10">
      <c r="A77" s="23" t="s">
        <v>28</v>
      </c>
      <c r="B77" s="5">
        <v>1583</v>
      </c>
      <c r="C77" s="5">
        <v>1426</v>
      </c>
      <c r="D77" s="5">
        <v>3009</v>
      </c>
      <c r="E77" s="50"/>
      <c r="F77" s="23" t="s">
        <v>28</v>
      </c>
      <c r="G77" s="5">
        <v>30099</v>
      </c>
      <c r="H77" s="5">
        <v>28247</v>
      </c>
      <c r="I77" s="5">
        <v>58346</v>
      </c>
      <c r="J77" s="49"/>
    </row>
    <row r="78" spans="1:10">
      <c r="A78" s="23" t="s">
        <v>222</v>
      </c>
      <c r="B78" s="5">
        <v>0</v>
      </c>
      <c r="C78" s="5">
        <v>2234</v>
      </c>
      <c r="D78" s="5">
        <v>2234</v>
      </c>
      <c r="E78" s="50"/>
      <c r="F78" s="23" t="s">
        <v>222</v>
      </c>
      <c r="G78" s="5">
        <v>0</v>
      </c>
      <c r="H78" s="5">
        <v>16090</v>
      </c>
      <c r="I78" s="5">
        <v>16090</v>
      </c>
      <c r="J78" s="49"/>
    </row>
    <row r="79" spans="1:10">
      <c r="A79" s="21" t="s">
        <v>46</v>
      </c>
      <c r="B79" s="38">
        <v>163912</v>
      </c>
      <c r="C79" s="38">
        <v>117168</v>
      </c>
      <c r="D79" s="38">
        <v>281080</v>
      </c>
      <c r="E79" s="50"/>
      <c r="F79" s="21" t="s">
        <v>46</v>
      </c>
      <c r="G79" s="38">
        <v>3130076</v>
      </c>
      <c r="H79" s="38">
        <v>2087067</v>
      </c>
      <c r="I79" s="38">
        <v>5217143</v>
      </c>
      <c r="J79" s="49"/>
    </row>
    <row r="80" spans="1:10">
      <c r="B80" s="47"/>
      <c r="C80" s="47"/>
      <c r="D80" s="47"/>
      <c r="G80" s="47"/>
      <c r="H80" s="47"/>
      <c r="I80" s="47"/>
    </row>
    <row r="81" spans="1:10">
      <c r="B81" s="47"/>
      <c r="C81" s="47"/>
      <c r="D81" s="47"/>
      <c r="G81" s="50"/>
      <c r="H81" s="50"/>
      <c r="I81" s="50"/>
    </row>
    <row r="82" spans="1:10">
      <c r="A82" s="2" t="s">
        <v>242</v>
      </c>
      <c r="F82" s="2" t="s">
        <v>244</v>
      </c>
      <c r="G82" s="6"/>
      <c r="H82" s="6"/>
      <c r="I82" s="6"/>
    </row>
    <row r="83" spans="1:10">
      <c r="A83" s="2" t="s">
        <v>302</v>
      </c>
      <c r="F83" s="2" t="s">
        <v>303</v>
      </c>
    </row>
    <row r="84" spans="1:10">
      <c r="A84" s="8" t="s">
        <v>149</v>
      </c>
      <c r="B84" s="8" t="s">
        <v>0</v>
      </c>
      <c r="C84" s="8" t="s">
        <v>1</v>
      </c>
      <c r="D84" s="8" t="s">
        <v>45</v>
      </c>
      <c r="F84" s="8" t="s">
        <v>149</v>
      </c>
      <c r="G84" s="8" t="s">
        <v>0</v>
      </c>
      <c r="H84" s="8" t="s">
        <v>1</v>
      </c>
      <c r="I84" s="8" t="s">
        <v>45</v>
      </c>
    </row>
    <row r="85" spans="1:10">
      <c r="A85" s="22" t="s">
        <v>14</v>
      </c>
      <c r="B85" s="4">
        <v>427</v>
      </c>
      <c r="C85" s="4">
        <v>359</v>
      </c>
      <c r="D85" s="4">
        <v>786</v>
      </c>
      <c r="E85" s="47"/>
      <c r="F85" s="22" t="s">
        <v>14</v>
      </c>
      <c r="G85" s="4">
        <v>4638</v>
      </c>
      <c r="H85" s="4">
        <v>4954</v>
      </c>
      <c r="I85" s="4">
        <v>9592</v>
      </c>
      <c r="J85" s="49"/>
    </row>
    <row r="86" spans="1:10">
      <c r="A86" s="23" t="s">
        <v>15</v>
      </c>
      <c r="B86" s="5">
        <v>2200</v>
      </c>
      <c r="C86" s="5">
        <v>2012</v>
      </c>
      <c r="D86" s="5">
        <v>4212</v>
      </c>
      <c r="E86" s="48"/>
      <c r="F86" s="23" t="s">
        <v>15</v>
      </c>
      <c r="G86" s="5">
        <v>30641</v>
      </c>
      <c r="H86" s="5">
        <v>35707</v>
      </c>
      <c r="I86" s="5">
        <v>66348</v>
      </c>
      <c r="J86" s="49"/>
    </row>
    <row r="87" spans="1:10">
      <c r="A87" s="23" t="s">
        <v>16</v>
      </c>
      <c r="B87" s="5">
        <v>12170</v>
      </c>
      <c r="C87" s="5">
        <v>6920</v>
      </c>
      <c r="D87" s="5">
        <v>19090</v>
      </c>
      <c r="E87" s="48"/>
      <c r="F87" s="23" t="s">
        <v>16</v>
      </c>
      <c r="G87" s="5">
        <v>109883</v>
      </c>
      <c r="H87" s="5">
        <v>126344</v>
      </c>
      <c r="I87" s="5">
        <v>236227</v>
      </c>
      <c r="J87" s="49"/>
    </row>
    <row r="88" spans="1:10">
      <c r="A88" s="23" t="s">
        <v>17</v>
      </c>
      <c r="B88" s="5">
        <v>3935</v>
      </c>
      <c r="C88" s="5">
        <v>1478</v>
      </c>
      <c r="D88" s="5">
        <v>5413</v>
      </c>
      <c r="E88" s="48"/>
      <c r="F88" s="23" t="s">
        <v>17</v>
      </c>
      <c r="G88" s="5">
        <v>55727</v>
      </c>
      <c r="H88" s="5">
        <v>28537</v>
      </c>
      <c r="I88" s="5">
        <v>84264</v>
      </c>
      <c r="J88" s="49"/>
    </row>
    <row r="89" spans="1:10">
      <c r="A89" s="23" t="s">
        <v>18</v>
      </c>
      <c r="B89" s="5">
        <v>1545</v>
      </c>
      <c r="C89" s="5">
        <v>1054</v>
      </c>
      <c r="D89" s="5">
        <v>2599</v>
      </c>
      <c r="E89" s="48"/>
      <c r="F89" s="23" t="s">
        <v>18</v>
      </c>
      <c r="G89" s="5">
        <v>34336</v>
      </c>
      <c r="H89" s="5">
        <v>19906</v>
      </c>
      <c r="I89" s="5">
        <v>54242</v>
      </c>
      <c r="J89" s="49"/>
    </row>
    <row r="90" spans="1:10">
      <c r="A90" s="23" t="s">
        <v>19</v>
      </c>
      <c r="B90" s="5">
        <v>7919</v>
      </c>
      <c r="C90" s="5">
        <v>5262</v>
      </c>
      <c r="D90" s="5">
        <v>13181</v>
      </c>
      <c r="E90" s="48"/>
      <c r="F90" s="23" t="s">
        <v>19</v>
      </c>
      <c r="G90" s="5">
        <v>147608</v>
      </c>
      <c r="H90" s="5">
        <v>100201</v>
      </c>
      <c r="I90" s="5">
        <v>247809</v>
      </c>
      <c r="J90" s="49"/>
    </row>
    <row r="91" spans="1:10">
      <c r="A91" s="23" t="s">
        <v>20</v>
      </c>
      <c r="B91" s="5">
        <v>28038</v>
      </c>
      <c r="C91" s="5">
        <v>57903</v>
      </c>
      <c r="D91" s="5">
        <v>85941</v>
      </c>
      <c r="E91" s="48"/>
      <c r="F91" s="23" t="s">
        <v>20</v>
      </c>
      <c r="G91" s="5">
        <v>634303</v>
      </c>
      <c r="H91" s="5">
        <v>948494</v>
      </c>
      <c r="I91" s="5">
        <v>1582797</v>
      </c>
      <c r="J91" s="49"/>
    </row>
    <row r="92" spans="1:10">
      <c r="A92" s="23" t="s">
        <v>21</v>
      </c>
      <c r="B92" s="5">
        <v>6053</v>
      </c>
      <c r="C92" s="5">
        <v>3981</v>
      </c>
      <c r="D92" s="5">
        <v>10034</v>
      </c>
      <c r="E92" s="48"/>
      <c r="F92" s="23" t="s">
        <v>21</v>
      </c>
      <c r="G92" s="5">
        <v>120874</v>
      </c>
      <c r="H92" s="5">
        <v>74614</v>
      </c>
      <c r="I92" s="5">
        <v>195488</v>
      </c>
      <c r="J92" s="49"/>
    </row>
    <row r="93" spans="1:10">
      <c r="A93" s="23" t="s">
        <v>22</v>
      </c>
      <c r="B93" s="5">
        <v>2738</v>
      </c>
      <c r="C93" s="5">
        <v>2419</v>
      </c>
      <c r="D93" s="5">
        <v>5157</v>
      </c>
      <c r="E93" s="48"/>
      <c r="F93" s="23" t="s">
        <v>22</v>
      </c>
      <c r="G93" s="5">
        <v>47002</v>
      </c>
      <c r="H93" s="5">
        <v>41271</v>
      </c>
      <c r="I93" s="5">
        <v>88273</v>
      </c>
      <c r="J93" s="49"/>
    </row>
    <row r="94" spans="1:10">
      <c r="A94" s="23" t="s">
        <v>367</v>
      </c>
      <c r="B94" s="5">
        <v>1702</v>
      </c>
      <c r="C94" s="5">
        <v>971</v>
      </c>
      <c r="D94" s="5">
        <v>2673</v>
      </c>
      <c r="E94" s="48"/>
      <c r="F94" s="23" t="s">
        <v>367</v>
      </c>
      <c r="G94" s="5">
        <v>30311</v>
      </c>
      <c r="H94" s="5">
        <v>18908</v>
      </c>
      <c r="I94" s="5">
        <v>49219</v>
      </c>
      <c r="J94" s="49"/>
    </row>
    <row r="95" spans="1:10">
      <c r="A95" s="23" t="s">
        <v>23</v>
      </c>
      <c r="B95" s="5">
        <v>6903</v>
      </c>
      <c r="C95" s="5">
        <v>5796</v>
      </c>
      <c r="D95" s="5">
        <v>12699</v>
      </c>
      <c r="E95" s="48"/>
      <c r="F95" s="23" t="s">
        <v>23</v>
      </c>
      <c r="G95" s="5">
        <v>137627</v>
      </c>
      <c r="H95" s="5">
        <v>110297</v>
      </c>
      <c r="I95" s="5">
        <v>247924</v>
      </c>
      <c r="J95" s="49"/>
    </row>
    <row r="96" spans="1:10">
      <c r="A96" s="23" t="s">
        <v>24</v>
      </c>
      <c r="B96" s="5">
        <v>2759</v>
      </c>
      <c r="C96" s="5">
        <v>2349</v>
      </c>
      <c r="D96" s="5">
        <v>5108</v>
      </c>
      <c r="E96" s="48"/>
      <c r="F96" s="23" t="s">
        <v>24</v>
      </c>
      <c r="G96" s="5">
        <v>48469</v>
      </c>
      <c r="H96" s="5">
        <v>40615</v>
      </c>
      <c r="I96" s="5">
        <v>89084</v>
      </c>
      <c r="J96" s="49"/>
    </row>
    <row r="97" spans="1:10">
      <c r="A97" s="23" t="s">
        <v>25</v>
      </c>
      <c r="B97" s="5">
        <v>1211</v>
      </c>
      <c r="C97" s="5">
        <v>682</v>
      </c>
      <c r="D97" s="5">
        <v>1893</v>
      </c>
      <c r="E97" s="48"/>
      <c r="F97" s="23" t="s">
        <v>25</v>
      </c>
      <c r="G97" s="5">
        <v>14373</v>
      </c>
      <c r="H97" s="5">
        <v>11074</v>
      </c>
      <c r="I97" s="5">
        <v>25447</v>
      </c>
      <c r="J97" s="49"/>
    </row>
    <row r="98" spans="1:10">
      <c r="A98" s="23" t="s">
        <v>26</v>
      </c>
      <c r="B98" s="5">
        <v>3289</v>
      </c>
      <c r="C98" s="5">
        <v>2738</v>
      </c>
      <c r="D98" s="5">
        <v>6027</v>
      </c>
      <c r="E98" s="48"/>
      <c r="F98" s="23" t="s">
        <v>26</v>
      </c>
      <c r="G98" s="5">
        <v>37892</v>
      </c>
      <c r="H98" s="5">
        <v>46012</v>
      </c>
      <c r="I98" s="5">
        <v>83904</v>
      </c>
      <c r="J98" s="49"/>
    </row>
    <row r="99" spans="1:10">
      <c r="A99" s="23" t="s">
        <v>27</v>
      </c>
      <c r="B99" s="5">
        <v>492</v>
      </c>
      <c r="C99" s="5">
        <v>250</v>
      </c>
      <c r="D99" s="5">
        <v>742</v>
      </c>
      <c r="E99" s="48"/>
      <c r="F99" s="23" t="s">
        <v>27</v>
      </c>
      <c r="G99" s="5">
        <v>5478</v>
      </c>
      <c r="H99" s="5">
        <v>3942</v>
      </c>
      <c r="I99" s="5">
        <v>9420</v>
      </c>
      <c r="J99" s="49"/>
    </row>
    <row r="100" spans="1:10">
      <c r="A100" s="23" t="s">
        <v>28</v>
      </c>
      <c r="B100" s="5">
        <v>632</v>
      </c>
      <c r="C100" s="5">
        <v>1338</v>
      </c>
      <c r="D100" s="5">
        <v>1970</v>
      </c>
      <c r="E100" s="48"/>
      <c r="F100" s="23" t="s">
        <v>28</v>
      </c>
      <c r="G100" s="5">
        <v>10818</v>
      </c>
      <c r="H100" s="5">
        <v>26983</v>
      </c>
      <c r="I100" s="5">
        <v>37801</v>
      </c>
      <c r="J100" s="49"/>
    </row>
    <row r="101" spans="1:10">
      <c r="A101" s="23" t="s">
        <v>222</v>
      </c>
      <c r="B101" s="5">
        <v>0</v>
      </c>
      <c r="C101" s="5">
        <v>2713</v>
      </c>
      <c r="D101" s="5">
        <v>2713</v>
      </c>
      <c r="E101" s="48"/>
      <c r="F101" s="23" t="s">
        <v>222</v>
      </c>
      <c r="G101" s="5"/>
      <c r="H101" s="5">
        <v>22352</v>
      </c>
      <c r="I101" s="5">
        <v>22352</v>
      </c>
      <c r="J101" s="49"/>
    </row>
    <row r="102" spans="1:10">
      <c r="A102" s="21" t="s">
        <v>46</v>
      </c>
      <c r="B102" s="38">
        <v>82013</v>
      </c>
      <c r="C102" s="38">
        <v>98225</v>
      </c>
      <c r="D102" s="38">
        <v>180238</v>
      </c>
      <c r="E102" s="48"/>
      <c r="F102" s="21" t="s">
        <v>46</v>
      </c>
      <c r="G102" s="38">
        <v>1469980</v>
      </c>
      <c r="H102" s="38">
        <v>1660211</v>
      </c>
      <c r="I102" s="38">
        <v>3130191</v>
      </c>
      <c r="J102" s="49"/>
    </row>
    <row r="103" spans="1:10">
      <c r="B103" s="54"/>
      <c r="C103" s="54"/>
      <c r="D103" s="54"/>
      <c r="G103" s="54"/>
      <c r="H103" s="54"/>
      <c r="I103" s="5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62"/>
  <sheetViews>
    <sheetView showGridLines="0" zoomScaleNormal="100" workbookViewId="0"/>
  </sheetViews>
  <sheetFormatPr baseColWidth="10" defaultColWidth="33.140625" defaultRowHeight="12.75"/>
  <cols>
    <col min="1" max="1" width="38" style="3" customWidth="1"/>
    <col min="2" max="5" width="15.7109375" style="6" customWidth="1"/>
    <col min="6" max="14" width="15.7109375" style="3" customWidth="1"/>
    <col min="15" max="15" width="11.7109375" style="3" customWidth="1"/>
    <col min="16" max="16" width="30.7109375" style="3" customWidth="1"/>
    <col min="17" max="30" width="15.7109375" style="3" customWidth="1"/>
    <col min="31" max="31" width="13.85546875" style="3" customWidth="1"/>
    <col min="32" max="34" width="5.42578125" style="3" customWidth="1"/>
    <col min="35" max="53" width="15.7109375" style="3" customWidth="1"/>
    <col min="54" max="16384" width="33.140625" style="3"/>
  </cols>
  <sheetData>
    <row r="1" spans="1:5" ht="18.75">
      <c r="A1" s="1" t="s">
        <v>144</v>
      </c>
    </row>
    <row r="2" spans="1:5">
      <c r="A2" s="7"/>
    </row>
    <row r="3" spans="1:5">
      <c r="A3" s="7" t="s">
        <v>99</v>
      </c>
    </row>
    <row r="4" spans="1:5">
      <c r="A4" s="7" t="s">
        <v>306</v>
      </c>
    </row>
    <row r="5" spans="1:5" ht="20.25" customHeight="1">
      <c r="A5" s="8" t="s">
        <v>148</v>
      </c>
      <c r="B5" s="8" t="s">
        <v>0</v>
      </c>
      <c r="C5" s="8" t="s">
        <v>1</v>
      </c>
      <c r="D5" s="8" t="s">
        <v>45</v>
      </c>
      <c r="E5" s="3"/>
    </row>
    <row r="6" spans="1:5" ht="14.25" customHeight="1">
      <c r="A6" s="35" t="s">
        <v>9</v>
      </c>
      <c r="B6" s="4">
        <v>1127470</v>
      </c>
      <c r="C6" s="4">
        <v>322313</v>
      </c>
      <c r="D6" s="4">
        <v>1449783</v>
      </c>
      <c r="E6" s="3"/>
    </row>
    <row r="7" spans="1:5" ht="14.25" customHeight="1">
      <c r="A7" s="35" t="s">
        <v>10</v>
      </c>
      <c r="B7" s="5">
        <v>1010920</v>
      </c>
      <c r="C7" s="5">
        <v>245440</v>
      </c>
      <c r="D7" s="5">
        <v>1256360</v>
      </c>
      <c r="E7" s="3"/>
    </row>
    <row r="8" spans="1:5" ht="14.25" customHeight="1">
      <c r="A8" s="35" t="s">
        <v>11</v>
      </c>
      <c r="B8" s="5">
        <v>586564</v>
      </c>
      <c r="C8" s="5">
        <v>309059</v>
      </c>
      <c r="D8" s="5">
        <v>895623</v>
      </c>
      <c r="E8" s="3"/>
    </row>
    <row r="9" spans="1:5" ht="14.25" customHeight="1">
      <c r="A9" s="35" t="s">
        <v>224</v>
      </c>
      <c r="B9" s="5">
        <v>345459</v>
      </c>
      <c r="C9" s="5">
        <v>121828</v>
      </c>
      <c r="D9" s="5">
        <v>467287</v>
      </c>
      <c r="E9" s="3"/>
    </row>
    <row r="10" spans="1:5" ht="14.25" customHeight="1">
      <c r="A10" s="35" t="s">
        <v>13</v>
      </c>
      <c r="B10" s="5">
        <v>257579</v>
      </c>
      <c r="C10" s="5">
        <v>128656</v>
      </c>
      <c r="D10" s="5">
        <v>386235</v>
      </c>
      <c r="E10" s="3"/>
    </row>
    <row r="11" spans="1:5" ht="14.25" customHeight="1">
      <c r="A11" s="35" t="s">
        <v>163</v>
      </c>
      <c r="B11" s="5">
        <v>221792</v>
      </c>
      <c r="C11" s="5">
        <v>120405</v>
      </c>
      <c r="D11" s="5">
        <v>342197</v>
      </c>
      <c r="E11" s="3"/>
    </row>
    <row r="12" spans="1:5" ht="14.25" customHeight="1">
      <c r="A12" s="35" t="s">
        <v>164</v>
      </c>
      <c r="B12" s="5">
        <v>119498</v>
      </c>
      <c r="C12" s="5">
        <v>37088</v>
      </c>
      <c r="D12" s="5">
        <v>156586</v>
      </c>
      <c r="E12" s="3"/>
    </row>
    <row r="13" spans="1:5" ht="14.25" customHeight="1">
      <c r="A13" s="35" t="s">
        <v>225</v>
      </c>
      <c r="B13" s="5">
        <v>133440</v>
      </c>
      <c r="C13" s="5">
        <v>50000</v>
      </c>
      <c r="D13" s="5">
        <v>183440</v>
      </c>
      <c r="E13" s="3"/>
    </row>
    <row r="14" spans="1:5" ht="14.25" customHeight="1">
      <c r="A14" s="35" t="s">
        <v>166</v>
      </c>
      <c r="B14" s="5">
        <v>105796</v>
      </c>
      <c r="C14" s="5">
        <v>44576</v>
      </c>
      <c r="D14" s="5">
        <v>150372</v>
      </c>
      <c r="E14" s="3"/>
    </row>
    <row r="15" spans="1:5" ht="14.25" customHeight="1">
      <c r="A15" s="35" t="s">
        <v>203</v>
      </c>
      <c r="B15" s="5">
        <v>113329</v>
      </c>
      <c r="C15" s="5">
        <v>28741</v>
      </c>
      <c r="D15" s="5">
        <v>142070</v>
      </c>
      <c r="E15" s="3"/>
    </row>
    <row r="16" spans="1:5" ht="14.25" customHeight="1">
      <c r="A16" s="35" t="s">
        <v>31</v>
      </c>
      <c r="B16" s="5">
        <v>538612</v>
      </c>
      <c r="C16" s="5">
        <v>180205</v>
      </c>
      <c r="D16" s="5">
        <v>718817</v>
      </c>
      <c r="E16" s="3"/>
    </row>
    <row r="17" spans="1:30" ht="14.25" customHeight="1">
      <c r="A17" s="35" t="s">
        <v>222</v>
      </c>
      <c r="B17" s="5">
        <v>1121</v>
      </c>
      <c r="C17" s="5">
        <v>412</v>
      </c>
      <c r="D17" s="5">
        <v>1533</v>
      </c>
      <c r="E17" s="3"/>
    </row>
    <row r="18" spans="1:30">
      <c r="A18" s="21" t="s">
        <v>46</v>
      </c>
      <c r="B18" s="38">
        <v>4561580</v>
      </c>
      <c r="C18" s="38">
        <v>1588723</v>
      </c>
      <c r="D18" s="38">
        <v>6150303</v>
      </c>
    </row>
    <row r="19" spans="1:30">
      <c r="B19" s="47"/>
      <c r="C19" s="47"/>
      <c r="D19" s="47"/>
    </row>
    <row r="21" spans="1:30">
      <c r="A21" s="7" t="s">
        <v>100</v>
      </c>
      <c r="P21" s="7" t="s">
        <v>101</v>
      </c>
      <c r="Q21" s="6"/>
      <c r="R21" s="6"/>
      <c r="S21" s="6"/>
      <c r="T21" s="6"/>
    </row>
    <row r="22" spans="1:30">
      <c r="A22" s="7" t="s">
        <v>307</v>
      </c>
      <c r="P22" s="7" t="s">
        <v>308</v>
      </c>
      <c r="Q22" s="6"/>
      <c r="R22" s="6"/>
      <c r="S22" s="6"/>
      <c r="T22" s="6"/>
    </row>
    <row r="23" spans="1:30" ht="38.25">
      <c r="A23" s="28" t="s">
        <v>50</v>
      </c>
      <c r="B23" s="28" t="s">
        <v>9</v>
      </c>
      <c r="C23" s="28" t="s">
        <v>10</v>
      </c>
      <c r="D23" s="28" t="s">
        <v>11</v>
      </c>
      <c r="E23" s="28" t="s">
        <v>12</v>
      </c>
      <c r="F23" s="28" t="s">
        <v>13</v>
      </c>
      <c r="G23" s="28" t="s">
        <v>163</v>
      </c>
      <c r="H23" s="28" t="s">
        <v>164</v>
      </c>
      <c r="I23" s="28" t="s">
        <v>165</v>
      </c>
      <c r="J23" s="28" t="s">
        <v>166</v>
      </c>
      <c r="K23" s="28" t="s">
        <v>203</v>
      </c>
      <c r="L23" s="28" t="s">
        <v>31</v>
      </c>
      <c r="M23" s="28" t="s">
        <v>222</v>
      </c>
      <c r="N23" s="28" t="s">
        <v>48</v>
      </c>
      <c r="P23" s="28" t="s">
        <v>50</v>
      </c>
      <c r="Q23" s="28" t="s">
        <v>9</v>
      </c>
      <c r="R23" s="28" t="s">
        <v>10</v>
      </c>
      <c r="S23" s="28" t="s">
        <v>11</v>
      </c>
      <c r="T23" s="28" t="s">
        <v>12</v>
      </c>
      <c r="U23" s="28" t="s">
        <v>13</v>
      </c>
      <c r="V23" s="28" t="s">
        <v>163</v>
      </c>
      <c r="W23" s="28" t="s">
        <v>164</v>
      </c>
      <c r="X23" s="28" t="s">
        <v>165</v>
      </c>
      <c r="Y23" s="28" t="s">
        <v>166</v>
      </c>
      <c r="Z23" s="28" t="s">
        <v>203</v>
      </c>
      <c r="AA23" s="28" t="s">
        <v>31</v>
      </c>
      <c r="AB23" s="28" t="s">
        <v>222</v>
      </c>
      <c r="AC23" s="28" t="s">
        <v>48</v>
      </c>
    </row>
    <row r="24" spans="1:30">
      <c r="A24" s="14" t="s">
        <v>5</v>
      </c>
      <c r="B24" s="4">
        <v>276005</v>
      </c>
      <c r="C24" s="4">
        <v>408648</v>
      </c>
      <c r="D24" s="15">
        <v>186855</v>
      </c>
      <c r="E24" s="15">
        <v>199665</v>
      </c>
      <c r="F24" s="15">
        <v>92275</v>
      </c>
      <c r="G24" s="15">
        <v>90293</v>
      </c>
      <c r="H24" s="15">
        <v>224</v>
      </c>
      <c r="I24" s="15">
        <v>41577</v>
      </c>
      <c r="J24" s="15">
        <v>50213</v>
      </c>
      <c r="K24" s="15">
        <v>72754</v>
      </c>
      <c r="L24" s="15">
        <v>215201</v>
      </c>
      <c r="M24" s="15">
        <v>498</v>
      </c>
      <c r="N24" s="15">
        <v>1634208</v>
      </c>
      <c r="O24" s="50"/>
      <c r="P24" s="14" t="s">
        <v>5</v>
      </c>
      <c r="Q24" s="4">
        <v>130600</v>
      </c>
      <c r="R24" s="4">
        <v>137254</v>
      </c>
      <c r="S24" s="15">
        <v>139076</v>
      </c>
      <c r="T24" s="15">
        <v>81129</v>
      </c>
      <c r="U24" s="15">
        <v>63670</v>
      </c>
      <c r="V24" s="15">
        <v>62754</v>
      </c>
      <c r="W24" s="15">
        <v>2671</v>
      </c>
      <c r="X24" s="15">
        <v>18100</v>
      </c>
      <c r="Y24" s="15">
        <v>21359</v>
      </c>
      <c r="Z24" s="15">
        <v>18558</v>
      </c>
      <c r="AA24" s="15">
        <v>83045</v>
      </c>
      <c r="AB24" s="15">
        <v>149</v>
      </c>
      <c r="AC24" s="15">
        <v>758365</v>
      </c>
      <c r="AD24" s="50"/>
    </row>
    <row r="25" spans="1:30">
      <c r="A25" s="17" t="s">
        <v>6</v>
      </c>
      <c r="B25" s="5">
        <v>851465</v>
      </c>
      <c r="C25" s="5">
        <v>602272</v>
      </c>
      <c r="D25" s="10">
        <v>399709</v>
      </c>
      <c r="E25" s="10">
        <v>145794</v>
      </c>
      <c r="F25" s="10">
        <v>165304</v>
      </c>
      <c r="G25" s="10">
        <v>131499</v>
      </c>
      <c r="H25" s="10">
        <v>119274</v>
      </c>
      <c r="I25" s="10">
        <v>91863</v>
      </c>
      <c r="J25" s="10">
        <v>55583</v>
      </c>
      <c r="K25" s="10">
        <v>40575</v>
      </c>
      <c r="L25" s="10">
        <v>323411</v>
      </c>
      <c r="M25" s="10">
        <v>623</v>
      </c>
      <c r="N25" s="10">
        <v>2927372</v>
      </c>
      <c r="O25" s="50"/>
      <c r="P25" s="17" t="s">
        <v>6</v>
      </c>
      <c r="Q25" s="5">
        <v>191713</v>
      </c>
      <c r="R25" s="5">
        <v>108186</v>
      </c>
      <c r="S25" s="10">
        <v>169983</v>
      </c>
      <c r="T25" s="10">
        <v>40699</v>
      </c>
      <c r="U25" s="10">
        <v>64986</v>
      </c>
      <c r="V25" s="10">
        <v>57651</v>
      </c>
      <c r="W25" s="10">
        <v>34417</v>
      </c>
      <c r="X25" s="10">
        <v>31900</v>
      </c>
      <c r="Y25" s="10">
        <v>23217</v>
      </c>
      <c r="Z25" s="10">
        <v>10183</v>
      </c>
      <c r="AA25" s="10">
        <v>97160</v>
      </c>
      <c r="AB25" s="10">
        <v>263</v>
      </c>
      <c r="AC25" s="10">
        <v>830358</v>
      </c>
      <c r="AD25" s="49"/>
    </row>
    <row r="26" spans="1:30">
      <c r="A26" s="17" t="s">
        <v>222</v>
      </c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v>0</v>
      </c>
      <c r="O26" s="50"/>
      <c r="P26" s="17" t="s">
        <v>222</v>
      </c>
      <c r="Q26" s="5"/>
      <c r="R26" s="5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>
        <v>0</v>
      </c>
      <c r="AD26" s="49"/>
    </row>
    <row r="27" spans="1:30">
      <c r="A27" s="21" t="s">
        <v>46</v>
      </c>
      <c r="B27" s="38">
        <v>1127470</v>
      </c>
      <c r="C27" s="38">
        <v>1010920</v>
      </c>
      <c r="D27" s="38">
        <v>586564</v>
      </c>
      <c r="E27" s="38">
        <v>345459</v>
      </c>
      <c r="F27" s="38">
        <v>257579</v>
      </c>
      <c r="G27" s="38">
        <v>221792</v>
      </c>
      <c r="H27" s="38">
        <v>119498</v>
      </c>
      <c r="I27" s="38">
        <v>133440</v>
      </c>
      <c r="J27" s="38">
        <v>105796</v>
      </c>
      <c r="K27" s="38">
        <v>113329</v>
      </c>
      <c r="L27" s="38">
        <v>538612</v>
      </c>
      <c r="M27" s="38">
        <v>1121</v>
      </c>
      <c r="N27" s="38">
        <v>4561580</v>
      </c>
      <c r="O27" s="50"/>
      <c r="P27" s="21" t="s">
        <v>46</v>
      </c>
      <c r="Q27" s="38">
        <v>322313</v>
      </c>
      <c r="R27" s="38">
        <v>245440</v>
      </c>
      <c r="S27" s="38">
        <v>309059</v>
      </c>
      <c r="T27" s="38">
        <v>121828</v>
      </c>
      <c r="U27" s="38">
        <v>128656</v>
      </c>
      <c r="V27" s="38">
        <v>120405</v>
      </c>
      <c r="W27" s="38">
        <v>37088</v>
      </c>
      <c r="X27" s="38">
        <v>50000</v>
      </c>
      <c r="Y27" s="38">
        <v>44576</v>
      </c>
      <c r="Z27" s="38">
        <v>28741</v>
      </c>
      <c r="AA27" s="38">
        <v>180205</v>
      </c>
      <c r="AB27" s="38">
        <v>412</v>
      </c>
      <c r="AC27" s="52">
        <v>1588723</v>
      </c>
      <c r="AD27" s="49"/>
    </row>
    <row r="28" spans="1:30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30">
      <c r="Q29" s="6"/>
      <c r="R29" s="6"/>
      <c r="S29" s="6"/>
      <c r="T29" s="6"/>
    </row>
    <row r="30" spans="1:30">
      <c r="A30" s="7" t="s">
        <v>102</v>
      </c>
      <c r="P30" s="7" t="s">
        <v>104</v>
      </c>
      <c r="Q30" s="6"/>
      <c r="R30" s="6"/>
      <c r="S30" s="6"/>
      <c r="T30" s="6"/>
    </row>
    <row r="31" spans="1:30">
      <c r="A31" s="7" t="s">
        <v>309</v>
      </c>
      <c r="P31" s="7" t="s">
        <v>310</v>
      </c>
      <c r="Q31" s="6"/>
      <c r="R31" s="6"/>
      <c r="S31" s="6"/>
      <c r="T31" s="6"/>
    </row>
    <row r="32" spans="1:30" ht="38.25">
      <c r="A32" s="16" t="s">
        <v>51</v>
      </c>
      <c r="B32" s="28" t="s">
        <v>9</v>
      </c>
      <c r="C32" s="28" t="s">
        <v>10</v>
      </c>
      <c r="D32" s="28" t="s">
        <v>11</v>
      </c>
      <c r="E32" s="28" t="s">
        <v>12</v>
      </c>
      <c r="F32" s="28" t="s">
        <v>13</v>
      </c>
      <c r="G32" s="28" t="s">
        <v>163</v>
      </c>
      <c r="H32" s="28" t="s">
        <v>164</v>
      </c>
      <c r="I32" s="28" t="s">
        <v>165</v>
      </c>
      <c r="J32" s="28" t="s">
        <v>166</v>
      </c>
      <c r="K32" s="28" t="s">
        <v>203</v>
      </c>
      <c r="L32" s="28" t="s">
        <v>31</v>
      </c>
      <c r="M32" s="28" t="s">
        <v>223</v>
      </c>
      <c r="N32" s="28" t="s">
        <v>48</v>
      </c>
      <c r="P32" s="16" t="s">
        <v>51</v>
      </c>
      <c r="Q32" s="28" t="s">
        <v>9</v>
      </c>
      <c r="R32" s="28" t="s">
        <v>10</v>
      </c>
      <c r="S32" s="28" t="s">
        <v>11</v>
      </c>
      <c r="T32" s="28" t="s">
        <v>12</v>
      </c>
      <c r="U32" s="28" t="s">
        <v>13</v>
      </c>
      <c r="V32" s="28" t="s">
        <v>163</v>
      </c>
      <c r="W32" s="28" t="s">
        <v>164</v>
      </c>
      <c r="X32" s="28" t="s">
        <v>165</v>
      </c>
      <c r="Y32" s="28" t="s">
        <v>166</v>
      </c>
      <c r="Z32" s="28" t="s">
        <v>203</v>
      </c>
      <c r="AA32" s="28" t="s">
        <v>31</v>
      </c>
      <c r="AB32" s="28" t="s">
        <v>222</v>
      </c>
      <c r="AC32" s="28" t="s">
        <v>48</v>
      </c>
    </row>
    <row r="33" spans="1:30">
      <c r="A33" s="14" t="s">
        <v>40</v>
      </c>
      <c r="B33" s="4">
        <v>4076</v>
      </c>
      <c r="C33" s="4">
        <v>4772</v>
      </c>
      <c r="D33" s="4">
        <v>4787</v>
      </c>
      <c r="E33" s="4">
        <v>3881</v>
      </c>
      <c r="F33" s="4">
        <v>2890</v>
      </c>
      <c r="G33" s="4">
        <v>1919</v>
      </c>
      <c r="H33" s="4">
        <v>1126</v>
      </c>
      <c r="I33" s="4">
        <v>792</v>
      </c>
      <c r="J33" s="4">
        <v>103</v>
      </c>
      <c r="K33" s="4">
        <v>163</v>
      </c>
      <c r="L33" s="4">
        <v>4449</v>
      </c>
      <c r="M33" s="4">
        <v>15</v>
      </c>
      <c r="N33" s="4">
        <v>28973</v>
      </c>
      <c r="O33" s="50"/>
      <c r="P33" s="14" t="s">
        <v>40</v>
      </c>
      <c r="Q33" s="4">
        <v>199</v>
      </c>
      <c r="R33" s="4">
        <v>178</v>
      </c>
      <c r="S33" s="4">
        <v>287</v>
      </c>
      <c r="T33" s="4">
        <v>180</v>
      </c>
      <c r="U33" s="4">
        <v>156</v>
      </c>
      <c r="V33" s="4">
        <v>106</v>
      </c>
      <c r="W33" s="4">
        <v>15</v>
      </c>
      <c r="X33" s="4">
        <v>28</v>
      </c>
      <c r="Y33" s="4">
        <v>1</v>
      </c>
      <c r="Z33" s="4">
        <v>9</v>
      </c>
      <c r="AA33" s="4">
        <v>145</v>
      </c>
      <c r="AB33" s="4">
        <v>1</v>
      </c>
      <c r="AC33" s="4">
        <v>1305</v>
      </c>
      <c r="AD33" s="50"/>
    </row>
    <row r="34" spans="1:30">
      <c r="A34" s="17" t="s">
        <v>2</v>
      </c>
      <c r="B34" s="5">
        <v>83512</v>
      </c>
      <c r="C34" s="5">
        <v>58143</v>
      </c>
      <c r="D34" s="5">
        <v>48633</v>
      </c>
      <c r="E34" s="5">
        <v>32925</v>
      </c>
      <c r="F34" s="5">
        <v>31535</v>
      </c>
      <c r="G34" s="5">
        <v>18880</v>
      </c>
      <c r="H34" s="5">
        <v>18044</v>
      </c>
      <c r="I34" s="5">
        <v>9278</v>
      </c>
      <c r="J34" s="5">
        <v>1454</v>
      </c>
      <c r="K34" s="5">
        <v>1745</v>
      </c>
      <c r="L34" s="5">
        <v>39539</v>
      </c>
      <c r="M34" s="5">
        <v>104</v>
      </c>
      <c r="N34" s="5">
        <v>343792</v>
      </c>
      <c r="O34" s="50"/>
      <c r="P34" s="17" t="s">
        <v>2</v>
      </c>
      <c r="Q34" s="5">
        <v>8502</v>
      </c>
      <c r="R34" s="5">
        <v>6864</v>
      </c>
      <c r="S34" s="5">
        <v>8954</v>
      </c>
      <c r="T34" s="5">
        <v>5434</v>
      </c>
      <c r="U34" s="5">
        <v>5917</v>
      </c>
      <c r="V34" s="5">
        <v>3674</v>
      </c>
      <c r="W34" s="5">
        <v>910</v>
      </c>
      <c r="X34" s="5">
        <v>1155</v>
      </c>
      <c r="Y34" s="5">
        <v>296</v>
      </c>
      <c r="Z34" s="5">
        <v>293</v>
      </c>
      <c r="AA34" s="5">
        <v>5010</v>
      </c>
      <c r="AB34" s="5">
        <v>8</v>
      </c>
      <c r="AC34" s="5">
        <v>47017</v>
      </c>
      <c r="AD34" s="49"/>
    </row>
    <row r="35" spans="1:30">
      <c r="A35" s="17" t="s">
        <v>41</v>
      </c>
      <c r="B35" s="5">
        <v>409837</v>
      </c>
      <c r="C35" s="5">
        <v>230723</v>
      </c>
      <c r="D35" s="5">
        <v>189255</v>
      </c>
      <c r="E35" s="5">
        <v>91537</v>
      </c>
      <c r="F35" s="5">
        <v>103378</v>
      </c>
      <c r="G35" s="5">
        <v>67035</v>
      </c>
      <c r="H35" s="5">
        <v>73125</v>
      </c>
      <c r="I35" s="5">
        <v>36785</v>
      </c>
      <c r="J35" s="5">
        <v>9382</v>
      </c>
      <c r="K35" s="5">
        <v>9631</v>
      </c>
      <c r="L35" s="5">
        <v>138272</v>
      </c>
      <c r="M35" s="5">
        <v>363</v>
      </c>
      <c r="N35" s="5">
        <v>1359323</v>
      </c>
      <c r="O35" s="50"/>
      <c r="P35" s="17" t="s">
        <v>41</v>
      </c>
      <c r="Q35" s="5">
        <v>112639</v>
      </c>
      <c r="R35" s="5">
        <v>68989</v>
      </c>
      <c r="S35" s="5">
        <v>111713</v>
      </c>
      <c r="T35" s="5">
        <v>41571</v>
      </c>
      <c r="U35" s="5">
        <v>59970</v>
      </c>
      <c r="V35" s="5">
        <v>43388</v>
      </c>
      <c r="W35" s="5">
        <v>21432</v>
      </c>
      <c r="X35" s="5">
        <v>14849</v>
      </c>
      <c r="Y35" s="5">
        <v>5326</v>
      </c>
      <c r="Z35" s="5">
        <v>4022</v>
      </c>
      <c r="AA35" s="5">
        <v>57642</v>
      </c>
      <c r="AB35" s="5">
        <v>162</v>
      </c>
      <c r="AC35" s="5">
        <v>541703</v>
      </c>
      <c r="AD35" s="49"/>
    </row>
    <row r="36" spans="1:30">
      <c r="A36" s="17" t="s">
        <v>42</v>
      </c>
      <c r="B36" s="5">
        <v>304453</v>
      </c>
      <c r="C36" s="5">
        <v>225523</v>
      </c>
      <c r="D36" s="5">
        <v>137067</v>
      </c>
      <c r="E36" s="5">
        <v>71427</v>
      </c>
      <c r="F36" s="5">
        <v>58611</v>
      </c>
      <c r="G36" s="5">
        <v>51291</v>
      </c>
      <c r="H36" s="5">
        <v>26401</v>
      </c>
      <c r="I36" s="5">
        <v>32360</v>
      </c>
      <c r="J36" s="5">
        <v>17860</v>
      </c>
      <c r="K36" s="5">
        <v>16026</v>
      </c>
      <c r="L36" s="5">
        <v>119884</v>
      </c>
      <c r="M36" s="5">
        <v>259</v>
      </c>
      <c r="N36" s="5">
        <v>1061162</v>
      </c>
      <c r="O36" s="50"/>
      <c r="P36" s="17" t="s">
        <v>42</v>
      </c>
      <c r="Q36" s="5">
        <v>105894</v>
      </c>
      <c r="R36" s="5">
        <v>69510</v>
      </c>
      <c r="S36" s="5">
        <v>92684</v>
      </c>
      <c r="T36" s="5">
        <v>33669</v>
      </c>
      <c r="U36" s="5">
        <v>37047</v>
      </c>
      <c r="V36" s="5">
        <v>35428</v>
      </c>
      <c r="W36" s="5">
        <v>14315</v>
      </c>
      <c r="X36" s="5">
        <v>16435</v>
      </c>
      <c r="Y36" s="5">
        <v>10283</v>
      </c>
      <c r="Z36" s="5">
        <v>6579</v>
      </c>
      <c r="AA36" s="5">
        <v>51734</v>
      </c>
      <c r="AB36" s="5">
        <v>142</v>
      </c>
      <c r="AC36" s="5">
        <v>473720</v>
      </c>
      <c r="AD36" s="49"/>
    </row>
    <row r="37" spans="1:30">
      <c r="A37" s="17" t="s">
        <v>43</v>
      </c>
      <c r="B37" s="5">
        <v>184780</v>
      </c>
      <c r="C37" s="5">
        <v>243653</v>
      </c>
      <c r="D37" s="5">
        <v>107335</v>
      </c>
      <c r="E37" s="5">
        <v>72592</v>
      </c>
      <c r="F37" s="5">
        <v>35298</v>
      </c>
      <c r="G37" s="5">
        <v>41570</v>
      </c>
      <c r="H37" s="5">
        <v>622</v>
      </c>
      <c r="I37" s="5">
        <v>26787</v>
      </c>
      <c r="J37" s="5">
        <v>28589</v>
      </c>
      <c r="K37" s="5">
        <v>27064</v>
      </c>
      <c r="L37" s="5">
        <v>114467</v>
      </c>
      <c r="M37" s="5">
        <v>195</v>
      </c>
      <c r="N37" s="5">
        <v>882952</v>
      </c>
      <c r="O37" s="50"/>
      <c r="P37" s="17" t="s">
        <v>43</v>
      </c>
      <c r="Q37" s="5">
        <v>53607</v>
      </c>
      <c r="R37" s="5">
        <v>52682</v>
      </c>
      <c r="S37" s="5">
        <v>52948</v>
      </c>
      <c r="T37" s="5">
        <v>22459</v>
      </c>
      <c r="U37" s="5">
        <v>15667</v>
      </c>
      <c r="V37" s="5">
        <v>21248</v>
      </c>
      <c r="W37" s="5">
        <v>393</v>
      </c>
      <c r="X37" s="5">
        <v>9635</v>
      </c>
      <c r="Y37" s="5">
        <v>11954</v>
      </c>
      <c r="Z37" s="5">
        <v>7446</v>
      </c>
      <c r="AA37" s="5">
        <v>34678</v>
      </c>
      <c r="AB37" s="5">
        <v>60</v>
      </c>
      <c r="AC37" s="5">
        <v>282777</v>
      </c>
      <c r="AD37" s="49"/>
    </row>
    <row r="38" spans="1:30">
      <c r="A38" s="17" t="s">
        <v>44</v>
      </c>
      <c r="B38" s="5">
        <v>115851</v>
      </c>
      <c r="C38" s="5">
        <v>195780</v>
      </c>
      <c r="D38" s="5">
        <v>76796</v>
      </c>
      <c r="E38" s="5">
        <v>57290</v>
      </c>
      <c r="F38" s="5">
        <v>21376</v>
      </c>
      <c r="G38" s="5">
        <v>31621</v>
      </c>
      <c r="H38" s="5">
        <v>74</v>
      </c>
      <c r="I38" s="5">
        <v>19573</v>
      </c>
      <c r="J38" s="5">
        <v>31618</v>
      </c>
      <c r="K38" s="5">
        <v>37714</v>
      </c>
      <c r="L38" s="5">
        <v>91488</v>
      </c>
      <c r="M38" s="5">
        <v>152</v>
      </c>
      <c r="N38" s="5">
        <v>679333</v>
      </c>
      <c r="O38" s="50"/>
      <c r="P38" s="17" t="s">
        <v>44</v>
      </c>
      <c r="Q38" s="5">
        <v>35030</v>
      </c>
      <c r="R38" s="5">
        <v>39512</v>
      </c>
      <c r="S38" s="5">
        <v>35079</v>
      </c>
      <c r="T38" s="5">
        <v>15289</v>
      </c>
      <c r="U38" s="5">
        <v>8498</v>
      </c>
      <c r="V38" s="5">
        <v>13920</v>
      </c>
      <c r="W38" s="5">
        <v>20</v>
      </c>
      <c r="X38" s="5">
        <v>6289</v>
      </c>
      <c r="Y38" s="5">
        <v>11934</v>
      </c>
      <c r="Z38" s="5">
        <v>7665</v>
      </c>
      <c r="AA38" s="5">
        <v>24973</v>
      </c>
      <c r="AB38" s="5">
        <v>30</v>
      </c>
      <c r="AC38" s="5">
        <v>198239</v>
      </c>
      <c r="AD38" s="49"/>
    </row>
    <row r="39" spans="1:30">
      <c r="A39" s="17" t="s">
        <v>3</v>
      </c>
      <c r="B39" s="5">
        <v>24961</v>
      </c>
      <c r="C39" s="5">
        <v>52326</v>
      </c>
      <c r="D39" s="5">
        <v>22691</v>
      </c>
      <c r="E39" s="5">
        <v>15807</v>
      </c>
      <c r="F39" s="5">
        <v>4491</v>
      </c>
      <c r="G39" s="5">
        <v>9476</v>
      </c>
      <c r="H39" s="5">
        <v>106</v>
      </c>
      <c r="I39" s="5">
        <v>7865</v>
      </c>
      <c r="J39" s="5">
        <v>16790</v>
      </c>
      <c r="K39" s="5">
        <v>20986</v>
      </c>
      <c r="L39" s="5">
        <v>30513</v>
      </c>
      <c r="M39" s="5">
        <v>33</v>
      </c>
      <c r="N39" s="5">
        <v>206045</v>
      </c>
      <c r="O39" s="50"/>
      <c r="P39" s="17" t="s">
        <v>3</v>
      </c>
      <c r="Q39" s="5">
        <v>6442</v>
      </c>
      <c r="R39" s="5">
        <v>7705</v>
      </c>
      <c r="S39" s="5">
        <v>7390</v>
      </c>
      <c r="T39" s="5">
        <v>3226</v>
      </c>
      <c r="U39" s="5">
        <v>1401</v>
      </c>
      <c r="V39" s="5">
        <v>2640</v>
      </c>
      <c r="W39" s="5">
        <v>3</v>
      </c>
      <c r="X39" s="5">
        <v>1608</v>
      </c>
      <c r="Y39" s="5">
        <v>4782</v>
      </c>
      <c r="Z39" s="5">
        <v>2727</v>
      </c>
      <c r="AA39" s="5">
        <v>6023</v>
      </c>
      <c r="AB39" s="5">
        <v>9</v>
      </c>
      <c r="AC39" s="5">
        <v>43956</v>
      </c>
      <c r="AD39" s="49"/>
    </row>
    <row r="40" spans="1:30">
      <c r="A40" s="17" t="s">
        <v>222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0</v>
      </c>
      <c r="O40" s="50"/>
      <c r="P40" s="17" t="s">
        <v>222</v>
      </c>
      <c r="Q40" s="5">
        <v>0</v>
      </c>
      <c r="R40" s="5">
        <v>0</v>
      </c>
      <c r="S40" s="5">
        <v>4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  <c r="Y40" s="5">
        <v>0</v>
      </c>
      <c r="Z40" s="5">
        <v>0</v>
      </c>
      <c r="AA40" s="5">
        <v>0</v>
      </c>
      <c r="AB40" s="5">
        <v>0</v>
      </c>
      <c r="AC40" s="5">
        <v>6</v>
      </c>
      <c r="AD40" s="49"/>
    </row>
    <row r="41" spans="1:30">
      <c r="A41" s="21" t="s">
        <v>46</v>
      </c>
      <c r="B41" s="38">
        <v>1127470</v>
      </c>
      <c r="C41" s="38">
        <v>1010920</v>
      </c>
      <c r="D41" s="38">
        <v>586564</v>
      </c>
      <c r="E41" s="38">
        <v>345459</v>
      </c>
      <c r="F41" s="38">
        <v>257579</v>
      </c>
      <c r="G41" s="38">
        <v>221792</v>
      </c>
      <c r="H41" s="38">
        <v>119498</v>
      </c>
      <c r="I41" s="38">
        <v>133440</v>
      </c>
      <c r="J41" s="38">
        <v>105796</v>
      </c>
      <c r="K41" s="38">
        <v>113329</v>
      </c>
      <c r="L41" s="38">
        <v>538612</v>
      </c>
      <c r="M41" s="38">
        <v>1121</v>
      </c>
      <c r="N41" s="38">
        <v>4561580</v>
      </c>
      <c r="O41" s="50"/>
      <c r="P41" s="21" t="s">
        <v>46</v>
      </c>
      <c r="Q41" s="38">
        <v>322313</v>
      </c>
      <c r="R41" s="38">
        <v>245440</v>
      </c>
      <c r="S41" s="38">
        <v>309059</v>
      </c>
      <c r="T41" s="38">
        <v>121828</v>
      </c>
      <c r="U41" s="38">
        <v>128656</v>
      </c>
      <c r="V41" s="38">
        <v>120405</v>
      </c>
      <c r="W41" s="38">
        <v>37088</v>
      </c>
      <c r="X41" s="38">
        <v>50000</v>
      </c>
      <c r="Y41" s="38">
        <v>44576</v>
      </c>
      <c r="Z41" s="38">
        <v>28741</v>
      </c>
      <c r="AA41" s="38">
        <v>180205</v>
      </c>
      <c r="AB41" s="38">
        <v>412</v>
      </c>
      <c r="AC41" s="38">
        <v>1588723</v>
      </c>
      <c r="AD41" s="49"/>
    </row>
    <row r="42" spans="1:30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30">
      <c r="Q43" s="6"/>
      <c r="R43" s="34"/>
      <c r="S43" s="6"/>
      <c r="T43" s="6"/>
    </row>
    <row r="44" spans="1:30">
      <c r="A44" s="7" t="s">
        <v>103</v>
      </c>
      <c r="P44" s="7" t="s">
        <v>105</v>
      </c>
      <c r="Q44" s="6"/>
      <c r="R44" s="6"/>
      <c r="S44" s="6"/>
      <c r="T44" s="6"/>
    </row>
    <row r="45" spans="1:30">
      <c r="A45" s="7" t="s">
        <v>311</v>
      </c>
      <c r="P45" s="7" t="s">
        <v>312</v>
      </c>
      <c r="Q45" s="6"/>
      <c r="R45" s="6"/>
      <c r="S45" s="6"/>
      <c r="T45" s="6"/>
    </row>
    <row r="46" spans="1:30" ht="38.25">
      <c r="A46" s="16" t="s">
        <v>149</v>
      </c>
      <c r="B46" s="28" t="s">
        <v>9</v>
      </c>
      <c r="C46" s="28" t="s">
        <v>10</v>
      </c>
      <c r="D46" s="28" t="s">
        <v>11</v>
      </c>
      <c r="E46" s="28" t="s">
        <v>12</v>
      </c>
      <c r="F46" s="28" t="s">
        <v>13</v>
      </c>
      <c r="G46" s="28" t="s">
        <v>163</v>
      </c>
      <c r="H46" s="28" t="s">
        <v>164</v>
      </c>
      <c r="I46" s="28" t="s">
        <v>165</v>
      </c>
      <c r="J46" s="28" t="s">
        <v>166</v>
      </c>
      <c r="K46" s="28" t="s">
        <v>203</v>
      </c>
      <c r="L46" s="28" t="s">
        <v>31</v>
      </c>
      <c r="M46" s="28" t="s">
        <v>223</v>
      </c>
      <c r="N46" s="28" t="s">
        <v>48</v>
      </c>
      <c r="P46" s="16" t="s">
        <v>149</v>
      </c>
      <c r="Q46" s="28" t="s">
        <v>9</v>
      </c>
      <c r="R46" s="28" t="s">
        <v>10</v>
      </c>
      <c r="S46" s="28" t="s">
        <v>11</v>
      </c>
      <c r="T46" s="28" t="s">
        <v>12</v>
      </c>
      <c r="U46" s="28" t="s">
        <v>13</v>
      </c>
      <c r="V46" s="28" t="s">
        <v>163</v>
      </c>
      <c r="W46" s="28" t="s">
        <v>164</v>
      </c>
      <c r="X46" s="28" t="s">
        <v>165</v>
      </c>
      <c r="Y46" s="28" t="s">
        <v>166</v>
      </c>
      <c r="Z46" s="28" t="s">
        <v>203</v>
      </c>
      <c r="AA46" s="28" t="s">
        <v>31</v>
      </c>
      <c r="AB46" s="28" t="s">
        <v>222</v>
      </c>
      <c r="AC46" s="28" t="s">
        <v>48</v>
      </c>
    </row>
    <row r="47" spans="1:30">
      <c r="A47" s="22" t="s">
        <v>14</v>
      </c>
      <c r="B47" s="4">
        <v>3111</v>
      </c>
      <c r="C47" s="4">
        <v>4647</v>
      </c>
      <c r="D47" s="4">
        <v>5224</v>
      </c>
      <c r="E47" s="4">
        <v>2354</v>
      </c>
      <c r="F47" s="4">
        <v>2463</v>
      </c>
      <c r="G47" s="4">
        <v>2947</v>
      </c>
      <c r="H47" s="4">
        <v>1561</v>
      </c>
      <c r="I47" s="4">
        <v>1541</v>
      </c>
      <c r="J47" s="4">
        <v>1166</v>
      </c>
      <c r="K47" s="4">
        <v>880</v>
      </c>
      <c r="L47" s="4">
        <v>3548</v>
      </c>
      <c r="M47" s="4"/>
      <c r="N47" s="4">
        <v>29442</v>
      </c>
      <c r="O47" s="50"/>
      <c r="P47" s="22" t="s">
        <v>14</v>
      </c>
      <c r="Q47" s="4">
        <v>1115</v>
      </c>
      <c r="R47" s="4">
        <v>1139</v>
      </c>
      <c r="S47" s="4">
        <v>2024</v>
      </c>
      <c r="T47" s="4">
        <v>643</v>
      </c>
      <c r="U47" s="4">
        <v>1020</v>
      </c>
      <c r="V47" s="4">
        <v>1243</v>
      </c>
      <c r="W47" s="4">
        <v>254</v>
      </c>
      <c r="X47" s="4">
        <v>404</v>
      </c>
      <c r="Y47" s="4">
        <v>414</v>
      </c>
      <c r="Z47" s="4">
        <v>227</v>
      </c>
      <c r="AA47" s="4">
        <v>1139</v>
      </c>
      <c r="AB47" s="4">
        <v>3</v>
      </c>
      <c r="AC47" s="4">
        <v>9625</v>
      </c>
      <c r="AD47" s="50"/>
    </row>
    <row r="48" spans="1:30">
      <c r="A48" s="23" t="s">
        <v>15</v>
      </c>
      <c r="B48" s="5">
        <v>19175</v>
      </c>
      <c r="C48" s="5">
        <v>16682</v>
      </c>
      <c r="D48" s="5">
        <v>9687</v>
      </c>
      <c r="E48" s="5">
        <v>5789</v>
      </c>
      <c r="F48" s="5">
        <v>9581</v>
      </c>
      <c r="G48" s="5">
        <v>3969</v>
      </c>
      <c r="H48" s="5">
        <v>2044</v>
      </c>
      <c r="I48" s="5">
        <v>3047</v>
      </c>
      <c r="J48" s="5">
        <v>2027</v>
      </c>
      <c r="K48" s="5">
        <v>1804</v>
      </c>
      <c r="L48" s="5">
        <v>8540</v>
      </c>
      <c r="M48" s="5">
        <v>41</v>
      </c>
      <c r="N48" s="5">
        <v>82386</v>
      </c>
      <c r="O48" s="49"/>
      <c r="P48" s="23" t="s">
        <v>15</v>
      </c>
      <c r="Q48" s="5">
        <v>5118</v>
      </c>
      <c r="R48" s="5">
        <v>4260</v>
      </c>
      <c r="S48" s="5">
        <v>3370</v>
      </c>
      <c r="T48" s="5">
        <v>2118</v>
      </c>
      <c r="U48" s="5">
        <v>1559</v>
      </c>
      <c r="V48" s="5">
        <v>1851</v>
      </c>
      <c r="W48" s="5">
        <v>434</v>
      </c>
      <c r="X48" s="5">
        <v>771</v>
      </c>
      <c r="Y48" s="5">
        <v>749</v>
      </c>
      <c r="Z48" s="5">
        <v>571</v>
      </c>
      <c r="AA48" s="5">
        <v>2690</v>
      </c>
      <c r="AB48" s="5">
        <v>1</v>
      </c>
      <c r="AC48" s="5">
        <v>23492</v>
      </c>
      <c r="AD48" s="49"/>
    </row>
    <row r="49" spans="1:30">
      <c r="A49" s="23" t="s">
        <v>16</v>
      </c>
      <c r="B49" s="5">
        <v>25890</v>
      </c>
      <c r="C49" s="5">
        <v>28506</v>
      </c>
      <c r="D49" s="5">
        <v>13833</v>
      </c>
      <c r="E49" s="5">
        <v>10659</v>
      </c>
      <c r="F49" s="5">
        <v>6383</v>
      </c>
      <c r="G49" s="5">
        <v>6126</v>
      </c>
      <c r="H49" s="5">
        <v>3704</v>
      </c>
      <c r="I49" s="5">
        <v>4835</v>
      </c>
      <c r="J49" s="5">
        <v>3817</v>
      </c>
      <c r="K49" s="5">
        <v>3563</v>
      </c>
      <c r="L49" s="5">
        <v>31022</v>
      </c>
      <c r="M49" s="5">
        <v>27</v>
      </c>
      <c r="N49" s="5">
        <v>138365</v>
      </c>
      <c r="O49" s="49"/>
      <c r="P49" s="23" t="s">
        <v>16</v>
      </c>
      <c r="Q49" s="5">
        <v>13945</v>
      </c>
      <c r="R49" s="5">
        <v>13961</v>
      </c>
      <c r="S49" s="5">
        <v>9130</v>
      </c>
      <c r="T49" s="5">
        <v>6406</v>
      </c>
      <c r="U49" s="5">
        <v>3521</v>
      </c>
      <c r="V49" s="5">
        <v>4605</v>
      </c>
      <c r="W49" s="5">
        <v>1419</v>
      </c>
      <c r="X49" s="5">
        <v>2510</v>
      </c>
      <c r="Y49" s="5">
        <v>2008</v>
      </c>
      <c r="Z49" s="5">
        <v>1673</v>
      </c>
      <c r="AA49" s="5">
        <v>7534</v>
      </c>
      <c r="AB49" s="5">
        <v>12</v>
      </c>
      <c r="AC49" s="5">
        <v>66724</v>
      </c>
      <c r="AD49" s="49"/>
    </row>
    <row r="50" spans="1:30">
      <c r="A50" s="23" t="s">
        <v>17</v>
      </c>
      <c r="B50" s="5">
        <v>13953</v>
      </c>
      <c r="C50" s="5">
        <v>16761</v>
      </c>
      <c r="D50" s="5">
        <v>11402</v>
      </c>
      <c r="E50" s="5">
        <v>5941</v>
      </c>
      <c r="F50" s="5">
        <v>3344</v>
      </c>
      <c r="G50" s="5">
        <v>3897</v>
      </c>
      <c r="H50" s="5">
        <v>1938</v>
      </c>
      <c r="I50" s="5">
        <v>2692</v>
      </c>
      <c r="J50" s="5">
        <v>2033</v>
      </c>
      <c r="K50" s="5">
        <v>2375</v>
      </c>
      <c r="L50" s="5">
        <v>9527</v>
      </c>
      <c r="M50" s="5">
        <v>1</v>
      </c>
      <c r="N50" s="5">
        <v>73864</v>
      </c>
      <c r="O50" s="49"/>
      <c r="P50" s="23" t="s">
        <v>17</v>
      </c>
      <c r="Q50" s="5">
        <v>2928</v>
      </c>
      <c r="R50" s="5">
        <v>2993</v>
      </c>
      <c r="S50" s="5">
        <v>2870</v>
      </c>
      <c r="T50" s="5">
        <v>1376</v>
      </c>
      <c r="U50" s="5">
        <v>1032</v>
      </c>
      <c r="V50" s="5">
        <v>1250</v>
      </c>
      <c r="W50" s="5">
        <v>432</v>
      </c>
      <c r="X50" s="5">
        <v>594</v>
      </c>
      <c r="Y50" s="5">
        <v>589</v>
      </c>
      <c r="Z50" s="5">
        <v>402</v>
      </c>
      <c r="AA50" s="5">
        <v>2263</v>
      </c>
      <c r="AB50" s="5">
        <v>1</v>
      </c>
      <c r="AC50" s="5">
        <v>16730</v>
      </c>
      <c r="AD50" s="49"/>
    </row>
    <row r="51" spans="1:30">
      <c r="A51" s="23" t="s">
        <v>18</v>
      </c>
      <c r="B51" s="5">
        <v>29415</v>
      </c>
      <c r="C51" s="5">
        <v>24966</v>
      </c>
      <c r="D51" s="5">
        <v>17633</v>
      </c>
      <c r="E51" s="5">
        <v>9353</v>
      </c>
      <c r="F51" s="5">
        <v>6245</v>
      </c>
      <c r="G51" s="5">
        <v>7316</v>
      </c>
      <c r="H51" s="5">
        <v>3688</v>
      </c>
      <c r="I51" s="5">
        <v>4253</v>
      </c>
      <c r="J51" s="5">
        <v>2434</v>
      </c>
      <c r="K51" s="5">
        <v>2804</v>
      </c>
      <c r="L51" s="5">
        <v>15439</v>
      </c>
      <c r="M51" s="5">
        <v>4</v>
      </c>
      <c r="N51" s="5">
        <v>123550</v>
      </c>
      <c r="O51" s="49"/>
      <c r="P51" s="23" t="s">
        <v>18</v>
      </c>
      <c r="Q51" s="5">
        <v>4030</v>
      </c>
      <c r="R51" s="5">
        <v>2899</v>
      </c>
      <c r="S51" s="5">
        <v>3931</v>
      </c>
      <c r="T51" s="5">
        <v>1273</v>
      </c>
      <c r="U51" s="5">
        <v>1450</v>
      </c>
      <c r="V51" s="5">
        <v>1671</v>
      </c>
      <c r="W51" s="5">
        <v>419</v>
      </c>
      <c r="X51" s="5">
        <v>700</v>
      </c>
      <c r="Y51" s="5">
        <v>656</v>
      </c>
      <c r="Z51" s="5">
        <v>339</v>
      </c>
      <c r="AA51" s="5">
        <v>2059</v>
      </c>
      <c r="AB51" s="5">
        <v>7</v>
      </c>
      <c r="AC51" s="5">
        <v>19434</v>
      </c>
      <c r="AD51" s="49"/>
    </row>
    <row r="52" spans="1:30">
      <c r="A52" s="23" t="s">
        <v>19</v>
      </c>
      <c r="B52" s="5">
        <v>85636</v>
      </c>
      <c r="C52" s="5">
        <v>81229</v>
      </c>
      <c r="D52" s="5">
        <v>52386</v>
      </c>
      <c r="E52" s="5">
        <v>28838</v>
      </c>
      <c r="F52" s="5">
        <v>20871</v>
      </c>
      <c r="G52" s="5">
        <v>16553</v>
      </c>
      <c r="H52" s="5">
        <v>11146</v>
      </c>
      <c r="I52" s="5">
        <v>12357</v>
      </c>
      <c r="J52" s="5">
        <v>9421</v>
      </c>
      <c r="K52" s="5">
        <v>10062</v>
      </c>
      <c r="L52" s="5">
        <v>46920</v>
      </c>
      <c r="M52" s="5">
        <v>114</v>
      </c>
      <c r="N52" s="5">
        <v>375533</v>
      </c>
      <c r="O52" s="49"/>
      <c r="P52" s="23" t="s">
        <v>19</v>
      </c>
      <c r="Q52" s="5">
        <v>17056</v>
      </c>
      <c r="R52" s="5">
        <v>13066</v>
      </c>
      <c r="S52" s="5">
        <v>16757</v>
      </c>
      <c r="T52" s="5">
        <v>6564</v>
      </c>
      <c r="U52" s="5">
        <v>5928</v>
      </c>
      <c r="V52" s="5">
        <v>6068</v>
      </c>
      <c r="W52" s="5">
        <v>1949</v>
      </c>
      <c r="X52" s="5">
        <v>2968</v>
      </c>
      <c r="Y52" s="5">
        <v>2721</v>
      </c>
      <c r="Z52" s="5">
        <v>1645</v>
      </c>
      <c r="AA52" s="5">
        <v>9386</v>
      </c>
      <c r="AB52" s="5">
        <v>14</v>
      </c>
      <c r="AC52" s="5">
        <v>84122</v>
      </c>
      <c r="AD52" s="49"/>
    </row>
    <row r="53" spans="1:30">
      <c r="A53" s="23" t="s">
        <v>20</v>
      </c>
      <c r="B53" s="5">
        <v>642552</v>
      </c>
      <c r="C53" s="5">
        <v>516204</v>
      </c>
      <c r="D53" s="5">
        <v>310819</v>
      </c>
      <c r="E53" s="5">
        <v>169879</v>
      </c>
      <c r="F53" s="5">
        <v>148384</v>
      </c>
      <c r="G53" s="5">
        <v>106212</v>
      </c>
      <c r="H53" s="5">
        <v>51503</v>
      </c>
      <c r="I53" s="5">
        <v>66939</v>
      </c>
      <c r="J53" s="5">
        <v>49956</v>
      </c>
      <c r="K53" s="5">
        <v>57445</v>
      </c>
      <c r="L53" s="5">
        <v>265351</v>
      </c>
      <c r="M53" s="5">
        <v>562</v>
      </c>
      <c r="N53" s="5">
        <v>2385806</v>
      </c>
      <c r="O53" s="49"/>
      <c r="P53" s="23" t="s">
        <v>20</v>
      </c>
      <c r="Q53" s="5">
        <v>202911</v>
      </c>
      <c r="R53" s="5">
        <v>151576</v>
      </c>
      <c r="S53" s="5">
        <v>208300</v>
      </c>
      <c r="T53" s="5">
        <v>78729</v>
      </c>
      <c r="U53" s="5">
        <v>87786</v>
      </c>
      <c r="V53" s="5">
        <v>78910</v>
      </c>
      <c r="W53" s="5">
        <v>24764</v>
      </c>
      <c r="X53" s="5">
        <v>31785</v>
      </c>
      <c r="Y53" s="5">
        <v>27822</v>
      </c>
      <c r="Z53" s="5">
        <v>17750</v>
      </c>
      <c r="AA53" s="5">
        <v>117382</v>
      </c>
      <c r="AB53" s="5">
        <v>208</v>
      </c>
      <c r="AC53" s="5">
        <v>1027923</v>
      </c>
      <c r="AD53" s="49"/>
    </row>
    <row r="54" spans="1:30">
      <c r="A54" s="23" t="s">
        <v>21</v>
      </c>
      <c r="B54" s="5">
        <v>53658</v>
      </c>
      <c r="C54" s="5">
        <v>54142</v>
      </c>
      <c r="D54" s="5">
        <v>17719</v>
      </c>
      <c r="E54" s="5">
        <v>18351</v>
      </c>
      <c r="F54" s="5">
        <v>8302</v>
      </c>
      <c r="G54" s="5">
        <v>8568</v>
      </c>
      <c r="H54" s="5">
        <v>11013</v>
      </c>
      <c r="I54" s="5">
        <v>5854</v>
      </c>
      <c r="J54" s="5">
        <v>6152</v>
      </c>
      <c r="K54" s="5">
        <v>6039</v>
      </c>
      <c r="L54" s="5">
        <v>21545</v>
      </c>
      <c r="M54" s="5">
        <v>9</v>
      </c>
      <c r="N54" s="5">
        <v>211352</v>
      </c>
      <c r="O54" s="49"/>
      <c r="P54" s="23" t="s">
        <v>21</v>
      </c>
      <c r="Q54" s="5">
        <v>11598</v>
      </c>
      <c r="R54" s="5">
        <v>8022</v>
      </c>
      <c r="S54" s="5">
        <v>6280</v>
      </c>
      <c r="T54" s="5">
        <v>3748</v>
      </c>
      <c r="U54" s="5">
        <v>3263</v>
      </c>
      <c r="V54" s="5">
        <v>2982</v>
      </c>
      <c r="W54" s="5">
        <v>1317</v>
      </c>
      <c r="X54" s="5">
        <v>1467</v>
      </c>
      <c r="Y54" s="5">
        <v>1357</v>
      </c>
      <c r="Z54" s="5">
        <v>928</v>
      </c>
      <c r="AA54" s="5">
        <v>4908</v>
      </c>
      <c r="AB54" s="5">
        <v>1</v>
      </c>
      <c r="AC54" s="5">
        <v>45871</v>
      </c>
      <c r="AD54" s="49"/>
    </row>
    <row r="55" spans="1:30">
      <c r="A55" s="23" t="s">
        <v>22</v>
      </c>
      <c r="B55" s="5">
        <v>55148</v>
      </c>
      <c r="C55" s="5">
        <v>48157</v>
      </c>
      <c r="D55" s="5">
        <v>23225</v>
      </c>
      <c r="E55" s="5">
        <v>16998</v>
      </c>
      <c r="F55" s="5">
        <v>7777</v>
      </c>
      <c r="G55" s="5">
        <v>11998</v>
      </c>
      <c r="H55" s="5">
        <v>7667</v>
      </c>
      <c r="I55" s="5">
        <v>6487</v>
      </c>
      <c r="J55" s="5">
        <v>6461</v>
      </c>
      <c r="K55" s="5">
        <v>5276</v>
      </c>
      <c r="L55" s="5">
        <v>26241</v>
      </c>
      <c r="M55" s="5">
        <v>8</v>
      </c>
      <c r="N55" s="5">
        <v>215443</v>
      </c>
      <c r="O55" s="49"/>
      <c r="P55" s="23" t="s">
        <v>22</v>
      </c>
      <c r="Q55" s="5">
        <v>8958</v>
      </c>
      <c r="R55" s="5">
        <v>6591</v>
      </c>
      <c r="S55" s="5">
        <v>7462</v>
      </c>
      <c r="T55" s="5">
        <v>3137</v>
      </c>
      <c r="U55" s="5">
        <v>3286</v>
      </c>
      <c r="V55" s="5">
        <v>3362</v>
      </c>
      <c r="W55" s="5">
        <v>826</v>
      </c>
      <c r="X55" s="5">
        <v>1262</v>
      </c>
      <c r="Y55" s="5">
        <v>1360</v>
      </c>
      <c r="Z55" s="5">
        <v>799</v>
      </c>
      <c r="AA55" s="5">
        <v>4665</v>
      </c>
      <c r="AB55" s="5">
        <v>14</v>
      </c>
      <c r="AC55" s="5">
        <v>41722</v>
      </c>
      <c r="AD55" s="49"/>
    </row>
    <row r="56" spans="1:30">
      <c r="A56" s="23" t="s">
        <v>367</v>
      </c>
      <c r="B56" s="5">
        <v>16767</v>
      </c>
      <c r="C56" s="5">
        <v>16338</v>
      </c>
      <c r="D56" s="5">
        <v>11131</v>
      </c>
      <c r="E56" s="5">
        <v>7033</v>
      </c>
      <c r="F56" s="5">
        <v>2406</v>
      </c>
      <c r="G56" s="5">
        <v>6229</v>
      </c>
      <c r="H56" s="5">
        <v>3177</v>
      </c>
      <c r="I56" s="5">
        <v>2295</v>
      </c>
      <c r="J56" s="5">
        <v>1903</v>
      </c>
      <c r="K56" s="5">
        <v>2473</v>
      </c>
      <c r="L56" s="5">
        <v>9619</v>
      </c>
      <c r="M56" s="5">
        <v>3</v>
      </c>
      <c r="N56" s="5">
        <v>79374</v>
      </c>
      <c r="O56" s="49"/>
      <c r="P56" s="23" t="s">
        <v>367</v>
      </c>
      <c r="Q56" s="5">
        <v>4036</v>
      </c>
      <c r="R56" s="5">
        <v>2713</v>
      </c>
      <c r="S56" s="5">
        <v>3538</v>
      </c>
      <c r="T56" s="5">
        <v>1207</v>
      </c>
      <c r="U56" s="5">
        <v>1577</v>
      </c>
      <c r="V56" s="5">
        <v>1557</v>
      </c>
      <c r="W56" s="5">
        <v>357</v>
      </c>
      <c r="X56" s="5">
        <v>584</v>
      </c>
      <c r="Y56" s="5">
        <v>459</v>
      </c>
      <c r="Z56" s="5">
        <v>342</v>
      </c>
      <c r="AA56" s="5">
        <v>2209</v>
      </c>
      <c r="AB56" s="5">
        <v>7</v>
      </c>
      <c r="AC56" s="5">
        <v>18586</v>
      </c>
      <c r="AD56" s="49"/>
    </row>
    <row r="57" spans="1:30">
      <c r="A57" s="23" t="s">
        <v>23</v>
      </c>
      <c r="B57" s="5">
        <v>76544</v>
      </c>
      <c r="C57" s="5">
        <v>93174</v>
      </c>
      <c r="D57" s="5">
        <v>41280</v>
      </c>
      <c r="E57" s="5">
        <v>30310</v>
      </c>
      <c r="F57" s="5">
        <v>16103</v>
      </c>
      <c r="G57" s="5">
        <v>17483</v>
      </c>
      <c r="H57" s="5">
        <v>11292</v>
      </c>
      <c r="I57" s="5">
        <v>9798</v>
      </c>
      <c r="J57" s="5">
        <v>8944</v>
      </c>
      <c r="K57" s="5">
        <v>9022</v>
      </c>
      <c r="L57" s="5">
        <v>41401</v>
      </c>
      <c r="M57" s="5">
        <v>310</v>
      </c>
      <c r="N57" s="5">
        <v>355661</v>
      </c>
      <c r="O57" s="49"/>
      <c r="P57" s="23" t="s">
        <v>23</v>
      </c>
      <c r="Q57" s="5">
        <v>20377</v>
      </c>
      <c r="R57" s="5">
        <v>16103</v>
      </c>
      <c r="S57" s="5">
        <v>16678</v>
      </c>
      <c r="T57" s="5">
        <v>6440</v>
      </c>
      <c r="U57" s="5">
        <v>7243</v>
      </c>
      <c r="V57" s="5">
        <v>6174</v>
      </c>
      <c r="W57" s="5">
        <v>2223</v>
      </c>
      <c r="X57" s="5">
        <v>2824</v>
      </c>
      <c r="Y57" s="5">
        <v>2532</v>
      </c>
      <c r="Z57" s="5">
        <v>1561</v>
      </c>
      <c r="AA57" s="5">
        <v>10462</v>
      </c>
      <c r="AB57" s="5">
        <v>38</v>
      </c>
      <c r="AC57" s="5">
        <v>92655</v>
      </c>
      <c r="AD57" s="49"/>
    </row>
    <row r="58" spans="1:30">
      <c r="A58" s="23" t="s">
        <v>24</v>
      </c>
      <c r="B58" s="5">
        <v>44289</v>
      </c>
      <c r="C58" s="5">
        <v>40710</v>
      </c>
      <c r="D58" s="5">
        <v>22629</v>
      </c>
      <c r="E58" s="5">
        <v>13440</v>
      </c>
      <c r="F58" s="5">
        <v>7875</v>
      </c>
      <c r="G58" s="5">
        <v>9649</v>
      </c>
      <c r="H58" s="5">
        <v>4996</v>
      </c>
      <c r="I58" s="5">
        <v>4670</v>
      </c>
      <c r="J58" s="5">
        <v>3941</v>
      </c>
      <c r="K58" s="5">
        <v>3928</v>
      </c>
      <c r="L58" s="5">
        <v>21437</v>
      </c>
      <c r="M58" s="5">
        <v>9</v>
      </c>
      <c r="N58" s="5">
        <v>177573</v>
      </c>
      <c r="O58" s="49"/>
      <c r="P58" s="23" t="s">
        <v>24</v>
      </c>
      <c r="Q58" s="5">
        <v>11081</v>
      </c>
      <c r="R58" s="5">
        <v>6704</v>
      </c>
      <c r="S58" s="5">
        <v>8480</v>
      </c>
      <c r="T58" s="5">
        <v>2755</v>
      </c>
      <c r="U58" s="5">
        <v>3347</v>
      </c>
      <c r="V58" s="5">
        <v>3597</v>
      </c>
      <c r="W58" s="5">
        <v>1032</v>
      </c>
      <c r="X58" s="5">
        <v>1423</v>
      </c>
      <c r="Y58" s="5">
        <v>1230</v>
      </c>
      <c r="Z58" s="5">
        <v>745</v>
      </c>
      <c r="AA58" s="5">
        <v>4722</v>
      </c>
      <c r="AB58" s="5">
        <v>44</v>
      </c>
      <c r="AC58" s="5">
        <v>45160</v>
      </c>
      <c r="AD58" s="49"/>
    </row>
    <row r="59" spans="1:30">
      <c r="A59" s="23" t="s">
        <v>25</v>
      </c>
      <c r="B59" s="5">
        <v>9224</v>
      </c>
      <c r="C59" s="5">
        <v>12009</v>
      </c>
      <c r="D59" s="5">
        <v>10562</v>
      </c>
      <c r="E59" s="5">
        <v>5072</v>
      </c>
      <c r="F59" s="5">
        <v>3372</v>
      </c>
      <c r="G59" s="5">
        <v>4866</v>
      </c>
      <c r="H59" s="5">
        <v>1088</v>
      </c>
      <c r="I59" s="5">
        <v>1869</v>
      </c>
      <c r="J59" s="5">
        <v>1783</v>
      </c>
      <c r="K59" s="5">
        <v>1511</v>
      </c>
      <c r="L59" s="5">
        <v>7364</v>
      </c>
      <c r="M59" s="5">
        <v>19</v>
      </c>
      <c r="N59" s="5">
        <v>58739</v>
      </c>
      <c r="O59" s="49"/>
      <c r="P59" s="23" t="s">
        <v>25</v>
      </c>
      <c r="Q59" s="5">
        <v>3034</v>
      </c>
      <c r="R59" s="5">
        <v>2428</v>
      </c>
      <c r="S59" s="5">
        <v>3683</v>
      </c>
      <c r="T59" s="5">
        <v>1111</v>
      </c>
      <c r="U59" s="5">
        <v>1433</v>
      </c>
      <c r="V59" s="5">
        <v>1404</v>
      </c>
      <c r="W59" s="5">
        <v>262</v>
      </c>
      <c r="X59" s="5">
        <v>465</v>
      </c>
      <c r="Y59" s="5">
        <v>639</v>
      </c>
      <c r="Z59" s="5">
        <v>332</v>
      </c>
      <c r="AA59" s="5">
        <v>1918</v>
      </c>
      <c r="AB59" s="5">
        <v>18</v>
      </c>
      <c r="AC59" s="5">
        <v>16727</v>
      </c>
      <c r="AD59" s="49"/>
    </row>
    <row r="60" spans="1:30">
      <c r="A60" s="23" t="s">
        <v>26</v>
      </c>
      <c r="B60" s="5">
        <v>36369</v>
      </c>
      <c r="C60" s="5">
        <v>41777</v>
      </c>
      <c r="D60" s="5">
        <v>28891</v>
      </c>
      <c r="E60" s="5">
        <v>15933</v>
      </c>
      <c r="F60" s="5">
        <v>10980</v>
      </c>
      <c r="G60" s="5">
        <v>11110</v>
      </c>
      <c r="H60" s="5">
        <v>3210</v>
      </c>
      <c r="I60" s="5">
        <v>4703</v>
      </c>
      <c r="J60" s="5">
        <v>3876</v>
      </c>
      <c r="K60" s="5">
        <v>4484</v>
      </c>
      <c r="L60" s="5">
        <v>22035</v>
      </c>
      <c r="M60" s="5">
        <v>7</v>
      </c>
      <c r="N60" s="5">
        <v>183375</v>
      </c>
      <c r="O60" s="49"/>
      <c r="P60" s="23" t="s">
        <v>26</v>
      </c>
      <c r="Q60" s="5">
        <v>10693</v>
      </c>
      <c r="R60" s="5">
        <v>7867</v>
      </c>
      <c r="S60" s="5">
        <v>10623</v>
      </c>
      <c r="T60" s="5">
        <v>3981</v>
      </c>
      <c r="U60" s="5">
        <v>3884</v>
      </c>
      <c r="V60" s="5">
        <v>3887</v>
      </c>
      <c r="W60" s="5">
        <v>963</v>
      </c>
      <c r="X60" s="5">
        <v>1395</v>
      </c>
      <c r="Y60" s="5">
        <v>1163</v>
      </c>
      <c r="Z60" s="5">
        <v>944</v>
      </c>
      <c r="AA60" s="5">
        <v>5613</v>
      </c>
      <c r="AB60" s="5">
        <v>34</v>
      </c>
      <c r="AC60" s="5">
        <v>51047</v>
      </c>
      <c r="AD60" s="49"/>
    </row>
    <row r="61" spans="1:30">
      <c r="A61" s="23" t="s">
        <v>27</v>
      </c>
      <c r="B61" s="5">
        <v>6056</v>
      </c>
      <c r="C61" s="5">
        <v>4606</v>
      </c>
      <c r="D61" s="5">
        <v>3723</v>
      </c>
      <c r="E61" s="5">
        <v>1996</v>
      </c>
      <c r="F61" s="5">
        <v>1371</v>
      </c>
      <c r="G61" s="5">
        <v>1532</v>
      </c>
      <c r="H61" s="5">
        <v>568</v>
      </c>
      <c r="I61" s="5">
        <v>879</v>
      </c>
      <c r="J61" s="5">
        <v>591</v>
      </c>
      <c r="K61" s="5">
        <v>569</v>
      </c>
      <c r="L61" s="5">
        <v>3090</v>
      </c>
      <c r="M61" s="5">
        <v>4</v>
      </c>
      <c r="N61" s="5">
        <v>24985</v>
      </c>
      <c r="O61" s="49"/>
      <c r="P61" s="23" t="s">
        <v>27</v>
      </c>
      <c r="Q61" s="5">
        <v>1139</v>
      </c>
      <c r="R61" s="5">
        <v>765</v>
      </c>
      <c r="S61" s="5">
        <v>1055</v>
      </c>
      <c r="T61" s="5">
        <v>343</v>
      </c>
      <c r="U61" s="5">
        <v>336</v>
      </c>
      <c r="V61" s="5">
        <v>363</v>
      </c>
      <c r="W61" s="5">
        <v>110</v>
      </c>
      <c r="X61" s="5">
        <v>173</v>
      </c>
      <c r="Y61" s="5">
        <v>186</v>
      </c>
      <c r="Z61" s="5">
        <v>96</v>
      </c>
      <c r="AA61" s="5">
        <v>512</v>
      </c>
      <c r="AB61" s="5">
        <v>3</v>
      </c>
      <c r="AC61" s="5">
        <v>5081</v>
      </c>
      <c r="AD61" s="49"/>
    </row>
    <row r="62" spans="1:30">
      <c r="A62" s="23" t="s">
        <v>28</v>
      </c>
      <c r="B62" s="5">
        <v>9683</v>
      </c>
      <c r="C62" s="5">
        <v>11012</v>
      </c>
      <c r="D62" s="5">
        <v>6420</v>
      </c>
      <c r="E62" s="5">
        <v>3513</v>
      </c>
      <c r="F62" s="5">
        <v>2122</v>
      </c>
      <c r="G62" s="5">
        <v>3337</v>
      </c>
      <c r="H62" s="5">
        <v>903</v>
      </c>
      <c r="I62" s="5">
        <v>1221</v>
      </c>
      <c r="J62" s="5">
        <v>1291</v>
      </c>
      <c r="K62" s="5">
        <v>1094</v>
      </c>
      <c r="L62" s="5">
        <v>5533</v>
      </c>
      <c r="M62" s="5">
        <v>3</v>
      </c>
      <c r="N62" s="5">
        <v>46132</v>
      </c>
      <c r="O62" s="49"/>
      <c r="P62" s="23" t="s">
        <v>28</v>
      </c>
      <c r="Q62" s="5">
        <v>3436</v>
      </c>
      <c r="R62" s="5">
        <v>3591</v>
      </c>
      <c r="S62" s="5">
        <v>3201</v>
      </c>
      <c r="T62" s="5">
        <v>1492</v>
      </c>
      <c r="U62" s="5">
        <v>1244</v>
      </c>
      <c r="V62" s="5">
        <v>1145</v>
      </c>
      <c r="W62" s="5">
        <v>235</v>
      </c>
      <c r="X62" s="5">
        <v>469</v>
      </c>
      <c r="Y62" s="5">
        <v>569</v>
      </c>
      <c r="Z62" s="5">
        <v>315</v>
      </c>
      <c r="AA62" s="5">
        <v>2016</v>
      </c>
      <c r="AB62" s="5">
        <v>5</v>
      </c>
      <c r="AC62" s="5">
        <v>17718</v>
      </c>
      <c r="AD62" s="49"/>
    </row>
    <row r="63" spans="1:30">
      <c r="A63" s="23" t="s">
        <v>222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</v>
      </c>
      <c r="O63" s="49"/>
      <c r="P63" s="23" t="s">
        <v>222</v>
      </c>
      <c r="Q63" s="5">
        <v>858</v>
      </c>
      <c r="R63" s="5">
        <v>762</v>
      </c>
      <c r="S63" s="5">
        <v>1677</v>
      </c>
      <c r="T63" s="5">
        <v>505</v>
      </c>
      <c r="U63" s="5">
        <v>747</v>
      </c>
      <c r="V63" s="5">
        <v>336</v>
      </c>
      <c r="W63" s="5">
        <v>92</v>
      </c>
      <c r="X63" s="5">
        <v>206</v>
      </c>
      <c r="Y63" s="5">
        <v>122</v>
      </c>
      <c r="Z63" s="5">
        <v>72</v>
      </c>
      <c r="AA63" s="5">
        <v>727</v>
      </c>
      <c r="AB63" s="5">
        <v>2</v>
      </c>
      <c r="AC63" s="5">
        <v>6106</v>
      </c>
      <c r="AD63" s="49"/>
    </row>
    <row r="64" spans="1:30">
      <c r="A64" s="21" t="s">
        <v>46</v>
      </c>
      <c r="B64" s="38">
        <v>1127470</v>
      </c>
      <c r="C64" s="38">
        <v>1010920</v>
      </c>
      <c r="D64" s="38">
        <v>586564</v>
      </c>
      <c r="E64" s="38">
        <v>345459</v>
      </c>
      <c r="F64" s="38">
        <v>257579</v>
      </c>
      <c r="G64" s="38">
        <v>221792</v>
      </c>
      <c r="H64" s="38">
        <v>119498</v>
      </c>
      <c r="I64" s="38">
        <v>133440</v>
      </c>
      <c r="J64" s="38">
        <v>105796</v>
      </c>
      <c r="K64" s="38">
        <v>113329</v>
      </c>
      <c r="L64" s="38">
        <v>538612</v>
      </c>
      <c r="M64" s="38">
        <v>1121</v>
      </c>
      <c r="N64" s="38">
        <v>4561580</v>
      </c>
      <c r="O64" s="49"/>
      <c r="P64" s="21" t="s">
        <v>46</v>
      </c>
      <c r="Q64" s="38">
        <v>322313</v>
      </c>
      <c r="R64" s="38">
        <v>245440</v>
      </c>
      <c r="S64" s="38">
        <v>309059</v>
      </c>
      <c r="T64" s="38">
        <v>121828</v>
      </c>
      <c r="U64" s="38">
        <v>128656</v>
      </c>
      <c r="V64" s="38">
        <v>120405</v>
      </c>
      <c r="W64" s="38">
        <v>37088</v>
      </c>
      <c r="X64" s="38">
        <v>50000</v>
      </c>
      <c r="Y64" s="38">
        <v>44576</v>
      </c>
      <c r="Z64" s="38">
        <v>28741</v>
      </c>
      <c r="AA64" s="38">
        <v>180205</v>
      </c>
      <c r="AB64" s="38">
        <v>412</v>
      </c>
      <c r="AC64" s="38">
        <v>1588723</v>
      </c>
      <c r="AD64" s="49"/>
    </row>
    <row r="65" spans="1:29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>
      <c r="Q66" s="6"/>
      <c r="R66" s="6"/>
      <c r="S66" s="6"/>
      <c r="T66" s="6"/>
    </row>
    <row r="67" spans="1:29">
      <c r="A67" s="7" t="s">
        <v>106</v>
      </c>
      <c r="Q67" s="6"/>
      <c r="R67" s="6"/>
      <c r="S67" s="6"/>
      <c r="T67" s="6"/>
    </row>
    <row r="68" spans="1:29">
      <c r="A68" s="7" t="s">
        <v>313</v>
      </c>
      <c r="P68" s="7"/>
      <c r="Q68" s="6"/>
      <c r="R68" s="6"/>
      <c r="S68" s="6"/>
      <c r="T68" s="6"/>
    </row>
    <row r="69" spans="1:29">
      <c r="A69" s="8" t="s">
        <v>148</v>
      </c>
      <c r="B69" s="8" t="s">
        <v>0</v>
      </c>
      <c r="C69" s="8" t="s">
        <v>1</v>
      </c>
      <c r="D69" s="8" t="s">
        <v>45</v>
      </c>
      <c r="P69" s="26"/>
      <c r="Q69" s="26"/>
      <c r="R69" s="26"/>
      <c r="S69" s="26"/>
      <c r="T69" s="6"/>
    </row>
    <row r="70" spans="1:29">
      <c r="A70" s="35" t="s">
        <v>9</v>
      </c>
      <c r="B70" s="4">
        <v>20056144</v>
      </c>
      <c r="C70" s="4">
        <v>5305530</v>
      </c>
      <c r="D70" s="4">
        <v>25361674</v>
      </c>
      <c r="E70" s="34"/>
      <c r="F70" s="39"/>
      <c r="P70" s="25"/>
      <c r="Q70" s="13"/>
      <c r="R70" s="13"/>
      <c r="S70" s="13"/>
      <c r="T70" s="6"/>
    </row>
    <row r="71" spans="1:29">
      <c r="A71" s="35" t="s">
        <v>10</v>
      </c>
      <c r="B71" s="5">
        <v>13838803</v>
      </c>
      <c r="C71" s="5">
        <v>3001589</v>
      </c>
      <c r="D71" s="5">
        <v>16840392</v>
      </c>
      <c r="E71" s="34"/>
      <c r="F71" s="39"/>
      <c r="P71" s="25"/>
      <c r="Q71" s="13"/>
      <c r="R71" s="13"/>
      <c r="S71" s="13"/>
      <c r="T71" s="6"/>
    </row>
    <row r="72" spans="1:29">
      <c r="A72" s="35" t="s">
        <v>11</v>
      </c>
      <c r="B72" s="5">
        <v>2904195</v>
      </c>
      <c r="C72" s="5">
        <v>1197368</v>
      </c>
      <c r="D72" s="5">
        <v>4101563</v>
      </c>
      <c r="E72" s="34"/>
      <c r="F72" s="39"/>
      <c r="P72" s="25"/>
      <c r="Q72" s="13"/>
      <c r="R72" s="13"/>
      <c r="S72" s="13"/>
      <c r="T72" s="6"/>
    </row>
    <row r="73" spans="1:29">
      <c r="A73" s="35" t="s">
        <v>12</v>
      </c>
      <c r="B73" s="5">
        <v>5775764</v>
      </c>
      <c r="C73" s="5">
        <v>1877799</v>
      </c>
      <c r="D73" s="5">
        <v>7653563</v>
      </c>
      <c r="E73" s="34"/>
      <c r="F73" s="39"/>
      <c r="P73" s="25"/>
      <c r="Q73" s="13"/>
      <c r="R73" s="13"/>
      <c r="S73" s="13"/>
      <c r="T73" s="6"/>
    </row>
    <row r="74" spans="1:29">
      <c r="A74" s="35" t="s">
        <v>13</v>
      </c>
      <c r="B74" s="5">
        <v>1062074</v>
      </c>
      <c r="C74" s="5">
        <v>401328</v>
      </c>
      <c r="D74" s="5">
        <v>1463402</v>
      </c>
      <c r="E74" s="34"/>
      <c r="F74" s="39"/>
      <c r="P74" s="25"/>
      <c r="Q74" s="13"/>
      <c r="R74" s="13"/>
      <c r="S74" s="13"/>
      <c r="T74" s="6"/>
    </row>
    <row r="75" spans="1:29">
      <c r="A75" s="35" t="s">
        <v>163</v>
      </c>
      <c r="B75" s="5">
        <v>2010843</v>
      </c>
      <c r="C75" s="5">
        <v>732732</v>
      </c>
      <c r="D75" s="5">
        <v>2743575</v>
      </c>
      <c r="E75" s="34"/>
      <c r="F75" s="39"/>
      <c r="P75" s="25"/>
      <c r="Q75" s="13"/>
      <c r="R75" s="13"/>
      <c r="S75" s="13"/>
      <c r="T75" s="6"/>
    </row>
    <row r="76" spans="1:29">
      <c r="A76" s="35" t="s">
        <v>164</v>
      </c>
      <c r="B76" s="5">
        <v>1849558</v>
      </c>
      <c r="C76" s="5">
        <v>509404</v>
      </c>
      <c r="D76" s="5">
        <v>2358962</v>
      </c>
      <c r="E76" s="34"/>
      <c r="F76" s="39"/>
      <c r="P76" s="25"/>
      <c r="Q76" s="13"/>
      <c r="R76" s="13"/>
      <c r="S76" s="13"/>
      <c r="T76" s="6"/>
    </row>
    <row r="77" spans="1:29">
      <c r="A77" s="35" t="s">
        <v>165</v>
      </c>
      <c r="B77" s="5">
        <v>1518859</v>
      </c>
      <c r="C77" s="5">
        <v>410227</v>
      </c>
      <c r="D77" s="5">
        <v>1929086</v>
      </c>
      <c r="E77" s="34"/>
      <c r="F77" s="39"/>
      <c r="P77" s="29"/>
      <c r="Q77" s="13"/>
      <c r="R77" s="13"/>
      <c r="S77" s="13"/>
      <c r="T77" s="6"/>
    </row>
    <row r="78" spans="1:29">
      <c r="A78" s="35" t="s">
        <v>166</v>
      </c>
      <c r="B78" s="5">
        <v>3012526</v>
      </c>
      <c r="C78" s="5">
        <v>1061126</v>
      </c>
      <c r="D78" s="5">
        <v>4073652</v>
      </c>
      <c r="E78" s="34"/>
      <c r="F78" s="39"/>
      <c r="Q78" s="6"/>
      <c r="R78" s="6"/>
      <c r="S78" s="6"/>
      <c r="T78" s="6"/>
    </row>
    <row r="79" spans="1:29">
      <c r="A79" s="35" t="s">
        <v>203</v>
      </c>
      <c r="B79" s="5">
        <v>2382582</v>
      </c>
      <c r="C79" s="5">
        <v>478339</v>
      </c>
      <c r="D79" s="5">
        <v>2860921</v>
      </c>
      <c r="E79" s="34"/>
      <c r="F79" s="39"/>
      <c r="Q79" s="6"/>
      <c r="R79" s="6"/>
      <c r="S79" s="6"/>
      <c r="T79" s="6"/>
    </row>
    <row r="80" spans="1:29">
      <c r="A80" s="35" t="s">
        <v>31</v>
      </c>
      <c r="B80" s="5">
        <v>6605927</v>
      </c>
      <c r="C80" s="5">
        <v>1594067</v>
      </c>
      <c r="D80" s="5">
        <v>8199994</v>
      </c>
      <c r="E80" s="34"/>
      <c r="F80" s="39"/>
      <c r="Q80" s="6"/>
      <c r="R80" s="6"/>
      <c r="S80" s="6"/>
      <c r="T80" s="6"/>
    </row>
    <row r="81" spans="1:30">
      <c r="A81" s="35" t="s">
        <v>222</v>
      </c>
      <c r="B81" s="5">
        <v>14720</v>
      </c>
      <c r="C81" s="5">
        <v>1649</v>
      </c>
      <c r="D81" s="5">
        <v>16369</v>
      </c>
      <c r="E81" s="34"/>
      <c r="F81" s="39"/>
      <c r="Q81" s="6"/>
      <c r="R81" s="6"/>
      <c r="S81" s="6"/>
      <c r="T81" s="6"/>
    </row>
    <row r="82" spans="1:30">
      <c r="A82" s="21" t="s">
        <v>46</v>
      </c>
      <c r="B82" s="38">
        <v>61031995</v>
      </c>
      <c r="C82" s="38">
        <v>16571158</v>
      </c>
      <c r="D82" s="38">
        <v>77603153</v>
      </c>
      <c r="E82" s="34"/>
      <c r="Q82" s="6"/>
      <c r="R82" s="6"/>
      <c r="S82" s="6"/>
      <c r="T82" s="6"/>
    </row>
    <row r="83" spans="1:30">
      <c r="B83" s="47"/>
      <c r="C83" s="47"/>
      <c r="D83" s="47"/>
      <c r="Q83" s="6"/>
      <c r="R83" s="6"/>
      <c r="S83" s="6"/>
      <c r="T83" s="6"/>
    </row>
    <row r="84" spans="1:30">
      <c r="Q84" s="6"/>
      <c r="R84" s="6"/>
      <c r="S84" s="6"/>
      <c r="T84" s="6"/>
    </row>
    <row r="85" spans="1:30">
      <c r="A85" s="7" t="s">
        <v>107</v>
      </c>
      <c r="P85" s="7" t="s">
        <v>110</v>
      </c>
      <c r="Q85" s="6"/>
      <c r="R85" s="6"/>
      <c r="S85" s="6"/>
      <c r="T85" s="6"/>
    </row>
    <row r="86" spans="1:30">
      <c r="A86" s="7" t="s">
        <v>314</v>
      </c>
      <c r="P86" s="7" t="s">
        <v>315</v>
      </c>
      <c r="Q86" s="6"/>
      <c r="R86" s="6"/>
      <c r="S86" s="6"/>
      <c r="T86" s="6"/>
    </row>
    <row r="87" spans="1:30" ht="38.25">
      <c r="A87" s="28" t="s">
        <v>50</v>
      </c>
      <c r="B87" s="28" t="s">
        <v>9</v>
      </c>
      <c r="C87" s="28" t="s">
        <v>10</v>
      </c>
      <c r="D87" s="28" t="s">
        <v>11</v>
      </c>
      <c r="E87" s="28" t="s">
        <v>12</v>
      </c>
      <c r="F87" s="28" t="s">
        <v>13</v>
      </c>
      <c r="G87" s="28" t="s">
        <v>163</v>
      </c>
      <c r="H87" s="28" t="s">
        <v>164</v>
      </c>
      <c r="I87" s="28" t="s">
        <v>165</v>
      </c>
      <c r="J87" s="28" t="s">
        <v>166</v>
      </c>
      <c r="K87" s="28" t="s">
        <v>203</v>
      </c>
      <c r="L87" s="28" t="s">
        <v>31</v>
      </c>
      <c r="M87" s="28" t="s">
        <v>223</v>
      </c>
      <c r="N87" s="28" t="s">
        <v>48</v>
      </c>
      <c r="P87" s="28" t="s">
        <v>50</v>
      </c>
      <c r="Q87" s="28" t="s">
        <v>9</v>
      </c>
      <c r="R87" s="28" t="s">
        <v>10</v>
      </c>
      <c r="S87" s="28" t="s">
        <v>11</v>
      </c>
      <c r="T87" s="28" t="s">
        <v>12</v>
      </c>
      <c r="U87" s="28" t="s">
        <v>13</v>
      </c>
      <c r="V87" s="28" t="s">
        <v>163</v>
      </c>
      <c r="W87" s="28" t="s">
        <v>164</v>
      </c>
      <c r="X87" s="28" t="s">
        <v>165</v>
      </c>
      <c r="Y87" s="28" t="s">
        <v>166</v>
      </c>
      <c r="Z87" s="28" t="s">
        <v>203</v>
      </c>
      <c r="AA87" s="28" t="s">
        <v>31</v>
      </c>
      <c r="AB87" s="28" t="s">
        <v>222</v>
      </c>
      <c r="AC87" s="28" t="s">
        <v>48</v>
      </c>
    </row>
    <row r="88" spans="1:30">
      <c r="A88" s="14" t="s">
        <v>5</v>
      </c>
      <c r="B88" s="4">
        <v>4918944</v>
      </c>
      <c r="C88" s="4">
        <v>5868673</v>
      </c>
      <c r="D88" s="15">
        <v>1025042</v>
      </c>
      <c r="E88" s="15">
        <v>3525462</v>
      </c>
      <c r="F88" s="15">
        <v>446534</v>
      </c>
      <c r="G88" s="15">
        <v>1015096</v>
      </c>
      <c r="H88" s="15">
        <v>2806</v>
      </c>
      <c r="I88" s="15">
        <v>676453</v>
      </c>
      <c r="J88" s="15">
        <v>1489225</v>
      </c>
      <c r="K88" s="15">
        <v>1662882</v>
      </c>
      <c r="L88" s="15">
        <v>3011727</v>
      </c>
      <c r="M88" s="15">
        <v>7114</v>
      </c>
      <c r="N88" s="15">
        <v>23649958</v>
      </c>
      <c r="O88" s="49"/>
      <c r="P88" s="14" t="s">
        <v>5</v>
      </c>
      <c r="Q88" s="4">
        <v>2118388</v>
      </c>
      <c r="R88" s="4">
        <v>1676503</v>
      </c>
      <c r="S88" s="15">
        <v>551588</v>
      </c>
      <c r="T88" s="15">
        <v>1303115</v>
      </c>
      <c r="U88" s="15">
        <v>208084</v>
      </c>
      <c r="V88" s="15">
        <v>421378</v>
      </c>
      <c r="W88" s="15">
        <v>37350</v>
      </c>
      <c r="X88" s="15">
        <v>177882</v>
      </c>
      <c r="Y88" s="15">
        <v>523972</v>
      </c>
      <c r="Z88" s="15">
        <v>323521</v>
      </c>
      <c r="AA88" s="15">
        <v>812913</v>
      </c>
      <c r="AB88" s="15">
        <v>610</v>
      </c>
      <c r="AC88" s="15">
        <v>8155304</v>
      </c>
      <c r="AD88" s="50"/>
    </row>
    <row r="89" spans="1:30">
      <c r="A89" s="17" t="s">
        <v>6</v>
      </c>
      <c r="B89" s="5">
        <v>15137200</v>
      </c>
      <c r="C89" s="5">
        <v>7970130</v>
      </c>
      <c r="D89" s="10">
        <v>1879153</v>
      </c>
      <c r="E89" s="10">
        <v>2250302</v>
      </c>
      <c r="F89" s="10">
        <v>615540</v>
      </c>
      <c r="G89" s="10">
        <v>995747</v>
      </c>
      <c r="H89" s="10">
        <v>1846752</v>
      </c>
      <c r="I89" s="10">
        <v>842406</v>
      </c>
      <c r="J89" s="10">
        <v>1523301</v>
      </c>
      <c r="K89" s="10">
        <v>719700</v>
      </c>
      <c r="L89" s="10">
        <v>3594200</v>
      </c>
      <c r="M89" s="10">
        <v>7606</v>
      </c>
      <c r="N89" s="10">
        <v>37382037</v>
      </c>
      <c r="O89" s="49"/>
      <c r="P89" s="17" t="s">
        <v>6</v>
      </c>
      <c r="Q89" s="5">
        <v>3187142</v>
      </c>
      <c r="R89" s="5">
        <v>1325086</v>
      </c>
      <c r="S89" s="10">
        <v>645780</v>
      </c>
      <c r="T89" s="10">
        <v>574684</v>
      </c>
      <c r="U89" s="10">
        <v>193244</v>
      </c>
      <c r="V89" s="10">
        <v>311354</v>
      </c>
      <c r="W89" s="10">
        <v>472054</v>
      </c>
      <c r="X89" s="10">
        <v>232345</v>
      </c>
      <c r="Y89" s="10">
        <v>537154</v>
      </c>
      <c r="Z89" s="10">
        <v>154818</v>
      </c>
      <c r="AA89" s="10">
        <v>781154</v>
      </c>
      <c r="AB89" s="10">
        <v>1039</v>
      </c>
      <c r="AC89" s="10">
        <v>8415854</v>
      </c>
      <c r="AD89" s="49"/>
    </row>
    <row r="90" spans="1:30">
      <c r="A90" s="17" t="s">
        <v>222</v>
      </c>
      <c r="B90" s="5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>
        <v>0</v>
      </c>
      <c r="O90" s="49"/>
      <c r="P90" s="17" t="s">
        <v>222</v>
      </c>
      <c r="Q90" s="5"/>
      <c r="R90" s="5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>
        <v>0</v>
      </c>
      <c r="AD90" s="49"/>
    </row>
    <row r="91" spans="1:30">
      <c r="A91" s="21" t="s">
        <v>46</v>
      </c>
      <c r="B91" s="38">
        <v>20056144</v>
      </c>
      <c r="C91" s="38">
        <v>13838803</v>
      </c>
      <c r="D91" s="38">
        <v>2904195</v>
      </c>
      <c r="E91" s="38">
        <v>5775764</v>
      </c>
      <c r="F91" s="38">
        <v>1062074</v>
      </c>
      <c r="G91" s="38">
        <v>2010843</v>
      </c>
      <c r="H91" s="38">
        <v>1849558</v>
      </c>
      <c r="I91" s="38">
        <v>1518859</v>
      </c>
      <c r="J91" s="38">
        <v>3012526</v>
      </c>
      <c r="K91" s="38">
        <v>2382582</v>
      </c>
      <c r="L91" s="38">
        <v>6605927</v>
      </c>
      <c r="M91" s="38">
        <v>14720</v>
      </c>
      <c r="N91" s="52">
        <v>61031995</v>
      </c>
      <c r="O91" s="49"/>
      <c r="P91" s="21" t="s">
        <v>46</v>
      </c>
      <c r="Q91" s="38">
        <v>5305530</v>
      </c>
      <c r="R91" s="38">
        <v>3001589</v>
      </c>
      <c r="S91" s="38">
        <v>1197368</v>
      </c>
      <c r="T91" s="38">
        <v>1877799</v>
      </c>
      <c r="U91" s="38">
        <v>401328</v>
      </c>
      <c r="V91" s="38">
        <v>732732</v>
      </c>
      <c r="W91" s="38">
        <v>509404</v>
      </c>
      <c r="X91" s="38">
        <v>410227</v>
      </c>
      <c r="Y91" s="38">
        <v>1061126</v>
      </c>
      <c r="Z91" s="38">
        <v>478339</v>
      </c>
      <c r="AA91" s="38">
        <v>1594067</v>
      </c>
      <c r="AB91" s="38">
        <v>1649</v>
      </c>
      <c r="AC91" s="52">
        <v>16571158</v>
      </c>
      <c r="AD91" s="49"/>
    </row>
    <row r="92" spans="1:30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30">
      <c r="Q93" s="6"/>
      <c r="R93" s="6"/>
      <c r="S93" s="6"/>
      <c r="T93" s="6"/>
    </row>
    <row r="94" spans="1:30">
      <c r="A94" s="7" t="s">
        <v>108</v>
      </c>
      <c r="P94" s="7" t="s">
        <v>111</v>
      </c>
      <c r="Q94" s="6"/>
      <c r="R94" s="6"/>
      <c r="S94" s="6"/>
      <c r="T94" s="6"/>
    </row>
    <row r="95" spans="1:30">
      <c r="A95" s="7" t="s">
        <v>316</v>
      </c>
      <c r="P95" s="7" t="s">
        <v>317</v>
      </c>
      <c r="Q95" s="6"/>
      <c r="R95" s="6"/>
      <c r="S95" s="6"/>
      <c r="T95" s="6"/>
    </row>
    <row r="96" spans="1:30" ht="38.25">
      <c r="A96" s="16" t="s">
        <v>51</v>
      </c>
      <c r="B96" s="28" t="s">
        <v>9</v>
      </c>
      <c r="C96" s="28" t="s">
        <v>10</v>
      </c>
      <c r="D96" s="28" t="s">
        <v>11</v>
      </c>
      <c r="E96" s="28" t="s">
        <v>12</v>
      </c>
      <c r="F96" s="28" t="s">
        <v>13</v>
      </c>
      <c r="G96" s="28" t="s">
        <v>163</v>
      </c>
      <c r="H96" s="28" t="s">
        <v>164</v>
      </c>
      <c r="I96" s="28" t="s">
        <v>165</v>
      </c>
      <c r="J96" s="28" t="s">
        <v>166</v>
      </c>
      <c r="K96" s="28" t="s">
        <v>203</v>
      </c>
      <c r="L96" s="28" t="s">
        <v>31</v>
      </c>
      <c r="M96" s="28" t="s">
        <v>223</v>
      </c>
      <c r="N96" s="28" t="s">
        <v>48</v>
      </c>
      <c r="P96" s="16" t="s">
        <v>51</v>
      </c>
      <c r="Q96" s="28" t="s">
        <v>9</v>
      </c>
      <c r="R96" s="28" t="s">
        <v>10</v>
      </c>
      <c r="S96" s="28" t="s">
        <v>11</v>
      </c>
      <c r="T96" s="28" t="s">
        <v>12</v>
      </c>
      <c r="U96" s="28" t="s">
        <v>13</v>
      </c>
      <c r="V96" s="28" t="s">
        <v>163</v>
      </c>
      <c r="W96" s="28" t="s">
        <v>164</v>
      </c>
      <c r="X96" s="28" t="s">
        <v>165</v>
      </c>
      <c r="Y96" s="28" t="s">
        <v>166</v>
      </c>
      <c r="Z96" s="28" t="s">
        <v>203</v>
      </c>
      <c r="AA96" s="28" t="s">
        <v>31</v>
      </c>
      <c r="AB96" s="28" t="s">
        <v>223</v>
      </c>
      <c r="AC96" s="28" t="s">
        <v>48</v>
      </c>
    </row>
    <row r="97" spans="1:30">
      <c r="A97" s="14" t="s">
        <v>40</v>
      </c>
      <c r="B97" s="4">
        <v>56511</v>
      </c>
      <c r="C97" s="4">
        <v>40987</v>
      </c>
      <c r="D97" s="4">
        <v>21066</v>
      </c>
      <c r="E97" s="4">
        <v>49080</v>
      </c>
      <c r="F97" s="4">
        <v>12613</v>
      </c>
      <c r="G97" s="4">
        <v>12999</v>
      </c>
      <c r="H97" s="4">
        <v>15452</v>
      </c>
      <c r="I97" s="4">
        <v>5630</v>
      </c>
      <c r="J97" s="4">
        <v>1965</v>
      </c>
      <c r="K97" s="4">
        <v>1980</v>
      </c>
      <c r="L97" s="4">
        <v>33854</v>
      </c>
      <c r="M97" s="4">
        <v>100</v>
      </c>
      <c r="N97" s="4">
        <v>252237</v>
      </c>
      <c r="O97" s="50"/>
      <c r="P97" s="14" t="s">
        <v>40</v>
      </c>
      <c r="Q97" s="4">
        <v>2564</v>
      </c>
      <c r="R97" s="4">
        <v>1317</v>
      </c>
      <c r="S97" s="4">
        <v>1154</v>
      </c>
      <c r="T97" s="4">
        <v>2243</v>
      </c>
      <c r="U97" s="4">
        <v>487</v>
      </c>
      <c r="V97" s="4">
        <v>567</v>
      </c>
      <c r="W97" s="4">
        <v>166</v>
      </c>
      <c r="X97" s="4">
        <v>173</v>
      </c>
      <c r="Y97" s="4">
        <v>30</v>
      </c>
      <c r="Z97" s="4">
        <v>62</v>
      </c>
      <c r="AA97" s="4">
        <v>1096</v>
      </c>
      <c r="AB97" s="4">
        <v>2</v>
      </c>
      <c r="AC97" s="4">
        <v>9861</v>
      </c>
      <c r="AD97" s="50"/>
    </row>
    <row r="98" spans="1:30">
      <c r="A98" s="17" t="s">
        <v>2</v>
      </c>
      <c r="B98" s="5">
        <v>1342925</v>
      </c>
      <c r="C98" s="5">
        <v>540947</v>
      </c>
      <c r="D98" s="5">
        <v>212294</v>
      </c>
      <c r="E98" s="5">
        <v>457247</v>
      </c>
      <c r="F98" s="5">
        <v>124011</v>
      </c>
      <c r="G98" s="5">
        <v>116807</v>
      </c>
      <c r="H98" s="5">
        <v>269668</v>
      </c>
      <c r="I98" s="5">
        <v>72010</v>
      </c>
      <c r="J98" s="5">
        <v>31892</v>
      </c>
      <c r="K98" s="5">
        <v>24037</v>
      </c>
      <c r="L98" s="5">
        <v>327791</v>
      </c>
      <c r="M98" s="5">
        <v>1207</v>
      </c>
      <c r="N98" s="5">
        <v>3520836</v>
      </c>
      <c r="O98" s="49"/>
      <c r="P98" s="17" t="s">
        <v>2</v>
      </c>
      <c r="Q98" s="5">
        <v>120735</v>
      </c>
      <c r="R98" s="5">
        <v>62175</v>
      </c>
      <c r="S98" s="5">
        <v>31994</v>
      </c>
      <c r="T98" s="5">
        <v>74797</v>
      </c>
      <c r="U98" s="5">
        <v>18602</v>
      </c>
      <c r="V98" s="5">
        <v>17575</v>
      </c>
      <c r="W98" s="5">
        <v>11946</v>
      </c>
      <c r="X98" s="5">
        <v>7966</v>
      </c>
      <c r="Y98" s="5">
        <v>6730</v>
      </c>
      <c r="Z98" s="5">
        <v>3495</v>
      </c>
      <c r="AA98" s="5">
        <v>34449</v>
      </c>
      <c r="AB98" s="5">
        <v>20</v>
      </c>
      <c r="AC98" s="5">
        <v>390484</v>
      </c>
      <c r="AD98" s="49"/>
    </row>
    <row r="99" spans="1:30">
      <c r="A99" s="17" t="s">
        <v>41</v>
      </c>
      <c r="B99" s="5">
        <v>7244715</v>
      </c>
      <c r="C99" s="5">
        <v>2360266</v>
      </c>
      <c r="D99" s="5">
        <v>832632</v>
      </c>
      <c r="E99" s="5">
        <v>1354433</v>
      </c>
      <c r="F99" s="5">
        <v>378260</v>
      </c>
      <c r="G99" s="5">
        <v>445856</v>
      </c>
      <c r="H99" s="5">
        <v>1136442</v>
      </c>
      <c r="I99" s="5">
        <v>315880</v>
      </c>
      <c r="J99" s="5">
        <v>232198</v>
      </c>
      <c r="K99" s="5">
        <v>144184</v>
      </c>
      <c r="L99" s="5">
        <v>1311957</v>
      </c>
      <c r="M99" s="5">
        <v>4407</v>
      </c>
      <c r="N99" s="5">
        <v>15761230</v>
      </c>
      <c r="O99" s="49"/>
      <c r="P99" s="17" t="s">
        <v>41</v>
      </c>
      <c r="Q99" s="5">
        <v>1807514</v>
      </c>
      <c r="R99" s="5">
        <v>682201</v>
      </c>
      <c r="S99" s="5">
        <v>401388</v>
      </c>
      <c r="T99" s="5">
        <v>575924</v>
      </c>
      <c r="U99" s="5">
        <v>172128</v>
      </c>
      <c r="V99" s="5">
        <v>207762</v>
      </c>
      <c r="W99" s="5">
        <v>293623</v>
      </c>
      <c r="X99" s="5">
        <v>99641</v>
      </c>
      <c r="Y99" s="5">
        <v>112102</v>
      </c>
      <c r="Z99" s="5">
        <v>53059</v>
      </c>
      <c r="AA99" s="5">
        <v>415791</v>
      </c>
      <c r="AB99" s="5">
        <v>538</v>
      </c>
      <c r="AC99" s="5">
        <v>4821671</v>
      </c>
      <c r="AD99" s="49"/>
    </row>
    <row r="100" spans="1:30">
      <c r="A100" s="17" t="s">
        <v>42</v>
      </c>
      <c r="B100" s="5">
        <v>5442416</v>
      </c>
      <c r="C100" s="5">
        <v>2768275</v>
      </c>
      <c r="D100" s="5">
        <v>634375</v>
      </c>
      <c r="E100" s="5">
        <v>1177842</v>
      </c>
      <c r="F100" s="5">
        <v>232307</v>
      </c>
      <c r="G100" s="5">
        <v>440027</v>
      </c>
      <c r="H100" s="5">
        <v>416488</v>
      </c>
      <c r="I100" s="5">
        <v>319647</v>
      </c>
      <c r="J100" s="5">
        <v>466032</v>
      </c>
      <c r="K100" s="5">
        <v>277138</v>
      </c>
      <c r="L100" s="5">
        <v>1355622</v>
      </c>
      <c r="M100" s="5">
        <v>3089</v>
      </c>
      <c r="N100" s="5">
        <v>13533258</v>
      </c>
      <c r="O100" s="49"/>
      <c r="P100" s="17" t="s">
        <v>42</v>
      </c>
      <c r="Q100" s="5">
        <v>1759394</v>
      </c>
      <c r="R100" s="5">
        <v>794991</v>
      </c>
      <c r="S100" s="5">
        <v>350810</v>
      </c>
      <c r="T100" s="5">
        <v>514760</v>
      </c>
      <c r="U100" s="5">
        <v>114355</v>
      </c>
      <c r="V100" s="5">
        <v>212098</v>
      </c>
      <c r="W100" s="5">
        <v>198118</v>
      </c>
      <c r="X100" s="5">
        <v>126221</v>
      </c>
      <c r="Y100" s="5">
        <v>229113</v>
      </c>
      <c r="Z100" s="5">
        <v>97804</v>
      </c>
      <c r="AA100" s="5">
        <v>432075</v>
      </c>
      <c r="AB100" s="5">
        <v>668</v>
      </c>
      <c r="AC100" s="5">
        <v>4830407</v>
      </c>
      <c r="AD100" s="49"/>
    </row>
    <row r="101" spans="1:30">
      <c r="A101" s="17" t="s">
        <v>43</v>
      </c>
      <c r="B101" s="5">
        <v>3271730</v>
      </c>
      <c r="C101" s="5">
        <v>3654493</v>
      </c>
      <c r="D101" s="5">
        <v>547699</v>
      </c>
      <c r="E101" s="5">
        <v>1306886</v>
      </c>
      <c r="F101" s="5">
        <v>160840</v>
      </c>
      <c r="G101" s="5">
        <v>435664</v>
      </c>
      <c r="H101" s="5">
        <v>8978</v>
      </c>
      <c r="I101" s="5">
        <v>326267</v>
      </c>
      <c r="J101" s="5">
        <v>808134</v>
      </c>
      <c r="K101" s="5">
        <v>550128</v>
      </c>
      <c r="L101" s="5">
        <v>1558261</v>
      </c>
      <c r="M101" s="5">
        <v>2755</v>
      </c>
      <c r="N101" s="5">
        <v>12631835</v>
      </c>
      <c r="O101" s="49"/>
      <c r="P101" s="17" t="s">
        <v>43</v>
      </c>
      <c r="Q101" s="5">
        <v>876370</v>
      </c>
      <c r="R101" s="5">
        <v>708355</v>
      </c>
      <c r="S101" s="5">
        <v>211105</v>
      </c>
      <c r="T101" s="5">
        <v>377380</v>
      </c>
      <c r="U101" s="5">
        <v>53966</v>
      </c>
      <c r="V101" s="5">
        <v>155236</v>
      </c>
      <c r="W101" s="5">
        <v>5390</v>
      </c>
      <c r="X101" s="5">
        <v>85300</v>
      </c>
      <c r="Y101" s="5">
        <v>285791</v>
      </c>
      <c r="Z101" s="5">
        <v>124822</v>
      </c>
      <c r="AA101" s="5">
        <v>340000</v>
      </c>
      <c r="AB101" s="5">
        <v>214</v>
      </c>
      <c r="AC101" s="5">
        <v>3223929</v>
      </c>
      <c r="AD101" s="49"/>
    </row>
    <row r="102" spans="1:30">
      <c r="A102" s="17" t="s">
        <v>44</v>
      </c>
      <c r="B102" s="5">
        <v>2196272</v>
      </c>
      <c r="C102" s="5">
        <v>3442871</v>
      </c>
      <c r="D102" s="5">
        <v>469298</v>
      </c>
      <c r="E102" s="5">
        <v>1109579</v>
      </c>
      <c r="F102" s="5">
        <v>120348</v>
      </c>
      <c r="G102" s="5">
        <v>405193</v>
      </c>
      <c r="H102" s="5">
        <v>873</v>
      </c>
      <c r="I102" s="5">
        <v>312075</v>
      </c>
      <c r="J102" s="5">
        <v>960326</v>
      </c>
      <c r="K102" s="5">
        <v>869472</v>
      </c>
      <c r="L102" s="5">
        <v>1462878</v>
      </c>
      <c r="M102" s="5">
        <v>2515</v>
      </c>
      <c r="N102" s="5">
        <v>11351700</v>
      </c>
      <c r="O102" s="49"/>
      <c r="P102" s="17" t="s">
        <v>44</v>
      </c>
      <c r="Q102" s="5">
        <v>617421</v>
      </c>
      <c r="R102" s="5">
        <v>621996</v>
      </c>
      <c r="S102" s="5">
        <v>158605</v>
      </c>
      <c r="T102" s="5">
        <v>271800</v>
      </c>
      <c r="U102" s="5">
        <v>33911</v>
      </c>
      <c r="V102" s="5">
        <v>112818</v>
      </c>
      <c r="W102" s="5">
        <v>136</v>
      </c>
      <c r="X102" s="5">
        <v>67440</v>
      </c>
      <c r="Y102" s="5">
        <v>303462</v>
      </c>
      <c r="Z102" s="5">
        <v>142334</v>
      </c>
      <c r="AA102" s="5">
        <v>290054</v>
      </c>
      <c r="AB102" s="5">
        <v>148</v>
      </c>
      <c r="AC102" s="5">
        <v>2620125</v>
      </c>
      <c r="AD102" s="49"/>
    </row>
    <row r="103" spans="1:30">
      <c r="A103" s="17" t="s">
        <v>3</v>
      </c>
      <c r="B103" s="5">
        <v>501575</v>
      </c>
      <c r="C103" s="5">
        <v>1030964</v>
      </c>
      <c r="D103" s="5">
        <v>186831</v>
      </c>
      <c r="E103" s="5">
        <v>320697</v>
      </c>
      <c r="F103" s="5">
        <v>33695</v>
      </c>
      <c r="G103" s="5">
        <v>154297</v>
      </c>
      <c r="H103" s="5">
        <v>1657</v>
      </c>
      <c r="I103" s="5">
        <v>167350</v>
      </c>
      <c r="J103" s="5">
        <v>511979</v>
      </c>
      <c r="K103" s="5">
        <v>515643</v>
      </c>
      <c r="L103" s="5">
        <v>555564</v>
      </c>
      <c r="M103" s="5">
        <v>647</v>
      </c>
      <c r="N103" s="5">
        <v>3980899</v>
      </c>
      <c r="O103" s="49"/>
      <c r="P103" s="17" t="s">
        <v>3</v>
      </c>
      <c r="Q103" s="5">
        <v>121532</v>
      </c>
      <c r="R103" s="5">
        <v>130554</v>
      </c>
      <c r="S103" s="5">
        <v>42290</v>
      </c>
      <c r="T103" s="5">
        <v>60895</v>
      </c>
      <c r="U103" s="5">
        <v>7879</v>
      </c>
      <c r="V103" s="5">
        <v>26675</v>
      </c>
      <c r="W103" s="5">
        <v>25</v>
      </c>
      <c r="X103" s="5">
        <v>23485</v>
      </c>
      <c r="Y103" s="5">
        <v>123898</v>
      </c>
      <c r="Z103" s="5">
        <v>56763</v>
      </c>
      <c r="AA103" s="5">
        <v>80602</v>
      </c>
      <c r="AB103" s="5">
        <v>59</v>
      </c>
      <c r="AC103" s="5">
        <v>674657</v>
      </c>
      <c r="AD103" s="49"/>
    </row>
    <row r="104" spans="1:30">
      <c r="A104" s="17" t="s">
        <v>222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v>0</v>
      </c>
      <c r="O104" s="49"/>
      <c r="P104" s="17" t="s">
        <v>222</v>
      </c>
      <c r="Q104" s="5">
        <v>0</v>
      </c>
      <c r="R104" s="5">
        <v>0</v>
      </c>
      <c r="S104" s="5">
        <v>22</v>
      </c>
      <c r="T104" s="5">
        <v>0</v>
      </c>
      <c r="U104" s="5">
        <v>0</v>
      </c>
      <c r="V104" s="5">
        <v>1</v>
      </c>
      <c r="W104" s="5">
        <v>0</v>
      </c>
      <c r="X104" s="5">
        <v>1</v>
      </c>
      <c r="Y104" s="5">
        <v>0</v>
      </c>
      <c r="Z104" s="5">
        <v>0</v>
      </c>
      <c r="AA104" s="5">
        <v>0</v>
      </c>
      <c r="AB104" s="5">
        <v>0</v>
      </c>
      <c r="AC104" s="5">
        <v>24</v>
      </c>
      <c r="AD104" s="49"/>
    </row>
    <row r="105" spans="1:30">
      <c r="A105" s="21" t="s">
        <v>46</v>
      </c>
      <c r="B105" s="38">
        <v>20056144</v>
      </c>
      <c r="C105" s="38">
        <v>13838803</v>
      </c>
      <c r="D105" s="38">
        <v>2904195</v>
      </c>
      <c r="E105" s="38">
        <v>5775764</v>
      </c>
      <c r="F105" s="38">
        <v>1062074</v>
      </c>
      <c r="G105" s="38">
        <v>2010843</v>
      </c>
      <c r="H105" s="38">
        <v>1849558</v>
      </c>
      <c r="I105" s="38">
        <v>1518859</v>
      </c>
      <c r="J105" s="38">
        <v>3012526</v>
      </c>
      <c r="K105" s="38">
        <v>2382582</v>
      </c>
      <c r="L105" s="38">
        <v>6605927</v>
      </c>
      <c r="M105" s="38">
        <v>14720</v>
      </c>
      <c r="N105" s="38">
        <v>61031995</v>
      </c>
      <c r="O105" s="49"/>
      <c r="P105" s="21" t="s">
        <v>46</v>
      </c>
      <c r="Q105" s="38">
        <v>5305530</v>
      </c>
      <c r="R105" s="38">
        <v>3001589</v>
      </c>
      <c r="S105" s="38">
        <v>1197368</v>
      </c>
      <c r="T105" s="38">
        <v>1877799</v>
      </c>
      <c r="U105" s="38">
        <v>401328</v>
      </c>
      <c r="V105" s="38">
        <v>732732</v>
      </c>
      <c r="W105" s="38">
        <v>509404</v>
      </c>
      <c r="X105" s="38">
        <v>410227</v>
      </c>
      <c r="Y105" s="38">
        <v>1061126</v>
      </c>
      <c r="Z105" s="38">
        <v>478339</v>
      </c>
      <c r="AA105" s="38">
        <v>1594067</v>
      </c>
      <c r="AB105" s="38">
        <v>1649</v>
      </c>
      <c r="AC105" s="38">
        <v>16571158</v>
      </c>
      <c r="AD105" s="49"/>
    </row>
    <row r="106" spans="1:30"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30">
      <c r="Q107" s="6"/>
      <c r="R107" s="6"/>
      <c r="S107" s="6"/>
      <c r="T107" s="6"/>
    </row>
    <row r="108" spans="1:30">
      <c r="A108" s="7" t="s">
        <v>109</v>
      </c>
      <c r="P108" s="7" t="s">
        <v>112</v>
      </c>
      <c r="Q108" s="6"/>
      <c r="R108" s="6"/>
      <c r="S108" s="6"/>
      <c r="T108" s="6"/>
    </row>
    <row r="109" spans="1:30">
      <c r="A109" s="7" t="s">
        <v>318</v>
      </c>
      <c r="P109" s="7" t="s">
        <v>319</v>
      </c>
      <c r="Q109" s="6"/>
      <c r="R109" s="6"/>
      <c r="S109" s="6"/>
      <c r="T109" s="6"/>
    </row>
    <row r="110" spans="1:30" ht="38.25">
      <c r="A110" s="16" t="s">
        <v>149</v>
      </c>
      <c r="B110" s="28" t="s">
        <v>9</v>
      </c>
      <c r="C110" s="28" t="s">
        <v>10</v>
      </c>
      <c r="D110" s="28" t="s">
        <v>11</v>
      </c>
      <c r="E110" s="28" t="s">
        <v>12</v>
      </c>
      <c r="F110" s="28" t="s">
        <v>13</v>
      </c>
      <c r="G110" s="28" t="s">
        <v>163</v>
      </c>
      <c r="H110" s="28" t="s">
        <v>164</v>
      </c>
      <c r="I110" s="28" t="s">
        <v>165</v>
      </c>
      <c r="J110" s="28" t="s">
        <v>166</v>
      </c>
      <c r="K110" s="28" t="s">
        <v>203</v>
      </c>
      <c r="L110" s="28" t="s">
        <v>31</v>
      </c>
      <c r="M110" s="28" t="s">
        <v>223</v>
      </c>
      <c r="N110" s="28" t="s">
        <v>48</v>
      </c>
      <c r="P110" s="16" t="s">
        <v>149</v>
      </c>
      <c r="Q110" s="28" t="s">
        <v>9</v>
      </c>
      <c r="R110" s="28" t="s">
        <v>10</v>
      </c>
      <c r="S110" s="28" t="s">
        <v>11</v>
      </c>
      <c r="T110" s="28" t="s">
        <v>12</v>
      </c>
      <c r="U110" s="28" t="s">
        <v>13</v>
      </c>
      <c r="V110" s="28" t="s">
        <v>163</v>
      </c>
      <c r="W110" s="28" t="s">
        <v>164</v>
      </c>
      <c r="X110" s="28" t="s">
        <v>165</v>
      </c>
      <c r="Y110" s="28" t="s">
        <v>166</v>
      </c>
      <c r="Z110" s="28" t="s">
        <v>203</v>
      </c>
      <c r="AA110" s="28" t="s">
        <v>31</v>
      </c>
      <c r="AB110" s="28" t="s">
        <v>223</v>
      </c>
      <c r="AC110" s="28" t="s">
        <v>48</v>
      </c>
    </row>
    <row r="111" spans="1:30">
      <c r="A111" s="22" t="s">
        <v>14</v>
      </c>
      <c r="B111" s="4">
        <v>38311</v>
      </c>
      <c r="C111" s="4">
        <v>47114</v>
      </c>
      <c r="D111" s="4">
        <v>22079</v>
      </c>
      <c r="E111" s="4">
        <v>36586</v>
      </c>
      <c r="F111" s="4">
        <v>9271</v>
      </c>
      <c r="G111" s="4">
        <v>22056</v>
      </c>
      <c r="H111" s="4">
        <v>26563</v>
      </c>
      <c r="I111" s="4">
        <v>16219</v>
      </c>
      <c r="J111" s="4">
        <v>28787</v>
      </c>
      <c r="K111" s="4">
        <v>17272</v>
      </c>
      <c r="L111" s="4">
        <v>33839</v>
      </c>
      <c r="M111" s="4"/>
      <c r="N111" s="4">
        <v>298097</v>
      </c>
      <c r="O111" s="50"/>
      <c r="P111" s="22" t="s">
        <v>14</v>
      </c>
      <c r="Q111" s="4">
        <v>14949</v>
      </c>
      <c r="R111" s="4">
        <v>11974</v>
      </c>
      <c r="S111" s="4">
        <v>7710</v>
      </c>
      <c r="T111" s="4">
        <v>9997</v>
      </c>
      <c r="U111" s="4">
        <v>3158</v>
      </c>
      <c r="V111" s="4">
        <v>6791</v>
      </c>
      <c r="W111" s="4">
        <v>4385</v>
      </c>
      <c r="X111" s="4">
        <v>3444</v>
      </c>
      <c r="Y111" s="4">
        <v>8955</v>
      </c>
      <c r="Z111" s="4">
        <v>3193</v>
      </c>
      <c r="AA111" s="4">
        <v>9694</v>
      </c>
      <c r="AB111" s="4">
        <v>4</v>
      </c>
      <c r="AC111" s="4">
        <v>84254</v>
      </c>
      <c r="AD111" s="50"/>
    </row>
    <row r="112" spans="1:30">
      <c r="A112" s="23" t="s">
        <v>15</v>
      </c>
      <c r="B112" s="5">
        <v>344003</v>
      </c>
      <c r="C112" s="5">
        <v>221926</v>
      </c>
      <c r="D112" s="5">
        <v>45593</v>
      </c>
      <c r="E112" s="5">
        <v>93096</v>
      </c>
      <c r="F112" s="5">
        <v>52827</v>
      </c>
      <c r="G112" s="5">
        <v>34444</v>
      </c>
      <c r="H112" s="5">
        <v>35208</v>
      </c>
      <c r="I112" s="5">
        <v>30700</v>
      </c>
      <c r="J112" s="5">
        <v>54372</v>
      </c>
      <c r="K112" s="5">
        <v>35974</v>
      </c>
      <c r="L112" s="5">
        <v>96788</v>
      </c>
      <c r="M112" s="5">
        <v>387</v>
      </c>
      <c r="N112" s="5">
        <v>1045318</v>
      </c>
      <c r="O112" s="49"/>
      <c r="P112" s="23" t="s">
        <v>15</v>
      </c>
      <c r="Q112" s="5">
        <v>90223</v>
      </c>
      <c r="R112" s="5">
        <v>54699</v>
      </c>
      <c r="S112" s="5">
        <v>15687</v>
      </c>
      <c r="T112" s="5">
        <v>35587</v>
      </c>
      <c r="U112" s="5">
        <v>5523</v>
      </c>
      <c r="V112" s="5">
        <v>12079</v>
      </c>
      <c r="W112" s="5">
        <v>6950</v>
      </c>
      <c r="X112" s="5">
        <v>6936</v>
      </c>
      <c r="Y112" s="5">
        <v>17357</v>
      </c>
      <c r="Z112" s="5">
        <v>10309</v>
      </c>
      <c r="AA112" s="5">
        <v>27575</v>
      </c>
      <c r="AB112" s="5">
        <v>5</v>
      </c>
      <c r="AC112" s="5">
        <v>282930</v>
      </c>
      <c r="AD112" s="49"/>
    </row>
    <row r="113" spans="1:30" ht="15" customHeight="1">
      <c r="A113" s="23" t="s">
        <v>16</v>
      </c>
      <c r="B113" s="5">
        <v>468723</v>
      </c>
      <c r="C113" s="5">
        <v>408998</v>
      </c>
      <c r="D113" s="5">
        <v>77413</v>
      </c>
      <c r="E113" s="5">
        <v>189395</v>
      </c>
      <c r="F113" s="5">
        <v>30418</v>
      </c>
      <c r="G113" s="5">
        <v>60634</v>
      </c>
      <c r="H113" s="5">
        <v>52824</v>
      </c>
      <c r="I113" s="5">
        <v>56037</v>
      </c>
      <c r="J113" s="5">
        <v>103077</v>
      </c>
      <c r="K113" s="5">
        <v>76285</v>
      </c>
      <c r="L113" s="5">
        <v>326667</v>
      </c>
      <c r="M113" s="5">
        <v>461</v>
      </c>
      <c r="N113" s="5">
        <v>1850932</v>
      </c>
      <c r="O113" s="49"/>
      <c r="P113" s="23" t="s">
        <v>16</v>
      </c>
      <c r="Q113" s="5">
        <v>244754</v>
      </c>
      <c r="R113" s="5">
        <v>196764</v>
      </c>
      <c r="S113" s="5">
        <v>43668</v>
      </c>
      <c r="T113" s="5">
        <v>105048</v>
      </c>
      <c r="U113" s="5">
        <v>13380</v>
      </c>
      <c r="V113" s="5">
        <v>34994</v>
      </c>
      <c r="W113" s="5">
        <v>20388</v>
      </c>
      <c r="X113" s="5">
        <v>24211</v>
      </c>
      <c r="Y113" s="5">
        <v>48062</v>
      </c>
      <c r="Z113" s="5">
        <v>28689</v>
      </c>
      <c r="AA113" s="5">
        <v>80406</v>
      </c>
      <c r="AB113" s="5">
        <v>47</v>
      </c>
      <c r="AC113" s="5">
        <v>840411</v>
      </c>
      <c r="AD113" s="49"/>
    </row>
    <row r="114" spans="1:30" ht="15" customHeight="1">
      <c r="A114" s="23" t="s">
        <v>17</v>
      </c>
      <c r="B114" s="5">
        <v>285392</v>
      </c>
      <c r="C114" s="5">
        <v>255954</v>
      </c>
      <c r="D114" s="5">
        <v>60951</v>
      </c>
      <c r="E114" s="5">
        <v>106021</v>
      </c>
      <c r="F114" s="5">
        <v>14653</v>
      </c>
      <c r="G114" s="5">
        <v>37984</v>
      </c>
      <c r="H114" s="5">
        <v>30936</v>
      </c>
      <c r="I114" s="5">
        <v>31439</v>
      </c>
      <c r="J114" s="5">
        <v>57172</v>
      </c>
      <c r="K114" s="5">
        <v>54238</v>
      </c>
      <c r="L114" s="5">
        <v>128858</v>
      </c>
      <c r="M114" s="5">
        <v>30</v>
      </c>
      <c r="N114" s="5">
        <v>1063628</v>
      </c>
      <c r="O114" s="49"/>
      <c r="P114" s="23" t="s">
        <v>17</v>
      </c>
      <c r="Q114" s="5">
        <v>56156</v>
      </c>
      <c r="R114" s="5">
        <v>40845</v>
      </c>
      <c r="S114" s="5">
        <v>13572</v>
      </c>
      <c r="T114" s="5">
        <v>23971</v>
      </c>
      <c r="U114" s="5">
        <v>3764</v>
      </c>
      <c r="V114" s="5">
        <v>7810</v>
      </c>
      <c r="W114" s="5">
        <v>6765</v>
      </c>
      <c r="X114" s="5">
        <v>5092</v>
      </c>
      <c r="Y114" s="5">
        <v>13435</v>
      </c>
      <c r="Z114" s="5">
        <v>6385</v>
      </c>
      <c r="AA114" s="5">
        <v>23752</v>
      </c>
      <c r="AB114" s="5">
        <v>2</v>
      </c>
      <c r="AC114" s="5">
        <v>201549</v>
      </c>
      <c r="AD114" s="49"/>
    </row>
    <row r="115" spans="1:30" ht="15" customHeight="1">
      <c r="A115" s="23" t="s">
        <v>18</v>
      </c>
      <c r="B115" s="5">
        <v>546964</v>
      </c>
      <c r="C115" s="5">
        <v>337633</v>
      </c>
      <c r="D115" s="5">
        <v>88849</v>
      </c>
      <c r="E115" s="5">
        <v>159820</v>
      </c>
      <c r="F115" s="5">
        <v>26530</v>
      </c>
      <c r="G115" s="5">
        <v>65027</v>
      </c>
      <c r="H115" s="5">
        <v>52216</v>
      </c>
      <c r="I115" s="5">
        <v>46835</v>
      </c>
      <c r="J115" s="5">
        <v>65484</v>
      </c>
      <c r="K115" s="5">
        <v>63244</v>
      </c>
      <c r="L115" s="5">
        <v>215045</v>
      </c>
      <c r="M115" s="5">
        <v>33</v>
      </c>
      <c r="N115" s="5">
        <v>1667680</v>
      </c>
      <c r="O115" s="49"/>
      <c r="P115" s="23" t="s">
        <v>18</v>
      </c>
      <c r="Q115" s="5">
        <v>75607</v>
      </c>
      <c r="R115" s="5">
        <v>35618</v>
      </c>
      <c r="S115" s="5">
        <v>17444</v>
      </c>
      <c r="T115" s="5">
        <v>21892</v>
      </c>
      <c r="U115" s="5">
        <v>4955</v>
      </c>
      <c r="V115" s="5">
        <v>10389</v>
      </c>
      <c r="W115" s="5">
        <v>5825</v>
      </c>
      <c r="X115" s="5">
        <v>6130</v>
      </c>
      <c r="Y115" s="5">
        <v>16281</v>
      </c>
      <c r="Z115" s="5">
        <v>5673</v>
      </c>
      <c r="AA115" s="5">
        <v>18724</v>
      </c>
      <c r="AB115" s="5">
        <v>21</v>
      </c>
      <c r="AC115" s="5">
        <v>218559</v>
      </c>
      <c r="AD115" s="49"/>
    </row>
    <row r="116" spans="1:30" ht="15" customHeight="1">
      <c r="A116" s="23" t="s">
        <v>19</v>
      </c>
      <c r="B116" s="5">
        <v>1590016</v>
      </c>
      <c r="C116" s="5">
        <v>1173529</v>
      </c>
      <c r="D116" s="5">
        <v>261458</v>
      </c>
      <c r="E116" s="5">
        <v>483864</v>
      </c>
      <c r="F116" s="5">
        <v>90498</v>
      </c>
      <c r="G116" s="5">
        <v>168014</v>
      </c>
      <c r="H116" s="5">
        <v>174815</v>
      </c>
      <c r="I116" s="5">
        <v>140444</v>
      </c>
      <c r="J116" s="5">
        <v>280758</v>
      </c>
      <c r="K116" s="5">
        <v>223583</v>
      </c>
      <c r="L116" s="5">
        <v>602704</v>
      </c>
      <c r="M116" s="5">
        <v>1515</v>
      </c>
      <c r="N116" s="5">
        <v>5191198</v>
      </c>
      <c r="O116" s="49"/>
      <c r="P116" s="23" t="s">
        <v>19</v>
      </c>
      <c r="Q116" s="5">
        <v>308402</v>
      </c>
      <c r="R116" s="5">
        <v>177380</v>
      </c>
      <c r="S116" s="5">
        <v>68508</v>
      </c>
      <c r="T116" s="5">
        <v>105478</v>
      </c>
      <c r="U116" s="5">
        <v>19739</v>
      </c>
      <c r="V116" s="5">
        <v>41185</v>
      </c>
      <c r="W116" s="5">
        <v>27192</v>
      </c>
      <c r="X116" s="5">
        <v>26186</v>
      </c>
      <c r="Y116" s="5">
        <v>65497</v>
      </c>
      <c r="Z116" s="5">
        <v>29042</v>
      </c>
      <c r="AA116" s="5">
        <v>90393</v>
      </c>
      <c r="AB116" s="5">
        <v>47</v>
      </c>
      <c r="AC116" s="5">
        <v>959049</v>
      </c>
      <c r="AD116" s="49"/>
    </row>
    <row r="117" spans="1:30" ht="15" customHeight="1">
      <c r="A117" s="23" t="s">
        <v>20</v>
      </c>
      <c r="B117" s="5">
        <v>11212641</v>
      </c>
      <c r="C117" s="5">
        <v>6951802</v>
      </c>
      <c r="D117" s="5">
        <v>1484524</v>
      </c>
      <c r="E117" s="5">
        <v>2804212</v>
      </c>
      <c r="F117" s="5">
        <v>564808</v>
      </c>
      <c r="G117" s="5">
        <v>940153</v>
      </c>
      <c r="H117" s="5">
        <v>755499</v>
      </c>
      <c r="I117" s="5">
        <v>783845</v>
      </c>
      <c r="J117" s="5">
        <v>1469228</v>
      </c>
      <c r="K117" s="5">
        <v>1187424</v>
      </c>
      <c r="L117" s="5">
        <v>3275501</v>
      </c>
      <c r="M117" s="5">
        <v>7094</v>
      </c>
      <c r="N117" s="5">
        <v>31436731</v>
      </c>
      <c r="O117" s="49"/>
      <c r="P117" s="23" t="s">
        <v>20</v>
      </c>
      <c r="Q117" s="5">
        <v>3193506</v>
      </c>
      <c r="R117" s="5">
        <v>1792792</v>
      </c>
      <c r="S117" s="5">
        <v>768929</v>
      </c>
      <c r="T117" s="5">
        <v>1178918</v>
      </c>
      <c r="U117" s="5">
        <v>269131</v>
      </c>
      <c r="V117" s="5">
        <v>462123</v>
      </c>
      <c r="W117" s="5">
        <v>321635</v>
      </c>
      <c r="X117" s="5">
        <v>254543</v>
      </c>
      <c r="Y117" s="5">
        <v>668586</v>
      </c>
      <c r="Z117" s="5">
        <v>293866</v>
      </c>
      <c r="AA117" s="5">
        <v>1007796</v>
      </c>
      <c r="AB117" s="5">
        <v>872</v>
      </c>
      <c r="AC117" s="5">
        <v>10212697</v>
      </c>
      <c r="AD117" s="49"/>
    </row>
    <row r="118" spans="1:30" ht="15" customHeight="1">
      <c r="A118" s="23" t="s">
        <v>21</v>
      </c>
      <c r="B118" s="5">
        <v>994200</v>
      </c>
      <c r="C118" s="5">
        <v>961392</v>
      </c>
      <c r="D118" s="5">
        <v>112435</v>
      </c>
      <c r="E118" s="5">
        <v>354909</v>
      </c>
      <c r="F118" s="5">
        <v>42196</v>
      </c>
      <c r="G118" s="5">
        <v>117152</v>
      </c>
      <c r="H118" s="5">
        <v>184787</v>
      </c>
      <c r="I118" s="5">
        <v>75730</v>
      </c>
      <c r="J118" s="5">
        <v>174912</v>
      </c>
      <c r="K118" s="5">
        <v>137029</v>
      </c>
      <c r="L118" s="5">
        <v>324353</v>
      </c>
      <c r="M118" s="5">
        <v>150</v>
      </c>
      <c r="N118" s="5">
        <v>3479245</v>
      </c>
      <c r="O118" s="49"/>
      <c r="P118" s="23" t="s">
        <v>21</v>
      </c>
      <c r="Q118" s="5">
        <v>203160</v>
      </c>
      <c r="R118" s="5">
        <v>109282</v>
      </c>
      <c r="S118" s="5">
        <v>29000</v>
      </c>
      <c r="T118" s="5">
        <v>64052</v>
      </c>
      <c r="U118" s="5">
        <v>10937</v>
      </c>
      <c r="V118" s="5">
        <v>22512</v>
      </c>
      <c r="W118" s="5">
        <v>20567</v>
      </c>
      <c r="X118" s="5">
        <v>11887</v>
      </c>
      <c r="Y118" s="5">
        <v>33103</v>
      </c>
      <c r="Z118" s="5">
        <v>15124</v>
      </c>
      <c r="AA118" s="5">
        <v>51752</v>
      </c>
      <c r="AB118" s="5">
        <v>3</v>
      </c>
      <c r="AC118" s="5">
        <v>571379</v>
      </c>
      <c r="AD118" s="49"/>
    </row>
    <row r="119" spans="1:30" ht="15" customHeight="1">
      <c r="A119" s="23" t="s">
        <v>22</v>
      </c>
      <c r="B119" s="5">
        <v>962977</v>
      </c>
      <c r="C119" s="5">
        <v>723691</v>
      </c>
      <c r="D119" s="5">
        <v>133715</v>
      </c>
      <c r="E119" s="5">
        <v>311849</v>
      </c>
      <c r="F119" s="5">
        <v>38514</v>
      </c>
      <c r="G119" s="5">
        <v>117658</v>
      </c>
      <c r="H119" s="5">
        <v>117332</v>
      </c>
      <c r="I119" s="5">
        <v>75440</v>
      </c>
      <c r="J119" s="5">
        <v>169129</v>
      </c>
      <c r="K119" s="5">
        <v>108077</v>
      </c>
      <c r="L119" s="5">
        <v>318526</v>
      </c>
      <c r="M119" s="5">
        <v>113</v>
      </c>
      <c r="N119" s="5">
        <v>3077021</v>
      </c>
      <c r="O119" s="49"/>
      <c r="P119" s="23" t="s">
        <v>22</v>
      </c>
      <c r="Q119" s="5">
        <v>149570</v>
      </c>
      <c r="R119" s="5">
        <v>81024</v>
      </c>
      <c r="S119" s="5">
        <v>33007</v>
      </c>
      <c r="T119" s="5">
        <v>52944</v>
      </c>
      <c r="U119" s="5">
        <v>10523</v>
      </c>
      <c r="V119" s="5">
        <v>20431</v>
      </c>
      <c r="W119" s="5">
        <v>11874</v>
      </c>
      <c r="X119" s="5">
        <v>9437</v>
      </c>
      <c r="Y119" s="5">
        <v>30249</v>
      </c>
      <c r="Z119" s="5">
        <v>12130</v>
      </c>
      <c r="AA119" s="5">
        <v>39019</v>
      </c>
      <c r="AB119" s="5">
        <v>98</v>
      </c>
      <c r="AC119" s="5">
        <v>450306</v>
      </c>
      <c r="AD119" s="49"/>
    </row>
    <row r="120" spans="1:30" ht="15" customHeight="1">
      <c r="A120" s="23" t="s">
        <v>367</v>
      </c>
      <c r="B120" s="5">
        <v>345258</v>
      </c>
      <c r="C120" s="5">
        <v>229004</v>
      </c>
      <c r="D120" s="5">
        <v>59160</v>
      </c>
      <c r="E120" s="5">
        <v>121110</v>
      </c>
      <c r="F120" s="5">
        <v>12633</v>
      </c>
      <c r="G120" s="5">
        <v>46910</v>
      </c>
      <c r="H120" s="5">
        <v>51752</v>
      </c>
      <c r="I120" s="5">
        <v>23757</v>
      </c>
      <c r="J120" s="5">
        <v>50932</v>
      </c>
      <c r="K120" s="5">
        <v>53230</v>
      </c>
      <c r="L120" s="5">
        <v>109319</v>
      </c>
      <c r="M120" s="5">
        <v>25</v>
      </c>
      <c r="N120" s="5">
        <v>1103090</v>
      </c>
      <c r="O120" s="49"/>
      <c r="P120" s="23" t="s">
        <v>367</v>
      </c>
      <c r="Q120" s="5">
        <v>77000</v>
      </c>
      <c r="R120" s="5">
        <v>35025</v>
      </c>
      <c r="S120" s="5">
        <v>15773</v>
      </c>
      <c r="T120" s="5">
        <v>18713</v>
      </c>
      <c r="U120" s="5">
        <v>4381</v>
      </c>
      <c r="V120" s="5">
        <v>8381</v>
      </c>
      <c r="W120" s="5">
        <v>5670</v>
      </c>
      <c r="X120" s="5">
        <v>4908</v>
      </c>
      <c r="Y120" s="5">
        <v>10248</v>
      </c>
      <c r="Z120" s="5">
        <v>5270</v>
      </c>
      <c r="AA120" s="5">
        <v>18980</v>
      </c>
      <c r="AB120" s="5">
        <v>34</v>
      </c>
      <c r="AC120" s="5">
        <v>204383</v>
      </c>
      <c r="AD120" s="49"/>
    </row>
    <row r="121" spans="1:30" ht="15" customHeight="1">
      <c r="A121" s="23" t="s">
        <v>23</v>
      </c>
      <c r="B121" s="5">
        <v>1535664</v>
      </c>
      <c r="C121" s="5">
        <v>1309953</v>
      </c>
      <c r="D121" s="5">
        <v>232831</v>
      </c>
      <c r="E121" s="5">
        <v>524957</v>
      </c>
      <c r="F121" s="5">
        <v>78003</v>
      </c>
      <c r="G121" s="5">
        <v>167819</v>
      </c>
      <c r="H121" s="5">
        <v>221030</v>
      </c>
      <c r="I121" s="5">
        <v>117162</v>
      </c>
      <c r="J121" s="5">
        <v>247579</v>
      </c>
      <c r="K121" s="5">
        <v>190484</v>
      </c>
      <c r="L121" s="5">
        <v>557180</v>
      </c>
      <c r="M121" s="5">
        <v>4321</v>
      </c>
      <c r="N121" s="5">
        <v>5186983</v>
      </c>
      <c r="O121" s="49"/>
      <c r="P121" s="23" t="s">
        <v>23</v>
      </c>
      <c r="Q121" s="5">
        <v>375780</v>
      </c>
      <c r="R121" s="5">
        <v>212981</v>
      </c>
      <c r="S121" s="5">
        <v>73422</v>
      </c>
      <c r="T121" s="5">
        <v>105431</v>
      </c>
      <c r="U121" s="5">
        <v>22929</v>
      </c>
      <c r="V121" s="5">
        <v>40739</v>
      </c>
      <c r="W121" s="5">
        <v>39280</v>
      </c>
      <c r="X121" s="5">
        <v>24713</v>
      </c>
      <c r="Y121" s="5">
        <v>57436</v>
      </c>
      <c r="Z121" s="5">
        <v>26868</v>
      </c>
      <c r="AA121" s="5">
        <v>100222</v>
      </c>
      <c r="AB121" s="5">
        <v>116</v>
      </c>
      <c r="AC121" s="5">
        <v>1079917</v>
      </c>
      <c r="AD121" s="49"/>
    </row>
    <row r="122" spans="1:30" ht="15" customHeight="1">
      <c r="A122" s="23" t="s">
        <v>24</v>
      </c>
      <c r="B122" s="5">
        <v>762827</v>
      </c>
      <c r="C122" s="5">
        <v>475816</v>
      </c>
      <c r="D122" s="5">
        <v>113630</v>
      </c>
      <c r="E122" s="5">
        <v>205746</v>
      </c>
      <c r="F122" s="5">
        <v>32972</v>
      </c>
      <c r="G122" s="5">
        <v>76237</v>
      </c>
      <c r="H122" s="5">
        <v>77397</v>
      </c>
      <c r="I122" s="5">
        <v>43036</v>
      </c>
      <c r="J122" s="5">
        <v>108002</v>
      </c>
      <c r="K122" s="5">
        <v>77812</v>
      </c>
      <c r="L122" s="5">
        <v>255238</v>
      </c>
      <c r="M122" s="5">
        <v>163</v>
      </c>
      <c r="N122" s="5">
        <v>2228876</v>
      </c>
      <c r="O122" s="49"/>
      <c r="P122" s="23" t="s">
        <v>24</v>
      </c>
      <c r="Q122" s="5">
        <v>197984</v>
      </c>
      <c r="R122" s="5">
        <v>77236</v>
      </c>
      <c r="S122" s="5">
        <v>35451</v>
      </c>
      <c r="T122" s="5">
        <v>41711</v>
      </c>
      <c r="U122" s="5">
        <v>9729</v>
      </c>
      <c r="V122" s="5">
        <v>20477</v>
      </c>
      <c r="W122" s="5">
        <v>16091</v>
      </c>
      <c r="X122" s="5">
        <v>12111</v>
      </c>
      <c r="Y122" s="5">
        <v>30181</v>
      </c>
      <c r="Z122" s="5">
        <v>13191</v>
      </c>
      <c r="AA122" s="5">
        <v>36713</v>
      </c>
      <c r="AB122" s="5">
        <v>140</v>
      </c>
      <c r="AC122" s="5">
        <v>491015</v>
      </c>
      <c r="AD122" s="49"/>
    </row>
    <row r="123" spans="1:30" ht="15" customHeight="1">
      <c r="A123" s="23" t="s">
        <v>25</v>
      </c>
      <c r="B123" s="5">
        <v>130073</v>
      </c>
      <c r="C123" s="5">
        <v>111702</v>
      </c>
      <c r="D123" s="5">
        <v>38737</v>
      </c>
      <c r="E123" s="5">
        <v>64336</v>
      </c>
      <c r="F123" s="5">
        <v>11530</v>
      </c>
      <c r="G123" s="5">
        <v>30530</v>
      </c>
      <c r="H123" s="5">
        <v>11642</v>
      </c>
      <c r="I123" s="5">
        <v>15637</v>
      </c>
      <c r="J123" s="5">
        <v>45849</v>
      </c>
      <c r="K123" s="5">
        <v>31182</v>
      </c>
      <c r="L123" s="5">
        <v>62182</v>
      </c>
      <c r="M123" s="5">
        <v>204</v>
      </c>
      <c r="N123" s="5">
        <v>553604</v>
      </c>
      <c r="O123" s="49"/>
      <c r="P123" s="23" t="s">
        <v>25</v>
      </c>
      <c r="Q123" s="5">
        <v>44954</v>
      </c>
      <c r="R123" s="5">
        <v>24422</v>
      </c>
      <c r="S123" s="5">
        <v>11983</v>
      </c>
      <c r="T123" s="5">
        <v>15089</v>
      </c>
      <c r="U123" s="5">
        <v>3942</v>
      </c>
      <c r="V123" s="5">
        <v>7622</v>
      </c>
      <c r="W123" s="5">
        <v>3576</v>
      </c>
      <c r="X123" s="5">
        <v>2739</v>
      </c>
      <c r="Y123" s="5">
        <v>14637</v>
      </c>
      <c r="Z123" s="5">
        <v>5496</v>
      </c>
      <c r="AA123" s="5">
        <v>14420</v>
      </c>
      <c r="AB123" s="5">
        <v>51</v>
      </c>
      <c r="AC123" s="5">
        <v>148931</v>
      </c>
      <c r="AD123" s="49"/>
    </row>
    <row r="124" spans="1:30" ht="15" customHeight="1">
      <c r="A124" s="23" t="s">
        <v>26</v>
      </c>
      <c r="B124" s="5">
        <v>578380</v>
      </c>
      <c r="C124" s="5">
        <v>436870</v>
      </c>
      <c r="D124" s="5">
        <v>128830</v>
      </c>
      <c r="E124" s="5">
        <v>239076</v>
      </c>
      <c r="F124" s="5">
        <v>42310</v>
      </c>
      <c r="G124" s="5">
        <v>88609</v>
      </c>
      <c r="H124" s="5">
        <v>39394</v>
      </c>
      <c r="I124" s="5">
        <v>42957</v>
      </c>
      <c r="J124" s="5">
        <v>110964</v>
      </c>
      <c r="K124" s="5">
        <v>93869</v>
      </c>
      <c r="L124" s="5">
        <v>211357</v>
      </c>
      <c r="M124" s="5">
        <v>127</v>
      </c>
      <c r="N124" s="5">
        <v>2012743</v>
      </c>
      <c r="O124" s="49"/>
      <c r="P124" s="23" t="s">
        <v>26</v>
      </c>
      <c r="Q124" s="5">
        <v>175733</v>
      </c>
      <c r="R124" s="5">
        <v>84455</v>
      </c>
      <c r="S124" s="5">
        <v>41262</v>
      </c>
      <c r="T124" s="5">
        <v>62358</v>
      </c>
      <c r="U124" s="5">
        <v>11876</v>
      </c>
      <c r="V124" s="5">
        <v>23447</v>
      </c>
      <c r="W124" s="5">
        <v>13286</v>
      </c>
      <c r="X124" s="5">
        <v>10971</v>
      </c>
      <c r="Y124" s="5">
        <v>26710</v>
      </c>
      <c r="Z124" s="5">
        <v>15636</v>
      </c>
      <c r="AA124" s="5">
        <v>45710</v>
      </c>
      <c r="AB124" s="5">
        <v>98</v>
      </c>
      <c r="AC124" s="5">
        <v>511542</v>
      </c>
      <c r="AD124" s="49"/>
    </row>
    <row r="125" spans="1:30" ht="15" customHeight="1">
      <c r="A125" s="23" t="s">
        <v>27</v>
      </c>
      <c r="B125" s="5">
        <v>91523</v>
      </c>
      <c r="C125" s="5">
        <v>47746</v>
      </c>
      <c r="D125" s="5">
        <v>16393</v>
      </c>
      <c r="E125" s="5">
        <v>29415</v>
      </c>
      <c r="F125" s="5">
        <v>5929</v>
      </c>
      <c r="G125" s="5">
        <v>12328</v>
      </c>
      <c r="H125" s="5">
        <v>6292</v>
      </c>
      <c r="I125" s="5">
        <v>7876</v>
      </c>
      <c r="J125" s="5">
        <v>14007</v>
      </c>
      <c r="K125" s="5">
        <v>10277</v>
      </c>
      <c r="L125" s="5">
        <v>29864</v>
      </c>
      <c r="M125" s="5">
        <v>50</v>
      </c>
      <c r="N125" s="5">
        <v>271700</v>
      </c>
      <c r="O125" s="49"/>
      <c r="P125" s="23" t="s">
        <v>27</v>
      </c>
      <c r="Q125" s="5">
        <v>18198</v>
      </c>
      <c r="R125" s="5">
        <v>8301</v>
      </c>
      <c r="S125" s="5">
        <v>4349</v>
      </c>
      <c r="T125" s="5">
        <v>5141</v>
      </c>
      <c r="U125" s="5">
        <v>1080</v>
      </c>
      <c r="V125" s="5">
        <v>2316</v>
      </c>
      <c r="W125" s="5">
        <v>1397</v>
      </c>
      <c r="X125" s="5">
        <v>1323</v>
      </c>
      <c r="Y125" s="5">
        <v>3662</v>
      </c>
      <c r="Z125" s="5">
        <v>1090</v>
      </c>
      <c r="AA125" s="5">
        <v>4185</v>
      </c>
      <c r="AB125" s="5">
        <v>9</v>
      </c>
      <c r="AC125" s="5">
        <v>51051</v>
      </c>
      <c r="AD125" s="49"/>
    </row>
    <row r="126" spans="1:30" ht="15" customHeight="1">
      <c r="A126" s="23" t="s">
        <v>28</v>
      </c>
      <c r="B126" s="5">
        <v>169192</v>
      </c>
      <c r="C126" s="5">
        <v>145673</v>
      </c>
      <c r="D126" s="5">
        <v>27597</v>
      </c>
      <c r="E126" s="5">
        <v>51372</v>
      </c>
      <c r="F126" s="5">
        <v>8982</v>
      </c>
      <c r="G126" s="5">
        <v>25288</v>
      </c>
      <c r="H126" s="5">
        <v>11871</v>
      </c>
      <c r="I126" s="5">
        <v>11745</v>
      </c>
      <c r="J126" s="5">
        <v>32274</v>
      </c>
      <c r="K126" s="5">
        <v>22602</v>
      </c>
      <c r="L126" s="5">
        <v>58506</v>
      </c>
      <c r="M126" s="5">
        <v>47</v>
      </c>
      <c r="N126" s="5">
        <v>565149</v>
      </c>
      <c r="O126" s="49"/>
      <c r="P126" s="23" t="s">
        <v>28</v>
      </c>
      <c r="Q126" s="5">
        <v>66628</v>
      </c>
      <c r="R126" s="5">
        <v>50016</v>
      </c>
      <c r="S126" s="5">
        <v>12111</v>
      </c>
      <c r="T126" s="5">
        <v>24653</v>
      </c>
      <c r="U126" s="5">
        <v>4342</v>
      </c>
      <c r="V126" s="5">
        <v>9467</v>
      </c>
      <c r="W126" s="5">
        <v>3428</v>
      </c>
      <c r="X126" s="5">
        <v>4339</v>
      </c>
      <c r="Y126" s="5">
        <v>13989</v>
      </c>
      <c r="Z126" s="5">
        <v>5411</v>
      </c>
      <c r="AA126" s="5">
        <v>19867</v>
      </c>
      <c r="AB126" s="5">
        <v>15</v>
      </c>
      <c r="AC126" s="5">
        <v>214266</v>
      </c>
      <c r="AD126" s="49"/>
    </row>
    <row r="127" spans="1:30" ht="15" customHeight="1">
      <c r="A127" s="23" t="s">
        <v>222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>
        <v>0</v>
      </c>
      <c r="O127" s="49"/>
      <c r="P127" s="23" t="s">
        <v>222</v>
      </c>
      <c r="Q127" s="5">
        <v>12926</v>
      </c>
      <c r="R127" s="5">
        <v>8775</v>
      </c>
      <c r="S127" s="5">
        <v>5492</v>
      </c>
      <c r="T127" s="5">
        <v>6816</v>
      </c>
      <c r="U127" s="5">
        <v>1939</v>
      </c>
      <c r="V127" s="5">
        <v>1969</v>
      </c>
      <c r="W127" s="5">
        <v>1095</v>
      </c>
      <c r="X127" s="5">
        <v>1257</v>
      </c>
      <c r="Y127" s="5">
        <v>2738</v>
      </c>
      <c r="Z127" s="5">
        <v>966</v>
      </c>
      <c r="AA127" s="5">
        <v>4859</v>
      </c>
      <c r="AB127" s="5">
        <v>87</v>
      </c>
      <c r="AC127" s="5">
        <v>48919</v>
      </c>
      <c r="AD127" s="49"/>
    </row>
    <row r="128" spans="1:30" ht="15" customHeight="1">
      <c r="A128" s="21" t="s">
        <v>46</v>
      </c>
      <c r="B128" s="38">
        <v>20056144</v>
      </c>
      <c r="C128" s="38">
        <v>13838803</v>
      </c>
      <c r="D128" s="38">
        <v>2904195</v>
      </c>
      <c r="E128" s="38">
        <v>5775764</v>
      </c>
      <c r="F128" s="38">
        <v>1062074</v>
      </c>
      <c r="G128" s="38">
        <v>2010843</v>
      </c>
      <c r="H128" s="38">
        <v>1849558</v>
      </c>
      <c r="I128" s="38">
        <v>1518859</v>
      </c>
      <c r="J128" s="38">
        <v>3012526</v>
      </c>
      <c r="K128" s="38">
        <v>2382582</v>
      </c>
      <c r="L128" s="38">
        <v>6605927</v>
      </c>
      <c r="M128" s="38">
        <v>14720</v>
      </c>
      <c r="N128" s="38">
        <v>61031995</v>
      </c>
      <c r="O128" s="49"/>
      <c r="P128" s="21" t="s">
        <v>46</v>
      </c>
      <c r="Q128" s="38">
        <v>5305530</v>
      </c>
      <c r="R128" s="38">
        <v>3001589</v>
      </c>
      <c r="S128" s="38">
        <v>1197368</v>
      </c>
      <c r="T128" s="38">
        <v>1877799</v>
      </c>
      <c r="U128" s="38">
        <v>401328</v>
      </c>
      <c r="V128" s="38">
        <v>732732</v>
      </c>
      <c r="W128" s="38">
        <v>509404</v>
      </c>
      <c r="X128" s="38">
        <v>410227</v>
      </c>
      <c r="Y128" s="38">
        <v>1061126</v>
      </c>
      <c r="Z128" s="38">
        <v>478339</v>
      </c>
      <c r="AA128" s="38">
        <v>1594067</v>
      </c>
      <c r="AB128" s="38">
        <v>1649</v>
      </c>
      <c r="AC128" s="38">
        <v>16571158</v>
      </c>
      <c r="AD128" s="49"/>
    </row>
    <row r="129" spans="2:29" ht="15" customHeight="1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2:29" ht="15" customHeight="1"/>
    <row r="131" spans="2:29" ht="15" customHeight="1"/>
    <row r="132" spans="2:29" ht="15" customHeight="1"/>
    <row r="133" spans="2:29" ht="15" customHeight="1"/>
    <row r="134" spans="2:29" ht="15" customHeight="1"/>
    <row r="135" spans="2:29" ht="15" customHeight="1"/>
    <row r="136" spans="2:29" ht="15" customHeight="1"/>
    <row r="137" spans="2:29" ht="15" customHeight="1"/>
    <row r="138" spans="2:29" ht="15" customHeight="1"/>
    <row r="139" spans="2:29" ht="15" customHeight="1"/>
    <row r="140" spans="2:29" ht="15" customHeight="1"/>
    <row r="141" spans="2:29" ht="15" customHeight="1"/>
    <row r="142" spans="2:29" ht="15" customHeight="1"/>
    <row r="143" spans="2:29" ht="15" customHeight="1"/>
    <row r="144" spans="2:29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62"/>
  <sheetViews>
    <sheetView showGridLines="0" topLeftCell="N35" zoomScaleNormal="100" workbookViewId="0">
      <selection activeCell="F18" sqref="F18"/>
    </sheetView>
  </sheetViews>
  <sheetFormatPr baseColWidth="10" defaultColWidth="33.140625" defaultRowHeight="12.75"/>
  <cols>
    <col min="1" max="1" width="37.42578125" style="3" customWidth="1"/>
    <col min="2" max="2" width="23.7109375" style="6" customWidth="1"/>
    <col min="3" max="5" width="15.7109375" style="6" customWidth="1"/>
    <col min="6" max="14" width="15.7109375" style="3" customWidth="1"/>
    <col min="15" max="15" width="10.7109375" style="3" customWidth="1"/>
    <col min="16" max="16" width="30.7109375" style="3" customWidth="1"/>
    <col min="17" max="47" width="15.7109375" style="3" customWidth="1"/>
    <col min="48" max="16384" width="33.140625" style="3"/>
  </cols>
  <sheetData>
    <row r="1" spans="1:4" s="3" customFormat="1" ht="18.75">
      <c r="A1" s="1" t="s">
        <v>145</v>
      </c>
      <c r="B1" s="6"/>
      <c r="C1" s="6"/>
      <c r="D1" s="6"/>
    </row>
    <row r="2" spans="1:4" s="3" customFormat="1">
      <c r="A2" s="7"/>
      <c r="B2" s="6"/>
      <c r="C2" s="6"/>
      <c r="D2" s="6"/>
    </row>
    <row r="3" spans="1:4" s="3" customFormat="1">
      <c r="A3" s="7" t="s">
        <v>113</v>
      </c>
      <c r="B3" s="6"/>
      <c r="C3" s="6"/>
      <c r="D3" s="6"/>
    </row>
    <row r="4" spans="1:4" s="3" customFormat="1">
      <c r="A4" s="7" t="s">
        <v>320</v>
      </c>
      <c r="B4" s="6"/>
      <c r="C4" s="6"/>
      <c r="D4" s="6"/>
    </row>
    <row r="5" spans="1:4" s="3" customFormat="1">
      <c r="A5" s="8" t="s">
        <v>148</v>
      </c>
      <c r="B5" s="8" t="s">
        <v>0</v>
      </c>
      <c r="C5" s="8" t="s">
        <v>589</v>
      </c>
      <c r="D5" s="8" t="s">
        <v>45</v>
      </c>
    </row>
    <row r="6" spans="1:4" s="3" customFormat="1">
      <c r="A6" s="35" t="s">
        <v>9</v>
      </c>
      <c r="B6" s="4">
        <v>1006447</v>
      </c>
      <c r="C6" s="4">
        <v>294794.47589727159</v>
      </c>
      <c r="D6" s="4">
        <v>1301241.4758972717</v>
      </c>
    </row>
    <row r="7" spans="1:4" s="3" customFormat="1">
      <c r="A7" s="35" t="s">
        <v>10</v>
      </c>
      <c r="B7" s="5">
        <v>965688</v>
      </c>
      <c r="C7" s="5">
        <v>309965.34549744055</v>
      </c>
      <c r="D7" s="5">
        <v>1275653.3454974405</v>
      </c>
    </row>
    <row r="8" spans="1:4" s="3" customFormat="1">
      <c r="A8" s="35" t="s">
        <v>11</v>
      </c>
      <c r="B8" s="5">
        <v>577880</v>
      </c>
      <c r="C8" s="5">
        <v>437944.86892443913</v>
      </c>
      <c r="D8" s="5">
        <v>1015824.8689244392</v>
      </c>
    </row>
    <row r="9" spans="1:4" s="3" customFormat="1">
      <c r="A9" s="35" t="s">
        <v>224</v>
      </c>
      <c r="B9" s="5">
        <v>337334</v>
      </c>
      <c r="C9" s="5">
        <v>162474.12481195343</v>
      </c>
      <c r="D9" s="5">
        <v>499808.1248119534</v>
      </c>
    </row>
    <row r="10" spans="1:4" s="3" customFormat="1">
      <c r="A10" s="35" t="s">
        <v>13</v>
      </c>
      <c r="B10" s="5">
        <v>252645</v>
      </c>
      <c r="C10" s="5">
        <v>181349.97011643232</v>
      </c>
      <c r="D10" s="5">
        <v>433994.97011643229</v>
      </c>
    </row>
    <row r="11" spans="1:4" s="3" customFormat="1">
      <c r="A11" s="35" t="s">
        <v>163</v>
      </c>
      <c r="B11" s="5">
        <v>218479</v>
      </c>
      <c r="C11" s="5">
        <v>170509.64881273982</v>
      </c>
      <c r="D11" s="5">
        <v>388988.64881273982</v>
      </c>
    </row>
    <row r="12" spans="1:4" s="3" customFormat="1">
      <c r="A12" s="35" t="s">
        <v>164</v>
      </c>
      <c r="B12" s="5">
        <v>117867</v>
      </c>
      <c r="C12" s="5">
        <v>50392.368715458048</v>
      </c>
      <c r="D12" s="5">
        <v>168259.36871545805</v>
      </c>
    </row>
    <row r="13" spans="1:4" s="3" customFormat="1">
      <c r="A13" s="35" t="s">
        <v>225</v>
      </c>
      <c r="B13" s="5">
        <v>130251</v>
      </c>
      <c r="C13" s="5">
        <v>69398.908763370782</v>
      </c>
      <c r="D13" s="5">
        <v>199649.90876337077</v>
      </c>
    </row>
    <row r="14" spans="1:4" s="3" customFormat="1">
      <c r="A14" s="35" t="s">
        <v>166</v>
      </c>
      <c r="B14" s="5">
        <v>102935</v>
      </c>
      <c r="C14" s="5">
        <v>60085.806933511973</v>
      </c>
      <c r="D14" s="5">
        <v>163020.80693351198</v>
      </c>
    </row>
    <row r="15" spans="1:4" s="3" customFormat="1">
      <c r="A15" s="35" t="s">
        <v>203</v>
      </c>
      <c r="B15" s="5">
        <v>108262</v>
      </c>
      <c r="C15" s="5">
        <v>38043.918181354806</v>
      </c>
      <c r="D15" s="5">
        <v>146305.91818135482</v>
      </c>
    </row>
    <row r="16" spans="1:4" s="3" customFormat="1">
      <c r="A16" s="35" t="s">
        <v>31</v>
      </c>
      <c r="B16" s="5">
        <v>493245</v>
      </c>
      <c r="C16" s="5">
        <v>241205.22564860596</v>
      </c>
      <c r="D16" s="5">
        <v>734450.22564860596</v>
      </c>
    </row>
    <row r="17" spans="1:30">
      <c r="A17" s="35" t="s">
        <v>222</v>
      </c>
      <c r="B17" s="5">
        <v>131</v>
      </c>
      <c r="C17" s="5">
        <v>543.33769742159564</v>
      </c>
      <c r="D17" s="5">
        <v>674.33769742159564</v>
      </c>
    </row>
    <row r="18" spans="1:30">
      <c r="A18" s="21" t="s">
        <v>46</v>
      </c>
      <c r="B18" s="38">
        <v>4311164</v>
      </c>
      <c r="C18" s="38">
        <v>2016708.0000000002</v>
      </c>
      <c r="D18" s="38">
        <v>6327872</v>
      </c>
    </row>
    <row r="19" spans="1:30">
      <c r="A19" s="3" t="s">
        <v>56</v>
      </c>
      <c r="B19" s="47"/>
      <c r="C19" s="47"/>
      <c r="D19" s="47"/>
    </row>
    <row r="21" spans="1:30">
      <c r="A21" s="7" t="s">
        <v>114</v>
      </c>
      <c r="P21" s="7" t="s">
        <v>117</v>
      </c>
      <c r="Q21" s="6"/>
      <c r="R21" s="6"/>
      <c r="S21" s="6"/>
      <c r="T21" s="6"/>
    </row>
    <row r="22" spans="1:30">
      <c r="A22" s="7" t="s">
        <v>321</v>
      </c>
      <c r="P22" s="7" t="s">
        <v>322</v>
      </c>
      <c r="Q22" s="6"/>
      <c r="R22" s="6"/>
      <c r="S22" s="6"/>
      <c r="T22" s="6"/>
    </row>
    <row r="23" spans="1:30" ht="38.25">
      <c r="A23" s="28" t="s">
        <v>50</v>
      </c>
      <c r="B23" s="28" t="str" cm="1">
        <f t="array" ref="B23:M23">TRANSPOSE(A6:A17)</f>
        <v>Trastornos mentales</v>
      </c>
      <c r="C23" s="28" t="str">
        <v>Enf. osteomusculares</v>
      </c>
      <c r="D23" s="28" t="str">
        <v>Enf. respiratorias</v>
      </c>
      <c r="E23" s="28" t="str">
        <v>Traumatismos, envenenamientos y otros</v>
      </c>
      <c r="F23" s="28" t="str">
        <v>Enf. infecciosas</v>
      </c>
      <c r="G23" s="28" t="str">
        <v>Enf. del Sistema Digestivo</v>
      </c>
      <c r="H23" s="28" t="str">
        <v>Afecciones del embarazo, Parto y Puerperio</v>
      </c>
      <c r="I23" s="28" t="str">
        <v>Enfermedades del Sist. Genito urinario</v>
      </c>
      <c r="J23" s="28" t="str">
        <v>Tumores y Cánceres</v>
      </c>
      <c r="K23" s="28" t="str">
        <v>Enf. cardiovasculares</v>
      </c>
      <c r="L23" s="28" t="str">
        <v>Otros diagnósticos</v>
      </c>
      <c r="M23" s="28" t="str">
        <v>Sin información</v>
      </c>
      <c r="N23" s="28" t="s">
        <v>48</v>
      </c>
      <c r="P23" s="28" t="s">
        <v>50</v>
      </c>
      <c r="Q23" s="28" t="s">
        <v>9</v>
      </c>
      <c r="R23" s="28" t="s">
        <v>10</v>
      </c>
      <c r="S23" s="28" t="s">
        <v>11</v>
      </c>
      <c r="T23" s="28" t="s">
        <v>224</v>
      </c>
      <c r="U23" s="28" t="s">
        <v>13</v>
      </c>
      <c r="V23" s="28" t="s">
        <v>163</v>
      </c>
      <c r="W23" s="28" t="s">
        <v>164</v>
      </c>
      <c r="X23" s="28" t="s">
        <v>225</v>
      </c>
      <c r="Y23" s="28" t="s">
        <v>166</v>
      </c>
      <c r="Z23" s="28" t="s">
        <v>203</v>
      </c>
      <c r="AA23" s="28" t="s">
        <v>31</v>
      </c>
      <c r="AB23" s="28" t="s">
        <v>222</v>
      </c>
      <c r="AC23" s="28" t="s">
        <v>48</v>
      </c>
    </row>
    <row r="24" spans="1:30">
      <c r="A24" s="14" t="s">
        <v>5</v>
      </c>
      <c r="B24" s="4">
        <v>252112</v>
      </c>
      <c r="C24" s="4">
        <v>391891</v>
      </c>
      <c r="D24" s="15">
        <v>182980</v>
      </c>
      <c r="E24" s="15">
        <v>195086</v>
      </c>
      <c r="F24" s="15">
        <v>89779</v>
      </c>
      <c r="G24" s="15">
        <v>88703</v>
      </c>
      <c r="H24" s="15">
        <v>204</v>
      </c>
      <c r="I24" s="15">
        <v>40403</v>
      </c>
      <c r="J24" s="15">
        <v>48738</v>
      </c>
      <c r="K24" s="15">
        <v>69363</v>
      </c>
      <c r="L24" s="15">
        <v>191307</v>
      </c>
      <c r="M24" s="15">
        <v>69</v>
      </c>
      <c r="N24" s="15">
        <v>1550635</v>
      </c>
      <c r="O24" s="49"/>
      <c r="P24" s="14" t="s">
        <v>5</v>
      </c>
      <c r="Q24" s="4">
        <v>122976.41116993004</v>
      </c>
      <c r="R24" s="4">
        <v>172851.87483270591</v>
      </c>
      <c r="S24" s="15">
        <v>196212.45886130794</v>
      </c>
      <c r="T24" s="15">
        <v>107837.84813555374</v>
      </c>
      <c r="U24" s="15">
        <v>89326.185936373644</v>
      </c>
      <c r="V24" s="15">
        <v>88417.196653389939</v>
      </c>
      <c r="W24" s="15">
        <v>3850.3552503768219</v>
      </c>
      <c r="X24" s="15">
        <v>24802.631647164195</v>
      </c>
      <c r="Y24" s="15">
        <v>28561.941121216318</v>
      </c>
      <c r="Z24" s="15">
        <v>24520.683436610285</v>
      </c>
      <c r="AA24" s="15">
        <v>109857.00849759346</v>
      </c>
      <c r="AB24" s="15">
        <v>187.96547370260609</v>
      </c>
      <c r="AC24" s="15">
        <v>969402.56101592502</v>
      </c>
      <c r="AD24" s="50"/>
    </row>
    <row r="25" spans="1:30">
      <c r="A25" s="17" t="s">
        <v>6</v>
      </c>
      <c r="B25" s="5">
        <v>754335</v>
      </c>
      <c r="C25" s="5">
        <v>573797</v>
      </c>
      <c r="D25" s="10">
        <v>394900</v>
      </c>
      <c r="E25" s="10">
        <v>142248</v>
      </c>
      <c r="F25" s="10">
        <v>162866</v>
      </c>
      <c r="G25" s="10">
        <v>129776</v>
      </c>
      <c r="H25" s="10">
        <v>117663</v>
      </c>
      <c r="I25" s="10">
        <v>89848</v>
      </c>
      <c r="J25" s="10">
        <v>54197</v>
      </c>
      <c r="K25" s="10">
        <v>38899</v>
      </c>
      <c r="L25" s="10">
        <v>301938</v>
      </c>
      <c r="M25" s="10">
        <v>62</v>
      </c>
      <c r="N25" s="10">
        <v>2760529</v>
      </c>
      <c r="O25" s="49"/>
      <c r="P25" s="17" t="s">
        <v>6</v>
      </c>
      <c r="Q25" s="5">
        <v>171818.06472734161</v>
      </c>
      <c r="R25" s="5">
        <v>137113.47066473463</v>
      </c>
      <c r="S25" s="10">
        <v>241732.41006313125</v>
      </c>
      <c r="T25" s="10">
        <v>54636.276676399706</v>
      </c>
      <c r="U25" s="10">
        <v>92023.78418005869</v>
      </c>
      <c r="V25" s="10">
        <v>82092.452159349908</v>
      </c>
      <c r="W25" s="10">
        <v>46542.013465081232</v>
      </c>
      <c r="X25" s="10">
        <v>44596.277116206598</v>
      </c>
      <c r="Y25" s="10">
        <v>31523.865812295666</v>
      </c>
      <c r="Z25" s="10">
        <v>13523.234744744528</v>
      </c>
      <c r="AA25" s="10">
        <v>131348.2171510125</v>
      </c>
      <c r="AB25" s="10">
        <v>355.37222371898963</v>
      </c>
      <c r="AC25" s="10">
        <v>1047305.4389840754</v>
      </c>
      <c r="AD25" s="49"/>
    </row>
    <row r="26" spans="1:30">
      <c r="A26" s="17" t="s">
        <v>222</v>
      </c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v>0</v>
      </c>
      <c r="O26" s="49"/>
      <c r="P26" s="17" t="s">
        <v>222</v>
      </c>
      <c r="Q26" s="5"/>
      <c r="R26" s="5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>
        <v>0</v>
      </c>
      <c r="AD26" s="49"/>
    </row>
    <row r="27" spans="1:30">
      <c r="A27" s="21" t="s">
        <v>46</v>
      </c>
      <c r="B27" s="38">
        <v>1006447</v>
      </c>
      <c r="C27" s="38">
        <v>965688</v>
      </c>
      <c r="D27" s="38">
        <v>577880</v>
      </c>
      <c r="E27" s="38">
        <v>337334</v>
      </c>
      <c r="F27" s="38">
        <v>252645</v>
      </c>
      <c r="G27" s="38">
        <v>218479</v>
      </c>
      <c r="H27" s="38">
        <v>117867</v>
      </c>
      <c r="I27" s="38">
        <v>130251</v>
      </c>
      <c r="J27" s="38">
        <v>102935</v>
      </c>
      <c r="K27" s="38">
        <v>108262</v>
      </c>
      <c r="L27" s="38">
        <v>493245</v>
      </c>
      <c r="M27" s="38">
        <v>131</v>
      </c>
      <c r="N27" s="38">
        <v>4311164</v>
      </c>
      <c r="O27" s="49"/>
      <c r="P27" s="21" t="s">
        <v>46</v>
      </c>
      <c r="Q27" s="38">
        <v>294794.47589727165</v>
      </c>
      <c r="R27" s="38">
        <v>309965.34549744055</v>
      </c>
      <c r="S27" s="38">
        <v>437944.86892443919</v>
      </c>
      <c r="T27" s="38">
        <v>162474.12481195346</v>
      </c>
      <c r="U27" s="38">
        <v>181349.97011643235</v>
      </c>
      <c r="V27" s="38">
        <v>170509.64881273985</v>
      </c>
      <c r="W27" s="38">
        <v>50392.368715458055</v>
      </c>
      <c r="X27" s="38">
        <v>69398.908763370797</v>
      </c>
      <c r="Y27" s="38">
        <v>60085.80693351198</v>
      </c>
      <c r="Z27" s="38">
        <v>38043.918181354813</v>
      </c>
      <c r="AA27" s="38">
        <v>241205.22564860596</v>
      </c>
      <c r="AB27" s="38">
        <v>543.33769742159575</v>
      </c>
      <c r="AC27" s="52">
        <v>2016708.0000000005</v>
      </c>
      <c r="AD27" s="49"/>
    </row>
    <row r="28" spans="1:30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9"/>
      <c r="P28" s="3" t="s">
        <v>56</v>
      </c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30">
      <c r="O29" s="49"/>
      <c r="Q29" s="6"/>
      <c r="R29" s="6"/>
      <c r="S29" s="6"/>
      <c r="T29" s="6"/>
    </row>
    <row r="30" spans="1:30">
      <c r="A30" s="7" t="s">
        <v>115</v>
      </c>
      <c r="O30" s="49"/>
      <c r="P30" s="7" t="s">
        <v>118</v>
      </c>
      <c r="Q30" s="6"/>
      <c r="R30" s="6"/>
      <c r="S30" s="6"/>
      <c r="T30" s="6"/>
    </row>
    <row r="31" spans="1:30">
      <c r="A31" s="7" t="s">
        <v>323</v>
      </c>
      <c r="O31" s="49"/>
      <c r="P31" s="7" t="s">
        <v>324</v>
      </c>
      <c r="Q31" s="6"/>
      <c r="R31" s="6"/>
      <c r="S31" s="6"/>
      <c r="T31" s="6"/>
    </row>
    <row r="32" spans="1:30" ht="38.25">
      <c r="A32" s="16" t="s">
        <v>51</v>
      </c>
      <c r="B32" s="28" t="s">
        <v>9</v>
      </c>
      <c r="C32" s="28" t="s">
        <v>10</v>
      </c>
      <c r="D32" s="28" t="s">
        <v>11</v>
      </c>
      <c r="E32" s="28" t="s">
        <v>224</v>
      </c>
      <c r="F32" s="28" t="s">
        <v>13</v>
      </c>
      <c r="G32" s="28" t="s">
        <v>163</v>
      </c>
      <c r="H32" s="28" t="s">
        <v>164</v>
      </c>
      <c r="I32" s="28" t="s">
        <v>225</v>
      </c>
      <c r="J32" s="28" t="s">
        <v>166</v>
      </c>
      <c r="K32" s="28" t="s">
        <v>203</v>
      </c>
      <c r="L32" s="28" t="s">
        <v>31</v>
      </c>
      <c r="M32" s="28" t="s">
        <v>222</v>
      </c>
      <c r="N32" s="28" t="s">
        <v>48</v>
      </c>
      <c r="O32" s="49"/>
      <c r="P32" s="16" t="s">
        <v>51</v>
      </c>
      <c r="Q32" s="28" t="s">
        <v>9</v>
      </c>
      <c r="R32" s="28" t="s">
        <v>10</v>
      </c>
      <c r="S32" s="28" t="s">
        <v>11</v>
      </c>
      <c r="T32" s="28" t="s">
        <v>224</v>
      </c>
      <c r="U32" s="28" t="s">
        <v>13</v>
      </c>
      <c r="V32" s="28" t="s">
        <v>163</v>
      </c>
      <c r="W32" s="28" t="s">
        <v>164</v>
      </c>
      <c r="X32" s="28" t="s">
        <v>225</v>
      </c>
      <c r="Y32" s="28" t="s">
        <v>166</v>
      </c>
      <c r="Z32" s="28" t="s">
        <v>203</v>
      </c>
      <c r="AA32" s="28" t="s">
        <v>31</v>
      </c>
      <c r="AB32" s="28" t="s">
        <v>222</v>
      </c>
      <c r="AC32" s="28" t="s">
        <v>48</v>
      </c>
    </row>
    <row r="33" spans="1:30">
      <c r="A33" s="14" t="s">
        <v>40</v>
      </c>
      <c r="B33" s="4">
        <v>3922</v>
      </c>
      <c r="C33" s="4">
        <v>4629</v>
      </c>
      <c r="D33" s="4">
        <v>4615</v>
      </c>
      <c r="E33" s="4">
        <v>3772</v>
      </c>
      <c r="F33" s="4">
        <v>2765</v>
      </c>
      <c r="G33" s="4">
        <v>1889</v>
      </c>
      <c r="H33" s="4">
        <v>1091</v>
      </c>
      <c r="I33" s="4">
        <v>771</v>
      </c>
      <c r="J33" s="4">
        <v>103</v>
      </c>
      <c r="K33" s="4">
        <v>161</v>
      </c>
      <c r="L33" s="4">
        <v>3101</v>
      </c>
      <c r="M33" s="4">
        <v>7</v>
      </c>
      <c r="N33" s="4">
        <v>26826</v>
      </c>
      <c r="O33" s="49"/>
      <c r="P33" s="14" t="s">
        <v>40</v>
      </c>
      <c r="Q33" s="4">
        <v>226.14596054844796</v>
      </c>
      <c r="R33" s="4">
        <v>230.5514013383528</v>
      </c>
      <c r="S33" s="4">
        <v>402.36359214464113</v>
      </c>
      <c r="T33" s="4">
        <v>239.36228291816244</v>
      </c>
      <c r="U33" s="4">
        <v>214.39811844203507</v>
      </c>
      <c r="V33" s="4">
        <v>149.78498685676422</v>
      </c>
      <c r="W33" s="4">
        <v>20.558723686222542</v>
      </c>
      <c r="X33" s="4">
        <v>35.243526319238647</v>
      </c>
      <c r="Y33" s="4">
        <v>1.4684802633016101</v>
      </c>
      <c r="Z33" s="4">
        <v>10.279361843111271</v>
      </c>
      <c r="AA33" s="4">
        <v>180.62307238609804</v>
      </c>
      <c r="AB33" s="4">
        <v>1.4684802633016101</v>
      </c>
      <c r="AC33" s="4">
        <v>1712.2479870096774</v>
      </c>
      <c r="AD33" s="50"/>
    </row>
    <row r="34" spans="1:30">
      <c r="A34" s="17" t="s">
        <v>2</v>
      </c>
      <c r="B34" s="5">
        <v>76671</v>
      </c>
      <c r="C34" s="5">
        <v>56398</v>
      </c>
      <c r="D34" s="5">
        <v>47550</v>
      </c>
      <c r="E34" s="5">
        <v>32168</v>
      </c>
      <c r="F34" s="5">
        <v>30758</v>
      </c>
      <c r="G34" s="5">
        <v>18567</v>
      </c>
      <c r="H34" s="5">
        <v>17724</v>
      </c>
      <c r="I34" s="5">
        <v>9071</v>
      </c>
      <c r="J34" s="5">
        <v>1416</v>
      </c>
      <c r="K34" s="5">
        <v>1690</v>
      </c>
      <c r="L34" s="5">
        <v>32841</v>
      </c>
      <c r="M34" s="5">
        <v>20</v>
      </c>
      <c r="N34" s="5">
        <v>324874</v>
      </c>
      <c r="O34" s="49"/>
      <c r="P34" s="17" t="s">
        <v>2</v>
      </c>
      <c r="Q34" s="5">
        <v>8407.0495074017181</v>
      </c>
      <c r="R34" s="5">
        <v>8459.9147968805755</v>
      </c>
      <c r="S34" s="5">
        <v>12490.893119643495</v>
      </c>
      <c r="T34" s="5">
        <v>7125.0662375394122</v>
      </c>
      <c r="U34" s="5">
        <v>8185.308987643175</v>
      </c>
      <c r="V34" s="5">
        <v>5105.9058754996986</v>
      </c>
      <c r="W34" s="5">
        <v>1223.2440593302413</v>
      </c>
      <c r="X34" s="5">
        <v>1605.04892778866</v>
      </c>
      <c r="Y34" s="5">
        <v>415.57991451435566</v>
      </c>
      <c r="Z34" s="5">
        <v>393.5527105648315</v>
      </c>
      <c r="AA34" s="5">
        <v>6699.2069611819452</v>
      </c>
      <c r="AB34" s="5">
        <v>11.747842106412881</v>
      </c>
      <c r="AC34" s="5">
        <v>60122.518940094516</v>
      </c>
      <c r="AD34" s="49"/>
    </row>
    <row r="35" spans="1:30">
      <c r="A35" s="17" t="s">
        <v>41</v>
      </c>
      <c r="B35" s="5">
        <v>363658</v>
      </c>
      <c r="C35" s="5">
        <v>223085</v>
      </c>
      <c r="D35" s="5">
        <v>186198</v>
      </c>
      <c r="E35" s="5">
        <v>89645</v>
      </c>
      <c r="F35" s="5">
        <v>101355</v>
      </c>
      <c r="G35" s="5">
        <v>66067</v>
      </c>
      <c r="H35" s="5">
        <v>72200</v>
      </c>
      <c r="I35" s="5">
        <v>35929</v>
      </c>
      <c r="J35" s="5">
        <v>9192</v>
      </c>
      <c r="K35" s="5">
        <v>9315</v>
      </c>
      <c r="L35" s="5">
        <v>124008</v>
      </c>
      <c r="M35" s="5">
        <v>25</v>
      </c>
      <c r="N35" s="5">
        <v>1280677</v>
      </c>
      <c r="O35" s="49"/>
      <c r="P35" s="17" t="s">
        <v>41</v>
      </c>
      <c r="Q35" s="5">
        <v>103165.14393772802</v>
      </c>
      <c r="R35" s="5">
        <v>88643.342613938396</v>
      </c>
      <c r="S35" s="5">
        <v>157976.16976546063</v>
      </c>
      <c r="T35" s="5">
        <v>56032.801406799539</v>
      </c>
      <c r="U35" s="5">
        <v>84521.318514850776</v>
      </c>
      <c r="V35" s="5">
        <v>61664.423216561212</v>
      </c>
      <c r="W35" s="5">
        <v>29302.055173920326</v>
      </c>
      <c r="X35" s="5">
        <v>20708.508673079308</v>
      </c>
      <c r="Y35" s="5">
        <v>7390.8611651970041</v>
      </c>
      <c r="Z35" s="5">
        <v>5483.305303168212</v>
      </c>
      <c r="AA35" s="5">
        <v>78299.367639241857</v>
      </c>
      <c r="AB35" s="5">
        <v>221.74051975854312</v>
      </c>
      <c r="AC35" s="5">
        <v>693409.03792970383</v>
      </c>
      <c r="AD35" s="49"/>
    </row>
    <row r="36" spans="1:30">
      <c r="A36" s="17" t="s">
        <v>42</v>
      </c>
      <c r="B36" s="5">
        <v>271036</v>
      </c>
      <c r="C36" s="5">
        <v>216298</v>
      </c>
      <c r="D36" s="5">
        <v>135255</v>
      </c>
      <c r="E36" s="5">
        <v>69881</v>
      </c>
      <c r="F36" s="5">
        <v>57554</v>
      </c>
      <c r="G36" s="5">
        <v>50628</v>
      </c>
      <c r="H36" s="5">
        <v>26067</v>
      </c>
      <c r="I36" s="5">
        <v>31685</v>
      </c>
      <c r="J36" s="5">
        <v>17490</v>
      </c>
      <c r="K36" s="5">
        <v>15449</v>
      </c>
      <c r="L36" s="5">
        <v>110708</v>
      </c>
      <c r="M36" s="5">
        <v>22</v>
      </c>
      <c r="N36" s="5">
        <v>1002073</v>
      </c>
      <c r="O36" s="49"/>
      <c r="P36" s="17" t="s">
        <v>42</v>
      </c>
      <c r="Q36" s="5">
        <v>94973.961029031634</v>
      </c>
      <c r="R36" s="5">
        <v>88420.133613916551</v>
      </c>
      <c r="S36" s="5">
        <v>131674.21976946548</v>
      </c>
      <c r="T36" s="5">
        <v>45198.35402416026</v>
      </c>
      <c r="U36" s="5">
        <v>52452.646524870215</v>
      </c>
      <c r="V36" s="5">
        <v>50258.737011497607</v>
      </c>
      <c r="W36" s="5">
        <v>19279.677376886837</v>
      </c>
      <c r="X36" s="5">
        <v>22826.057212760228</v>
      </c>
      <c r="Y36" s="5">
        <v>14065.103961902822</v>
      </c>
      <c r="Z36" s="5">
        <v>8802.0706982298507</v>
      </c>
      <c r="AA36" s="5">
        <v>69441.494691006548</v>
      </c>
      <c r="AB36" s="5">
        <v>183.56003291270127</v>
      </c>
      <c r="AC36" s="5">
        <v>597576.01594664075</v>
      </c>
      <c r="AD36" s="49"/>
    </row>
    <row r="37" spans="1:30">
      <c r="A37" s="17" t="s">
        <v>43</v>
      </c>
      <c r="B37" s="5">
        <v>167610</v>
      </c>
      <c r="C37" s="5">
        <v>232842</v>
      </c>
      <c r="D37" s="5">
        <v>106174</v>
      </c>
      <c r="E37" s="5">
        <v>70894</v>
      </c>
      <c r="F37" s="5">
        <v>34768</v>
      </c>
      <c r="G37" s="5">
        <v>40940</v>
      </c>
      <c r="H37" s="5">
        <v>611</v>
      </c>
      <c r="I37" s="5">
        <v>26134</v>
      </c>
      <c r="J37" s="5">
        <v>27879</v>
      </c>
      <c r="K37" s="5">
        <v>26204</v>
      </c>
      <c r="L37" s="5">
        <v>107440</v>
      </c>
      <c r="M37" s="5">
        <v>29</v>
      </c>
      <c r="N37" s="5">
        <v>841525</v>
      </c>
      <c r="O37" s="49"/>
      <c r="P37" s="17" t="s">
        <v>43</v>
      </c>
      <c r="Q37" s="5">
        <v>50664.037564168852</v>
      </c>
      <c r="R37" s="5">
        <v>65903.925736712961</v>
      </c>
      <c r="S37" s="5">
        <v>75256.676533680919</v>
      </c>
      <c r="T37" s="5">
        <v>29647.148035796206</v>
      </c>
      <c r="U37" s="5">
        <v>22053.636594263582</v>
      </c>
      <c r="V37" s="5">
        <v>30014.268101621612</v>
      </c>
      <c r="W37" s="5">
        <v>533.0583355784845</v>
      </c>
      <c r="X37" s="5">
        <v>13407.224803943702</v>
      </c>
      <c r="Y37" s="5">
        <v>16209.085146323174</v>
      </c>
      <c r="Z37" s="5">
        <v>9947.4853036051063</v>
      </c>
      <c r="AA37" s="5">
        <v>46080.910662404523</v>
      </c>
      <c r="AB37" s="5">
        <v>82.23489474489017</v>
      </c>
      <c r="AC37" s="5">
        <v>359799.69171284401</v>
      </c>
      <c r="AD37" s="49"/>
    </row>
    <row r="38" spans="1:30">
      <c r="A38" s="17" t="s">
        <v>44</v>
      </c>
      <c r="B38" s="5">
        <v>102288</v>
      </c>
      <c r="C38" s="5">
        <v>184282</v>
      </c>
      <c r="D38" s="5">
        <v>75901</v>
      </c>
      <c r="E38" s="5">
        <v>55774</v>
      </c>
      <c r="F38" s="5">
        <v>21027</v>
      </c>
      <c r="G38" s="5">
        <v>31120</v>
      </c>
      <c r="H38" s="5">
        <v>70</v>
      </c>
      <c r="I38" s="5">
        <v>19118</v>
      </c>
      <c r="J38" s="5">
        <v>30748</v>
      </c>
      <c r="K38" s="5">
        <v>36016</v>
      </c>
      <c r="L38" s="5">
        <v>86522</v>
      </c>
      <c r="M38" s="5">
        <v>23</v>
      </c>
      <c r="N38" s="5">
        <v>642889</v>
      </c>
      <c r="O38" s="49"/>
      <c r="P38" s="17" t="s">
        <v>44</v>
      </c>
      <c r="Q38" s="5">
        <v>31858.67931232843</v>
      </c>
      <c r="R38" s="5">
        <v>48684.526169238277</v>
      </c>
      <c r="S38" s="5">
        <v>49887.211504882303</v>
      </c>
      <c r="T38" s="5">
        <v>20107.900245388948</v>
      </c>
      <c r="U38" s="5">
        <v>12007.763113017267</v>
      </c>
      <c r="V38" s="5">
        <v>19665.887686135164</v>
      </c>
      <c r="W38" s="5">
        <v>29.369605266032202</v>
      </c>
      <c r="X38" s="5">
        <v>8664.0335534795013</v>
      </c>
      <c r="Y38" s="5">
        <v>15937.416297612375</v>
      </c>
      <c r="Z38" s="5">
        <v>9921.0526588656776</v>
      </c>
      <c r="AA38" s="5">
        <v>32722.145707149775</v>
      </c>
      <c r="AB38" s="5">
        <v>33.775046055937032</v>
      </c>
      <c r="AC38" s="5">
        <v>249519.76089941963</v>
      </c>
      <c r="AD38" s="49"/>
    </row>
    <row r="39" spans="1:30">
      <c r="A39" s="17" t="s">
        <v>3</v>
      </c>
      <c r="B39" s="5">
        <v>21262</v>
      </c>
      <c r="C39" s="5">
        <v>48154</v>
      </c>
      <c r="D39" s="5">
        <v>22187</v>
      </c>
      <c r="E39" s="5">
        <v>15200</v>
      </c>
      <c r="F39" s="5">
        <v>4418</v>
      </c>
      <c r="G39" s="5">
        <v>9268</v>
      </c>
      <c r="H39" s="5">
        <v>104</v>
      </c>
      <c r="I39" s="5">
        <v>7543</v>
      </c>
      <c r="J39" s="5">
        <v>16107</v>
      </c>
      <c r="K39" s="5">
        <v>19427</v>
      </c>
      <c r="L39" s="5">
        <v>28625</v>
      </c>
      <c r="M39" s="5">
        <v>5</v>
      </c>
      <c r="N39" s="5">
        <v>192300</v>
      </c>
      <c r="O39" s="49"/>
      <c r="P39" s="17" t="s">
        <v>3</v>
      </c>
      <c r="Q39" s="5">
        <v>5499.4585860645293</v>
      </c>
      <c r="R39" s="5">
        <v>9622.9511654154521</v>
      </c>
      <c r="S39" s="5">
        <v>10251.460718108539</v>
      </c>
      <c r="T39" s="5">
        <v>4123.492579350921</v>
      </c>
      <c r="U39" s="5">
        <v>1914.8982633452995</v>
      </c>
      <c r="V39" s="5">
        <v>3650.6419345678028</v>
      </c>
      <c r="W39" s="5">
        <v>4.4054407899048309</v>
      </c>
      <c r="X39" s="5">
        <v>2151.3235857368586</v>
      </c>
      <c r="Y39" s="5">
        <v>6066.2919676989513</v>
      </c>
      <c r="Z39" s="5">
        <v>3486.1721450780224</v>
      </c>
      <c r="AA39" s="5">
        <v>7781.4769152352319</v>
      </c>
      <c r="AB39" s="5">
        <v>8.8108815798096618</v>
      </c>
      <c r="AC39" s="5">
        <v>54561.384182971313</v>
      </c>
      <c r="AD39" s="49"/>
    </row>
    <row r="40" spans="1:30">
      <c r="A40" s="17" t="s">
        <v>222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0</v>
      </c>
      <c r="O40" s="49"/>
      <c r="P40" s="17" t="s">
        <v>222</v>
      </c>
      <c r="Q40" s="5">
        <v>0</v>
      </c>
      <c r="R40" s="5">
        <v>0</v>
      </c>
      <c r="S40" s="5">
        <v>5.8739210532064403</v>
      </c>
      <c r="T40" s="5">
        <v>0</v>
      </c>
      <c r="U40" s="5">
        <v>0</v>
      </c>
      <c r="V40" s="5">
        <v>0</v>
      </c>
      <c r="W40" s="5">
        <v>0</v>
      </c>
      <c r="X40" s="5">
        <v>1.4684802633016101</v>
      </c>
      <c r="Y40" s="5">
        <v>0</v>
      </c>
      <c r="Z40" s="5">
        <v>0</v>
      </c>
      <c r="AA40" s="5">
        <v>0</v>
      </c>
      <c r="AB40" s="5">
        <v>0</v>
      </c>
      <c r="AC40" s="5">
        <v>7.3424013165080506</v>
      </c>
      <c r="AD40" s="49"/>
    </row>
    <row r="41" spans="1:30">
      <c r="A41" s="21" t="s">
        <v>46</v>
      </c>
      <c r="B41" s="38">
        <v>1006447</v>
      </c>
      <c r="C41" s="38">
        <v>965688</v>
      </c>
      <c r="D41" s="38">
        <v>577880</v>
      </c>
      <c r="E41" s="38">
        <v>337334</v>
      </c>
      <c r="F41" s="38">
        <v>252645</v>
      </c>
      <c r="G41" s="38">
        <v>218479</v>
      </c>
      <c r="H41" s="38">
        <v>117867</v>
      </c>
      <c r="I41" s="38">
        <v>130251</v>
      </c>
      <c r="J41" s="38">
        <v>102935</v>
      </c>
      <c r="K41" s="38">
        <v>108262</v>
      </c>
      <c r="L41" s="38">
        <v>493245</v>
      </c>
      <c r="M41" s="38">
        <v>131</v>
      </c>
      <c r="N41" s="38">
        <v>4311164</v>
      </c>
      <c r="O41" s="49"/>
      <c r="P41" s="21" t="s">
        <v>46</v>
      </c>
      <c r="Q41" s="38">
        <v>294794.47589727165</v>
      </c>
      <c r="R41" s="38">
        <v>309965.3454974406</v>
      </c>
      <c r="S41" s="38">
        <v>437944.86892443919</v>
      </c>
      <c r="T41" s="38">
        <v>162474.12481195343</v>
      </c>
      <c r="U41" s="38">
        <v>181349.97011643235</v>
      </c>
      <c r="V41" s="38">
        <v>170509.64881273985</v>
      </c>
      <c r="W41" s="38">
        <v>50392.368715458048</v>
      </c>
      <c r="X41" s="38">
        <v>69398.908763370782</v>
      </c>
      <c r="Y41" s="38">
        <v>60085.80693351198</v>
      </c>
      <c r="Z41" s="38">
        <v>38043.918181354813</v>
      </c>
      <c r="AA41" s="38">
        <v>241205.22564860596</v>
      </c>
      <c r="AB41" s="38">
        <v>543.33769742159586</v>
      </c>
      <c r="AC41" s="38">
        <v>2016708.0000000002</v>
      </c>
      <c r="AD41" s="49"/>
    </row>
    <row r="42" spans="1:30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P42" s="3" t="s">
        <v>56</v>
      </c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30">
      <c r="Q43" s="6"/>
      <c r="R43" s="34"/>
      <c r="S43" s="6"/>
      <c r="T43" s="6"/>
    </row>
    <row r="44" spans="1:30">
      <c r="A44" s="7" t="s">
        <v>116</v>
      </c>
      <c r="P44" s="7" t="s">
        <v>119</v>
      </c>
      <c r="Q44" s="6"/>
      <c r="R44" s="6"/>
      <c r="S44" s="6"/>
      <c r="T44" s="6"/>
    </row>
    <row r="45" spans="1:30">
      <c r="A45" s="7" t="s">
        <v>325</v>
      </c>
      <c r="P45" s="7" t="s">
        <v>326</v>
      </c>
      <c r="Q45" s="6"/>
      <c r="R45" s="6"/>
      <c r="S45" s="6"/>
      <c r="T45" s="6"/>
    </row>
    <row r="46" spans="1:30" ht="38.25">
      <c r="A46" s="16" t="s">
        <v>149</v>
      </c>
      <c r="B46" s="28" t="s">
        <v>9</v>
      </c>
      <c r="C46" s="28" t="s">
        <v>10</v>
      </c>
      <c r="D46" s="28" t="s">
        <v>11</v>
      </c>
      <c r="E46" s="28" t="s">
        <v>224</v>
      </c>
      <c r="F46" s="28" t="s">
        <v>13</v>
      </c>
      <c r="G46" s="28" t="s">
        <v>163</v>
      </c>
      <c r="H46" s="28" t="s">
        <v>164</v>
      </c>
      <c r="I46" s="28" t="s">
        <v>225</v>
      </c>
      <c r="J46" s="28" t="s">
        <v>166</v>
      </c>
      <c r="K46" s="28" t="s">
        <v>203</v>
      </c>
      <c r="L46" s="28" t="s">
        <v>31</v>
      </c>
      <c r="M46" s="28" t="s">
        <v>222</v>
      </c>
      <c r="N46" s="28" t="s">
        <v>48</v>
      </c>
      <c r="P46" s="16" t="s">
        <v>149</v>
      </c>
      <c r="Q46" s="28" t="s">
        <v>9</v>
      </c>
      <c r="R46" s="28" t="s">
        <v>10</v>
      </c>
      <c r="S46" s="28" t="s">
        <v>11</v>
      </c>
      <c r="T46" s="28" t="s">
        <v>224</v>
      </c>
      <c r="U46" s="28" t="s">
        <v>13</v>
      </c>
      <c r="V46" s="28" t="s">
        <v>163</v>
      </c>
      <c r="W46" s="28" t="s">
        <v>164</v>
      </c>
      <c r="X46" s="28" t="s">
        <v>225</v>
      </c>
      <c r="Y46" s="28" t="s">
        <v>166</v>
      </c>
      <c r="Z46" s="28" t="s">
        <v>203</v>
      </c>
      <c r="AA46" s="28" t="s">
        <v>31</v>
      </c>
      <c r="AB46" s="28" t="s">
        <v>222</v>
      </c>
      <c r="AC46" s="28" t="s">
        <v>48</v>
      </c>
    </row>
    <row r="47" spans="1:30">
      <c r="A47" s="22" t="s">
        <v>14</v>
      </c>
      <c r="B47" s="4">
        <v>2672</v>
      </c>
      <c r="C47" s="4">
        <v>4499</v>
      </c>
      <c r="D47" s="4">
        <v>5128</v>
      </c>
      <c r="E47" s="4">
        <v>2322</v>
      </c>
      <c r="F47" s="4">
        <v>2334</v>
      </c>
      <c r="G47" s="4">
        <v>2823</v>
      </c>
      <c r="H47" s="4">
        <v>1543</v>
      </c>
      <c r="I47" s="4">
        <v>1505</v>
      </c>
      <c r="J47" s="4">
        <v>1155</v>
      </c>
      <c r="K47" s="4">
        <v>857</v>
      </c>
      <c r="L47" s="4">
        <v>3424</v>
      </c>
      <c r="M47" s="4"/>
      <c r="N47" s="4">
        <v>28262</v>
      </c>
      <c r="O47" s="50"/>
      <c r="P47" s="22" t="s">
        <v>14</v>
      </c>
      <c r="Q47" s="4">
        <v>1152.757006691764</v>
      </c>
      <c r="R47" s="4">
        <v>1511.0661909373569</v>
      </c>
      <c r="S47" s="4">
        <v>2898.7800397573783</v>
      </c>
      <c r="T47" s="4">
        <v>884.02511850756923</v>
      </c>
      <c r="U47" s="4">
        <v>1444.9845790887844</v>
      </c>
      <c r="V47" s="4">
        <v>1766.581756751837</v>
      </c>
      <c r="W47" s="4">
        <v>348.02982240248161</v>
      </c>
      <c r="X47" s="4">
        <v>560.95946058121513</v>
      </c>
      <c r="Y47" s="4">
        <v>571.23882242432637</v>
      </c>
      <c r="Z47" s="4">
        <v>309.84933555663974</v>
      </c>
      <c r="AA47" s="4">
        <v>1558.0575593630085</v>
      </c>
      <c r="AB47" s="4">
        <v>4.4054407899048309</v>
      </c>
      <c r="AC47" s="4">
        <v>13010.735132852267</v>
      </c>
      <c r="AD47" s="50"/>
    </row>
    <row r="48" spans="1:30">
      <c r="A48" s="23" t="s">
        <v>15</v>
      </c>
      <c r="B48" s="5">
        <v>17655</v>
      </c>
      <c r="C48" s="5">
        <v>16089</v>
      </c>
      <c r="D48" s="5">
        <v>9532</v>
      </c>
      <c r="E48" s="5">
        <v>5662</v>
      </c>
      <c r="F48" s="5">
        <v>7434</v>
      </c>
      <c r="G48" s="5">
        <v>3896</v>
      </c>
      <c r="H48" s="5">
        <v>2022</v>
      </c>
      <c r="I48" s="5">
        <v>2975</v>
      </c>
      <c r="J48" s="5">
        <v>1973</v>
      </c>
      <c r="K48" s="5">
        <v>1738</v>
      </c>
      <c r="L48" s="5">
        <v>8303</v>
      </c>
      <c r="M48" s="5">
        <v>6</v>
      </c>
      <c r="N48" s="5">
        <v>77285</v>
      </c>
      <c r="O48" s="49"/>
      <c r="P48" s="23" t="s">
        <v>15</v>
      </c>
      <c r="Q48" s="5">
        <v>4439.2158359607674</v>
      </c>
      <c r="R48" s="5">
        <v>5204.2940531409067</v>
      </c>
      <c r="S48" s="5">
        <v>4737.3173294109947</v>
      </c>
      <c r="T48" s="5">
        <v>2697.5982436850582</v>
      </c>
      <c r="U48" s="5">
        <v>2185.0986317927959</v>
      </c>
      <c r="V48" s="5">
        <v>2612.4263884135644</v>
      </c>
      <c r="W48" s="5">
        <v>582.98666453073929</v>
      </c>
      <c r="X48" s="5">
        <v>1077.8645132633817</v>
      </c>
      <c r="Y48" s="5">
        <v>976.53937509557068</v>
      </c>
      <c r="Z48" s="5">
        <v>750.3934145471228</v>
      </c>
      <c r="AA48" s="5">
        <v>3537.5689542935788</v>
      </c>
      <c r="AB48" s="5">
        <v>1.4684802633016101</v>
      </c>
      <c r="AC48" s="5">
        <v>28802.771884397782</v>
      </c>
      <c r="AD48" s="49"/>
    </row>
    <row r="49" spans="1:30">
      <c r="A49" s="23" t="s">
        <v>16</v>
      </c>
      <c r="B49" s="5">
        <v>24616</v>
      </c>
      <c r="C49" s="5">
        <v>27743</v>
      </c>
      <c r="D49" s="5">
        <v>13521</v>
      </c>
      <c r="E49" s="5">
        <v>10315</v>
      </c>
      <c r="F49" s="5">
        <v>6273</v>
      </c>
      <c r="G49" s="5">
        <v>5980</v>
      </c>
      <c r="H49" s="5">
        <v>3649</v>
      </c>
      <c r="I49" s="5">
        <v>4744</v>
      </c>
      <c r="J49" s="5">
        <v>3772</v>
      </c>
      <c r="K49" s="5">
        <v>3480</v>
      </c>
      <c r="L49" s="5">
        <v>14195</v>
      </c>
      <c r="M49" s="5">
        <v>1</v>
      </c>
      <c r="N49" s="5">
        <v>118289</v>
      </c>
      <c r="O49" s="50"/>
      <c r="P49" s="23" t="s">
        <v>16</v>
      </c>
      <c r="Q49" s="5">
        <v>11095.836869506966</v>
      </c>
      <c r="R49" s="5">
        <v>16858.153422702482</v>
      </c>
      <c r="S49" s="5">
        <v>12718.507560455246</v>
      </c>
      <c r="T49" s="5">
        <v>8445.2299942475584</v>
      </c>
      <c r="U49" s="5">
        <v>4907.6610399539804</v>
      </c>
      <c r="V49" s="5">
        <v>6374.6728229922892</v>
      </c>
      <c r="W49" s="5">
        <v>1862.0329738664416</v>
      </c>
      <c r="X49" s="5">
        <v>3467.0819016551018</v>
      </c>
      <c r="Y49" s="5">
        <v>2666.7601581557242</v>
      </c>
      <c r="Z49" s="5">
        <v>2083.7734936249844</v>
      </c>
      <c r="AA49" s="5">
        <v>9806.5111983281513</v>
      </c>
      <c r="AB49" s="5">
        <v>16.153282896317712</v>
      </c>
      <c r="AC49" s="5">
        <v>80302.374718385254</v>
      </c>
      <c r="AD49" s="49"/>
    </row>
    <row r="50" spans="1:30">
      <c r="A50" s="23" t="s">
        <v>17</v>
      </c>
      <c r="B50" s="5">
        <v>11673</v>
      </c>
      <c r="C50" s="5">
        <v>15027</v>
      </c>
      <c r="D50" s="5">
        <v>9074</v>
      </c>
      <c r="E50" s="5">
        <v>5696</v>
      </c>
      <c r="F50" s="5">
        <v>3200</v>
      </c>
      <c r="G50" s="5">
        <v>3800</v>
      </c>
      <c r="H50" s="5">
        <v>1828</v>
      </c>
      <c r="I50" s="5">
        <v>2604</v>
      </c>
      <c r="J50" s="5">
        <v>1942</v>
      </c>
      <c r="K50" s="5">
        <v>2208</v>
      </c>
      <c r="L50" s="5">
        <v>8267</v>
      </c>
      <c r="M50" s="5"/>
      <c r="N50" s="5">
        <v>65319</v>
      </c>
      <c r="O50" s="50"/>
      <c r="P50" s="23" t="s">
        <v>17</v>
      </c>
      <c r="Q50" s="5">
        <v>2387.748908128418</v>
      </c>
      <c r="R50" s="5">
        <v>3630.0832108815803</v>
      </c>
      <c r="S50" s="5">
        <v>4029.5098424996181</v>
      </c>
      <c r="T50" s="5">
        <v>1751.896954118821</v>
      </c>
      <c r="U50" s="5">
        <v>1443.5160988254827</v>
      </c>
      <c r="V50" s="5">
        <v>1722.5273488527887</v>
      </c>
      <c r="W50" s="5">
        <v>544.80617768489731</v>
      </c>
      <c r="X50" s="5">
        <v>809.13262507918716</v>
      </c>
      <c r="Y50" s="5">
        <v>762.14125665353572</v>
      </c>
      <c r="Z50" s="5">
        <v>534.52681584178606</v>
      </c>
      <c r="AA50" s="5">
        <v>2953.1138094995381</v>
      </c>
      <c r="AB50" s="5">
        <v>1.4684802633016101</v>
      </c>
      <c r="AC50" s="5">
        <v>20570.471528328955</v>
      </c>
      <c r="AD50" s="49"/>
    </row>
    <row r="51" spans="1:30">
      <c r="A51" s="23" t="s">
        <v>18</v>
      </c>
      <c r="B51" s="5">
        <v>26748</v>
      </c>
      <c r="C51" s="5">
        <v>24130</v>
      </c>
      <c r="D51" s="5">
        <v>17539</v>
      </c>
      <c r="E51" s="5">
        <v>9204</v>
      </c>
      <c r="F51" s="5">
        <v>6221</v>
      </c>
      <c r="G51" s="5">
        <v>7251</v>
      </c>
      <c r="H51" s="5">
        <v>3555</v>
      </c>
      <c r="I51" s="5">
        <v>4180</v>
      </c>
      <c r="J51" s="5">
        <v>2378</v>
      </c>
      <c r="K51" s="5">
        <v>2626</v>
      </c>
      <c r="L51" s="5">
        <v>14430</v>
      </c>
      <c r="M51" s="5">
        <v>1</v>
      </c>
      <c r="N51" s="5">
        <v>118263</v>
      </c>
      <c r="O51" s="50"/>
      <c r="P51" s="23" t="s">
        <v>18</v>
      </c>
      <c r="Q51" s="5">
        <v>3810.7062832676779</v>
      </c>
      <c r="R51" s="5">
        <v>3732.8768293126927</v>
      </c>
      <c r="S51" s="5">
        <v>5531.7651518571656</v>
      </c>
      <c r="T51" s="5">
        <v>1693.1577435867564</v>
      </c>
      <c r="U51" s="5">
        <v>2036.7821251993332</v>
      </c>
      <c r="V51" s="5">
        <v>2373.0641054954021</v>
      </c>
      <c r="W51" s="5">
        <v>538.93225663169085</v>
      </c>
      <c r="X51" s="5">
        <v>978.00785535887235</v>
      </c>
      <c r="Y51" s="5">
        <v>857.59247376814028</v>
      </c>
      <c r="Z51" s="5">
        <v>469.91368425651524</v>
      </c>
      <c r="AA51" s="5">
        <v>2766.6168160602333</v>
      </c>
      <c r="AB51" s="5">
        <v>8.8108815798096618</v>
      </c>
      <c r="AC51" s="5">
        <v>24798.226206374293</v>
      </c>
      <c r="AD51" s="49"/>
    </row>
    <row r="52" spans="1:30">
      <c r="A52" s="23" t="s">
        <v>19</v>
      </c>
      <c r="B52" s="5">
        <v>75882</v>
      </c>
      <c r="C52" s="5">
        <v>76777</v>
      </c>
      <c r="D52" s="5">
        <v>51691</v>
      </c>
      <c r="E52" s="5">
        <v>28120</v>
      </c>
      <c r="F52" s="5">
        <v>20582</v>
      </c>
      <c r="G52" s="5">
        <v>16300</v>
      </c>
      <c r="H52" s="5">
        <v>10996</v>
      </c>
      <c r="I52" s="5">
        <v>12111</v>
      </c>
      <c r="J52" s="5">
        <v>9186</v>
      </c>
      <c r="K52" s="5">
        <v>9715</v>
      </c>
      <c r="L52" s="5">
        <v>41381</v>
      </c>
      <c r="M52" s="5">
        <v>7</v>
      </c>
      <c r="N52" s="5">
        <v>352748</v>
      </c>
      <c r="O52" s="50"/>
      <c r="P52" s="23" t="s">
        <v>19</v>
      </c>
      <c r="Q52" s="5">
        <v>15325.060027815603</v>
      </c>
      <c r="R52" s="5">
        <v>16380.89733712946</v>
      </c>
      <c r="S52" s="5">
        <v>23824.623791805323</v>
      </c>
      <c r="T52" s="5">
        <v>8652.2857113730861</v>
      </c>
      <c r="U52" s="5">
        <v>8371.8059810824798</v>
      </c>
      <c r="V52" s="5">
        <v>8553.8975337318789</v>
      </c>
      <c r="W52" s="5">
        <v>2613.8948686768663</v>
      </c>
      <c r="X52" s="5">
        <v>4105.8708161913019</v>
      </c>
      <c r="Y52" s="5">
        <v>3616.8668885118659</v>
      </c>
      <c r="Z52" s="5">
        <v>2154.2605462634624</v>
      </c>
      <c r="AA52" s="5">
        <v>12382.225580159176</v>
      </c>
      <c r="AB52" s="5">
        <v>19.090243422920931</v>
      </c>
      <c r="AC52" s="5">
        <v>106000.77932616344</v>
      </c>
      <c r="AD52" s="49"/>
    </row>
    <row r="53" spans="1:30">
      <c r="A53" s="23" t="s">
        <v>20</v>
      </c>
      <c r="B53" s="5">
        <v>574724</v>
      </c>
      <c r="C53" s="5">
        <v>494435</v>
      </c>
      <c r="D53" s="5">
        <v>309288</v>
      </c>
      <c r="E53" s="5">
        <v>166566</v>
      </c>
      <c r="F53" s="5">
        <v>147859</v>
      </c>
      <c r="G53" s="5">
        <v>105251</v>
      </c>
      <c r="H53" s="5">
        <v>51280</v>
      </c>
      <c r="I53" s="5">
        <v>65296</v>
      </c>
      <c r="J53" s="5">
        <v>48701</v>
      </c>
      <c r="K53" s="5">
        <v>54698</v>
      </c>
      <c r="L53" s="5">
        <v>257920</v>
      </c>
      <c r="M53" s="5">
        <v>9</v>
      </c>
      <c r="N53" s="5">
        <v>2276027</v>
      </c>
      <c r="O53" s="50"/>
      <c r="P53" s="23" t="s">
        <v>20</v>
      </c>
      <c r="Q53" s="5">
        <v>187867.08552496487</v>
      </c>
      <c r="R53" s="5">
        <v>193447.31052551101</v>
      </c>
      <c r="S53" s="5">
        <v>297063.27790407266</v>
      </c>
      <c r="T53" s="5">
        <v>106291.53841829715</v>
      </c>
      <c r="U53" s="5">
        <v>124483.07192007749</v>
      </c>
      <c r="V53" s="5">
        <v>112481.18272811343</v>
      </c>
      <c r="W53" s="5">
        <v>34142.166121762435</v>
      </c>
      <c r="X53" s="5">
        <v>44414.185563557199</v>
      </c>
      <c r="Y53" s="5">
        <v>38146.711799785924</v>
      </c>
      <c r="Z53" s="5">
        <v>23721.830173374208</v>
      </c>
      <c r="AA53" s="5">
        <v>158726.56318000774</v>
      </c>
      <c r="AB53" s="5">
        <v>267.26340792089303</v>
      </c>
      <c r="AC53" s="5">
        <v>1321052.1872674453</v>
      </c>
      <c r="AD53" s="49"/>
    </row>
    <row r="54" spans="1:30">
      <c r="A54" s="23" t="s">
        <v>21</v>
      </c>
      <c r="B54" s="5">
        <v>43072</v>
      </c>
      <c r="C54" s="5">
        <v>50843</v>
      </c>
      <c r="D54" s="5">
        <v>17203</v>
      </c>
      <c r="E54" s="5">
        <v>17563</v>
      </c>
      <c r="F54" s="5">
        <v>7929</v>
      </c>
      <c r="G54" s="5">
        <v>8266</v>
      </c>
      <c r="H54" s="5">
        <v>10767</v>
      </c>
      <c r="I54" s="5">
        <v>5650</v>
      </c>
      <c r="J54" s="5">
        <v>5875</v>
      </c>
      <c r="K54" s="5">
        <v>5665</v>
      </c>
      <c r="L54" s="5">
        <v>19710</v>
      </c>
      <c r="M54" s="5">
        <v>2</v>
      </c>
      <c r="N54" s="5">
        <v>192545</v>
      </c>
      <c r="O54" s="50"/>
      <c r="P54" s="23" t="s">
        <v>21</v>
      </c>
      <c r="Q54" s="5">
        <v>9001.7840140388707</v>
      </c>
      <c r="R54" s="5">
        <v>9727.2132641098651</v>
      </c>
      <c r="S54" s="5">
        <v>8849.0620666555023</v>
      </c>
      <c r="T54" s="5">
        <v>4793.1195794164551</v>
      </c>
      <c r="U54" s="5">
        <v>4613.9649872936589</v>
      </c>
      <c r="V54" s="5">
        <v>4148.4567438270478</v>
      </c>
      <c r="W54" s="5">
        <v>1687.2838225335499</v>
      </c>
      <c r="X54" s="5">
        <v>1995.6646778268882</v>
      </c>
      <c r="Y54" s="5">
        <v>1803.2937633343772</v>
      </c>
      <c r="Z54" s="5">
        <v>1212.96469748713</v>
      </c>
      <c r="AA54" s="5">
        <v>6333.5553756198451</v>
      </c>
      <c r="AB54" s="5">
        <v>1.4684802633016101</v>
      </c>
      <c r="AC54" s="5">
        <v>54167.831472406491</v>
      </c>
      <c r="AD54" s="49"/>
    </row>
    <row r="55" spans="1:30">
      <c r="A55" s="23" t="s">
        <v>22</v>
      </c>
      <c r="B55" s="5">
        <v>50529</v>
      </c>
      <c r="C55" s="5">
        <v>46705</v>
      </c>
      <c r="D55" s="5">
        <v>23032</v>
      </c>
      <c r="E55" s="5">
        <v>16746</v>
      </c>
      <c r="F55" s="5">
        <v>7727</v>
      </c>
      <c r="G55" s="5">
        <v>11880</v>
      </c>
      <c r="H55" s="5">
        <v>7586</v>
      </c>
      <c r="I55" s="5">
        <v>6409</v>
      </c>
      <c r="J55" s="5">
        <v>6361</v>
      </c>
      <c r="K55" s="5">
        <v>5120</v>
      </c>
      <c r="L55" s="5">
        <v>24141</v>
      </c>
      <c r="M55" s="5">
        <v>1</v>
      </c>
      <c r="N55" s="5">
        <v>206237</v>
      </c>
      <c r="O55" s="50"/>
      <c r="P55" s="23" t="s">
        <v>22</v>
      </c>
      <c r="Q55" s="5">
        <v>8486.3474416200061</v>
      </c>
      <c r="R55" s="5">
        <v>8534.8072903089578</v>
      </c>
      <c r="S55" s="5">
        <v>10665.572152359595</v>
      </c>
      <c r="T55" s="5">
        <v>4180.7633096196842</v>
      </c>
      <c r="U55" s="5">
        <v>4663.8933162459143</v>
      </c>
      <c r="V55" s="5">
        <v>4772.560855730233</v>
      </c>
      <c r="W55" s="5">
        <v>1132.1982830055415</v>
      </c>
      <c r="X55" s="5">
        <v>1797.4198422811708</v>
      </c>
      <c r="Y55" s="5">
        <v>1832.6633686004095</v>
      </c>
      <c r="Z55" s="5">
        <v>1092.549315896398</v>
      </c>
      <c r="AA55" s="5">
        <v>6337.9608164097499</v>
      </c>
      <c r="AB55" s="5">
        <v>14.684802633016101</v>
      </c>
      <c r="AC55" s="5">
        <v>53511.420794710677</v>
      </c>
      <c r="AD55" s="49"/>
    </row>
    <row r="56" spans="1:30">
      <c r="A56" s="23" t="s">
        <v>367</v>
      </c>
      <c r="B56" s="5">
        <v>15244</v>
      </c>
      <c r="C56" s="5">
        <v>15477</v>
      </c>
      <c r="D56" s="5">
        <v>10748</v>
      </c>
      <c r="E56" s="5">
        <v>6820</v>
      </c>
      <c r="F56" s="5">
        <v>2357</v>
      </c>
      <c r="G56" s="5">
        <v>6142</v>
      </c>
      <c r="H56" s="5">
        <v>3137</v>
      </c>
      <c r="I56" s="5">
        <v>2255</v>
      </c>
      <c r="J56" s="5">
        <v>1845</v>
      </c>
      <c r="K56" s="5">
        <v>2378</v>
      </c>
      <c r="L56" s="5">
        <v>8585</v>
      </c>
      <c r="M56" s="5">
        <v>1</v>
      </c>
      <c r="N56" s="5">
        <v>74989</v>
      </c>
      <c r="O56" s="50"/>
      <c r="P56" s="23" t="s">
        <v>367</v>
      </c>
      <c r="Q56" s="5">
        <v>4011.8880793399985</v>
      </c>
      <c r="R56" s="5">
        <v>3494.9830266578319</v>
      </c>
      <c r="S56" s="5">
        <v>5042.7612241777288</v>
      </c>
      <c r="T56" s="5">
        <v>1600.643486998755</v>
      </c>
      <c r="U56" s="5">
        <v>2205.6573554790184</v>
      </c>
      <c r="V56" s="5">
        <v>2211.5312765322251</v>
      </c>
      <c r="W56" s="5">
        <v>453.76040136019753</v>
      </c>
      <c r="X56" s="5">
        <v>825.28590797550498</v>
      </c>
      <c r="Y56" s="5">
        <v>610.8877895334698</v>
      </c>
      <c r="Z56" s="5">
        <v>459.63432241340399</v>
      </c>
      <c r="AA56" s="5">
        <v>2854.72563185833</v>
      </c>
      <c r="AB56" s="5">
        <v>8.8108815798096618</v>
      </c>
      <c r="AC56" s="5">
        <v>23780.569383906273</v>
      </c>
      <c r="AD56" s="49"/>
    </row>
    <row r="57" spans="1:30">
      <c r="A57" s="23" t="s">
        <v>23</v>
      </c>
      <c r="B57" s="5">
        <v>69233</v>
      </c>
      <c r="C57" s="5">
        <v>88240</v>
      </c>
      <c r="D57" s="5">
        <v>40550</v>
      </c>
      <c r="E57" s="5">
        <v>29439</v>
      </c>
      <c r="F57" s="5">
        <v>15722</v>
      </c>
      <c r="G57" s="5">
        <v>17152</v>
      </c>
      <c r="H57" s="5">
        <v>11036</v>
      </c>
      <c r="I57" s="5">
        <v>9567</v>
      </c>
      <c r="J57" s="5">
        <v>8611</v>
      </c>
      <c r="K57" s="5">
        <v>8569</v>
      </c>
      <c r="L57" s="5">
        <v>38462</v>
      </c>
      <c r="M57" s="5">
        <v>98</v>
      </c>
      <c r="N57" s="5">
        <v>336679</v>
      </c>
      <c r="O57" s="50"/>
      <c r="P57" s="23" t="s">
        <v>23</v>
      </c>
      <c r="Q57" s="5">
        <v>18953.674758433881</v>
      </c>
      <c r="R57" s="5">
        <v>19759.870422986467</v>
      </c>
      <c r="S57" s="5">
        <v>23720.361693110906</v>
      </c>
      <c r="T57" s="5">
        <v>8399.7071060852104</v>
      </c>
      <c r="U57" s="5">
        <v>10294.046645744287</v>
      </c>
      <c r="V57" s="5">
        <v>8671.3759547960071</v>
      </c>
      <c r="W57" s="5">
        <v>2837.1038686987108</v>
      </c>
      <c r="X57" s="5">
        <v>3847.4182898502186</v>
      </c>
      <c r="Y57" s="5">
        <v>3220.377217420431</v>
      </c>
      <c r="Z57" s="5">
        <v>2022.0973225663174</v>
      </c>
      <c r="AA57" s="5">
        <v>13780.21879082231</v>
      </c>
      <c r="AB57" s="5">
        <v>51.39680921555636</v>
      </c>
      <c r="AC57" s="5">
        <v>115557.64887973032</v>
      </c>
      <c r="AD57" s="49"/>
    </row>
    <row r="58" spans="1:30">
      <c r="A58" s="23" t="s">
        <v>24</v>
      </c>
      <c r="B58" s="5">
        <v>38975</v>
      </c>
      <c r="C58" s="5">
        <v>38779</v>
      </c>
      <c r="D58" s="5">
        <v>22046</v>
      </c>
      <c r="E58" s="5">
        <v>13091</v>
      </c>
      <c r="F58" s="5">
        <v>7716</v>
      </c>
      <c r="G58" s="5">
        <v>9436</v>
      </c>
      <c r="H58" s="5">
        <v>4844</v>
      </c>
      <c r="I58" s="5">
        <v>4531</v>
      </c>
      <c r="J58" s="5">
        <v>3815</v>
      </c>
      <c r="K58" s="5">
        <v>3759</v>
      </c>
      <c r="L58" s="5">
        <v>20444</v>
      </c>
      <c r="M58" s="5">
        <v>3</v>
      </c>
      <c r="N58" s="5">
        <v>167439</v>
      </c>
      <c r="O58" s="50"/>
      <c r="P58" s="23" t="s">
        <v>24</v>
      </c>
      <c r="Q58" s="5">
        <v>10247.055277318635</v>
      </c>
      <c r="R58" s="5">
        <v>8501.0322442530214</v>
      </c>
      <c r="S58" s="5">
        <v>11972.519586698027</v>
      </c>
      <c r="T58" s="5">
        <v>3687.353941150343</v>
      </c>
      <c r="U58" s="5">
        <v>4721.1640465146766</v>
      </c>
      <c r="V58" s="5">
        <v>5061.8514676006498</v>
      </c>
      <c r="W58" s="5">
        <v>1425.8943356658635</v>
      </c>
      <c r="X58" s="5">
        <v>1995.6646778268882</v>
      </c>
      <c r="Y58" s="5">
        <v>1603.5804475253583</v>
      </c>
      <c r="Z58" s="5">
        <v>966.26001325245943</v>
      </c>
      <c r="AA58" s="5">
        <v>6301.2488098272088</v>
      </c>
      <c r="AB58" s="5">
        <v>60.207690795366013</v>
      </c>
      <c r="AC58" s="5">
        <v>56543.832538428513</v>
      </c>
      <c r="AD58" s="49"/>
    </row>
    <row r="59" spans="1:30">
      <c r="A59" s="23" t="s">
        <v>25</v>
      </c>
      <c r="B59" s="5">
        <v>7802</v>
      </c>
      <c r="C59" s="5">
        <v>11229</v>
      </c>
      <c r="D59" s="5">
        <v>10252</v>
      </c>
      <c r="E59" s="5">
        <v>4904</v>
      </c>
      <c r="F59" s="5">
        <v>3234</v>
      </c>
      <c r="G59" s="5">
        <v>4679</v>
      </c>
      <c r="H59" s="5">
        <v>1052</v>
      </c>
      <c r="I59" s="5">
        <v>1783</v>
      </c>
      <c r="J59" s="5">
        <v>1717</v>
      </c>
      <c r="K59" s="5">
        <v>1464</v>
      </c>
      <c r="L59" s="5">
        <v>6711</v>
      </c>
      <c r="M59" s="5">
        <v>1</v>
      </c>
      <c r="N59" s="5">
        <v>54828</v>
      </c>
      <c r="O59" s="50"/>
      <c r="P59" s="23" t="s">
        <v>25</v>
      </c>
      <c r="Q59" s="5">
        <v>3045.6280660875391</v>
      </c>
      <c r="R59" s="5">
        <v>3199.8184937342085</v>
      </c>
      <c r="S59" s="5">
        <v>5274.7811057793842</v>
      </c>
      <c r="T59" s="5">
        <v>1505.1922698841504</v>
      </c>
      <c r="U59" s="5">
        <v>2047.0614870424442</v>
      </c>
      <c r="V59" s="5">
        <v>1992.7277173002851</v>
      </c>
      <c r="W59" s="5">
        <v>374.46246714191062</v>
      </c>
      <c r="X59" s="5">
        <v>647.59979611601011</v>
      </c>
      <c r="Y59" s="5">
        <v>866.40335534794997</v>
      </c>
      <c r="Z59" s="5">
        <v>442.01255925378462</v>
      </c>
      <c r="AA59" s="5">
        <v>2638.8590331529931</v>
      </c>
      <c r="AB59" s="5">
        <v>26.432644739428984</v>
      </c>
      <c r="AC59" s="5">
        <v>22060.978995580088</v>
      </c>
      <c r="AD59" s="49"/>
    </row>
    <row r="60" spans="1:30">
      <c r="A60" s="23" t="s">
        <v>26</v>
      </c>
      <c r="B60" s="5">
        <v>33592</v>
      </c>
      <c r="C60" s="5">
        <v>40578</v>
      </c>
      <c r="D60" s="5">
        <v>28289</v>
      </c>
      <c r="E60" s="5">
        <v>15535</v>
      </c>
      <c r="F60" s="5">
        <v>10647</v>
      </c>
      <c r="G60" s="5">
        <v>10829</v>
      </c>
      <c r="H60" s="5">
        <v>3145</v>
      </c>
      <c r="I60" s="5">
        <v>4595</v>
      </c>
      <c r="J60" s="5">
        <v>3765</v>
      </c>
      <c r="K60" s="5">
        <v>4408</v>
      </c>
      <c r="L60" s="5">
        <v>19473</v>
      </c>
      <c r="M60" s="5">
        <v>1</v>
      </c>
      <c r="N60" s="5">
        <v>174857</v>
      </c>
      <c r="O60" s="50"/>
      <c r="P60" s="23" t="s">
        <v>26</v>
      </c>
      <c r="Q60" s="5">
        <v>10640.607987883466</v>
      </c>
      <c r="R60" s="5">
        <v>10349.848895749748</v>
      </c>
      <c r="S60" s="5">
        <v>15176.743521222141</v>
      </c>
      <c r="T60" s="5">
        <v>5289.4659084123996</v>
      </c>
      <c r="U60" s="5">
        <v>5531.7651518571656</v>
      </c>
      <c r="V60" s="5">
        <v>5533.2336321204666</v>
      </c>
      <c r="W60" s="5">
        <v>1337.7855198677667</v>
      </c>
      <c r="X60" s="5">
        <v>1941.3309080847284</v>
      </c>
      <c r="Y60" s="5">
        <v>1515.4716317272616</v>
      </c>
      <c r="Z60" s="5">
        <v>1262.8930264393846</v>
      </c>
      <c r="AA60" s="5">
        <v>7668.4039349610075</v>
      </c>
      <c r="AB60" s="5">
        <v>49.928328952254745</v>
      </c>
      <c r="AC60" s="5">
        <v>66297.478447277783</v>
      </c>
      <c r="AD60" s="49"/>
    </row>
    <row r="61" spans="1:30">
      <c r="A61" s="23" t="s">
        <v>27</v>
      </c>
      <c r="B61" s="5">
        <v>5562</v>
      </c>
      <c r="C61" s="5">
        <v>4385</v>
      </c>
      <c r="D61" s="5">
        <v>3607</v>
      </c>
      <c r="E61" s="5">
        <v>1905</v>
      </c>
      <c r="F61" s="5">
        <v>1312</v>
      </c>
      <c r="G61" s="5">
        <v>1490</v>
      </c>
      <c r="H61" s="5">
        <v>540</v>
      </c>
      <c r="I61" s="5">
        <v>844</v>
      </c>
      <c r="J61" s="5">
        <v>578</v>
      </c>
      <c r="K61" s="5">
        <v>530</v>
      </c>
      <c r="L61" s="5">
        <v>2744</v>
      </c>
      <c r="M61" s="5"/>
      <c r="N61" s="5">
        <v>23497</v>
      </c>
      <c r="O61" s="50"/>
      <c r="P61" s="23" t="s">
        <v>27</v>
      </c>
      <c r="Q61" s="5">
        <v>1139.5406843220496</v>
      </c>
      <c r="R61" s="5">
        <v>997.09809878179317</v>
      </c>
      <c r="S61" s="5">
        <v>1512.5346712006585</v>
      </c>
      <c r="T61" s="5">
        <v>458.16584215010238</v>
      </c>
      <c r="U61" s="5">
        <v>481.6615263629281</v>
      </c>
      <c r="V61" s="5">
        <v>509.56265136565872</v>
      </c>
      <c r="W61" s="5">
        <v>155.65890790997068</v>
      </c>
      <c r="X61" s="5">
        <v>237.89380265486085</v>
      </c>
      <c r="Y61" s="5">
        <v>262.85796713098819</v>
      </c>
      <c r="Z61" s="5">
        <v>133.63170396044652</v>
      </c>
      <c r="AA61" s="5">
        <v>696.05964480496323</v>
      </c>
      <c r="AB61" s="5">
        <v>4.4054407899048309</v>
      </c>
      <c r="AC61" s="5">
        <v>6589.0709414343246</v>
      </c>
      <c r="AD61" s="49"/>
    </row>
    <row r="62" spans="1:30">
      <c r="A62" s="23" t="s">
        <v>28</v>
      </c>
      <c r="B62" s="5">
        <v>8468</v>
      </c>
      <c r="C62" s="5">
        <v>10752</v>
      </c>
      <c r="D62" s="5">
        <v>6380</v>
      </c>
      <c r="E62" s="5">
        <v>3446</v>
      </c>
      <c r="F62" s="5">
        <v>2098</v>
      </c>
      <c r="G62" s="5">
        <v>3304</v>
      </c>
      <c r="H62" s="5">
        <v>887</v>
      </c>
      <c r="I62" s="5">
        <v>1202</v>
      </c>
      <c r="J62" s="5">
        <v>1261</v>
      </c>
      <c r="K62" s="5">
        <v>1047</v>
      </c>
      <c r="L62" s="5">
        <v>5055</v>
      </c>
      <c r="M62" s="5"/>
      <c r="N62" s="5">
        <v>43900</v>
      </c>
      <c r="O62" s="50"/>
      <c r="P62" s="23" t="s">
        <v>28</v>
      </c>
      <c r="Q62" s="5">
        <v>2985.420375292173</v>
      </c>
      <c r="R62" s="5">
        <v>4381.9451056920043</v>
      </c>
      <c r="S62" s="5">
        <v>4531.7300925487689</v>
      </c>
      <c r="T62" s="5">
        <v>1942.7993883480303</v>
      </c>
      <c r="U62" s="5">
        <v>1722.5273488527887</v>
      </c>
      <c r="V62" s="5">
        <v>1621.2022106849774</v>
      </c>
      <c r="W62" s="5">
        <v>320.12869739975099</v>
      </c>
      <c r="X62" s="5">
        <v>640.25739479950198</v>
      </c>
      <c r="Y62" s="5">
        <v>740.11405270401156</v>
      </c>
      <c r="Z62" s="5">
        <v>411.17447372445088</v>
      </c>
      <c r="AA62" s="5">
        <v>2655.0123160493113</v>
      </c>
      <c r="AB62" s="5">
        <v>7.3424013165080506</v>
      </c>
      <c r="AC62" s="5">
        <v>21959.653857412279</v>
      </c>
      <c r="AD62" s="49"/>
    </row>
    <row r="63" spans="1:30">
      <c r="A63" s="23" t="s">
        <v>222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</v>
      </c>
      <c r="O63" s="50"/>
      <c r="P63" s="23" t="s">
        <v>222</v>
      </c>
      <c r="Q63" s="5">
        <v>204.11875659892382</v>
      </c>
      <c r="R63" s="5">
        <v>254.04708555117855</v>
      </c>
      <c r="S63" s="5">
        <v>395.02119082813311</v>
      </c>
      <c r="T63" s="5">
        <v>201.18179607232057</v>
      </c>
      <c r="U63" s="5">
        <v>195.30787501911414</v>
      </c>
      <c r="V63" s="5">
        <v>102.79361843111272</v>
      </c>
      <c r="W63" s="5">
        <v>35.243526319238647</v>
      </c>
      <c r="X63" s="5">
        <v>57.270730268762797</v>
      </c>
      <c r="Y63" s="5">
        <v>32.306565792635425</v>
      </c>
      <c r="Z63" s="5">
        <v>16.153282896317712</v>
      </c>
      <c r="AA63" s="5">
        <v>208.52419738882864</v>
      </c>
      <c r="AB63" s="5">
        <v>0</v>
      </c>
      <c r="AC63" s="5">
        <v>1701.9686251665662</v>
      </c>
      <c r="AD63" s="49"/>
    </row>
    <row r="64" spans="1:30">
      <c r="A64" s="21" t="s">
        <v>46</v>
      </c>
      <c r="B64" s="38">
        <v>1006447</v>
      </c>
      <c r="C64" s="38">
        <v>965688</v>
      </c>
      <c r="D64" s="38">
        <v>577880</v>
      </c>
      <c r="E64" s="38">
        <v>337334</v>
      </c>
      <c r="F64" s="38">
        <v>252645</v>
      </c>
      <c r="G64" s="38">
        <v>218479</v>
      </c>
      <c r="H64" s="38">
        <v>117867</v>
      </c>
      <c r="I64" s="38">
        <v>130251</v>
      </c>
      <c r="J64" s="38">
        <v>102935</v>
      </c>
      <c r="K64" s="38">
        <v>108262</v>
      </c>
      <c r="L64" s="38">
        <v>493245</v>
      </c>
      <c r="M64" s="38">
        <v>131</v>
      </c>
      <c r="N64" s="38">
        <v>4311164</v>
      </c>
      <c r="O64" s="49"/>
      <c r="P64" s="21" t="s">
        <v>46</v>
      </c>
      <c r="Q64" s="38">
        <v>294794.47589727159</v>
      </c>
      <c r="R64" s="38">
        <v>309965.3454974406</v>
      </c>
      <c r="S64" s="38">
        <v>437944.86892443924</v>
      </c>
      <c r="T64" s="38">
        <v>162474.1248119534</v>
      </c>
      <c r="U64" s="38">
        <v>181349.97011643235</v>
      </c>
      <c r="V64" s="38">
        <v>170509.64881273988</v>
      </c>
      <c r="W64" s="38">
        <v>50392.36871545804</v>
      </c>
      <c r="X64" s="38">
        <v>69398.908763370782</v>
      </c>
      <c r="Y64" s="38">
        <v>60085.806933511973</v>
      </c>
      <c r="Z64" s="38">
        <v>38043.91818135482</v>
      </c>
      <c r="AA64" s="38">
        <v>241205.22564860599</v>
      </c>
      <c r="AB64" s="38">
        <v>543.33769742159575</v>
      </c>
      <c r="AC64" s="38">
        <v>2016708.0000000002</v>
      </c>
      <c r="AD64" s="49"/>
    </row>
    <row r="65" spans="1:29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P65" s="3" t="s">
        <v>56</v>
      </c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>
      <c r="Q66" s="6"/>
      <c r="R66" s="6"/>
      <c r="S66" s="6"/>
      <c r="T66" s="6"/>
    </row>
    <row r="67" spans="1:29">
      <c r="A67" s="7" t="s">
        <v>120</v>
      </c>
      <c r="Q67" s="6"/>
      <c r="R67" s="6"/>
      <c r="S67" s="6"/>
      <c r="T67" s="6"/>
    </row>
    <row r="68" spans="1:29">
      <c r="A68" s="7" t="s">
        <v>327</v>
      </c>
      <c r="P68" s="7"/>
      <c r="Q68" s="6"/>
      <c r="R68" s="6"/>
      <c r="S68" s="6"/>
      <c r="T68" s="6"/>
    </row>
    <row r="69" spans="1:29">
      <c r="A69" s="8" t="s">
        <v>148</v>
      </c>
      <c r="B69" s="8" t="s">
        <v>0</v>
      </c>
      <c r="C69" s="8" t="s">
        <v>589</v>
      </c>
      <c r="D69" s="8" t="s">
        <v>45</v>
      </c>
      <c r="P69" s="26"/>
      <c r="Q69" s="26"/>
      <c r="R69" s="26"/>
      <c r="S69" s="26"/>
      <c r="T69" s="6"/>
    </row>
    <row r="70" spans="1:29">
      <c r="A70" s="35" t="s">
        <v>9</v>
      </c>
      <c r="B70" s="4">
        <v>17566925</v>
      </c>
      <c r="C70" s="4">
        <v>3348523.4608846791</v>
      </c>
      <c r="D70" s="4">
        <v>20915448.460884679</v>
      </c>
      <c r="P70" s="25"/>
      <c r="Q70" s="13"/>
      <c r="R70" s="13"/>
      <c r="S70" s="13"/>
      <c r="T70" s="6"/>
    </row>
    <row r="71" spans="1:29">
      <c r="A71" s="35" t="s">
        <v>10</v>
      </c>
      <c r="B71" s="5">
        <v>12878061</v>
      </c>
      <c r="C71" s="5">
        <v>2946390.2534436723</v>
      </c>
      <c r="D71" s="5">
        <v>15824451.253443673</v>
      </c>
      <c r="P71" s="25"/>
      <c r="Q71" s="13"/>
      <c r="R71" s="13"/>
      <c r="S71" s="13"/>
      <c r="T71" s="6"/>
    </row>
    <row r="72" spans="1:29">
      <c r="A72" s="35" t="s">
        <v>11</v>
      </c>
      <c r="B72" s="5">
        <v>2837353</v>
      </c>
      <c r="C72" s="5">
        <v>633370.03296718176</v>
      </c>
      <c r="D72" s="5">
        <v>3470723.0329671819</v>
      </c>
      <c r="P72" s="25"/>
      <c r="Q72" s="13"/>
      <c r="R72" s="13"/>
      <c r="S72" s="13"/>
      <c r="T72" s="6"/>
    </row>
    <row r="73" spans="1:29">
      <c r="A73" s="35" t="s">
        <v>12</v>
      </c>
      <c r="B73" s="5">
        <v>5607551</v>
      </c>
      <c r="C73" s="5">
        <v>2432756.8211245583</v>
      </c>
      <c r="D73" s="5">
        <v>8040307.8211245583</v>
      </c>
      <c r="P73" s="25"/>
      <c r="Q73" s="13"/>
      <c r="R73" s="13"/>
      <c r="S73" s="13"/>
      <c r="T73" s="6"/>
    </row>
    <row r="74" spans="1:29">
      <c r="A74" s="35" t="s">
        <v>13</v>
      </c>
      <c r="B74" s="5">
        <v>1025281</v>
      </c>
      <c r="C74" s="5">
        <v>167523.17058637322</v>
      </c>
      <c r="D74" s="5">
        <v>1192804.1705863732</v>
      </c>
      <c r="P74" s="25"/>
      <c r="Q74" s="13"/>
      <c r="R74" s="13"/>
      <c r="S74" s="13"/>
      <c r="T74" s="6"/>
    </row>
    <row r="75" spans="1:29">
      <c r="A75" s="35" t="s">
        <v>163</v>
      </c>
      <c r="B75" s="5">
        <v>1969274</v>
      </c>
      <c r="C75" s="5">
        <v>771795.71255638287</v>
      </c>
      <c r="D75" s="5">
        <v>2741069.7125563826</v>
      </c>
      <c r="P75" s="25"/>
      <c r="Q75" s="13"/>
      <c r="R75" s="13"/>
      <c r="S75" s="13"/>
      <c r="T75" s="6"/>
    </row>
    <row r="76" spans="1:29">
      <c r="A76" s="35" t="s">
        <v>164</v>
      </c>
      <c r="B76" s="5">
        <v>1823552</v>
      </c>
      <c r="C76" s="5">
        <v>667527.34095704276</v>
      </c>
      <c r="D76" s="5">
        <v>2491079.3409570428</v>
      </c>
      <c r="P76" s="25"/>
      <c r="Q76" s="13"/>
      <c r="R76" s="13"/>
      <c r="S76" s="13"/>
      <c r="T76" s="6"/>
    </row>
    <row r="77" spans="1:29">
      <c r="A77" s="35" t="s">
        <v>165</v>
      </c>
      <c r="B77" s="5">
        <v>1454920</v>
      </c>
      <c r="C77" s="5">
        <v>443515.28213121323</v>
      </c>
      <c r="D77" s="5">
        <v>1898435.2821312132</v>
      </c>
      <c r="P77" s="29"/>
      <c r="Q77" s="13"/>
      <c r="R77" s="13"/>
      <c r="S77" s="13"/>
      <c r="T77" s="6"/>
    </row>
    <row r="78" spans="1:29">
      <c r="A78" s="35" t="s">
        <v>166</v>
      </c>
      <c r="B78" s="5">
        <v>2924729</v>
      </c>
      <c r="C78" s="5">
        <v>1523593.1008083285</v>
      </c>
      <c r="D78" s="5">
        <v>4448322.100808328</v>
      </c>
      <c r="Q78" s="6"/>
      <c r="R78" s="6"/>
      <c r="S78" s="6"/>
      <c r="T78" s="6"/>
    </row>
    <row r="79" spans="1:29">
      <c r="A79" s="35" t="s">
        <v>203</v>
      </c>
      <c r="B79" s="5">
        <v>2242813</v>
      </c>
      <c r="C79" s="5">
        <v>618987.82206149236</v>
      </c>
      <c r="D79" s="5">
        <v>2861800.8220614921</v>
      </c>
      <c r="Q79" s="6"/>
      <c r="R79" s="6"/>
      <c r="S79" s="6"/>
      <c r="T79" s="6"/>
    </row>
    <row r="80" spans="1:29">
      <c r="A80" s="35" t="s">
        <v>31</v>
      </c>
      <c r="B80" s="5">
        <v>6033237</v>
      </c>
      <c r="C80" s="5">
        <v>1624043.5782832834</v>
      </c>
      <c r="D80" s="5">
        <v>7657280.5782832839</v>
      </c>
      <c r="Q80" s="6"/>
      <c r="R80" s="6"/>
      <c r="S80" s="6"/>
      <c r="T80" s="6"/>
    </row>
    <row r="81" spans="1:30">
      <c r="A81" s="35" t="s">
        <v>222</v>
      </c>
      <c r="B81" s="5">
        <v>2002</v>
      </c>
      <c r="C81" s="5">
        <v>198.4241957917236</v>
      </c>
      <c r="D81" s="5">
        <v>2200.4241957917238</v>
      </c>
      <c r="Q81" s="6"/>
      <c r="R81" s="6"/>
      <c r="S81" s="6"/>
      <c r="T81" s="6"/>
    </row>
    <row r="82" spans="1:30">
      <c r="A82" s="21" t="s">
        <v>46</v>
      </c>
      <c r="B82" s="38">
        <v>56365698</v>
      </c>
      <c r="C82" s="38">
        <v>15178225</v>
      </c>
      <c r="D82" s="38">
        <v>71543923</v>
      </c>
      <c r="Q82" s="6"/>
      <c r="R82" s="6"/>
      <c r="S82" s="6"/>
      <c r="T82" s="6"/>
    </row>
    <row r="83" spans="1:30">
      <c r="A83" s="3" t="s">
        <v>55</v>
      </c>
      <c r="B83" s="47"/>
      <c r="C83" s="47"/>
      <c r="D83" s="47"/>
      <c r="Q83" s="6"/>
      <c r="R83" s="6"/>
      <c r="S83" s="6"/>
      <c r="T83" s="6"/>
    </row>
    <row r="84" spans="1:30">
      <c r="Q84" s="6"/>
      <c r="R84" s="6"/>
      <c r="S84" s="6"/>
      <c r="T84" s="6"/>
    </row>
    <row r="85" spans="1:30">
      <c r="A85" s="7" t="s">
        <v>121</v>
      </c>
      <c r="P85" s="7" t="s">
        <v>124</v>
      </c>
      <c r="Q85" s="6"/>
      <c r="R85" s="6"/>
      <c r="S85" s="6"/>
      <c r="T85" s="6"/>
    </row>
    <row r="86" spans="1:30">
      <c r="A86" s="7" t="s">
        <v>328</v>
      </c>
      <c r="P86" s="7" t="s">
        <v>329</v>
      </c>
      <c r="Q86" s="6"/>
      <c r="R86" s="6"/>
      <c r="S86" s="6"/>
      <c r="T86" s="6"/>
    </row>
    <row r="87" spans="1:30" ht="38.25">
      <c r="A87" s="28" t="s">
        <v>50</v>
      </c>
      <c r="B87" s="28" t="s">
        <v>9</v>
      </c>
      <c r="C87" s="28" t="s">
        <v>10</v>
      </c>
      <c r="D87" s="28" t="s">
        <v>11</v>
      </c>
      <c r="E87" s="28" t="s">
        <v>12</v>
      </c>
      <c r="F87" s="28" t="s">
        <v>13</v>
      </c>
      <c r="G87" s="28" t="s">
        <v>163</v>
      </c>
      <c r="H87" s="28" t="s">
        <v>164</v>
      </c>
      <c r="I87" s="28" t="s">
        <v>165</v>
      </c>
      <c r="J87" s="28" t="s">
        <v>166</v>
      </c>
      <c r="K87" s="28" t="s">
        <v>203</v>
      </c>
      <c r="L87" s="28" t="s">
        <v>31</v>
      </c>
      <c r="M87" s="28" t="s">
        <v>222</v>
      </c>
      <c r="N87" s="28" t="s">
        <v>48</v>
      </c>
      <c r="P87" s="28" t="s">
        <v>50</v>
      </c>
      <c r="Q87" s="28" t="s">
        <v>9</v>
      </c>
      <c r="R87" s="28" t="s">
        <v>10</v>
      </c>
      <c r="S87" s="28" t="s">
        <v>11</v>
      </c>
      <c r="T87" s="28" t="s">
        <v>12</v>
      </c>
      <c r="U87" s="28" t="s">
        <v>13</v>
      </c>
      <c r="V87" s="28" t="s">
        <v>163</v>
      </c>
      <c r="W87" s="28" t="s">
        <v>164</v>
      </c>
      <c r="X87" s="28" t="s">
        <v>165</v>
      </c>
      <c r="Y87" s="28" t="s">
        <v>166</v>
      </c>
      <c r="Z87" s="28" t="s">
        <v>203</v>
      </c>
      <c r="AA87" s="28" t="s">
        <v>31</v>
      </c>
      <c r="AB87" s="28" t="s">
        <v>222</v>
      </c>
      <c r="AC87" s="28" t="s">
        <v>48</v>
      </c>
    </row>
    <row r="88" spans="1:30">
      <c r="A88" s="14" t="s">
        <v>5</v>
      </c>
      <c r="B88" s="4">
        <v>4427650</v>
      </c>
      <c r="C88" s="4">
        <v>5505062</v>
      </c>
      <c r="D88" s="15">
        <v>992942</v>
      </c>
      <c r="E88" s="15">
        <v>3430210</v>
      </c>
      <c r="F88" s="15">
        <v>427365</v>
      </c>
      <c r="G88" s="15">
        <v>992266</v>
      </c>
      <c r="H88" s="15">
        <v>2466</v>
      </c>
      <c r="I88" s="15">
        <v>645634</v>
      </c>
      <c r="J88" s="15">
        <v>1443729</v>
      </c>
      <c r="K88" s="15">
        <v>1565744</v>
      </c>
      <c r="L88" s="15">
        <v>2721640</v>
      </c>
      <c r="M88" s="15">
        <v>1154</v>
      </c>
      <c r="N88" s="15">
        <v>22155862</v>
      </c>
      <c r="O88" s="49"/>
      <c r="P88" s="14" t="s">
        <v>5</v>
      </c>
      <c r="Q88" s="4">
        <v>1409221.040025058</v>
      </c>
      <c r="R88" s="4">
        <v>1707092.9624451462</v>
      </c>
      <c r="S88" s="15">
        <v>314475.77566080267</v>
      </c>
      <c r="T88" s="15">
        <v>1728117.0689760423</v>
      </c>
      <c r="U88" s="15">
        <v>98960.524361911579</v>
      </c>
      <c r="V88" s="15">
        <v>471854.509237324</v>
      </c>
      <c r="W88" s="15">
        <v>43073.995288251572</v>
      </c>
      <c r="X88" s="15">
        <v>206033.40937141515</v>
      </c>
      <c r="Y88" s="15">
        <v>761885.13263442845</v>
      </c>
      <c r="Z88" s="15">
        <v>431629.31847436796</v>
      </c>
      <c r="AA88" s="15">
        <v>861688.95982845488</v>
      </c>
      <c r="AB88" s="15">
        <v>33.661247500381684</v>
      </c>
      <c r="AC88" s="15">
        <v>8034066.357550703</v>
      </c>
      <c r="AD88" s="50"/>
    </row>
    <row r="89" spans="1:30">
      <c r="A89" s="17" t="s">
        <v>6</v>
      </c>
      <c r="B89" s="5">
        <v>13139275</v>
      </c>
      <c r="C89" s="5">
        <v>7372999</v>
      </c>
      <c r="D89" s="10">
        <v>1844411</v>
      </c>
      <c r="E89" s="10">
        <v>2177341</v>
      </c>
      <c r="F89" s="10">
        <v>597916</v>
      </c>
      <c r="G89" s="10">
        <v>977008</v>
      </c>
      <c r="H89" s="10">
        <v>1821086</v>
      </c>
      <c r="I89" s="10">
        <v>809286</v>
      </c>
      <c r="J89" s="10">
        <v>1481000</v>
      </c>
      <c r="K89" s="10">
        <v>677069</v>
      </c>
      <c r="L89" s="10">
        <v>3311597</v>
      </c>
      <c r="M89" s="10">
        <v>848</v>
      </c>
      <c r="N89" s="10">
        <v>34209836</v>
      </c>
      <c r="O89" s="49"/>
      <c r="P89" s="17" t="s">
        <v>6</v>
      </c>
      <c r="Q89" s="5">
        <v>1939302.4208596211</v>
      </c>
      <c r="R89" s="5">
        <v>1239297.2909985259</v>
      </c>
      <c r="S89" s="10">
        <v>318894.25730637909</v>
      </c>
      <c r="T89" s="10">
        <v>704639.75214851624</v>
      </c>
      <c r="U89" s="10">
        <v>68562.646224461641</v>
      </c>
      <c r="V89" s="10">
        <v>299941.20331905893</v>
      </c>
      <c r="W89" s="10">
        <v>624453.34566879121</v>
      </c>
      <c r="X89" s="10">
        <v>237481.87275979808</v>
      </c>
      <c r="Y89" s="10">
        <v>761707.96817390004</v>
      </c>
      <c r="Z89" s="10">
        <v>187358.50358712443</v>
      </c>
      <c r="AA89" s="10">
        <v>762354.61845482851</v>
      </c>
      <c r="AB89" s="10">
        <v>164.76294829134193</v>
      </c>
      <c r="AC89" s="10">
        <v>7144158.6424492961</v>
      </c>
      <c r="AD89" s="49"/>
    </row>
    <row r="90" spans="1:30">
      <c r="A90" s="17" t="s">
        <v>222</v>
      </c>
      <c r="B90" s="5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>
        <v>0</v>
      </c>
      <c r="O90" s="49"/>
      <c r="P90" s="17" t="s">
        <v>222</v>
      </c>
      <c r="Q90" s="5"/>
      <c r="R90" s="5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>
        <v>0</v>
      </c>
      <c r="AD90" s="49"/>
    </row>
    <row r="91" spans="1:30">
      <c r="A91" s="21" t="s">
        <v>46</v>
      </c>
      <c r="B91" s="38">
        <v>17566925</v>
      </c>
      <c r="C91" s="38">
        <v>12878061</v>
      </c>
      <c r="D91" s="38">
        <v>2837353</v>
      </c>
      <c r="E91" s="38">
        <v>5607551</v>
      </c>
      <c r="F91" s="38">
        <v>1025281</v>
      </c>
      <c r="G91" s="38">
        <v>1969274</v>
      </c>
      <c r="H91" s="38">
        <v>1823552</v>
      </c>
      <c r="I91" s="38">
        <v>1454920</v>
      </c>
      <c r="J91" s="38">
        <v>2924729</v>
      </c>
      <c r="K91" s="38">
        <v>2242813</v>
      </c>
      <c r="L91" s="38">
        <v>6033237</v>
      </c>
      <c r="M91" s="38">
        <v>2002</v>
      </c>
      <c r="N91" s="52">
        <v>56365698</v>
      </c>
      <c r="O91" s="49"/>
      <c r="P91" s="21" t="s">
        <v>46</v>
      </c>
      <c r="Q91" s="38">
        <v>3348523.4608846791</v>
      </c>
      <c r="R91" s="38">
        <v>2946390.2534436723</v>
      </c>
      <c r="S91" s="38">
        <v>633370.03296718176</v>
      </c>
      <c r="T91" s="38">
        <v>2432756.8211245583</v>
      </c>
      <c r="U91" s="38">
        <v>167523.17058637322</v>
      </c>
      <c r="V91" s="38">
        <v>771795.71255638287</v>
      </c>
      <c r="W91" s="38">
        <v>667527.34095704276</v>
      </c>
      <c r="X91" s="38">
        <v>443515.28213121323</v>
      </c>
      <c r="Y91" s="38">
        <v>1523593.1008083285</v>
      </c>
      <c r="Z91" s="38">
        <v>618987.82206149236</v>
      </c>
      <c r="AA91" s="38">
        <v>1624043.5782832834</v>
      </c>
      <c r="AB91" s="38">
        <v>198.4241957917236</v>
      </c>
      <c r="AC91" s="52">
        <v>15178225</v>
      </c>
      <c r="AD91" s="49"/>
    </row>
    <row r="92" spans="1:30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P92" s="3" t="s">
        <v>55</v>
      </c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30">
      <c r="Q93" s="6"/>
      <c r="R93" s="6"/>
      <c r="S93" s="6"/>
      <c r="T93" s="6"/>
    </row>
    <row r="94" spans="1:30">
      <c r="A94" s="7" t="s">
        <v>122</v>
      </c>
      <c r="P94" s="7" t="s">
        <v>125</v>
      </c>
      <c r="Q94" s="6"/>
      <c r="R94" s="6"/>
      <c r="S94" s="6"/>
      <c r="T94" s="6"/>
    </row>
    <row r="95" spans="1:30">
      <c r="A95" s="7" t="s">
        <v>330</v>
      </c>
      <c r="P95" s="7" t="s">
        <v>331</v>
      </c>
      <c r="Q95" s="6"/>
      <c r="R95" s="6"/>
      <c r="S95" s="6"/>
      <c r="T95" s="6"/>
    </row>
    <row r="96" spans="1:30" ht="38.25">
      <c r="A96" s="16" t="s">
        <v>51</v>
      </c>
      <c r="B96" s="28" t="s">
        <v>9</v>
      </c>
      <c r="C96" s="28" t="s">
        <v>10</v>
      </c>
      <c r="D96" s="28" t="s">
        <v>11</v>
      </c>
      <c r="E96" s="28" t="s">
        <v>12</v>
      </c>
      <c r="F96" s="28" t="s">
        <v>13</v>
      </c>
      <c r="G96" s="28" t="s">
        <v>163</v>
      </c>
      <c r="H96" s="28" t="s">
        <v>164</v>
      </c>
      <c r="I96" s="28" t="s">
        <v>165</v>
      </c>
      <c r="J96" s="28" t="s">
        <v>166</v>
      </c>
      <c r="K96" s="28" t="s">
        <v>203</v>
      </c>
      <c r="L96" s="28" t="s">
        <v>31</v>
      </c>
      <c r="M96" s="28" t="s">
        <v>222</v>
      </c>
      <c r="N96" s="28" t="s">
        <v>48</v>
      </c>
      <c r="P96" s="16" t="s">
        <v>51</v>
      </c>
      <c r="Q96" s="28" t="s">
        <v>9</v>
      </c>
      <c r="R96" s="28" t="s">
        <v>10</v>
      </c>
      <c r="S96" s="28" t="s">
        <v>11</v>
      </c>
      <c r="T96" s="28" t="s">
        <v>12</v>
      </c>
      <c r="U96" s="28" t="s">
        <v>13</v>
      </c>
      <c r="V96" s="28" t="s">
        <v>163</v>
      </c>
      <c r="W96" s="28" t="s">
        <v>164</v>
      </c>
      <c r="X96" s="28" t="s">
        <v>165</v>
      </c>
      <c r="Y96" s="28" t="s">
        <v>166</v>
      </c>
      <c r="Z96" s="28" t="s">
        <v>203</v>
      </c>
      <c r="AA96" s="28" t="s">
        <v>31</v>
      </c>
      <c r="AB96" s="28" t="s">
        <v>222</v>
      </c>
      <c r="AC96" s="28" t="s">
        <v>48</v>
      </c>
    </row>
    <row r="97" spans="1:30">
      <c r="A97" s="14" t="s">
        <v>40</v>
      </c>
      <c r="B97" s="4">
        <v>54206</v>
      </c>
      <c r="C97" s="4">
        <v>39374</v>
      </c>
      <c r="D97" s="4">
        <v>20194</v>
      </c>
      <c r="E97" s="4">
        <v>47730</v>
      </c>
      <c r="F97" s="4">
        <v>11857</v>
      </c>
      <c r="G97" s="4">
        <v>12784</v>
      </c>
      <c r="H97" s="4">
        <v>14897</v>
      </c>
      <c r="I97" s="4">
        <v>5502</v>
      </c>
      <c r="J97" s="4">
        <v>1965</v>
      </c>
      <c r="K97" s="4">
        <v>1962</v>
      </c>
      <c r="L97" s="4">
        <v>24357</v>
      </c>
      <c r="M97" s="4">
        <v>55</v>
      </c>
      <c r="N97" s="4">
        <v>234883</v>
      </c>
      <c r="O97" s="50"/>
      <c r="P97" s="14" t="s">
        <v>40</v>
      </c>
      <c r="Q97" s="4">
        <v>2175.5795752878266</v>
      </c>
      <c r="R97" s="4">
        <v>848.61776593067498</v>
      </c>
      <c r="S97" s="4">
        <v>577.55614132233836</v>
      </c>
      <c r="T97" s="4">
        <v>3066.7168117452998</v>
      </c>
      <c r="U97" s="4">
        <v>194.88090658115712</v>
      </c>
      <c r="V97" s="4">
        <v>533.26502619025712</v>
      </c>
      <c r="W97" s="4">
        <v>240.94366631852154</v>
      </c>
      <c r="X97" s="4">
        <v>143.50321302794296</v>
      </c>
      <c r="Y97" s="4">
        <v>0</v>
      </c>
      <c r="Z97" s="4">
        <v>40.747825921514675</v>
      </c>
      <c r="AA97" s="4">
        <v>892.90888106275622</v>
      </c>
      <c r="AB97" s="4">
        <v>0</v>
      </c>
      <c r="AC97" s="4">
        <v>8714.7198133882903</v>
      </c>
      <c r="AD97" s="50"/>
    </row>
    <row r="98" spans="1:30">
      <c r="A98" s="17" t="s">
        <v>2</v>
      </c>
      <c r="B98" s="5">
        <v>1215619</v>
      </c>
      <c r="C98" s="5">
        <v>518863</v>
      </c>
      <c r="D98" s="5">
        <v>206731</v>
      </c>
      <c r="E98" s="5">
        <v>445958</v>
      </c>
      <c r="F98" s="5">
        <v>119347</v>
      </c>
      <c r="G98" s="5">
        <v>114311</v>
      </c>
      <c r="H98" s="5">
        <v>265149</v>
      </c>
      <c r="I98" s="5">
        <v>69511</v>
      </c>
      <c r="J98" s="5">
        <v>30761</v>
      </c>
      <c r="K98" s="5">
        <v>22825</v>
      </c>
      <c r="L98" s="5">
        <v>276145</v>
      </c>
      <c r="M98" s="5">
        <v>258</v>
      </c>
      <c r="N98" s="5">
        <v>3285478</v>
      </c>
      <c r="O98" s="49"/>
      <c r="P98" s="17" t="s">
        <v>2</v>
      </c>
      <c r="Q98" s="5">
        <v>80579.711582097894</v>
      </c>
      <c r="R98" s="5">
        <v>51186.35593584356</v>
      </c>
      <c r="S98" s="5">
        <v>14373.352682662979</v>
      </c>
      <c r="T98" s="5">
        <v>95725.501312664375</v>
      </c>
      <c r="U98" s="5">
        <v>8004.2903266697076</v>
      </c>
      <c r="V98" s="5">
        <v>15119.215061487224</v>
      </c>
      <c r="W98" s="5">
        <v>16525.900878082124</v>
      </c>
      <c r="X98" s="5">
        <v>8266.4937282516275</v>
      </c>
      <c r="Y98" s="5">
        <v>10287.940222879814</v>
      </c>
      <c r="Z98" s="5">
        <v>4407.8517779447175</v>
      </c>
      <c r="AA98" s="5">
        <v>31753.186260491628</v>
      </c>
      <c r="AB98" s="5">
        <v>0</v>
      </c>
      <c r="AC98" s="5">
        <v>336229.79976907565</v>
      </c>
      <c r="AD98" s="49"/>
    </row>
    <row r="99" spans="1:30">
      <c r="A99" s="17" t="s">
        <v>41</v>
      </c>
      <c r="B99" s="5">
        <v>6330738</v>
      </c>
      <c r="C99" s="5">
        <v>2251164</v>
      </c>
      <c r="D99" s="5">
        <v>814304</v>
      </c>
      <c r="E99" s="5">
        <v>1321839</v>
      </c>
      <c r="F99" s="5">
        <v>365148</v>
      </c>
      <c r="G99" s="5">
        <v>437753</v>
      </c>
      <c r="H99" s="5">
        <v>1121500</v>
      </c>
      <c r="I99" s="5">
        <v>303500</v>
      </c>
      <c r="J99" s="5">
        <v>227307</v>
      </c>
      <c r="K99" s="5">
        <v>137332</v>
      </c>
      <c r="L99" s="5">
        <v>1174654</v>
      </c>
      <c r="M99" s="5">
        <v>299</v>
      </c>
      <c r="N99" s="5">
        <v>14485538</v>
      </c>
      <c r="O99" s="49"/>
      <c r="P99" s="17" t="s">
        <v>41</v>
      </c>
      <c r="Q99" s="5">
        <v>1110273.729329563</v>
      </c>
      <c r="R99" s="5">
        <v>624743.89538405766</v>
      </c>
      <c r="S99" s="5">
        <v>190024.82871807573</v>
      </c>
      <c r="T99" s="5">
        <v>745621.43515792827</v>
      </c>
      <c r="U99" s="5">
        <v>60227.058356603964</v>
      </c>
      <c r="V99" s="5">
        <v>190637.81775150375</v>
      </c>
      <c r="W99" s="5">
        <v>388195.67933124385</v>
      </c>
      <c r="X99" s="5">
        <v>97156.990153733248</v>
      </c>
      <c r="Y99" s="5">
        <v>165420.22843990201</v>
      </c>
      <c r="Z99" s="5">
        <v>68920.51843472886</v>
      </c>
      <c r="AA99" s="5">
        <v>410254.42631162552</v>
      </c>
      <c r="AB99" s="5">
        <v>67.322495000763368</v>
      </c>
      <c r="AC99" s="5">
        <v>4051543.929863967</v>
      </c>
      <c r="AD99" s="49"/>
    </row>
    <row r="100" spans="1:30">
      <c r="A100" s="17" t="s">
        <v>42</v>
      </c>
      <c r="B100" s="5">
        <v>4755501</v>
      </c>
      <c r="C100" s="5">
        <v>2593377</v>
      </c>
      <c r="D100" s="5">
        <v>623037</v>
      </c>
      <c r="E100" s="5">
        <v>1146843</v>
      </c>
      <c r="F100" s="5">
        <v>224373</v>
      </c>
      <c r="G100" s="5">
        <v>432557</v>
      </c>
      <c r="H100" s="5">
        <v>410749</v>
      </c>
      <c r="I100" s="5">
        <v>309158</v>
      </c>
      <c r="J100" s="5">
        <v>455562</v>
      </c>
      <c r="K100" s="5">
        <v>263228</v>
      </c>
      <c r="L100" s="5">
        <v>1240502</v>
      </c>
      <c r="M100" s="5">
        <v>360</v>
      </c>
      <c r="N100" s="5">
        <v>12455247</v>
      </c>
      <c r="O100" s="49"/>
      <c r="P100" s="17" t="s">
        <v>42</v>
      </c>
      <c r="Q100" s="5">
        <v>1091125.7944356618</v>
      </c>
      <c r="R100" s="5">
        <v>762134.93452377338</v>
      </c>
      <c r="S100" s="5">
        <v>176531.98340423853</v>
      </c>
      <c r="T100" s="5">
        <v>671494.05322827189</v>
      </c>
      <c r="U100" s="5">
        <v>45494.061819068491</v>
      </c>
      <c r="V100" s="5">
        <v>225018.35296163044</v>
      </c>
      <c r="W100" s="5">
        <v>255662.48969921473</v>
      </c>
      <c r="X100" s="5">
        <v>131406.42366306897</v>
      </c>
      <c r="Y100" s="5">
        <v>330571.16689980094</v>
      </c>
      <c r="Z100" s="5">
        <v>124257.83768075106</v>
      </c>
      <c r="AA100" s="5">
        <v>429574.21073223936</v>
      </c>
      <c r="AB100" s="5">
        <v>90.353874869445576</v>
      </c>
      <c r="AC100" s="5">
        <v>4243361.6629225891</v>
      </c>
      <c r="AD100" s="49"/>
    </row>
    <row r="101" spans="1:30">
      <c r="A101" s="17" t="s">
        <v>43</v>
      </c>
      <c r="B101" s="5">
        <v>2908654</v>
      </c>
      <c r="C101" s="5">
        <v>3408224</v>
      </c>
      <c r="D101" s="5">
        <v>539031</v>
      </c>
      <c r="E101" s="5">
        <v>1269626</v>
      </c>
      <c r="F101" s="5">
        <v>156163</v>
      </c>
      <c r="G101" s="5">
        <v>426419</v>
      </c>
      <c r="H101" s="5">
        <v>8809</v>
      </c>
      <c r="I101" s="5">
        <v>312262</v>
      </c>
      <c r="J101" s="5">
        <v>786457</v>
      </c>
      <c r="K101" s="5">
        <v>527103</v>
      </c>
      <c r="L101" s="5">
        <v>1449682</v>
      </c>
      <c r="M101" s="5">
        <v>442</v>
      </c>
      <c r="N101" s="5">
        <v>11792872</v>
      </c>
      <c r="O101" s="49"/>
      <c r="P101" s="17" t="s">
        <v>43</v>
      </c>
      <c r="Q101" s="5">
        <v>597363.1280094051</v>
      </c>
      <c r="R101" s="5">
        <v>727051.05640534929</v>
      </c>
      <c r="S101" s="5">
        <v>118523.02409344919</v>
      </c>
      <c r="T101" s="5">
        <v>492612.86907742789</v>
      </c>
      <c r="U101" s="5">
        <v>26241.599893455448</v>
      </c>
      <c r="V101" s="5">
        <v>176934.14672963784</v>
      </c>
      <c r="W101" s="5">
        <v>6741.107723102753</v>
      </c>
      <c r="X101" s="5">
        <v>98407.77124506321</v>
      </c>
      <c r="Y101" s="5">
        <v>414435.50758009404</v>
      </c>
      <c r="Z101" s="5">
        <v>165491.09422411333</v>
      </c>
      <c r="AA101" s="5">
        <v>355512.3796529785</v>
      </c>
      <c r="AB101" s="5">
        <v>21.259735263398959</v>
      </c>
      <c r="AC101" s="5">
        <v>3179334.9443693403</v>
      </c>
      <c r="AD101" s="49"/>
    </row>
    <row r="102" spans="1:30">
      <c r="A102" s="17" t="s">
        <v>44</v>
      </c>
      <c r="B102" s="5">
        <v>1887733</v>
      </c>
      <c r="C102" s="5">
        <v>3147708</v>
      </c>
      <c r="D102" s="5">
        <v>456968</v>
      </c>
      <c r="E102" s="5">
        <v>1070984</v>
      </c>
      <c r="F102" s="5">
        <v>115818</v>
      </c>
      <c r="G102" s="5">
        <v>395800</v>
      </c>
      <c r="H102" s="5">
        <v>826</v>
      </c>
      <c r="I102" s="5">
        <v>299448</v>
      </c>
      <c r="J102" s="5">
        <v>932332</v>
      </c>
      <c r="K102" s="5">
        <v>820287</v>
      </c>
      <c r="L102" s="5">
        <v>1359095</v>
      </c>
      <c r="M102" s="5">
        <v>487</v>
      </c>
      <c r="N102" s="5">
        <v>10487486</v>
      </c>
      <c r="O102" s="49"/>
      <c r="P102" s="17" t="s">
        <v>44</v>
      </c>
      <c r="Q102" s="5">
        <v>395539.14622014289</v>
      </c>
      <c r="R102" s="5">
        <v>640651.49229489593</v>
      </c>
      <c r="S102" s="5">
        <v>101949.28881102442</v>
      </c>
      <c r="T102" s="5">
        <v>348392.13998434512</v>
      </c>
      <c r="U102" s="5">
        <v>21103.830538134032</v>
      </c>
      <c r="V102" s="5">
        <v>133337.51628282771</v>
      </c>
      <c r="W102" s="5">
        <v>147.04650223850948</v>
      </c>
      <c r="X102" s="5">
        <v>80510.617442491857</v>
      </c>
      <c r="Y102" s="5">
        <v>435312.56760875182</v>
      </c>
      <c r="Z102" s="5">
        <v>183189.82383089297</v>
      </c>
      <c r="AA102" s="5">
        <v>309676.39042509039</v>
      </c>
      <c r="AB102" s="5">
        <v>12.401512236982725</v>
      </c>
      <c r="AC102" s="5">
        <v>2649822.2614530725</v>
      </c>
      <c r="AD102" s="49"/>
    </row>
    <row r="103" spans="1:30">
      <c r="A103" s="17" t="s">
        <v>3</v>
      </c>
      <c r="B103" s="5">
        <v>414474</v>
      </c>
      <c r="C103" s="5">
        <v>919351</v>
      </c>
      <c r="D103" s="5">
        <v>177088</v>
      </c>
      <c r="E103" s="5">
        <v>304571</v>
      </c>
      <c r="F103" s="5">
        <v>32575</v>
      </c>
      <c r="G103" s="5">
        <v>149650</v>
      </c>
      <c r="H103" s="5">
        <v>1622</v>
      </c>
      <c r="I103" s="5">
        <v>155539</v>
      </c>
      <c r="J103" s="5">
        <v>490345</v>
      </c>
      <c r="K103" s="5">
        <v>470076</v>
      </c>
      <c r="L103" s="5">
        <v>508802</v>
      </c>
      <c r="M103" s="5">
        <v>101</v>
      </c>
      <c r="N103" s="5">
        <v>3624194</v>
      </c>
      <c r="O103" s="49"/>
      <c r="P103" s="17" t="s">
        <v>3</v>
      </c>
      <c r="Q103" s="5">
        <v>71466.371732520885</v>
      </c>
      <c r="R103" s="5">
        <v>139773.90113382172</v>
      </c>
      <c r="S103" s="5">
        <v>31375.825959566297</v>
      </c>
      <c r="T103" s="5">
        <v>75844.105552175795</v>
      </c>
      <c r="U103" s="5">
        <v>6257.4487458604262</v>
      </c>
      <c r="V103" s="5">
        <v>30215.398743105765</v>
      </c>
      <c r="W103" s="5">
        <v>14.173156842265971</v>
      </c>
      <c r="X103" s="5">
        <v>27623.482685576379</v>
      </c>
      <c r="Y103" s="5">
        <v>167565.6900569</v>
      </c>
      <c r="Z103" s="5">
        <v>72679.948287139909</v>
      </c>
      <c r="AA103" s="5">
        <v>86380.076019795248</v>
      </c>
      <c r="AB103" s="5">
        <v>7.0865784211329856</v>
      </c>
      <c r="AC103" s="5">
        <v>709203.50865172583</v>
      </c>
      <c r="AD103" s="49"/>
    </row>
    <row r="104" spans="1:30">
      <c r="A104" s="17" t="s">
        <v>222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v>0</v>
      </c>
      <c r="O104" s="49"/>
      <c r="P104" s="17" t="s">
        <v>222</v>
      </c>
      <c r="Q104" s="5">
        <v>0</v>
      </c>
      <c r="R104" s="5">
        <v>0</v>
      </c>
      <c r="S104" s="5">
        <v>14.173156842265971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14.173156842265971</v>
      </c>
      <c r="AD104" s="49"/>
    </row>
    <row r="105" spans="1:30">
      <c r="A105" s="21" t="s">
        <v>46</v>
      </c>
      <c r="B105" s="38">
        <v>17566925</v>
      </c>
      <c r="C105" s="38">
        <v>12878061</v>
      </c>
      <c r="D105" s="38">
        <v>2837353</v>
      </c>
      <c r="E105" s="38">
        <v>5607551</v>
      </c>
      <c r="F105" s="38">
        <v>1025281</v>
      </c>
      <c r="G105" s="38">
        <v>1969274</v>
      </c>
      <c r="H105" s="38">
        <v>1823552</v>
      </c>
      <c r="I105" s="38">
        <v>1454920</v>
      </c>
      <c r="J105" s="38">
        <v>2924729</v>
      </c>
      <c r="K105" s="38">
        <v>2242813</v>
      </c>
      <c r="L105" s="38">
        <v>6033237</v>
      </c>
      <c r="M105" s="38">
        <v>2002</v>
      </c>
      <c r="N105" s="38">
        <v>56365698</v>
      </c>
      <c r="O105" s="49"/>
      <c r="P105" s="21" t="s">
        <v>46</v>
      </c>
      <c r="Q105" s="38">
        <v>3348523.4608846791</v>
      </c>
      <c r="R105" s="38">
        <v>2946390.2534436723</v>
      </c>
      <c r="S105" s="38">
        <v>633370.03296718176</v>
      </c>
      <c r="T105" s="38">
        <v>2432756.8211245588</v>
      </c>
      <c r="U105" s="38">
        <v>167523.17058637322</v>
      </c>
      <c r="V105" s="38">
        <v>771795.71255638311</v>
      </c>
      <c r="W105" s="38">
        <v>667527.34095704276</v>
      </c>
      <c r="X105" s="38">
        <v>443515.28213121323</v>
      </c>
      <c r="Y105" s="38">
        <v>1523593.1008083287</v>
      </c>
      <c r="Z105" s="38">
        <v>618987.82206149236</v>
      </c>
      <c r="AA105" s="38">
        <v>1624043.5782832832</v>
      </c>
      <c r="AB105" s="38">
        <v>198.42419579172363</v>
      </c>
      <c r="AC105" s="38">
        <v>15178225</v>
      </c>
      <c r="AD105" s="49"/>
    </row>
    <row r="106" spans="1:30"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P106" s="3" t="s">
        <v>55</v>
      </c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30">
      <c r="Q107" s="6"/>
      <c r="R107" s="6"/>
      <c r="S107" s="6"/>
      <c r="T107" s="6"/>
    </row>
    <row r="108" spans="1:30">
      <c r="A108" s="7" t="s">
        <v>123</v>
      </c>
      <c r="P108" s="7" t="s">
        <v>126</v>
      </c>
      <c r="Q108" s="6"/>
      <c r="R108" s="6"/>
      <c r="S108" s="6"/>
      <c r="T108" s="6"/>
    </row>
    <row r="109" spans="1:30">
      <c r="A109" s="7" t="s">
        <v>332</v>
      </c>
      <c r="P109" s="7" t="s">
        <v>333</v>
      </c>
      <c r="Q109" s="6"/>
      <c r="R109" s="6"/>
      <c r="S109" s="6"/>
      <c r="T109" s="6"/>
    </row>
    <row r="110" spans="1:30" ht="38.25">
      <c r="A110" s="16" t="s">
        <v>149</v>
      </c>
      <c r="B110" s="28" t="s">
        <v>9</v>
      </c>
      <c r="C110" s="28" t="s">
        <v>10</v>
      </c>
      <c r="D110" s="28" t="s">
        <v>11</v>
      </c>
      <c r="E110" s="28" t="s">
        <v>12</v>
      </c>
      <c r="F110" s="28" t="s">
        <v>13</v>
      </c>
      <c r="G110" s="28" t="s">
        <v>163</v>
      </c>
      <c r="H110" s="28" t="s">
        <v>164</v>
      </c>
      <c r="I110" s="28" t="s">
        <v>165</v>
      </c>
      <c r="J110" s="28" t="s">
        <v>166</v>
      </c>
      <c r="K110" s="28" t="s">
        <v>203</v>
      </c>
      <c r="L110" s="28" t="s">
        <v>31</v>
      </c>
      <c r="M110" s="28" t="s">
        <v>222</v>
      </c>
      <c r="N110" s="28" t="s">
        <v>48</v>
      </c>
      <c r="P110" s="16" t="s">
        <v>149</v>
      </c>
      <c r="Q110" s="28" t="s">
        <v>9</v>
      </c>
      <c r="R110" s="28" t="s">
        <v>10</v>
      </c>
      <c r="S110" s="28" t="s">
        <v>11</v>
      </c>
      <c r="T110" s="28" t="s">
        <v>12</v>
      </c>
      <c r="U110" s="28" t="s">
        <v>13</v>
      </c>
      <c r="V110" s="28" t="s">
        <v>163</v>
      </c>
      <c r="W110" s="28" t="s">
        <v>164</v>
      </c>
      <c r="X110" s="28" t="s">
        <v>165</v>
      </c>
      <c r="Y110" s="28" t="s">
        <v>166</v>
      </c>
      <c r="Z110" s="28" t="s">
        <v>203</v>
      </c>
      <c r="AA110" s="28" t="s">
        <v>31</v>
      </c>
      <c r="AB110" s="28" t="s">
        <v>222</v>
      </c>
      <c r="AC110" s="28" t="s">
        <v>48</v>
      </c>
    </row>
    <row r="111" spans="1:30">
      <c r="A111" s="22" t="s">
        <v>14</v>
      </c>
      <c r="B111" s="4">
        <v>32136</v>
      </c>
      <c r="C111" s="4">
        <v>45601</v>
      </c>
      <c r="D111" s="4">
        <v>21560</v>
      </c>
      <c r="E111" s="4">
        <v>36152</v>
      </c>
      <c r="F111" s="4">
        <v>8821</v>
      </c>
      <c r="G111" s="4">
        <v>21545</v>
      </c>
      <c r="H111" s="4">
        <v>26236</v>
      </c>
      <c r="I111" s="4">
        <v>15804</v>
      </c>
      <c r="J111" s="4">
        <v>28567</v>
      </c>
      <c r="K111" s="4">
        <v>16643</v>
      </c>
      <c r="L111" s="4">
        <v>33058</v>
      </c>
      <c r="M111" s="4"/>
      <c r="N111" s="4">
        <v>286123</v>
      </c>
      <c r="O111" s="50"/>
      <c r="P111" s="22" t="s">
        <v>14</v>
      </c>
      <c r="Q111" s="4">
        <v>9444.6373907649868</v>
      </c>
      <c r="R111" s="4">
        <v>11575.925850920734</v>
      </c>
      <c r="S111" s="4">
        <v>3392.6994191174172</v>
      </c>
      <c r="T111" s="4">
        <v>12677.888795406911</v>
      </c>
      <c r="U111" s="4">
        <v>1422.6306180424469</v>
      </c>
      <c r="V111" s="4">
        <v>6119.260466648333</v>
      </c>
      <c r="W111" s="4">
        <v>4971.2347624247896</v>
      </c>
      <c r="X111" s="4">
        <v>3615.9266393831058</v>
      </c>
      <c r="Y111" s="4">
        <v>8422.3984535165528</v>
      </c>
      <c r="Z111" s="4">
        <v>4236.0022512322421</v>
      </c>
      <c r="AA111" s="4">
        <v>9853.8872945854164</v>
      </c>
      <c r="AB111" s="4">
        <v>0</v>
      </c>
      <c r="AC111" s="4">
        <v>75732.491942042921</v>
      </c>
      <c r="AD111" s="50"/>
    </row>
    <row r="112" spans="1:30">
      <c r="A112" s="23" t="s">
        <v>15</v>
      </c>
      <c r="B112" s="5">
        <v>311348</v>
      </c>
      <c r="C112" s="5">
        <v>207964</v>
      </c>
      <c r="D112" s="5">
        <v>44808</v>
      </c>
      <c r="E112" s="5">
        <v>90827</v>
      </c>
      <c r="F112" s="5">
        <v>34049</v>
      </c>
      <c r="G112" s="5">
        <v>33775</v>
      </c>
      <c r="H112" s="5">
        <v>34823</v>
      </c>
      <c r="I112" s="5">
        <v>29658</v>
      </c>
      <c r="J112" s="5">
        <v>52942</v>
      </c>
      <c r="K112" s="5">
        <v>34019</v>
      </c>
      <c r="L112" s="5">
        <v>91761</v>
      </c>
      <c r="M112" s="5">
        <v>137</v>
      </c>
      <c r="N112" s="5">
        <v>966111</v>
      </c>
      <c r="O112" s="49"/>
      <c r="P112" s="23" t="s">
        <v>15</v>
      </c>
      <c r="Q112" s="5">
        <v>52669.222470465633</v>
      </c>
      <c r="R112" s="5">
        <v>54412.520762064349</v>
      </c>
      <c r="S112" s="5">
        <v>10321.601470380194</v>
      </c>
      <c r="T112" s="5">
        <v>44548.003599847238</v>
      </c>
      <c r="U112" s="5">
        <v>2963.9614246388714</v>
      </c>
      <c r="V112" s="5">
        <v>13154.461194228106</v>
      </c>
      <c r="W112" s="5">
        <v>9123.9697172087199</v>
      </c>
      <c r="X112" s="5">
        <v>7766.8899495617525</v>
      </c>
      <c r="Y112" s="5">
        <v>25043.968140283974</v>
      </c>
      <c r="Z112" s="5">
        <v>13632.805237654582</v>
      </c>
      <c r="AA112" s="5">
        <v>29444.733339807557</v>
      </c>
      <c r="AB112" s="5">
        <v>3.5432892105664928</v>
      </c>
      <c r="AC112" s="5">
        <v>263085.68059535162</v>
      </c>
      <c r="AD112" s="49"/>
    </row>
    <row r="113" spans="1:30" ht="15" customHeight="1">
      <c r="A113" s="23" t="s">
        <v>16</v>
      </c>
      <c r="B113" s="5">
        <v>444567</v>
      </c>
      <c r="C113" s="5">
        <v>396414</v>
      </c>
      <c r="D113" s="5">
        <v>75387</v>
      </c>
      <c r="E113" s="5">
        <v>183942</v>
      </c>
      <c r="F113" s="5">
        <v>29885</v>
      </c>
      <c r="G113" s="5">
        <v>59294</v>
      </c>
      <c r="H113" s="5">
        <v>52052</v>
      </c>
      <c r="I113" s="5">
        <v>55060</v>
      </c>
      <c r="J113" s="5">
        <v>101898</v>
      </c>
      <c r="K113" s="5">
        <v>74372</v>
      </c>
      <c r="L113" s="5">
        <v>188406</v>
      </c>
      <c r="M113" s="5">
        <v>12</v>
      </c>
      <c r="N113" s="5">
        <v>1661289</v>
      </c>
      <c r="O113" s="49"/>
      <c r="P113" s="23" t="s">
        <v>16</v>
      </c>
      <c r="Q113" s="5">
        <v>135410.34047100911</v>
      </c>
      <c r="R113" s="5">
        <v>195632.08389379721</v>
      </c>
      <c r="S113" s="5">
        <v>28744.933720720674</v>
      </c>
      <c r="T113" s="5">
        <v>138143.98809696114</v>
      </c>
      <c r="U113" s="5">
        <v>7104.2948671858185</v>
      </c>
      <c r="V113" s="5">
        <v>38917.717044257079</v>
      </c>
      <c r="W113" s="5">
        <v>26048.490631479573</v>
      </c>
      <c r="X113" s="5">
        <v>26937.856223331764</v>
      </c>
      <c r="Y113" s="5">
        <v>68821.306336832989</v>
      </c>
      <c r="Z113" s="5">
        <v>33296.288711693334</v>
      </c>
      <c r="AA113" s="5">
        <v>83696.034442791133</v>
      </c>
      <c r="AB113" s="5">
        <v>26.574669079248697</v>
      </c>
      <c r="AC113" s="5">
        <v>782779.90910913912</v>
      </c>
      <c r="AD113" s="49"/>
    </row>
    <row r="114" spans="1:30" ht="15" customHeight="1">
      <c r="A114" s="23" t="s">
        <v>17</v>
      </c>
      <c r="B114" s="5">
        <v>231831</v>
      </c>
      <c r="C114" s="5">
        <v>223836</v>
      </c>
      <c r="D114" s="5">
        <v>47786</v>
      </c>
      <c r="E114" s="5">
        <v>100805</v>
      </c>
      <c r="F114" s="5">
        <v>13988</v>
      </c>
      <c r="G114" s="5">
        <v>36540</v>
      </c>
      <c r="H114" s="5">
        <v>29191</v>
      </c>
      <c r="I114" s="5">
        <v>30355</v>
      </c>
      <c r="J114" s="5">
        <v>54365</v>
      </c>
      <c r="K114" s="5">
        <v>49652</v>
      </c>
      <c r="L114" s="5">
        <v>109996</v>
      </c>
      <c r="M114" s="5"/>
      <c r="N114" s="5">
        <v>928345</v>
      </c>
      <c r="O114" s="49"/>
      <c r="P114" s="23" t="s">
        <v>17</v>
      </c>
      <c r="Q114" s="5">
        <v>26599.472103722663</v>
      </c>
      <c r="R114" s="5">
        <v>37684.652398979939</v>
      </c>
      <c r="S114" s="5">
        <v>8232.8324807512472</v>
      </c>
      <c r="T114" s="5">
        <v>29262.253945463384</v>
      </c>
      <c r="U114" s="5">
        <v>1805.3058527836283</v>
      </c>
      <c r="V114" s="5">
        <v>7274.3727492930102</v>
      </c>
      <c r="W114" s="5">
        <v>7171.6173621865819</v>
      </c>
      <c r="X114" s="5">
        <v>4685.9999809741867</v>
      </c>
      <c r="Y114" s="5">
        <v>17907.783670203054</v>
      </c>
      <c r="Z114" s="5">
        <v>7968.8574345640427</v>
      </c>
      <c r="AA114" s="5">
        <v>21918.787056564324</v>
      </c>
      <c r="AB114" s="5">
        <v>0</v>
      </c>
      <c r="AC114" s="5">
        <v>170511.93503548607</v>
      </c>
      <c r="AD114" s="49"/>
    </row>
    <row r="115" spans="1:30" ht="15" customHeight="1">
      <c r="A115" s="23" t="s">
        <v>18</v>
      </c>
      <c r="B115" s="5">
        <v>485318</v>
      </c>
      <c r="C115" s="5">
        <v>318641</v>
      </c>
      <c r="D115" s="5">
        <v>87770</v>
      </c>
      <c r="E115" s="5">
        <v>156660</v>
      </c>
      <c r="F115" s="5">
        <v>26326</v>
      </c>
      <c r="G115" s="5">
        <v>64018</v>
      </c>
      <c r="H115" s="5">
        <v>50174</v>
      </c>
      <c r="I115" s="5">
        <v>44940</v>
      </c>
      <c r="J115" s="5">
        <v>63564</v>
      </c>
      <c r="K115" s="5">
        <v>57761</v>
      </c>
      <c r="L115" s="5">
        <v>199144</v>
      </c>
      <c r="M115" s="5">
        <v>3</v>
      </c>
      <c r="N115" s="5">
        <v>1554319</v>
      </c>
      <c r="O115" s="49"/>
      <c r="P115" s="23" t="s">
        <v>18</v>
      </c>
      <c r="Q115" s="5">
        <v>40983.454654017347</v>
      </c>
      <c r="R115" s="5">
        <v>31689.407054701431</v>
      </c>
      <c r="S115" s="5">
        <v>9556.2510008978315</v>
      </c>
      <c r="T115" s="5">
        <v>26585.298946880397</v>
      </c>
      <c r="U115" s="5">
        <v>2395.2635063429493</v>
      </c>
      <c r="V115" s="5">
        <v>10532.427178408901</v>
      </c>
      <c r="W115" s="5">
        <v>7237.1682125820616</v>
      </c>
      <c r="X115" s="5">
        <v>6078.512640726819</v>
      </c>
      <c r="Y115" s="5">
        <v>21909.92883353791</v>
      </c>
      <c r="Z115" s="5">
        <v>7086.5784211329856</v>
      </c>
      <c r="AA115" s="5">
        <v>17882.980645729091</v>
      </c>
      <c r="AB115" s="5">
        <v>0</v>
      </c>
      <c r="AC115" s="5">
        <v>181937.27109495772</v>
      </c>
      <c r="AD115" s="49"/>
    </row>
    <row r="116" spans="1:30" ht="15" customHeight="1">
      <c r="A116" s="23" t="s">
        <v>19</v>
      </c>
      <c r="B116" s="5">
        <v>1369913</v>
      </c>
      <c r="C116" s="5">
        <v>1072308</v>
      </c>
      <c r="D116" s="5">
        <v>255984</v>
      </c>
      <c r="E116" s="5">
        <v>467932</v>
      </c>
      <c r="F116" s="5">
        <v>88484</v>
      </c>
      <c r="G116" s="5">
        <v>165099</v>
      </c>
      <c r="H116" s="5">
        <v>172213</v>
      </c>
      <c r="I116" s="5">
        <v>136099</v>
      </c>
      <c r="J116" s="5">
        <v>273121</v>
      </c>
      <c r="K116" s="5">
        <v>213842</v>
      </c>
      <c r="L116" s="5">
        <v>532877</v>
      </c>
      <c r="M116" s="5">
        <v>84</v>
      </c>
      <c r="N116" s="5">
        <v>4747956</v>
      </c>
      <c r="O116" s="49"/>
      <c r="P116" s="23" t="s">
        <v>19</v>
      </c>
      <c r="Q116" s="5">
        <v>182817.7784637835</v>
      </c>
      <c r="R116" s="5">
        <v>172292.4378637957</v>
      </c>
      <c r="S116" s="5">
        <v>38290.554853986803</v>
      </c>
      <c r="T116" s="5">
        <v>130974.14237937985</v>
      </c>
      <c r="U116" s="5">
        <v>9793.6513780057867</v>
      </c>
      <c r="V116" s="5">
        <v>44197.217968001147</v>
      </c>
      <c r="W116" s="5">
        <v>35581.710252508725</v>
      </c>
      <c r="X116" s="5">
        <v>27903.402533211131</v>
      </c>
      <c r="Y116" s="5">
        <v>92245.991307888078</v>
      </c>
      <c r="Z116" s="5">
        <v>36825.404765417559</v>
      </c>
      <c r="AA116" s="5">
        <v>90075.7266664161</v>
      </c>
      <c r="AB116" s="5">
        <v>5.3149338158497397</v>
      </c>
      <c r="AC116" s="5">
        <v>861003.33336621022</v>
      </c>
      <c r="AD116" s="49"/>
    </row>
    <row r="117" spans="1:30" ht="15" customHeight="1">
      <c r="A117" s="23" t="s">
        <v>20</v>
      </c>
      <c r="B117" s="5">
        <v>9840587</v>
      </c>
      <c r="C117" s="5">
        <v>6461885</v>
      </c>
      <c r="D117" s="5">
        <v>1465233</v>
      </c>
      <c r="E117" s="5">
        <v>2726441</v>
      </c>
      <c r="F117" s="5">
        <v>559502</v>
      </c>
      <c r="G117" s="5">
        <v>923924</v>
      </c>
      <c r="H117" s="5">
        <v>752137</v>
      </c>
      <c r="I117" s="5">
        <v>743148</v>
      </c>
      <c r="J117" s="5">
        <v>1428774</v>
      </c>
      <c r="K117" s="5">
        <v>1109877</v>
      </c>
      <c r="L117" s="5">
        <v>3111261</v>
      </c>
      <c r="M117" s="5">
        <v>114</v>
      </c>
      <c r="N117" s="5">
        <v>29122883</v>
      </c>
      <c r="O117" s="49"/>
      <c r="P117" s="23" t="s">
        <v>20</v>
      </c>
      <c r="Q117" s="5">
        <v>2094914.824764675</v>
      </c>
      <c r="R117" s="5">
        <v>1809088.3140159077</v>
      </c>
      <c r="S117" s="5">
        <v>398852.12163202261</v>
      </c>
      <c r="T117" s="5">
        <v>1568265.1195305455</v>
      </c>
      <c r="U117" s="5">
        <v>111989.19878916458</v>
      </c>
      <c r="V117" s="5">
        <v>495798.2860777271</v>
      </c>
      <c r="W117" s="5">
        <v>442353.08327014738</v>
      </c>
      <c r="X117" s="5">
        <v>283200.93344373751</v>
      </c>
      <c r="Y117" s="5">
        <v>1001331.7592614857</v>
      </c>
      <c r="Z117" s="5">
        <v>390886.8074866691</v>
      </c>
      <c r="AA117" s="5">
        <v>1051809.4573552159</v>
      </c>
      <c r="AB117" s="5">
        <v>113.38525473812777</v>
      </c>
      <c r="AC117" s="5">
        <v>9648603.2908820361</v>
      </c>
      <c r="AD117" s="49"/>
    </row>
    <row r="118" spans="1:30" ht="15" customHeight="1">
      <c r="A118" s="23" t="s">
        <v>21</v>
      </c>
      <c r="B118" s="5">
        <v>780560</v>
      </c>
      <c r="C118" s="5">
        <v>886481</v>
      </c>
      <c r="D118" s="5">
        <v>106826</v>
      </c>
      <c r="E118" s="5">
        <v>340530</v>
      </c>
      <c r="F118" s="5">
        <v>39381</v>
      </c>
      <c r="G118" s="5">
        <v>112240</v>
      </c>
      <c r="H118" s="5">
        <v>180801</v>
      </c>
      <c r="I118" s="5">
        <v>72411</v>
      </c>
      <c r="J118" s="5">
        <v>166637</v>
      </c>
      <c r="K118" s="5">
        <v>126862</v>
      </c>
      <c r="L118" s="5">
        <v>294135</v>
      </c>
      <c r="M118" s="5">
        <v>41</v>
      </c>
      <c r="N118" s="5">
        <v>3106905</v>
      </c>
      <c r="O118" s="49"/>
      <c r="P118" s="23" t="s">
        <v>21</v>
      </c>
      <c r="Q118" s="5">
        <v>101261.89070417451</v>
      </c>
      <c r="R118" s="5">
        <v>100962.48276588165</v>
      </c>
      <c r="S118" s="5">
        <v>17900.697091781924</v>
      </c>
      <c r="T118" s="5">
        <v>76653.747136790233</v>
      </c>
      <c r="U118" s="5">
        <v>4469.8593391296308</v>
      </c>
      <c r="V118" s="5">
        <v>23864.05283316533</v>
      </c>
      <c r="W118" s="5">
        <v>23314.843005527524</v>
      </c>
      <c r="X118" s="5">
        <v>12314.701651323847</v>
      </c>
      <c r="Y118" s="5">
        <v>44799.577133797458</v>
      </c>
      <c r="Z118" s="5">
        <v>18519.001059025777</v>
      </c>
      <c r="AA118" s="5">
        <v>48962.941956213086</v>
      </c>
      <c r="AB118" s="5">
        <v>0</v>
      </c>
      <c r="AC118" s="5">
        <v>473023.79467681091</v>
      </c>
      <c r="AD118" s="49"/>
    </row>
    <row r="119" spans="1:30" ht="15" customHeight="1">
      <c r="A119" s="23" t="s">
        <v>22</v>
      </c>
      <c r="B119" s="5">
        <v>875808</v>
      </c>
      <c r="C119" s="5">
        <v>691089</v>
      </c>
      <c r="D119" s="5">
        <v>132128</v>
      </c>
      <c r="E119" s="5">
        <v>306963</v>
      </c>
      <c r="F119" s="5">
        <v>38146</v>
      </c>
      <c r="G119" s="5">
        <v>116273</v>
      </c>
      <c r="H119" s="5">
        <v>116083</v>
      </c>
      <c r="I119" s="5">
        <v>74179</v>
      </c>
      <c r="J119" s="5">
        <v>166379</v>
      </c>
      <c r="K119" s="5">
        <v>103397</v>
      </c>
      <c r="L119" s="5">
        <v>293490</v>
      </c>
      <c r="M119" s="5">
        <v>30</v>
      </c>
      <c r="N119" s="5">
        <v>2913965</v>
      </c>
      <c r="O119" s="49"/>
      <c r="P119" s="23" t="s">
        <v>22</v>
      </c>
      <c r="Q119" s="5">
        <v>82074.979628956964</v>
      </c>
      <c r="R119" s="5">
        <v>71466.371732520885</v>
      </c>
      <c r="S119" s="5">
        <v>15719.802582678245</v>
      </c>
      <c r="T119" s="5">
        <v>63017.398609925083</v>
      </c>
      <c r="U119" s="5">
        <v>3201.3618017468266</v>
      </c>
      <c r="V119" s="5">
        <v>18522.544348236344</v>
      </c>
      <c r="W119" s="5">
        <v>12890.486148040902</v>
      </c>
      <c r="X119" s="5">
        <v>8463.1462794380695</v>
      </c>
      <c r="Y119" s="5">
        <v>37128.355992920995</v>
      </c>
      <c r="Z119" s="5">
        <v>14640.871018060749</v>
      </c>
      <c r="AA119" s="5">
        <v>35424.03388263852</v>
      </c>
      <c r="AB119" s="5">
        <v>0</v>
      </c>
      <c r="AC119" s="5">
        <v>362549.35202516359</v>
      </c>
      <c r="AD119" s="49"/>
    </row>
    <row r="120" spans="1:30" ht="15" customHeight="1">
      <c r="A120" s="23" t="s">
        <v>367</v>
      </c>
      <c r="B120" s="5">
        <v>309780</v>
      </c>
      <c r="C120" s="5">
        <v>209580</v>
      </c>
      <c r="D120" s="5">
        <v>55980</v>
      </c>
      <c r="E120" s="5">
        <v>116622</v>
      </c>
      <c r="F120" s="5">
        <v>12202</v>
      </c>
      <c r="G120" s="5">
        <v>46330</v>
      </c>
      <c r="H120" s="5">
        <v>51135</v>
      </c>
      <c r="I120" s="5">
        <v>23215</v>
      </c>
      <c r="J120" s="5">
        <v>49302</v>
      </c>
      <c r="K120" s="5">
        <v>50806</v>
      </c>
      <c r="L120" s="5">
        <v>98860</v>
      </c>
      <c r="M120" s="5">
        <v>2</v>
      </c>
      <c r="N120" s="5">
        <v>1023814</v>
      </c>
      <c r="O120" s="49"/>
      <c r="P120" s="23" t="s">
        <v>367</v>
      </c>
      <c r="Q120" s="5">
        <v>54738.503369436468</v>
      </c>
      <c r="R120" s="5">
        <v>35927.180950538954</v>
      </c>
      <c r="S120" s="5">
        <v>9161.1742539196675</v>
      </c>
      <c r="T120" s="5">
        <v>23031.379868682205</v>
      </c>
      <c r="U120" s="5">
        <v>1392.5126597526319</v>
      </c>
      <c r="V120" s="5">
        <v>7759.8033711406206</v>
      </c>
      <c r="W120" s="5">
        <v>5982.8438320415235</v>
      </c>
      <c r="X120" s="5">
        <v>5026.1557451885701</v>
      </c>
      <c r="Y120" s="5">
        <v>14433.58859924261</v>
      </c>
      <c r="Z120" s="5">
        <v>6935.9886296839104</v>
      </c>
      <c r="AA120" s="5">
        <v>17355.030553354682</v>
      </c>
      <c r="AB120" s="5">
        <v>0</v>
      </c>
      <c r="AC120" s="5">
        <v>181744.16183298183</v>
      </c>
      <c r="AD120" s="49"/>
    </row>
    <row r="121" spans="1:30" ht="15" customHeight="1">
      <c r="A121" s="23" t="s">
        <v>23</v>
      </c>
      <c r="B121" s="5">
        <v>1369229</v>
      </c>
      <c r="C121" s="5">
        <v>1211867</v>
      </c>
      <c r="D121" s="5">
        <v>227652</v>
      </c>
      <c r="E121" s="5">
        <v>507252</v>
      </c>
      <c r="F121" s="5">
        <v>76132</v>
      </c>
      <c r="G121" s="5">
        <v>162842</v>
      </c>
      <c r="H121" s="5">
        <v>216204</v>
      </c>
      <c r="I121" s="5">
        <v>112848</v>
      </c>
      <c r="J121" s="5">
        <v>237283</v>
      </c>
      <c r="K121" s="5">
        <v>178353</v>
      </c>
      <c r="L121" s="5">
        <v>511888</v>
      </c>
      <c r="M121" s="5">
        <v>1513</v>
      </c>
      <c r="N121" s="5">
        <v>4813063</v>
      </c>
      <c r="O121" s="49"/>
      <c r="P121" s="23" t="s">
        <v>23</v>
      </c>
      <c r="Q121" s="5">
        <v>256980.59328554547</v>
      </c>
      <c r="R121" s="5">
        <v>200381.8630805616</v>
      </c>
      <c r="S121" s="5">
        <v>43706.472412337695</v>
      </c>
      <c r="T121" s="5">
        <v>133123.14728558843</v>
      </c>
      <c r="U121" s="5">
        <v>10142.665365246587</v>
      </c>
      <c r="V121" s="5">
        <v>42841.909844959468</v>
      </c>
      <c r="W121" s="5">
        <v>45681.856147228507</v>
      </c>
      <c r="X121" s="5">
        <v>25935.105376741445</v>
      </c>
      <c r="Y121" s="5">
        <v>75764.381544938034</v>
      </c>
      <c r="Z121" s="5">
        <v>34024.434644464745</v>
      </c>
      <c r="AA121" s="5">
        <v>98763.871810725133</v>
      </c>
      <c r="AB121" s="5">
        <v>12.401512236982725</v>
      </c>
      <c r="AC121" s="5">
        <v>967358.70231057424</v>
      </c>
      <c r="AD121" s="49"/>
    </row>
    <row r="122" spans="1:30" ht="15" customHeight="1">
      <c r="A122" s="23" t="s">
        <v>24</v>
      </c>
      <c r="B122" s="5">
        <v>653376</v>
      </c>
      <c r="C122" s="5">
        <v>442044</v>
      </c>
      <c r="D122" s="5">
        <v>109972</v>
      </c>
      <c r="E122" s="5">
        <v>199452</v>
      </c>
      <c r="F122" s="5">
        <v>32167</v>
      </c>
      <c r="G122" s="5">
        <v>74364</v>
      </c>
      <c r="H122" s="5">
        <v>75083</v>
      </c>
      <c r="I122" s="5">
        <v>41415</v>
      </c>
      <c r="J122" s="5">
        <v>104724</v>
      </c>
      <c r="K122" s="5">
        <v>73593</v>
      </c>
      <c r="L122" s="5">
        <v>241574</v>
      </c>
      <c r="M122" s="5">
        <v>26</v>
      </c>
      <c r="N122" s="5">
        <v>2047790</v>
      </c>
      <c r="O122" s="49"/>
      <c r="P122" s="23" t="s">
        <v>24</v>
      </c>
      <c r="Q122" s="5">
        <v>109666.57271163825</v>
      </c>
      <c r="R122" s="5">
        <v>65857.344912194123</v>
      </c>
      <c r="S122" s="5">
        <v>17652.666847042266</v>
      </c>
      <c r="T122" s="5">
        <v>51508.795254005105</v>
      </c>
      <c r="U122" s="5">
        <v>3109.2362822720979</v>
      </c>
      <c r="V122" s="5">
        <v>18958.368921136022</v>
      </c>
      <c r="W122" s="5">
        <v>20212.693301676558</v>
      </c>
      <c r="X122" s="5">
        <v>12598.164788169166</v>
      </c>
      <c r="Y122" s="5">
        <v>39566.138969790743</v>
      </c>
      <c r="Z122" s="5">
        <v>15895.195398601287</v>
      </c>
      <c r="AA122" s="5">
        <v>33833.097027094154</v>
      </c>
      <c r="AB122" s="5">
        <v>14.173156842265971</v>
      </c>
      <c r="AC122" s="5">
        <v>388872.44757046201</v>
      </c>
      <c r="AD122" s="49"/>
    </row>
    <row r="123" spans="1:30" ht="15" customHeight="1">
      <c r="A123" s="23" t="s">
        <v>25</v>
      </c>
      <c r="B123" s="5">
        <v>106619</v>
      </c>
      <c r="C123" s="5">
        <v>102689</v>
      </c>
      <c r="D123" s="5">
        <v>37447</v>
      </c>
      <c r="E123" s="5">
        <v>62286</v>
      </c>
      <c r="F123" s="5">
        <v>10912</v>
      </c>
      <c r="G123" s="5">
        <v>29561</v>
      </c>
      <c r="H123" s="5">
        <v>11306</v>
      </c>
      <c r="I123" s="5">
        <v>14851</v>
      </c>
      <c r="J123" s="5">
        <v>44201</v>
      </c>
      <c r="K123" s="5">
        <v>30060</v>
      </c>
      <c r="L123" s="5">
        <v>56263</v>
      </c>
      <c r="M123" s="5">
        <v>2</v>
      </c>
      <c r="N123" s="5">
        <v>506197</v>
      </c>
      <c r="O123" s="49"/>
      <c r="P123" s="23" t="s">
        <v>25</v>
      </c>
      <c r="Q123" s="5">
        <v>30422.681161923909</v>
      </c>
      <c r="R123" s="5">
        <v>22413.075901438351</v>
      </c>
      <c r="S123" s="5">
        <v>3759.4298524110491</v>
      </c>
      <c r="T123" s="5">
        <v>18490.654745341242</v>
      </c>
      <c r="U123" s="5">
        <v>1039.9553833012658</v>
      </c>
      <c r="V123" s="5">
        <v>6937.7602742891931</v>
      </c>
      <c r="W123" s="5">
        <v>4608.047618341725</v>
      </c>
      <c r="X123" s="5">
        <v>2287.1931854206714</v>
      </c>
      <c r="Y123" s="5">
        <v>18511.914480604642</v>
      </c>
      <c r="Z123" s="5">
        <v>6648.9822036280239</v>
      </c>
      <c r="AA123" s="5">
        <v>14201.503155950504</v>
      </c>
      <c r="AB123" s="5">
        <v>3.5432892105664928</v>
      </c>
      <c r="AC123" s="5">
        <v>129324.74125186112</v>
      </c>
      <c r="AD123" s="49"/>
    </row>
    <row r="124" spans="1:30" ht="15" customHeight="1">
      <c r="A124" s="23" t="s">
        <v>26</v>
      </c>
      <c r="B124" s="5">
        <v>529570</v>
      </c>
      <c r="C124" s="5">
        <v>422678</v>
      </c>
      <c r="D124" s="5">
        <v>125584</v>
      </c>
      <c r="E124" s="5">
        <v>233335</v>
      </c>
      <c r="F124" s="5">
        <v>40874</v>
      </c>
      <c r="G124" s="5">
        <v>86509</v>
      </c>
      <c r="H124" s="5">
        <v>38571</v>
      </c>
      <c r="I124" s="5">
        <v>41996</v>
      </c>
      <c r="J124" s="5">
        <v>107826</v>
      </c>
      <c r="K124" s="5">
        <v>92485</v>
      </c>
      <c r="L124" s="5">
        <v>190205</v>
      </c>
      <c r="M124" s="5">
        <v>38</v>
      </c>
      <c r="N124" s="5">
        <v>1909671</v>
      </c>
      <c r="O124" s="49"/>
      <c r="P124" s="23" t="s">
        <v>26</v>
      </c>
      <c r="Q124" s="5">
        <v>117888.77532475779</v>
      </c>
      <c r="R124" s="5">
        <v>81578.919139477643</v>
      </c>
      <c r="S124" s="5">
        <v>19904.427140357275</v>
      </c>
      <c r="T124" s="5">
        <v>78955.113479053165</v>
      </c>
      <c r="U124" s="5">
        <v>4135.0185087310974</v>
      </c>
      <c r="V124" s="5">
        <v>23492.007466055849</v>
      </c>
      <c r="W124" s="5">
        <v>16191.06004768359</v>
      </c>
      <c r="X124" s="5">
        <v>10629.867631699479</v>
      </c>
      <c r="Y124" s="5">
        <v>33873.844853015675</v>
      </c>
      <c r="Z124" s="5">
        <v>20083.36324549088</v>
      </c>
      <c r="AA124" s="5">
        <v>45952.917771836845</v>
      </c>
      <c r="AB124" s="5">
        <v>12.401512236982725</v>
      </c>
      <c r="AC124" s="5">
        <v>452697.71612039633</v>
      </c>
      <c r="AD124" s="49"/>
    </row>
    <row r="125" spans="1:30" ht="15" customHeight="1">
      <c r="A125" s="23" t="s">
        <v>27</v>
      </c>
      <c r="B125" s="5">
        <v>82696</v>
      </c>
      <c r="C125" s="5">
        <v>45219</v>
      </c>
      <c r="D125" s="5">
        <v>15829</v>
      </c>
      <c r="E125" s="5">
        <v>28158</v>
      </c>
      <c r="F125" s="5">
        <v>5633</v>
      </c>
      <c r="G125" s="5">
        <v>11970</v>
      </c>
      <c r="H125" s="5">
        <v>5903</v>
      </c>
      <c r="I125" s="5">
        <v>7569</v>
      </c>
      <c r="J125" s="5">
        <v>13698</v>
      </c>
      <c r="K125" s="5">
        <v>9670</v>
      </c>
      <c r="L125" s="5">
        <v>26896</v>
      </c>
      <c r="M125" s="5"/>
      <c r="N125" s="5">
        <v>253241</v>
      </c>
      <c r="O125" s="49"/>
      <c r="P125" s="23" t="s">
        <v>27</v>
      </c>
      <c r="Q125" s="5">
        <v>11924.939838161532</v>
      </c>
      <c r="R125" s="5">
        <v>7713.7406114032556</v>
      </c>
      <c r="S125" s="5">
        <v>2140.1466831821622</v>
      </c>
      <c r="T125" s="5">
        <v>5796.8211484867825</v>
      </c>
      <c r="U125" s="5">
        <v>396.84839158344721</v>
      </c>
      <c r="V125" s="5">
        <v>2342.114168184452</v>
      </c>
      <c r="W125" s="5">
        <v>1837.1954556787266</v>
      </c>
      <c r="X125" s="5">
        <v>1133.8525473812779</v>
      </c>
      <c r="Y125" s="5">
        <v>4179.3096238631788</v>
      </c>
      <c r="Z125" s="5">
        <v>1158.6555718552431</v>
      </c>
      <c r="AA125" s="5">
        <v>4110.2154842571326</v>
      </c>
      <c r="AB125" s="5">
        <v>3.5432892105664928</v>
      </c>
      <c r="AC125" s="5">
        <v>42737.382813247757</v>
      </c>
      <c r="AD125" s="49"/>
    </row>
    <row r="126" spans="1:30" ht="15" customHeight="1">
      <c r="A126" s="23" t="s">
        <v>28</v>
      </c>
      <c r="B126" s="5">
        <v>143587</v>
      </c>
      <c r="C126" s="5">
        <v>139765</v>
      </c>
      <c r="D126" s="5">
        <v>27407</v>
      </c>
      <c r="E126" s="5">
        <v>50194</v>
      </c>
      <c r="F126" s="5">
        <v>8779</v>
      </c>
      <c r="G126" s="5">
        <v>24990</v>
      </c>
      <c r="H126" s="5">
        <v>11640</v>
      </c>
      <c r="I126" s="5">
        <v>11372</v>
      </c>
      <c r="J126" s="5">
        <v>31448</v>
      </c>
      <c r="K126" s="5">
        <v>21421</v>
      </c>
      <c r="L126" s="5">
        <v>53423</v>
      </c>
      <c r="M126" s="5"/>
      <c r="N126" s="5">
        <v>524026</v>
      </c>
      <c r="O126" s="49"/>
      <c r="P126" s="23" t="s">
        <v>28</v>
      </c>
      <c r="Q126" s="5">
        <v>38455.31780227815</v>
      </c>
      <c r="R126" s="5">
        <v>45091.898493669192</v>
      </c>
      <c r="S126" s="5">
        <v>5814.5375945396145</v>
      </c>
      <c r="T126" s="5">
        <v>29269.340523884515</v>
      </c>
      <c r="U126" s="5">
        <v>2069.2808989708319</v>
      </c>
      <c r="V126" s="5">
        <v>10771.59920012214</v>
      </c>
      <c r="W126" s="5">
        <v>3995.058584913721</v>
      </c>
      <c r="X126" s="5">
        <v>4817.1016817651471</v>
      </c>
      <c r="Y126" s="5">
        <v>19158.564761533027</v>
      </c>
      <c r="Z126" s="5">
        <v>6836.7765317880476</v>
      </c>
      <c r="AA126" s="5">
        <v>19677.656630881018</v>
      </c>
      <c r="AB126" s="5">
        <v>3.5432892105664928</v>
      </c>
      <c r="AC126" s="5">
        <v>185960.67599355595</v>
      </c>
      <c r="AD126" s="49"/>
    </row>
    <row r="127" spans="1:30" ht="15" customHeight="1">
      <c r="A127" s="23" t="s">
        <v>222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>
        <v>0</v>
      </c>
      <c r="O127" s="49"/>
      <c r="P127" s="23" t="s">
        <v>222</v>
      </c>
      <c r="Q127" s="5">
        <v>2269.4767393678385</v>
      </c>
      <c r="R127" s="5">
        <v>2622.0340158192048</v>
      </c>
      <c r="S127" s="5">
        <v>219.68393105512257</v>
      </c>
      <c r="T127" s="5">
        <v>2453.7277783172963</v>
      </c>
      <c r="U127" s="5">
        <v>92.125519474728819</v>
      </c>
      <c r="V127" s="5">
        <v>311.80945052985135</v>
      </c>
      <c r="W127" s="5">
        <v>325.9826073721174</v>
      </c>
      <c r="X127" s="5">
        <v>120.47183315926077</v>
      </c>
      <c r="Y127" s="5">
        <v>494.28884487402576</v>
      </c>
      <c r="Z127" s="5">
        <v>311.80945052985135</v>
      </c>
      <c r="AA127" s="5">
        <v>1080.7032092227805</v>
      </c>
      <c r="AB127" s="5">
        <v>0</v>
      </c>
      <c r="AC127" s="5">
        <v>10302.113379722077</v>
      </c>
      <c r="AD127" s="49"/>
    </row>
    <row r="128" spans="1:30" ht="15" customHeight="1">
      <c r="A128" s="21" t="s">
        <v>46</v>
      </c>
      <c r="B128" s="38">
        <v>17566925</v>
      </c>
      <c r="C128" s="38">
        <v>12878061</v>
      </c>
      <c r="D128" s="38">
        <v>2837353</v>
      </c>
      <c r="E128" s="38">
        <v>5607551</v>
      </c>
      <c r="F128" s="38">
        <v>1025281</v>
      </c>
      <c r="G128" s="38">
        <v>1969274</v>
      </c>
      <c r="H128" s="38">
        <v>1823552</v>
      </c>
      <c r="I128" s="38">
        <v>1454920</v>
      </c>
      <c r="J128" s="38">
        <v>2924729</v>
      </c>
      <c r="K128" s="38">
        <v>2242813</v>
      </c>
      <c r="L128" s="38">
        <v>6033237</v>
      </c>
      <c r="M128" s="38">
        <v>2002</v>
      </c>
      <c r="N128" s="38">
        <v>56365698</v>
      </c>
      <c r="O128" s="49"/>
      <c r="P128" s="21" t="s">
        <v>46</v>
      </c>
      <c r="Q128" s="38">
        <v>3348523.4608846796</v>
      </c>
      <c r="R128" s="38">
        <v>2946390.2534436723</v>
      </c>
      <c r="S128" s="38">
        <v>633370.03296718176</v>
      </c>
      <c r="T128" s="38">
        <v>2432756.8211245588</v>
      </c>
      <c r="U128" s="38">
        <v>167523.17058637325</v>
      </c>
      <c r="V128" s="38">
        <v>771795.71255638287</v>
      </c>
      <c r="W128" s="38">
        <v>667527.34095704253</v>
      </c>
      <c r="X128" s="38">
        <v>443515.28213121317</v>
      </c>
      <c r="Y128" s="38">
        <v>1523593.1008083283</v>
      </c>
      <c r="Z128" s="38">
        <v>618987.82206149236</v>
      </c>
      <c r="AA128" s="38">
        <v>1624043.5782832832</v>
      </c>
      <c r="AB128" s="38">
        <v>198.4241957917236</v>
      </c>
      <c r="AC128" s="38">
        <v>15178225</v>
      </c>
      <c r="AD128" s="49"/>
    </row>
    <row r="129" spans="2:29" ht="15" customHeight="1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P129" s="3" t="s">
        <v>55</v>
      </c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2:29" ht="15" customHeight="1"/>
    <row r="131" spans="2:29" ht="15" customHeight="1"/>
    <row r="132" spans="2:29" ht="15" customHeight="1"/>
    <row r="133" spans="2:29" ht="15" customHeight="1"/>
    <row r="134" spans="2:29" ht="15" customHeight="1"/>
    <row r="135" spans="2:29" ht="15" customHeight="1"/>
    <row r="136" spans="2:29" ht="15" customHeight="1"/>
    <row r="137" spans="2:29" ht="15" customHeight="1"/>
    <row r="138" spans="2:29" ht="15" customHeight="1"/>
    <row r="139" spans="2:29" ht="15" customHeight="1"/>
    <row r="140" spans="2:29" ht="15" customHeight="1"/>
    <row r="141" spans="2:29" ht="15" customHeight="1"/>
    <row r="142" spans="2:29" ht="15" customHeight="1"/>
    <row r="143" spans="2:29" ht="15" customHeight="1"/>
    <row r="144" spans="2:29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862"/>
  <sheetViews>
    <sheetView showGridLines="0" zoomScaleNormal="100" workbookViewId="0"/>
  </sheetViews>
  <sheetFormatPr baseColWidth="10" defaultColWidth="33.140625" defaultRowHeight="12.75"/>
  <cols>
    <col min="1" max="1" width="37" style="3" customWidth="1"/>
    <col min="2" max="5" width="15.7109375" style="6" customWidth="1"/>
    <col min="6" max="14" width="15.7109375" style="3" customWidth="1"/>
    <col min="15" max="15" width="11" style="3" customWidth="1"/>
    <col min="16" max="16" width="30.7109375" style="3" customWidth="1"/>
    <col min="17" max="30" width="15.7109375" style="3" customWidth="1"/>
    <col min="31" max="31" width="25.7109375" style="3" customWidth="1"/>
    <col min="32" max="32" width="17.140625" style="3" customWidth="1"/>
    <col min="33" max="33" width="16.85546875" style="3" customWidth="1"/>
    <col min="34" max="35" width="18.85546875" style="3" bestFit="1" customWidth="1"/>
    <col min="36" max="47" width="15.7109375" style="3" customWidth="1"/>
    <col min="48" max="16384" width="33.140625" style="3"/>
  </cols>
  <sheetData>
    <row r="1" spans="1:5" ht="18.75">
      <c r="A1" s="1" t="s">
        <v>146</v>
      </c>
    </row>
    <row r="2" spans="1:5">
      <c r="A2" s="7"/>
    </row>
    <row r="3" spans="1:5">
      <c r="A3" s="7" t="s">
        <v>127</v>
      </c>
    </row>
    <row r="4" spans="1:5">
      <c r="A4" s="7" t="s">
        <v>334</v>
      </c>
    </row>
    <row r="5" spans="1:5">
      <c r="A5" s="8" t="s">
        <v>148</v>
      </c>
      <c r="B5" s="8" t="s">
        <v>0</v>
      </c>
      <c r="C5" s="8" t="s">
        <v>1</v>
      </c>
      <c r="D5" s="8" t="s">
        <v>45</v>
      </c>
    </row>
    <row r="6" spans="1:5">
      <c r="A6" s="35" t="s">
        <v>9</v>
      </c>
      <c r="B6" s="4">
        <v>119896</v>
      </c>
      <c r="C6" s="4">
        <v>121565</v>
      </c>
      <c r="D6" s="4">
        <v>241461</v>
      </c>
      <c r="E6" s="34"/>
    </row>
    <row r="7" spans="1:5">
      <c r="A7" s="35" t="s">
        <v>10</v>
      </c>
      <c r="B7" s="5">
        <v>44234</v>
      </c>
      <c r="C7" s="5">
        <v>34361</v>
      </c>
      <c r="D7" s="5">
        <v>78595</v>
      </c>
      <c r="E7" s="34"/>
    </row>
    <row r="8" spans="1:5">
      <c r="A8" s="35" t="s">
        <v>11</v>
      </c>
      <c r="B8" s="5">
        <v>8534</v>
      </c>
      <c r="C8" s="5">
        <v>10829</v>
      </c>
      <c r="D8" s="5">
        <v>19363</v>
      </c>
      <c r="E8" s="34"/>
    </row>
    <row r="9" spans="1:5">
      <c r="A9" s="35" t="s">
        <v>224</v>
      </c>
      <c r="B9" s="5">
        <v>7883</v>
      </c>
      <c r="C9" s="5">
        <v>11187</v>
      </c>
      <c r="D9" s="5">
        <v>19070</v>
      </c>
      <c r="E9" s="34"/>
    </row>
    <row r="10" spans="1:5">
      <c r="A10" s="35" t="s">
        <v>13</v>
      </c>
      <c r="B10" s="5">
        <v>4863</v>
      </c>
      <c r="C10" s="5">
        <v>5161</v>
      </c>
      <c r="D10" s="5">
        <v>10024</v>
      </c>
      <c r="E10" s="34"/>
    </row>
    <row r="11" spans="1:5">
      <c r="A11" s="35" t="s">
        <v>163</v>
      </c>
      <c r="B11" s="5">
        <v>3206</v>
      </c>
      <c r="C11" s="5">
        <v>4292</v>
      </c>
      <c r="D11" s="5">
        <v>7498</v>
      </c>
      <c r="E11" s="34"/>
    </row>
    <row r="12" spans="1:5">
      <c r="A12" s="35" t="s">
        <v>164</v>
      </c>
      <c r="B12" s="5">
        <v>1566</v>
      </c>
      <c r="C12" s="5">
        <v>2772</v>
      </c>
      <c r="D12" s="5">
        <v>4338</v>
      </c>
      <c r="E12" s="34"/>
    </row>
    <row r="13" spans="1:5">
      <c r="A13" s="35" t="s">
        <v>225</v>
      </c>
      <c r="B13" s="5">
        <v>3109</v>
      </c>
      <c r="C13" s="5">
        <v>2741</v>
      </c>
      <c r="D13" s="5">
        <v>5850</v>
      </c>
      <c r="E13" s="34"/>
    </row>
    <row r="14" spans="1:5">
      <c r="A14" s="35" t="s">
        <v>166</v>
      </c>
      <c r="B14" s="5">
        <v>2750</v>
      </c>
      <c r="C14" s="5">
        <v>3659</v>
      </c>
      <c r="D14" s="5">
        <v>6409</v>
      </c>
      <c r="E14" s="34"/>
    </row>
    <row r="15" spans="1:5">
      <c r="A15" s="35" t="s">
        <v>203</v>
      </c>
      <c r="B15" s="5">
        <v>4986</v>
      </c>
      <c r="C15" s="5">
        <v>2834</v>
      </c>
      <c r="D15" s="5">
        <v>7820</v>
      </c>
      <c r="E15" s="34"/>
    </row>
    <row r="16" spans="1:5">
      <c r="A16" s="35" t="s">
        <v>31</v>
      </c>
      <c r="B16" s="5">
        <v>44898</v>
      </c>
      <c r="C16" s="5">
        <v>15950</v>
      </c>
      <c r="D16" s="5">
        <v>60848</v>
      </c>
      <c r="E16" s="34"/>
    </row>
    <row r="17" spans="1:30">
      <c r="A17" s="35" t="s">
        <v>222</v>
      </c>
      <c r="B17" s="5"/>
      <c r="C17" s="5">
        <v>42</v>
      </c>
      <c r="D17" s="5">
        <v>42</v>
      </c>
      <c r="E17" s="34"/>
    </row>
    <row r="18" spans="1:30">
      <c r="A18" s="21" t="s">
        <v>46</v>
      </c>
      <c r="B18" s="38">
        <v>245925</v>
      </c>
      <c r="C18" s="38">
        <v>215393</v>
      </c>
      <c r="D18" s="38">
        <v>461318</v>
      </c>
      <c r="E18" s="34"/>
    </row>
    <row r="19" spans="1:30">
      <c r="B19" s="47"/>
      <c r="C19" s="47"/>
      <c r="D19" s="47"/>
    </row>
    <row r="21" spans="1:30">
      <c r="A21" s="7" t="s">
        <v>128</v>
      </c>
      <c r="P21" s="7" t="s">
        <v>131</v>
      </c>
      <c r="Q21" s="6"/>
      <c r="R21" s="6"/>
      <c r="S21" s="6"/>
      <c r="T21" s="6"/>
    </row>
    <row r="22" spans="1:30">
      <c r="A22" s="7" t="s">
        <v>335</v>
      </c>
      <c r="P22" s="7" t="s">
        <v>336</v>
      </c>
      <c r="Q22" s="6"/>
      <c r="R22" s="6"/>
      <c r="S22" s="6"/>
      <c r="T22" s="6"/>
    </row>
    <row r="23" spans="1:30" ht="38.25">
      <c r="A23" s="28" t="s">
        <v>50</v>
      </c>
      <c r="B23" s="28" t="s">
        <v>9</v>
      </c>
      <c r="C23" s="28" t="s">
        <v>10</v>
      </c>
      <c r="D23" s="28" t="s">
        <v>11</v>
      </c>
      <c r="E23" s="28" t="s">
        <v>12</v>
      </c>
      <c r="F23" s="28" t="s">
        <v>13</v>
      </c>
      <c r="G23" s="28" t="s">
        <v>163</v>
      </c>
      <c r="H23" s="28" t="s">
        <v>164</v>
      </c>
      <c r="I23" s="28" t="s">
        <v>165</v>
      </c>
      <c r="J23" s="28" t="s">
        <v>166</v>
      </c>
      <c r="K23" s="28" t="s">
        <v>203</v>
      </c>
      <c r="L23" s="28" t="s">
        <v>31</v>
      </c>
      <c r="M23" s="28" t="s">
        <v>222</v>
      </c>
      <c r="N23" s="28" t="s">
        <v>48</v>
      </c>
      <c r="P23" s="28" t="s">
        <v>50</v>
      </c>
      <c r="Q23" s="28" t="s">
        <v>9</v>
      </c>
      <c r="R23" s="28" t="s">
        <v>10</v>
      </c>
      <c r="S23" s="28" t="s">
        <v>11</v>
      </c>
      <c r="T23" s="28" t="s">
        <v>12</v>
      </c>
      <c r="U23" s="28" t="s">
        <v>13</v>
      </c>
      <c r="V23" s="28" t="s">
        <v>163</v>
      </c>
      <c r="W23" s="28" t="s">
        <v>164</v>
      </c>
      <c r="X23" s="28" t="s">
        <v>165</v>
      </c>
      <c r="Y23" s="28" t="s">
        <v>166</v>
      </c>
      <c r="Z23" s="28" t="s">
        <v>203</v>
      </c>
      <c r="AA23" s="28" t="s">
        <v>31</v>
      </c>
      <c r="AB23" s="28" t="s">
        <v>222</v>
      </c>
      <c r="AC23" s="28" t="s">
        <v>48</v>
      </c>
    </row>
    <row r="24" spans="1:30">
      <c r="A24" s="14" t="s">
        <v>5</v>
      </c>
      <c r="B24" s="4">
        <v>23708</v>
      </c>
      <c r="C24" s="4">
        <v>16437</v>
      </c>
      <c r="D24" s="15">
        <v>3818</v>
      </c>
      <c r="E24" s="15">
        <v>4444</v>
      </c>
      <c r="F24" s="15">
        <v>2467</v>
      </c>
      <c r="G24" s="15">
        <v>1529</v>
      </c>
      <c r="H24" s="15">
        <v>20</v>
      </c>
      <c r="I24" s="15">
        <v>1147</v>
      </c>
      <c r="J24" s="15">
        <v>1421</v>
      </c>
      <c r="K24" s="15">
        <v>3332</v>
      </c>
      <c r="L24" s="15">
        <v>23690</v>
      </c>
      <c r="M24" s="15"/>
      <c r="N24" s="15">
        <v>82013</v>
      </c>
      <c r="O24" s="49"/>
      <c r="P24" s="14" t="s">
        <v>5</v>
      </c>
      <c r="Q24" s="4">
        <v>46856</v>
      </c>
      <c r="R24" s="4">
        <v>19546</v>
      </c>
      <c r="S24" s="15">
        <v>5460</v>
      </c>
      <c r="T24" s="15">
        <v>7694</v>
      </c>
      <c r="U24" s="15">
        <v>2841</v>
      </c>
      <c r="V24" s="15">
        <v>2544</v>
      </c>
      <c r="W24" s="15">
        <v>49</v>
      </c>
      <c r="X24" s="15">
        <v>1210</v>
      </c>
      <c r="Y24" s="15">
        <v>1909</v>
      </c>
      <c r="Z24" s="15">
        <v>1860</v>
      </c>
      <c r="AA24" s="15">
        <v>8235</v>
      </c>
      <c r="AB24" s="15">
        <v>21</v>
      </c>
      <c r="AC24" s="15">
        <v>98225</v>
      </c>
      <c r="AD24" s="50"/>
    </row>
    <row r="25" spans="1:30">
      <c r="A25" s="17" t="s">
        <v>6</v>
      </c>
      <c r="B25" s="5">
        <v>96188</v>
      </c>
      <c r="C25" s="5">
        <v>27797</v>
      </c>
      <c r="D25" s="10">
        <v>4716</v>
      </c>
      <c r="E25" s="10">
        <v>3439</v>
      </c>
      <c r="F25" s="10">
        <v>2396</v>
      </c>
      <c r="G25" s="10">
        <v>1677</v>
      </c>
      <c r="H25" s="10">
        <v>1546</v>
      </c>
      <c r="I25" s="10">
        <v>1962</v>
      </c>
      <c r="J25" s="10">
        <v>1329</v>
      </c>
      <c r="K25" s="10">
        <v>1654</v>
      </c>
      <c r="L25" s="10">
        <v>21208</v>
      </c>
      <c r="M25" s="10"/>
      <c r="N25" s="10">
        <v>163912</v>
      </c>
      <c r="O25" s="49"/>
      <c r="P25" s="17" t="s">
        <v>6</v>
      </c>
      <c r="Q25" s="5">
        <v>74709</v>
      </c>
      <c r="R25" s="5">
        <v>14815</v>
      </c>
      <c r="S25" s="10">
        <v>5369</v>
      </c>
      <c r="T25" s="10">
        <v>3493</v>
      </c>
      <c r="U25" s="10">
        <v>2320</v>
      </c>
      <c r="V25" s="10">
        <v>1748</v>
      </c>
      <c r="W25" s="10">
        <v>2723</v>
      </c>
      <c r="X25" s="10">
        <v>1531</v>
      </c>
      <c r="Y25" s="10">
        <v>1750</v>
      </c>
      <c r="Z25" s="10">
        <v>974</v>
      </c>
      <c r="AA25" s="10">
        <v>7715</v>
      </c>
      <c r="AB25" s="10">
        <v>21</v>
      </c>
      <c r="AC25" s="10">
        <v>117168</v>
      </c>
      <c r="AD25" s="49"/>
    </row>
    <row r="26" spans="1:30">
      <c r="A26" s="17" t="s">
        <v>222</v>
      </c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v>0</v>
      </c>
      <c r="O26" s="49"/>
      <c r="P26" s="17" t="s">
        <v>222</v>
      </c>
      <c r="Q26" s="5"/>
      <c r="R26" s="5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>
        <v>0</v>
      </c>
      <c r="AD26" s="49"/>
    </row>
    <row r="27" spans="1:30">
      <c r="A27" s="21" t="s">
        <v>46</v>
      </c>
      <c r="B27" s="11">
        <v>119896</v>
      </c>
      <c r="C27" s="11">
        <v>44234</v>
      </c>
      <c r="D27" s="11">
        <v>8534</v>
      </c>
      <c r="E27" s="11">
        <v>7883</v>
      </c>
      <c r="F27" s="11">
        <v>4863</v>
      </c>
      <c r="G27" s="11">
        <v>3206</v>
      </c>
      <c r="H27" s="11">
        <v>1566</v>
      </c>
      <c r="I27" s="11">
        <v>3109</v>
      </c>
      <c r="J27" s="11">
        <v>2750</v>
      </c>
      <c r="K27" s="11">
        <v>4986</v>
      </c>
      <c r="L27" s="11">
        <v>44898</v>
      </c>
      <c r="M27" s="11">
        <v>0</v>
      </c>
      <c r="N27" s="11">
        <v>245925</v>
      </c>
      <c r="O27" s="49"/>
      <c r="P27" s="21" t="s">
        <v>46</v>
      </c>
      <c r="Q27" s="38">
        <v>121565</v>
      </c>
      <c r="R27" s="38">
        <v>34361</v>
      </c>
      <c r="S27" s="38">
        <v>10829</v>
      </c>
      <c r="T27" s="38">
        <v>11187</v>
      </c>
      <c r="U27" s="38">
        <v>5161</v>
      </c>
      <c r="V27" s="38">
        <v>4292</v>
      </c>
      <c r="W27" s="38">
        <v>2772</v>
      </c>
      <c r="X27" s="38">
        <v>2741</v>
      </c>
      <c r="Y27" s="38">
        <v>3659</v>
      </c>
      <c r="Z27" s="38">
        <v>2834</v>
      </c>
      <c r="AA27" s="38">
        <v>15950</v>
      </c>
      <c r="AB27" s="38">
        <v>42</v>
      </c>
      <c r="AC27" s="52">
        <v>215393</v>
      </c>
      <c r="AD27" s="49"/>
    </row>
    <row r="28" spans="1:30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9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30">
      <c r="O29" s="49"/>
      <c r="Q29" s="6"/>
      <c r="R29" s="6"/>
      <c r="S29" s="6"/>
      <c r="T29" s="6"/>
    </row>
    <row r="30" spans="1:30">
      <c r="A30" s="7" t="s">
        <v>129</v>
      </c>
      <c r="O30" s="49"/>
      <c r="P30" s="7" t="s">
        <v>132</v>
      </c>
      <c r="Q30" s="6"/>
      <c r="R30" s="6"/>
      <c r="S30" s="6"/>
      <c r="T30" s="6"/>
    </row>
    <row r="31" spans="1:30">
      <c r="A31" s="7" t="s">
        <v>337</v>
      </c>
      <c r="O31" s="49"/>
      <c r="P31" s="7" t="s">
        <v>338</v>
      </c>
      <c r="Q31" s="6"/>
      <c r="R31" s="6"/>
      <c r="S31" s="6"/>
      <c r="T31" s="6"/>
    </row>
    <row r="32" spans="1:30" ht="38.25">
      <c r="A32" s="16" t="s">
        <v>51</v>
      </c>
      <c r="B32" s="28" t="s">
        <v>9</v>
      </c>
      <c r="C32" s="28" t="s">
        <v>10</v>
      </c>
      <c r="D32" s="28" t="s">
        <v>11</v>
      </c>
      <c r="E32" s="28" t="s">
        <v>12</v>
      </c>
      <c r="F32" s="28" t="s">
        <v>13</v>
      </c>
      <c r="G32" s="28" t="s">
        <v>163</v>
      </c>
      <c r="H32" s="28" t="s">
        <v>164</v>
      </c>
      <c r="I32" s="28" t="s">
        <v>165</v>
      </c>
      <c r="J32" s="28" t="s">
        <v>166</v>
      </c>
      <c r="K32" s="28" t="s">
        <v>203</v>
      </c>
      <c r="L32" s="28" t="s">
        <v>31</v>
      </c>
      <c r="M32" s="28" t="s">
        <v>222</v>
      </c>
      <c r="N32" s="28" t="s">
        <v>48</v>
      </c>
      <c r="O32" s="49"/>
      <c r="P32" s="16" t="s">
        <v>51</v>
      </c>
      <c r="Q32" s="28" t="s">
        <v>9</v>
      </c>
      <c r="R32" s="28" t="s">
        <v>10</v>
      </c>
      <c r="S32" s="28" t="s">
        <v>11</v>
      </c>
      <c r="T32" s="28" t="s">
        <v>12</v>
      </c>
      <c r="U32" s="28" t="s">
        <v>13</v>
      </c>
      <c r="V32" s="28" t="s">
        <v>163</v>
      </c>
      <c r="W32" s="28" t="s">
        <v>164</v>
      </c>
      <c r="X32" s="28" t="s">
        <v>165</v>
      </c>
      <c r="Y32" s="28" t="s">
        <v>166</v>
      </c>
      <c r="Z32" s="28" t="s">
        <v>203</v>
      </c>
      <c r="AA32" s="28" t="s">
        <v>31</v>
      </c>
      <c r="AB32" s="28" t="s">
        <v>222</v>
      </c>
      <c r="AC32" s="28" t="s">
        <v>48</v>
      </c>
    </row>
    <row r="33" spans="1:30">
      <c r="A33" s="14" t="s">
        <v>40</v>
      </c>
      <c r="B33" s="4">
        <v>152</v>
      </c>
      <c r="C33" s="4">
        <v>135</v>
      </c>
      <c r="D33" s="4">
        <v>171</v>
      </c>
      <c r="E33" s="4">
        <v>106</v>
      </c>
      <c r="F33" s="4">
        <v>124</v>
      </c>
      <c r="G33" s="4">
        <v>29</v>
      </c>
      <c r="H33" s="4">
        <v>35</v>
      </c>
      <c r="I33" s="4">
        <v>21</v>
      </c>
      <c r="J33" s="4"/>
      <c r="K33" s="4">
        <v>2</v>
      </c>
      <c r="L33" s="4">
        <v>1345</v>
      </c>
      <c r="M33" s="4"/>
      <c r="N33" s="4">
        <v>2120</v>
      </c>
      <c r="O33" s="49"/>
      <c r="P33" s="14" t="s">
        <v>40</v>
      </c>
      <c r="Q33" s="4">
        <v>45</v>
      </c>
      <c r="R33" s="4">
        <v>21</v>
      </c>
      <c r="S33" s="4">
        <v>13</v>
      </c>
      <c r="T33" s="4">
        <v>17</v>
      </c>
      <c r="U33" s="4">
        <v>10</v>
      </c>
      <c r="V33" s="4">
        <v>4</v>
      </c>
      <c r="W33" s="4">
        <v>1</v>
      </c>
      <c r="X33" s="4">
        <v>4</v>
      </c>
      <c r="Y33" s="4"/>
      <c r="Z33" s="4">
        <v>2</v>
      </c>
      <c r="AA33" s="4">
        <v>22</v>
      </c>
      <c r="AB33" s="4"/>
      <c r="AC33" s="4">
        <v>139</v>
      </c>
      <c r="AD33" s="50"/>
    </row>
    <row r="34" spans="1:30">
      <c r="A34" s="17" t="s">
        <v>2</v>
      </c>
      <c r="B34" s="5">
        <v>6745</v>
      </c>
      <c r="C34" s="5">
        <v>1661</v>
      </c>
      <c r="D34" s="5">
        <v>1075</v>
      </c>
      <c r="E34" s="5">
        <v>724</v>
      </c>
      <c r="F34" s="5">
        <v>766</v>
      </c>
      <c r="G34" s="5">
        <v>309</v>
      </c>
      <c r="H34" s="5">
        <v>310</v>
      </c>
      <c r="I34" s="5">
        <v>199</v>
      </c>
      <c r="J34" s="5">
        <v>37</v>
      </c>
      <c r="K34" s="5">
        <v>53</v>
      </c>
      <c r="L34" s="5">
        <v>6659</v>
      </c>
      <c r="M34" s="5"/>
      <c r="N34" s="5">
        <v>18538</v>
      </c>
      <c r="O34" s="49"/>
      <c r="P34" s="17" t="s">
        <v>2</v>
      </c>
      <c r="Q34" s="5">
        <v>2777</v>
      </c>
      <c r="R34" s="5">
        <v>1103</v>
      </c>
      <c r="S34" s="5">
        <v>448</v>
      </c>
      <c r="T34" s="5">
        <v>582</v>
      </c>
      <c r="U34" s="5">
        <v>343</v>
      </c>
      <c r="V34" s="5">
        <v>197</v>
      </c>
      <c r="W34" s="5">
        <v>77</v>
      </c>
      <c r="X34" s="5">
        <v>62</v>
      </c>
      <c r="Y34" s="5">
        <v>13</v>
      </c>
      <c r="Z34" s="5">
        <v>25</v>
      </c>
      <c r="AA34" s="5">
        <v>448</v>
      </c>
      <c r="AB34" s="5"/>
      <c r="AC34" s="5">
        <v>6075</v>
      </c>
      <c r="AD34" s="49"/>
    </row>
    <row r="35" spans="1:30">
      <c r="A35" s="17" t="s">
        <v>41</v>
      </c>
      <c r="B35" s="5">
        <v>45717</v>
      </c>
      <c r="C35" s="5">
        <v>7361</v>
      </c>
      <c r="D35" s="5">
        <v>3012</v>
      </c>
      <c r="E35" s="5">
        <v>1836</v>
      </c>
      <c r="F35" s="5">
        <v>1995</v>
      </c>
      <c r="G35" s="5">
        <v>941</v>
      </c>
      <c r="H35" s="5">
        <v>888</v>
      </c>
      <c r="I35" s="5">
        <v>824</v>
      </c>
      <c r="J35" s="5">
        <v>185</v>
      </c>
      <c r="K35" s="5">
        <v>309</v>
      </c>
      <c r="L35" s="5">
        <v>14146</v>
      </c>
      <c r="M35" s="5"/>
      <c r="N35" s="5">
        <v>77214</v>
      </c>
      <c r="O35" s="49"/>
      <c r="P35" s="17" t="s">
        <v>41</v>
      </c>
      <c r="Q35" s="5">
        <v>42386</v>
      </c>
      <c r="R35" s="5">
        <v>8625</v>
      </c>
      <c r="S35" s="5">
        <v>4135</v>
      </c>
      <c r="T35" s="5">
        <v>3414</v>
      </c>
      <c r="U35" s="5">
        <v>2413</v>
      </c>
      <c r="V35" s="5">
        <v>1396</v>
      </c>
      <c r="W35" s="5">
        <v>1478</v>
      </c>
      <c r="X35" s="5">
        <v>747</v>
      </c>
      <c r="Y35" s="5">
        <v>293</v>
      </c>
      <c r="Z35" s="5">
        <v>288</v>
      </c>
      <c r="AA35" s="5">
        <v>4322</v>
      </c>
      <c r="AB35" s="5">
        <v>11</v>
      </c>
      <c r="AC35" s="5">
        <v>69508</v>
      </c>
      <c r="AD35" s="49"/>
    </row>
    <row r="36" spans="1:30">
      <c r="A36" s="17" t="s">
        <v>42</v>
      </c>
      <c r="B36" s="5">
        <v>33107</v>
      </c>
      <c r="C36" s="5">
        <v>9030</v>
      </c>
      <c r="D36" s="5">
        <v>1782</v>
      </c>
      <c r="E36" s="5">
        <v>1503</v>
      </c>
      <c r="F36" s="5">
        <v>1046</v>
      </c>
      <c r="G36" s="5">
        <v>642</v>
      </c>
      <c r="H36" s="5">
        <v>316</v>
      </c>
      <c r="I36" s="5">
        <v>660</v>
      </c>
      <c r="J36" s="5">
        <v>355</v>
      </c>
      <c r="K36" s="5">
        <v>564</v>
      </c>
      <c r="L36" s="5">
        <v>9083</v>
      </c>
      <c r="M36" s="5"/>
      <c r="N36" s="5">
        <v>58088</v>
      </c>
      <c r="O36" s="49"/>
      <c r="P36" s="17" t="s">
        <v>42</v>
      </c>
      <c r="Q36" s="5">
        <v>41219</v>
      </c>
      <c r="R36" s="5">
        <v>9298</v>
      </c>
      <c r="S36" s="5">
        <v>3017</v>
      </c>
      <c r="T36" s="5">
        <v>2890</v>
      </c>
      <c r="U36" s="5">
        <v>1328</v>
      </c>
      <c r="V36" s="5">
        <v>1203</v>
      </c>
      <c r="W36" s="5">
        <v>1186</v>
      </c>
      <c r="X36" s="5">
        <v>891</v>
      </c>
      <c r="Y36" s="5">
        <v>705</v>
      </c>
      <c r="Z36" s="5">
        <v>585</v>
      </c>
      <c r="AA36" s="5">
        <v>4446</v>
      </c>
      <c r="AB36" s="5">
        <v>17</v>
      </c>
      <c r="AC36" s="5">
        <v>66785</v>
      </c>
      <c r="AD36" s="49"/>
    </row>
    <row r="37" spans="1:30">
      <c r="A37" s="17" t="s">
        <v>43</v>
      </c>
      <c r="B37" s="5">
        <v>17019</v>
      </c>
      <c r="C37" s="5">
        <v>10566</v>
      </c>
      <c r="D37" s="5">
        <v>1133</v>
      </c>
      <c r="E37" s="5">
        <v>1640</v>
      </c>
      <c r="F37" s="5">
        <v>523</v>
      </c>
      <c r="G37" s="5">
        <v>605</v>
      </c>
      <c r="H37" s="5">
        <v>11</v>
      </c>
      <c r="I37" s="5">
        <v>639</v>
      </c>
      <c r="J37" s="5">
        <v>676</v>
      </c>
      <c r="K37" s="5">
        <v>847</v>
      </c>
      <c r="L37" s="5">
        <v>6937</v>
      </c>
      <c r="M37" s="5"/>
      <c r="N37" s="5">
        <v>40596</v>
      </c>
      <c r="O37" s="49"/>
      <c r="P37" s="17" t="s">
        <v>43</v>
      </c>
      <c r="Q37" s="5">
        <v>19106</v>
      </c>
      <c r="R37" s="5">
        <v>7803</v>
      </c>
      <c r="S37" s="5">
        <v>1700</v>
      </c>
      <c r="T37" s="5">
        <v>2270</v>
      </c>
      <c r="U37" s="5">
        <v>649</v>
      </c>
      <c r="V37" s="5">
        <v>809</v>
      </c>
      <c r="W37" s="5">
        <v>30</v>
      </c>
      <c r="X37" s="5">
        <v>505</v>
      </c>
      <c r="Y37" s="5">
        <v>916</v>
      </c>
      <c r="Z37" s="5">
        <v>672</v>
      </c>
      <c r="AA37" s="5">
        <v>3298</v>
      </c>
      <c r="AB37" s="5">
        <v>4</v>
      </c>
      <c r="AC37" s="5">
        <v>37762</v>
      </c>
      <c r="AD37" s="49"/>
    </row>
    <row r="38" spans="1:30">
      <c r="A38" s="17" t="s">
        <v>44</v>
      </c>
      <c r="B38" s="5">
        <v>13475</v>
      </c>
      <c r="C38" s="5">
        <v>11348</v>
      </c>
      <c r="D38" s="5">
        <v>873</v>
      </c>
      <c r="E38" s="5">
        <v>1476</v>
      </c>
      <c r="F38" s="5">
        <v>338</v>
      </c>
      <c r="G38" s="5">
        <v>482</v>
      </c>
      <c r="H38" s="5">
        <v>4</v>
      </c>
      <c r="I38" s="5">
        <v>448</v>
      </c>
      <c r="J38" s="5">
        <v>835</v>
      </c>
      <c r="K38" s="5">
        <v>1665</v>
      </c>
      <c r="L38" s="5">
        <v>4868</v>
      </c>
      <c r="M38" s="5"/>
      <c r="N38" s="5">
        <v>35812</v>
      </c>
      <c r="O38" s="49"/>
      <c r="P38" s="17" t="s">
        <v>44</v>
      </c>
      <c r="Q38" s="5">
        <v>13335</v>
      </c>
      <c r="R38" s="5">
        <v>6359</v>
      </c>
      <c r="S38" s="5">
        <v>1107</v>
      </c>
      <c r="T38" s="5">
        <v>1596</v>
      </c>
      <c r="U38" s="5">
        <v>321</v>
      </c>
      <c r="V38" s="5">
        <v>528</v>
      </c>
      <c r="W38" s="5"/>
      <c r="X38" s="5">
        <v>389</v>
      </c>
      <c r="Y38" s="5">
        <v>1081</v>
      </c>
      <c r="Z38" s="5">
        <v>909</v>
      </c>
      <c r="AA38" s="5">
        <v>2690</v>
      </c>
      <c r="AB38" s="5">
        <v>7</v>
      </c>
      <c r="AC38" s="5">
        <v>28322</v>
      </c>
      <c r="AD38" s="49"/>
    </row>
    <row r="39" spans="1:30">
      <c r="A39" s="17" t="s">
        <v>3</v>
      </c>
      <c r="B39" s="5">
        <v>3681</v>
      </c>
      <c r="C39" s="5">
        <v>4133</v>
      </c>
      <c r="D39" s="5">
        <v>488</v>
      </c>
      <c r="E39" s="5">
        <v>598</v>
      </c>
      <c r="F39" s="5">
        <v>71</v>
      </c>
      <c r="G39" s="5">
        <v>198</v>
      </c>
      <c r="H39" s="5">
        <v>2</v>
      </c>
      <c r="I39" s="5">
        <v>318</v>
      </c>
      <c r="J39" s="5">
        <v>662</v>
      </c>
      <c r="K39" s="5">
        <v>1546</v>
      </c>
      <c r="L39" s="5">
        <v>1860</v>
      </c>
      <c r="M39" s="5"/>
      <c r="N39" s="5">
        <v>13557</v>
      </c>
      <c r="O39" s="49"/>
      <c r="P39" s="17" t="s">
        <v>3</v>
      </c>
      <c r="Q39" s="5">
        <v>2697</v>
      </c>
      <c r="R39" s="5">
        <v>1152</v>
      </c>
      <c r="S39" s="5">
        <v>409</v>
      </c>
      <c r="T39" s="5">
        <v>418</v>
      </c>
      <c r="U39" s="5">
        <v>97</v>
      </c>
      <c r="V39" s="5">
        <v>154</v>
      </c>
      <c r="W39" s="5"/>
      <c r="X39" s="5">
        <v>143</v>
      </c>
      <c r="Y39" s="5">
        <v>651</v>
      </c>
      <c r="Z39" s="5">
        <v>353</v>
      </c>
      <c r="AA39" s="5">
        <v>724</v>
      </c>
      <c r="AB39" s="5">
        <v>3</v>
      </c>
      <c r="AC39" s="5">
        <v>6801</v>
      </c>
      <c r="AD39" s="49"/>
    </row>
    <row r="40" spans="1:30">
      <c r="A40" s="17" t="s">
        <v>222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0</v>
      </c>
      <c r="O40" s="49"/>
      <c r="P40" s="17" t="s">
        <v>222</v>
      </c>
      <c r="Q40" s="5"/>
      <c r="R40" s="5"/>
      <c r="S40" s="5"/>
      <c r="T40" s="5"/>
      <c r="U40" s="5"/>
      <c r="V40" s="5">
        <v>1</v>
      </c>
      <c r="W40" s="5"/>
      <c r="X40" s="5"/>
      <c r="Y40" s="5"/>
      <c r="Z40" s="5"/>
      <c r="AA40" s="5"/>
      <c r="AB40" s="5"/>
      <c r="AC40" s="5">
        <v>1</v>
      </c>
      <c r="AD40" s="49"/>
    </row>
    <row r="41" spans="1:30">
      <c r="A41" s="21" t="s">
        <v>46</v>
      </c>
      <c r="B41" s="11">
        <v>119896</v>
      </c>
      <c r="C41" s="11">
        <v>44234</v>
      </c>
      <c r="D41" s="11">
        <v>8534</v>
      </c>
      <c r="E41" s="11">
        <v>7883</v>
      </c>
      <c r="F41" s="11">
        <v>4863</v>
      </c>
      <c r="G41" s="11">
        <v>3206</v>
      </c>
      <c r="H41" s="11">
        <v>1566</v>
      </c>
      <c r="I41" s="11">
        <v>3109</v>
      </c>
      <c r="J41" s="11">
        <v>2750</v>
      </c>
      <c r="K41" s="11">
        <v>4986</v>
      </c>
      <c r="L41" s="11">
        <v>44898</v>
      </c>
      <c r="M41" s="11">
        <v>0</v>
      </c>
      <c r="N41" s="11">
        <v>245925</v>
      </c>
      <c r="O41" s="49"/>
      <c r="P41" s="21" t="s">
        <v>46</v>
      </c>
      <c r="Q41" s="38">
        <v>121565</v>
      </c>
      <c r="R41" s="38">
        <v>34361</v>
      </c>
      <c r="S41" s="38">
        <v>10829</v>
      </c>
      <c r="T41" s="38">
        <v>11187</v>
      </c>
      <c r="U41" s="38">
        <v>5161</v>
      </c>
      <c r="V41" s="38">
        <v>4292</v>
      </c>
      <c r="W41" s="38">
        <v>2772</v>
      </c>
      <c r="X41" s="38">
        <v>2741</v>
      </c>
      <c r="Y41" s="38">
        <v>3659</v>
      </c>
      <c r="Z41" s="38">
        <v>2834</v>
      </c>
      <c r="AA41" s="38">
        <v>15950</v>
      </c>
      <c r="AB41" s="38">
        <v>42</v>
      </c>
      <c r="AC41" s="38">
        <v>215393</v>
      </c>
      <c r="AD41" s="49"/>
    </row>
    <row r="42" spans="1:30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30">
      <c r="Q43" s="6"/>
      <c r="R43" s="34"/>
      <c r="S43" s="6"/>
      <c r="T43" s="6"/>
    </row>
    <row r="44" spans="1:30">
      <c r="A44" s="7" t="s">
        <v>130</v>
      </c>
      <c r="P44" s="7" t="s">
        <v>133</v>
      </c>
      <c r="Q44" s="6"/>
      <c r="R44" s="6"/>
      <c r="S44" s="6"/>
      <c r="T44" s="6"/>
    </row>
    <row r="45" spans="1:30">
      <c r="A45" s="7" t="s">
        <v>339</v>
      </c>
      <c r="P45" s="7" t="s">
        <v>340</v>
      </c>
      <c r="Q45" s="6"/>
      <c r="R45" s="6"/>
      <c r="S45" s="6"/>
      <c r="T45" s="6"/>
    </row>
    <row r="46" spans="1:30" ht="38.25">
      <c r="A46" s="16" t="s">
        <v>149</v>
      </c>
      <c r="B46" s="28" t="s">
        <v>9</v>
      </c>
      <c r="C46" s="28" t="s">
        <v>10</v>
      </c>
      <c r="D46" s="28" t="s">
        <v>11</v>
      </c>
      <c r="E46" s="28" t="s">
        <v>12</v>
      </c>
      <c r="F46" s="28" t="s">
        <v>13</v>
      </c>
      <c r="G46" s="28" t="s">
        <v>163</v>
      </c>
      <c r="H46" s="28" t="s">
        <v>164</v>
      </c>
      <c r="I46" s="28" t="s">
        <v>165</v>
      </c>
      <c r="J46" s="28" t="s">
        <v>166</v>
      </c>
      <c r="K46" s="28" t="s">
        <v>203</v>
      </c>
      <c r="L46" s="28" t="s">
        <v>31</v>
      </c>
      <c r="M46" s="28" t="s">
        <v>222</v>
      </c>
      <c r="N46" s="28" t="s">
        <v>48</v>
      </c>
      <c r="P46" s="16" t="s">
        <v>149</v>
      </c>
      <c r="Q46" s="28" t="s">
        <v>9</v>
      </c>
      <c r="R46" s="28" t="s">
        <v>10</v>
      </c>
      <c r="S46" s="28" t="s">
        <v>11</v>
      </c>
      <c r="T46" s="28" t="s">
        <v>12</v>
      </c>
      <c r="U46" s="28" t="s">
        <v>13</v>
      </c>
      <c r="V46" s="28" t="s">
        <v>163</v>
      </c>
      <c r="W46" s="28" t="s">
        <v>164</v>
      </c>
      <c r="X46" s="28" t="s">
        <v>165</v>
      </c>
      <c r="Y46" s="28" t="s">
        <v>166</v>
      </c>
      <c r="Z46" s="28" t="s">
        <v>203</v>
      </c>
      <c r="AA46" s="28" t="s">
        <v>31</v>
      </c>
      <c r="AB46" s="28" t="s">
        <v>222</v>
      </c>
      <c r="AC46" s="28" t="s">
        <v>48</v>
      </c>
    </row>
    <row r="47" spans="1:30">
      <c r="A47" s="22" t="s">
        <v>14</v>
      </c>
      <c r="B47" s="4">
        <v>438</v>
      </c>
      <c r="C47" s="4">
        <v>148</v>
      </c>
      <c r="D47" s="4">
        <v>94</v>
      </c>
      <c r="E47" s="4">
        <v>32</v>
      </c>
      <c r="F47" s="4">
        <v>129</v>
      </c>
      <c r="G47" s="4">
        <v>124</v>
      </c>
      <c r="H47" s="4">
        <v>17</v>
      </c>
      <c r="I47" s="4">
        <v>36</v>
      </c>
      <c r="J47" s="4">
        <v>11</v>
      </c>
      <c r="K47" s="4">
        <v>22</v>
      </c>
      <c r="L47" s="4">
        <v>123</v>
      </c>
      <c r="M47" s="4"/>
      <c r="N47" s="4">
        <v>1174</v>
      </c>
      <c r="O47" s="50"/>
      <c r="P47" s="22" t="s">
        <v>14</v>
      </c>
      <c r="Q47" s="4">
        <v>330</v>
      </c>
      <c r="R47" s="4">
        <v>110</v>
      </c>
      <c r="S47" s="4">
        <v>50</v>
      </c>
      <c r="T47" s="4">
        <v>41</v>
      </c>
      <c r="U47" s="4">
        <v>36</v>
      </c>
      <c r="V47" s="4">
        <v>40</v>
      </c>
      <c r="W47" s="4">
        <v>17</v>
      </c>
      <c r="X47" s="4">
        <v>22</v>
      </c>
      <c r="Y47" s="4">
        <v>25</v>
      </c>
      <c r="Z47" s="4">
        <v>16</v>
      </c>
      <c r="AA47" s="4">
        <v>78</v>
      </c>
      <c r="AB47" s="4">
        <v>0</v>
      </c>
      <c r="AC47" s="4">
        <v>765</v>
      </c>
      <c r="AD47" s="50"/>
    </row>
    <row r="48" spans="1:30">
      <c r="A48" s="23" t="s">
        <v>15</v>
      </c>
      <c r="B48" s="5">
        <v>1516</v>
      </c>
      <c r="C48" s="5">
        <v>588</v>
      </c>
      <c r="D48" s="5">
        <v>155</v>
      </c>
      <c r="E48" s="5">
        <v>125</v>
      </c>
      <c r="F48" s="5">
        <v>2143</v>
      </c>
      <c r="G48" s="5">
        <v>72</v>
      </c>
      <c r="H48" s="5">
        <v>22</v>
      </c>
      <c r="I48" s="5">
        <v>72</v>
      </c>
      <c r="J48" s="5">
        <v>52</v>
      </c>
      <c r="K48" s="5">
        <v>66</v>
      </c>
      <c r="L48" s="5">
        <v>235</v>
      </c>
      <c r="M48" s="5"/>
      <c r="N48" s="5">
        <v>5046</v>
      </c>
      <c r="O48" s="49"/>
      <c r="P48" s="23" t="s">
        <v>15</v>
      </c>
      <c r="Q48" s="5">
        <v>2095</v>
      </c>
      <c r="R48" s="5">
        <v>716</v>
      </c>
      <c r="S48" s="5">
        <v>144</v>
      </c>
      <c r="T48" s="5">
        <v>281</v>
      </c>
      <c r="U48" s="5">
        <v>71</v>
      </c>
      <c r="V48" s="5">
        <v>72</v>
      </c>
      <c r="W48" s="5">
        <v>37</v>
      </c>
      <c r="X48" s="5">
        <v>37</v>
      </c>
      <c r="Y48" s="5">
        <v>84</v>
      </c>
      <c r="Z48" s="5">
        <v>60</v>
      </c>
      <c r="AA48" s="5">
        <v>281</v>
      </c>
      <c r="AB48" s="5">
        <v>0</v>
      </c>
      <c r="AC48" s="5">
        <v>3878</v>
      </c>
      <c r="AD48" s="49"/>
    </row>
    <row r="49" spans="1:30">
      <c r="A49" s="23" t="s">
        <v>16</v>
      </c>
      <c r="B49" s="5">
        <v>1263</v>
      </c>
      <c r="C49" s="5">
        <v>752</v>
      </c>
      <c r="D49" s="5">
        <v>310</v>
      </c>
      <c r="E49" s="5">
        <v>338</v>
      </c>
      <c r="F49" s="5">
        <v>109</v>
      </c>
      <c r="G49" s="5">
        <v>142</v>
      </c>
      <c r="H49" s="5">
        <v>53</v>
      </c>
      <c r="I49" s="5">
        <v>90</v>
      </c>
      <c r="J49" s="5">
        <v>41</v>
      </c>
      <c r="K49" s="5">
        <v>82</v>
      </c>
      <c r="L49" s="5">
        <v>16790</v>
      </c>
      <c r="M49" s="5"/>
      <c r="N49" s="5">
        <v>19970</v>
      </c>
      <c r="O49" s="49"/>
      <c r="P49" s="23" t="s">
        <v>16</v>
      </c>
      <c r="Q49" s="5">
        <v>6389</v>
      </c>
      <c r="R49" s="5">
        <v>2481</v>
      </c>
      <c r="S49" s="5">
        <v>469</v>
      </c>
      <c r="T49" s="5">
        <v>655</v>
      </c>
      <c r="U49" s="5">
        <v>179</v>
      </c>
      <c r="V49" s="5">
        <v>264</v>
      </c>
      <c r="W49" s="5">
        <v>151</v>
      </c>
      <c r="X49" s="5">
        <v>149</v>
      </c>
      <c r="Y49" s="5">
        <v>192</v>
      </c>
      <c r="Z49" s="5">
        <v>254</v>
      </c>
      <c r="AA49" s="5">
        <v>856</v>
      </c>
      <c r="AB49" s="5">
        <v>1</v>
      </c>
      <c r="AC49" s="5">
        <v>12040</v>
      </c>
      <c r="AD49" s="49"/>
    </row>
    <row r="50" spans="1:30">
      <c r="A50" s="23" t="s">
        <v>17</v>
      </c>
      <c r="B50" s="5">
        <v>2274</v>
      </c>
      <c r="C50" s="5">
        <v>1727</v>
      </c>
      <c r="D50" s="5">
        <v>2325</v>
      </c>
      <c r="E50" s="5">
        <v>242</v>
      </c>
      <c r="F50" s="5">
        <v>142</v>
      </c>
      <c r="G50" s="5">
        <v>95</v>
      </c>
      <c r="H50" s="5">
        <v>110</v>
      </c>
      <c r="I50" s="5">
        <v>86</v>
      </c>
      <c r="J50" s="5">
        <v>81</v>
      </c>
      <c r="K50" s="5">
        <v>165</v>
      </c>
      <c r="L50" s="5">
        <v>1257</v>
      </c>
      <c r="M50" s="5"/>
      <c r="N50" s="5">
        <v>8504</v>
      </c>
      <c r="O50" s="49"/>
      <c r="P50" s="23" t="s">
        <v>17</v>
      </c>
      <c r="Q50" s="5">
        <v>1302</v>
      </c>
      <c r="R50" s="5">
        <v>521</v>
      </c>
      <c r="S50" s="5">
        <v>126</v>
      </c>
      <c r="T50" s="5">
        <v>183</v>
      </c>
      <c r="U50" s="5">
        <v>49</v>
      </c>
      <c r="V50" s="5">
        <v>77</v>
      </c>
      <c r="W50" s="5">
        <v>61</v>
      </c>
      <c r="X50" s="5">
        <v>43</v>
      </c>
      <c r="Y50" s="5">
        <v>70</v>
      </c>
      <c r="Z50" s="5">
        <v>38</v>
      </c>
      <c r="AA50" s="5">
        <v>252</v>
      </c>
      <c r="AB50" s="5">
        <v>0</v>
      </c>
      <c r="AC50" s="5">
        <v>2722</v>
      </c>
      <c r="AD50" s="49"/>
    </row>
    <row r="51" spans="1:30">
      <c r="A51" s="23" t="s">
        <v>18</v>
      </c>
      <c r="B51" s="5">
        <v>2657</v>
      </c>
      <c r="C51" s="5">
        <v>833</v>
      </c>
      <c r="D51" s="5">
        <v>93</v>
      </c>
      <c r="E51" s="5">
        <v>149</v>
      </c>
      <c r="F51" s="5">
        <v>24</v>
      </c>
      <c r="G51" s="5">
        <v>64</v>
      </c>
      <c r="H51" s="5">
        <v>133</v>
      </c>
      <c r="I51" s="5">
        <v>73</v>
      </c>
      <c r="J51" s="5">
        <v>55</v>
      </c>
      <c r="K51" s="5">
        <v>176</v>
      </c>
      <c r="L51" s="5">
        <v>1005</v>
      </c>
      <c r="M51" s="5"/>
      <c r="N51" s="5">
        <v>5262</v>
      </c>
      <c r="O51" s="49"/>
      <c r="P51" s="23" t="s">
        <v>18</v>
      </c>
      <c r="Q51" s="5">
        <v>1435</v>
      </c>
      <c r="R51" s="5">
        <v>357</v>
      </c>
      <c r="S51" s="5">
        <v>164</v>
      </c>
      <c r="T51" s="5">
        <v>120</v>
      </c>
      <c r="U51" s="5">
        <v>63</v>
      </c>
      <c r="V51" s="5">
        <v>55</v>
      </c>
      <c r="W51" s="5">
        <v>52</v>
      </c>
      <c r="X51" s="5">
        <v>34</v>
      </c>
      <c r="Y51" s="5">
        <v>72</v>
      </c>
      <c r="Z51" s="5">
        <v>19</v>
      </c>
      <c r="AA51" s="5">
        <v>175</v>
      </c>
      <c r="AB51" s="5">
        <v>1</v>
      </c>
      <c r="AC51" s="5">
        <v>2547</v>
      </c>
      <c r="AD51" s="49"/>
    </row>
    <row r="52" spans="1:30">
      <c r="A52" s="23" t="s">
        <v>19</v>
      </c>
      <c r="B52" s="5">
        <v>9738</v>
      </c>
      <c r="C52" s="5">
        <v>4433</v>
      </c>
      <c r="D52" s="5">
        <v>692</v>
      </c>
      <c r="E52" s="5">
        <v>711</v>
      </c>
      <c r="F52" s="5">
        <v>289</v>
      </c>
      <c r="G52" s="5">
        <v>251</v>
      </c>
      <c r="H52" s="5">
        <v>147</v>
      </c>
      <c r="I52" s="5">
        <v>242</v>
      </c>
      <c r="J52" s="5">
        <v>227</v>
      </c>
      <c r="K52" s="5">
        <v>345</v>
      </c>
      <c r="L52" s="5">
        <v>5503</v>
      </c>
      <c r="M52" s="5"/>
      <c r="N52" s="5">
        <v>22578</v>
      </c>
      <c r="O52" s="49"/>
      <c r="P52" s="23" t="s">
        <v>19</v>
      </c>
      <c r="Q52" s="5">
        <v>6620</v>
      </c>
      <c r="R52" s="5">
        <v>1911</v>
      </c>
      <c r="S52" s="5">
        <v>533</v>
      </c>
      <c r="T52" s="5">
        <v>672</v>
      </c>
      <c r="U52" s="5">
        <v>227</v>
      </c>
      <c r="V52" s="5">
        <v>243</v>
      </c>
      <c r="W52" s="5">
        <v>169</v>
      </c>
      <c r="X52" s="5">
        <v>172</v>
      </c>
      <c r="Y52" s="5">
        <v>258</v>
      </c>
      <c r="Z52" s="5">
        <v>178</v>
      </c>
      <c r="AA52" s="5">
        <v>954</v>
      </c>
      <c r="AB52" s="5">
        <v>1</v>
      </c>
      <c r="AC52" s="5">
        <v>11938</v>
      </c>
      <c r="AD52" s="49"/>
    </row>
    <row r="53" spans="1:30">
      <c r="A53" s="23" t="s">
        <v>20</v>
      </c>
      <c r="B53" s="5">
        <v>66858</v>
      </c>
      <c r="C53" s="5">
        <v>20878</v>
      </c>
      <c r="D53" s="5">
        <v>1410</v>
      </c>
      <c r="E53" s="5">
        <v>3118</v>
      </c>
      <c r="F53" s="5">
        <v>464</v>
      </c>
      <c r="G53" s="5">
        <v>882</v>
      </c>
      <c r="H53" s="5">
        <v>172</v>
      </c>
      <c r="I53" s="5">
        <v>1575</v>
      </c>
      <c r="J53" s="5">
        <v>1209</v>
      </c>
      <c r="K53" s="5">
        <v>2687</v>
      </c>
      <c r="L53" s="5">
        <v>7121</v>
      </c>
      <c r="M53" s="5"/>
      <c r="N53" s="5">
        <v>106374</v>
      </c>
      <c r="O53" s="49"/>
      <c r="P53" s="23" t="s">
        <v>20</v>
      </c>
      <c r="Q53" s="5">
        <v>74978</v>
      </c>
      <c r="R53" s="5">
        <v>19843</v>
      </c>
      <c r="S53" s="5">
        <v>6007</v>
      </c>
      <c r="T53" s="5">
        <v>6347</v>
      </c>
      <c r="U53" s="5">
        <v>3016</v>
      </c>
      <c r="V53" s="5">
        <v>2313</v>
      </c>
      <c r="W53" s="5">
        <v>1514</v>
      </c>
      <c r="X53" s="5">
        <v>1540</v>
      </c>
      <c r="Y53" s="5">
        <v>1845</v>
      </c>
      <c r="Z53" s="5">
        <v>1596</v>
      </c>
      <c r="AA53" s="5">
        <v>9293</v>
      </c>
      <c r="AB53" s="5">
        <v>26</v>
      </c>
      <c r="AC53" s="5">
        <v>128318</v>
      </c>
      <c r="AD53" s="49"/>
    </row>
    <row r="54" spans="1:30">
      <c r="A54" s="23" t="s">
        <v>21</v>
      </c>
      <c r="B54" s="5">
        <v>10542</v>
      </c>
      <c r="C54" s="5">
        <v>3283</v>
      </c>
      <c r="D54" s="5">
        <v>514</v>
      </c>
      <c r="E54" s="5">
        <v>785</v>
      </c>
      <c r="F54" s="5">
        <v>373</v>
      </c>
      <c r="G54" s="5">
        <v>300</v>
      </c>
      <c r="H54" s="5">
        <v>246</v>
      </c>
      <c r="I54" s="5">
        <v>203</v>
      </c>
      <c r="J54" s="5">
        <v>269</v>
      </c>
      <c r="K54" s="5">
        <v>373</v>
      </c>
      <c r="L54" s="5">
        <v>1821</v>
      </c>
      <c r="M54" s="5"/>
      <c r="N54" s="5">
        <v>18709</v>
      </c>
      <c r="O54" s="49"/>
      <c r="P54" s="23" t="s">
        <v>21</v>
      </c>
      <c r="Q54" s="5">
        <v>5468</v>
      </c>
      <c r="R54" s="5">
        <v>1398</v>
      </c>
      <c r="S54" s="5">
        <v>254</v>
      </c>
      <c r="T54" s="5">
        <v>484</v>
      </c>
      <c r="U54" s="5">
        <v>121</v>
      </c>
      <c r="V54" s="5">
        <v>157</v>
      </c>
      <c r="W54" s="5">
        <v>168</v>
      </c>
      <c r="X54" s="5">
        <v>108</v>
      </c>
      <c r="Y54" s="5">
        <v>129</v>
      </c>
      <c r="Z54" s="5">
        <v>102</v>
      </c>
      <c r="AA54" s="5">
        <v>595</v>
      </c>
      <c r="AB54" s="5">
        <v>0</v>
      </c>
      <c r="AC54" s="5">
        <v>8984</v>
      </c>
      <c r="AD54" s="49"/>
    </row>
    <row r="55" spans="1:30">
      <c r="A55" s="23" t="s">
        <v>22</v>
      </c>
      <c r="B55" s="5">
        <v>4614</v>
      </c>
      <c r="C55" s="5">
        <v>1446</v>
      </c>
      <c r="D55" s="5">
        <v>191</v>
      </c>
      <c r="E55" s="5">
        <v>250</v>
      </c>
      <c r="F55" s="5">
        <v>49</v>
      </c>
      <c r="G55" s="5">
        <v>114</v>
      </c>
      <c r="H55" s="5">
        <v>81</v>
      </c>
      <c r="I55" s="5">
        <v>77</v>
      </c>
      <c r="J55" s="5">
        <v>96</v>
      </c>
      <c r="K55" s="5">
        <v>154</v>
      </c>
      <c r="L55" s="5">
        <v>2088</v>
      </c>
      <c r="M55" s="5"/>
      <c r="N55" s="5">
        <v>9160</v>
      </c>
      <c r="O55" s="49"/>
      <c r="P55" s="23" t="s">
        <v>22</v>
      </c>
      <c r="Q55" s="5">
        <v>3179</v>
      </c>
      <c r="R55" s="5">
        <v>779</v>
      </c>
      <c r="S55" s="5">
        <v>199</v>
      </c>
      <c r="T55" s="5">
        <v>290</v>
      </c>
      <c r="U55" s="5">
        <v>110</v>
      </c>
      <c r="V55" s="5">
        <v>112</v>
      </c>
      <c r="W55" s="5">
        <v>55</v>
      </c>
      <c r="X55" s="5">
        <v>38</v>
      </c>
      <c r="Y55" s="5">
        <v>112</v>
      </c>
      <c r="Z55" s="5">
        <v>55</v>
      </c>
      <c r="AA55" s="5">
        <v>349</v>
      </c>
      <c r="AB55" s="5">
        <v>4</v>
      </c>
      <c r="AC55" s="5">
        <v>5282</v>
      </c>
      <c r="AD55" s="49"/>
    </row>
    <row r="56" spans="1:30">
      <c r="A56" s="23" t="s">
        <v>367</v>
      </c>
      <c r="B56" s="5">
        <v>1520</v>
      </c>
      <c r="C56" s="5">
        <v>851</v>
      </c>
      <c r="D56" s="5">
        <v>383</v>
      </c>
      <c r="E56" s="5">
        <v>213</v>
      </c>
      <c r="F56" s="5">
        <v>49</v>
      </c>
      <c r="G56" s="5">
        <v>87</v>
      </c>
      <c r="H56" s="5">
        <v>35</v>
      </c>
      <c r="I56" s="5">
        <v>40</v>
      </c>
      <c r="J56" s="5">
        <v>51</v>
      </c>
      <c r="K56" s="5">
        <v>94</v>
      </c>
      <c r="L56" s="5">
        <v>1019</v>
      </c>
      <c r="M56" s="5"/>
      <c r="N56" s="5">
        <v>4342</v>
      </c>
      <c r="O56" s="49"/>
      <c r="P56" s="23" t="s">
        <v>367</v>
      </c>
      <c r="Q56" s="5">
        <v>1304</v>
      </c>
      <c r="R56" s="5">
        <v>333</v>
      </c>
      <c r="S56" s="5">
        <v>104</v>
      </c>
      <c r="T56" s="5">
        <v>117</v>
      </c>
      <c r="U56" s="5">
        <v>75</v>
      </c>
      <c r="V56" s="5">
        <v>51</v>
      </c>
      <c r="W56" s="5">
        <v>48</v>
      </c>
      <c r="X56" s="5">
        <v>22</v>
      </c>
      <c r="Y56" s="5">
        <v>43</v>
      </c>
      <c r="Z56" s="5">
        <v>29</v>
      </c>
      <c r="AA56" s="5">
        <v>265</v>
      </c>
      <c r="AB56" s="5">
        <v>1</v>
      </c>
      <c r="AC56" s="5">
        <v>2392</v>
      </c>
      <c r="AD56" s="49"/>
    </row>
    <row r="57" spans="1:30">
      <c r="A57" s="23" t="s">
        <v>23</v>
      </c>
      <c r="B57" s="5">
        <v>7294</v>
      </c>
      <c r="C57" s="5">
        <v>4926</v>
      </c>
      <c r="D57" s="5">
        <v>728</v>
      </c>
      <c r="E57" s="5">
        <v>862</v>
      </c>
      <c r="F57" s="5">
        <v>380</v>
      </c>
      <c r="G57" s="5">
        <v>328</v>
      </c>
      <c r="H57" s="5">
        <v>256</v>
      </c>
      <c r="I57" s="5">
        <v>231</v>
      </c>
      <c r="J57" s="5">
        <v>327</v>
      </c>
      <c r="K57" s="5">
        <v>450</v>
      </c>
      <c r="L57" s="5">
        <v>2928</v>
      </c>
      <c r="M57" s="5"/>
      <c r="N57" s="5">
        <v>18710</v>
      </c>
      <c r="O57" s="49"/>
      <c r="P57" s="23" t="s">
        <v>23</v>
      </c>
      <c r="Q57" s="5">
        <v>7470</v>
      </c>
      <c r="R57" s="5">
        <v>2647</v>
      </c>
      <c r="S57" s="5">
        <v>525</v>
      </c>
      <c r="T57" s="5">
        <v>720</v>
      </c>
      <c r="U57" s="5">
        <v>233</v>
      </c>
      <c r="V57" s="5">
        <v>269</v>
      </c>
      <c r="W57" s="5">
        <v>291</v>
      </c>
      <c r="X57" s="5">
        <v>204</v>
      </c>
      <c r="Y57" s="5">
        <v>339</v>
      </c>
      <c r="Z57" s="5">
        <v>184</v>
      </c>
      <c r="AA57" s="5">
        <v>1078</v>
      </c>
      <c r="AB57" s="5">
        <v>3</v>
      </c>
      <c r="AC57" s="5">
        <v>13963</v>
      </c>
      <c r="AD57" s="49"/>
    </row>
    <row r="58" spans="1:30">
      <c r="A58" s="23" t="s">
        <v>24</v>
      </c>
      <c r="B58" s="5">
        <v>5306</v>
      </c>
      <c r="C58" s="5">
        <v>1926</v>
      </c>
      <c r="D58" s="5">
        <v>579</v>
      </c>
      <c r="E58" s="5">
        <v>343</v>
      </c>
      <c r="F58" s="5">
        <v>158</v>
      </c>
      <c r="G58" s="5">
        <v>212</v>
      </c>
      <c r="H58" s="5">
        <v>150</v>
      </c>
      <c r="I58" s="5">
        <v>138</v>
      </c>
      <c r="J58" s="5">
        <v>120</v>
      </c>
      <c r="K58" s="5">
        <v>165</v>
      </c>
      <c r="L58" s="5">
        <v>992</v>
      </c>
      <c r="M58" s="5"/>
      <c r="N58" s="5">
        <v>10089</v>
      </c>
      <c r="O58" s="49"/>
      <c r="P58" s="23" t="s">
        <v>24</v>
      </c>
      <c r="Q58" s="5">
        <v>4103</v>
      </c>
      <c r="R58" s="5">
        <v>915</v>
      </c>
      <c r="S58" s="5">
        <v>327</v>
      </c>
      <c r="T58" s="5">
        <v>244</v>
      </c>
      <c r="U58" s="5">
        <v>132</v>
      </c>
      <c r="V58" s="5">
        <v>150</v>
      </c>
      <c r="W58" s="5">
        <v>61</v>
      </c>
      <c r="X58" s="5">
        <v>64</v>
      </c>
      <c r="Y58" s="5">
        <v>138</v>
      </c>
      <c r="Z58" s="5">
        <v>87</v>
      </c>
      <c r="AA58" s="5">
        <v>431</v>
      </c>
      <c r="AB58" s="5">
        <v>3</v>
      </c>
      <c r="AC58" s="5">
        <v>6655</v>
      </c>
      <c r="AD58" s="49"/>
    </row>
    <row r="59" spans="1:30">
      <c r="A59" s="23" t="s">
        <v>25</v>
      </c>
      <c r="B59" s="5">
        <v>1413</v>
      </c>
      <c r="C59" s="5">
        <v>779</v>
      </c>
      <c r="D59" s="5">
        <v>308</v>
      </c>
      <c r="E59" s="5">
        <v>167</v>
      </c>
      <c r="F59" s="5">
        <v>138</v>
      </c>
      <c r="G59" s="5">
        <v>185</v>
      </c>
      <c r="H59" s="5">
        <v>36</v>
      </c>
      <c r="I59" s="5">
        <v>85</v>
      </c>
      <c r="J59" s="5">
        <v>63</v>
      </c>
      <c r="K59" s="5">
        <v>47</v>
      </c>
      <c r="L59" s="5">
        <v>646</v>
      </c>
      <c r="M59" s="5"/>
      <c r="N59" s="5">
        <v>3867</v>
      </c>
      <c r="O59" s="49"/>
      <c r="P59" s="23" t="s">
        <v>25</v>
      </c>
      <c r="Q59" s="5">
        <v>960</v>
      </c>
      <c r="R59" s="5">
        <v>249</v>
      </c>
      <c r="S59" s="5">
        <v>91</v>
      </c>
      <c r="T59" s="5">
        <v>86</v>
      </c>
      <c r="U59" s="5">
        <v>39</v>
      </c>
      <c r="V59" s="5">
        <v>47</v>
      </c>
      <c r="W59" s="5">
        <v>7</v>
      </c>
      <c r="X59" s="5">
        <v>24</v>
      </c>
      <c r="Y59" s="5">
        <v>49</v>
      </c>
      <c r="Z59" s="5">
        <v>31</v>
      </c>
      <c r="AA59" s="5">
        <v>121</v>
      </c>
      <c r="AB59" s="5">
        <v>0</v>
      </c>
      <c r="AC59" s="5">
        <v>1704</v>
      </c>
      <c r="AD59" s="49"/>
    </row>
    <row r="60" spans="1:30">
      <c r="A60" s="23" t="s">
        <v>26</v>
      </c>
      <c r="B60" s="5">
        <v>2760</v>
      </c>
      <c r="C60" s="5">
        <v>1188</v>
      </c>
      <c r="D60" s="5">
        <v>598</v>
      </c>
      <c r="E60" s="5">
        <v>392</v>
      </c>
      <c r="F60" s="5">
        <v>333</v>
      </c>
      <c r="G60" s="5">
        <v>277</v>
      </c>
      <c r="H60" s="5">
        <v>65</v>
      </c>
      <c r="I60" s="5">
        <v>107</v>
      </c>
      <c r="J60" s="5">
        <v>106</v>
      </c>
      <c r="K60" s="5">
        <v>75</v>
      </c>
      <c r="L60" s="5">
        <v>2551</v>
      </c>
      <c r="M60" s="5"/>
      <c r="N60" s="5">
        <v>8452</v>
      </c>
      <c r="O60" s="49"/>
      <c r="P60" s="23" t="s">
        <v>26</v>
      </c>
      <c r="Q60" s="5">
        <v>3447</v>
      </c>
      <c r="R60" s="5">
        <v>819</v>
      </c>
      <c r="S60" s="5">
        <v>288</v>
      </c>
      <c r="T60" s="5">
        <v>379</v>
      </c>
      <c r="U60" s="5">
        <v>117</v>
      </c>
      <c r="V60" s="5">
        <v>119</v>
      </c>
      <c r="W60" s="5">
        <v>52</v>
      </c>
      <c r="X60" s="5">
        <v>73</v>
      </c>
      <c r="Y60" s="5">
        <v>131</v>
      </c>
      <c r="Z60" s="5">
        <v>84</v>
      </c>
      <c r="AA60" s="5">
        <v>391</v>
      </c>
      <c r="AB60" s="5">
        <v>0</v>
      </c>
      <c r="AC60" s="5">
        <v>5900</v>
      </c>
      <c r="AD60" s="49"/>
    </row>
    <row r="61" spans="1:30">
      <c r="A61" s="23" t="s">
        <v>27</v>
      </c>
      <c r="B61" s="5">
        <v>491</v>
      </c>
      <c r="C61" s="5">
        <v>218</v>
      </c>
      <c r="D61" s="5">
        <v>115</v>
      </c>
      <c r="E61" s="5">
        <v>89</v>
      </c>
      <c r="F61" s="5">
        <v>59</v>
      </c>
      <c r="G61" s="5">
        <v>42</v>
      </c>
      <c r="H61" s="5">
        <v>27</v>
      </c>
      <c r="I61" s="5">
        <v>35</v>
      </c>
      <c r="J61" s="5">
        <v>12</v>
      </c>
      <c r="K61" s="5">
        <v>39</v>
      </c>
      <c r="L61" s="5">
        <v>346</v>
      </c>
      <c r="M61" s="5"/>
      <c r="N61" s="5">
        <v>1473</v>
      </c>
      <c r="O61" s="49"/>
      <c r="P61" s="23" t="s">
        <v>27</v>
      </c>
      <c r="Q61" s="5">
        <v>363</v>
      </c>
      <c r="R61" s="5">
        <v>86</v>
      </c>
      <c r="S61" s="5">
        <v>25</v>
      </c>
      <c r="T61" s="5">
        <v>31</v>
      </c>
      <c r="U61" s="5">
        <v>8</v>
      </c>
      <c r="V61" s="5">
        <v>16</v>
      </c>
      <c r="W61" s="5">
        <v>4</v>
      </c>
      <c r="X61" s="5">
        <v>11</v>
      </c>
      <c r="Y61" s="5">
        <v>7</v>
      </c>
      <c r="Z61" s="5">
        <v>5</v>
      </c>
      <c r="AA61" s="5">
        <v>38</v>
      </c>
      <c r="AB61" s="5">
        <v>0</v>
      </c>
      <c r="AC61" s="5">
        <v>594</v>
      </c>
      <c r="AD61" s="49"/>
    </row>
    <row r="62" spans="1:30">
      <c r="A62" s="23" t="s">
        <v>28</v>
      </c>
      <c r="B62" s="5">
        <v>1212</v>
      </c>
      <c r="C62" s="5">
        <v>258</v>
      </c>
      <c r="D62" s="5">
        <v>39</v>
      </c>
      <c r="E62" s="5">
        <v>67</v>
      </c>
      <c r="F62" s="5">
        <v>24</v>
      </c>
      <c r="G62" s="5">
        <v>31</v>
      </c>
      <c r="H62" s="5">
        <v>16</v>
      </c>
      <c r="I62" s="5">
        <v>19</v>
      </c>
      <c r="J62" s="5">
        <v>30</v>
      </c>
      <c r="K62" s="5">
        <v>46</v>
      </c>
      <c r="L62" s="5">
        <v>473</v>
      </c>
      <c r="M62" s="5"/>
      <c r="N62" s="5">
        <v>2215</v>
      </c>
      <c r="O62" s="49"/>
      <c r="P62" s="23" t="s">
        <v>28</v>
      </c>
      <c r="Q62" s="5">
        <v>1403</v>
      </c>
      <c r="R62" s="5">
        <v>607</v>
      </c>
      <c r="S62" s="5">
        <v>115</v>
      </c>
      <c r="T62" s="5">
        <v>169</v>
      </c>
      <c r="U62" s="5">
        <v>71</v>
      </c>
      <c r="V62" s="5">
        <v>41</v>
      </c>
      <c r="W62" s="5">
        <v>17</v>
      </c>
      <c r="X62" s="5">
        <v>33</v>
      </c>
      <c r="Y62" s="5">
        <v>65</v>
      </c>
      <c r="Z62" s="5">
        <v>35</v>
      </c>
      <c r="AA62" s="5">
        <v>208</v>
      </c>
      <c r="AB62" s="5">
        <v>0</v>
      </c>
      <c r="AC62" s="5">
        <v>2764</v>
      </c>
      <c r="AD62" s="49"/>
    </row>
    <row r="63" spans="1:30">
      <c r="A63" s="23" t="s">
        <v>222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</v>
      </c>
      <c r="O63" s="49"/>
      <c r="P63" s="23" t="s">
        <v>222</v>
      </c>
      <c r="Q63" s="5">
        <v>719</v>
      </c>
      <c r="R63" s="5">
        <v>589</v>
      </c>
      <c r="S63" s="5">
        <v>1408</v>
      </c>
      <c r="T63" s="5">
        <v>368</v>
      </c>
      <c r="U63" s="5">
        <v>614</v>
      </c>
      <c r="V63" s="5">
        <v>266</v>
      </c>
      <c r="W63" s="5">
        <v>68</v>
      </c>
      <c r="X63" s="5">
        <v>167</v>
      </c>
      <c r="Y63" s="5">
        <v>100</v>
      </c>
      <c r="Z63" s="5">
        <v>61</v>
      </c>
      <c r="AA63" s="5">
        <v>585</v>
      </c>
      <c r="AB63" s="5">
        <v>2</v>
      </c>
      <c r="AC63" s="5">
        <v>4947</v>
      </c>
      <c r="AD63" s="49"/>
    </row>
    <row r="64" spans="1:30">
      <c r="A64" s="21" t="s">
        <v>46</v>
      </c>
      <c r="B64" s="11">
        <v>119896</v>
      </c>
      <c r="C64" s="11">
        <v>44234</v>
      </c>
      <c r="D64" s="11">
        <v>8534</v>
      </c>
      <c r="E64" s="11">
        <v>7883</v>
      </c>
      <c r="F64" s="11">
        <v>4863</v>
      </c>
      <c r="G64" s="11">
        <v>3206</v>
      </c>
      <c r="H64" s="11">
        <v>1566</v>
      </c>
      <c r="I64" s="11">
        <v>3109</v>
      </c>
      <c r="J64" s="11">
        <v>2750</v>
      </c>
      <c r="K64" s="11">
        <v>4986</v>
      </c>
      <c r="L64" s="11">
        <v>44898</v>
      </c>
      <c r="M64" s="11">
        <v>0</v>
      </c>
      <c r="N64" s="11">
        <v>245925</v>
      </c>
      <c r="O64" s="49"/>
      <c r="P64" s="21" t="s">
        <v>46</v>
      </c>
      <c r="Q64" s="38">
        <v>121565</v>
      </c>
      <c r="R64" s="38">
        <v>34361</v>
      </c>
      <c r="S64" s="38">
        <v>10829</v>
      </c>
      <c r="T64" s="38">
        <v>11187</v>
      </c>
      <c r="U64" s="38">
        <v>5161</v>
      </c>
      <c r="V64" s="38">
        <v>4292</v>
      </c>
      <c r="W64" s="38">
        <v>2772</v>
      </c>
      <c r="X64" s="38">
        <v>2741</v>
      </c>
      <c r="Y64" s="38">
        <v>3659</v>
      </c>
      <c r="Z64" s="38">
        <v>2834</v>
      </c>
      <c r="AA64" s="38">
        <v>15950</v>
      </c>
      <c r="AB64" s="38">
        <v>42</v>
      </c>
      <c r="AC64" s="38">
        <v>215393</v>
      </c>
      <c r="AD64" s="49"/>
    </row>
    <row r="65" spans="1:29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>
      <c r="Q66" s="6"/>
      <c r="R66" s="6"/>
      <c r="S66" s="6"/>
      <c r="T66" s="6"/>
    </row>
    <row r="67" spans="1:29">
      <c r="A67" s="7" t="s">
        <v>134</v>
      </c>
      <c r="Q67" s="6"/>
      <c r="R67" s="6"/>
      <c r="S67" s="6"/>
      <c r="T67" s="6"/>
    </row>
    <row r="68" spans="1:29">
      <c r="A68" s="7" t="s">
        <v>341</v>
      </c>
      <c r="P68" s="7"/>
      <c r="Q68" s="6"/>
      <c r="R68" s="6"/>
      <c r="S68" s="6"/>
      <c r="T68" s="6"/>
    </row>
    <row r="69" spans="1:29">
      <c r="A69" s="8" t="s">
        <v>148</v>
      </c>
      <c r="B69" s="8" t="s">
        <v>0</v>
      </c>
      <c r="C69" s="8" t="s">
        <v>1</v>
      </c>
      <c r="D69" s="8" t="s">
        <v>45</v>
      </c>
      <c r="P69" s="26"/>
      <c r="Q69" s="26"/>
      <c r="R69" s="26"/>
      <c r="S69" s="26"/>
      <c r="T69" s="6"/>
    </row>
    <row r="70" spans="1:29">
      <c r="A70" s="35" t="s">
        <v>9</v>
      </c>
      <c r="B70" s="4">
        <v>2471424</v>
      </c>
      <c r="C70" s="4">
        <v>2328359</v>
      </c>
      <c r="D70" s="4">
        <v>4799783</v>
      </c>
      <c r="P70" s="25"/>
      <c r="Q70" s="13"/>
      <c r="R70" s="13"/>
      <c r="S70" s="13"/>
      <c r="T70" s="6"/>
    </row>
    <row r="71" spans="1:29">
      <c r="A71" s="35" t="s">
        <v>10</v>
      </c>
      <c r="B71" s="5">
        <v>945991</v>
      </c>
      <c r="C71" s="5">
        <v>601083</v>
      </c>
      <c r="D71" s="5">
        <v>1547074</v>
      </c>
      <c r="P71" s="25"/>
      <c r="Q71" s="13"/>
      <c r="R71" s="13"/>
      <c r="S71" s="13"/>
      <c r="T71" s="6"/>
    </row>
    <row r="72" spans="1:29">
      <c r="A72" s="35" t="s">
        <v>11</v>
      </c>
      <c r="B72" s="5">
        <v>65477</v>
      </c>
      <c r="C72" s="5">
        <v>57254</v>
      </c>
      <c r="D72" s="5">
        <v>122731</v>
      </c>
      <c r="P72" s="25"/>
      <c r="Q72" s="13"/>
      <c r="R72" s="13"/>
      <c r="S72" s="13"/>
      <c r="T72" s="6"/>
    </row>
    <row r="73" spans="1:29">
      <c r="A73" s="35" t="s">
        <v>12</v>
      </c>
      <c r="B73" s="5">
        <v>163572</v>
      </c>
      <c r="C73" s="5">
        <v>204284</v>
      </c>
      <c r="D73" s="5">
        <v>367856</v>
      </c>
      <c r="P73" s="25"/>
      <c r="Q73" s="13"/>
      <c r="R73" s="13"/>
      <c r="S73" s="13"/>
      <c r="T73" s="6"/>
    </row>
    <row r="74" spans="1:29">
      <c r="A74" s="35" t="s">
        <v>13</v>
      </c>
      <c r="B74" s="5">
        <v>36319</v>
      </c>
      <c r="C74" s="5">
        <v>22607</v>
      </c>
      <c r="D74" s="5">
        <v>58926</v>
      </c>
      <c r="P74" s="25"/>
      <c r="Q74" s="13"/>
      <c r="R74" s="13"/>
      <c r="S74" s="13"/>
      <c r="T74" s="6"/>
    </row>
    <row r="75" spans="1:29">
      <c r="A75" s="35" t="s">
        <v>163</v>
      </c>
      <c r="B75" s="5">
        <v>40012</v>
      </c>
      <c r="C75" s="5">
        <v>37936</v>
      </c>
      <c r="D75" s="5">
        <v>77948</v>
      </c>
      <c r="P75" s="25"/>
      <c r="Q75" s="13"/>
      <c r="R75" s="13"/>
      <c r="S75" s="13"/>
      <c r="T75" s="6"/>
    </row>
    <row r="76" spans="1:29">
      <c r="A76" s="35" t="s">
        <v>164</v>
      </c>
      <c r="B76" s="5">
        <v>25100</v>
      </c>
      <c r="C76" s="5">
        <v>44242</v>
      </c>
      <c r="D76" s="5">
        <v>69342</v>
      </c>
      <c r="P76" s="25"/>
      <c r="Q76" s="13"/>
      <c r="R76" s="13"/>
      <c r="S76" s="13"/>
      <c r="T76" s="6"/>
    </row>
    <row r="77" spans="1:29">
      <c r="A77" s="35" t="s">
        <v>165</v>
      </c>
      <c r="B77" s="5">
        <v>62725</v>
      </c>
      <c r="C77" s="5">
        <v>34029</v>
      </c>
      <c r="D77" s="5">
        <v>96754</v>
      </c>
      <c r="P77" s="29"/>
      <c r="Q77" s="13"/>
      <c r="R77" s="13"/>
      <c r="S77" s="13"/>
      <c r="T77" s="6"/>
    </row>
    <row r="78" spans="1:29">
      <c r="A78" s="35" t="s">
        <v>166</v>
      </c>
      <c r="B78" s="5">
        <v>85541</v>
      </c>
      <c r="C78" s="5">
        <v>99584</v>
      </c>
      <c r="D78" s="5">
        <v>185125</v>
      </c>
      <c r="Q78" s="6"/>
      <c r="R78" s="6"/>
      <c r="S78" s="6"/>
      <c r="T78" s="6"/>
    </row>
    <row r="79" spans="1:29">
      <c r="A79" s="35" t="s">
        <v>203</v>
      </c>
      <c r="B79" s="5">
        <v>138021</v>
      </c>
      <c r="C79" s="5">
        <v>64207</v>
      </c>
      <c r="D79" s="5">
        <v>202228</v>
      </c>
      <c r="Q79" s="6"/>
      <c r="R79" s="6"/>
      <c r="S79" s="6"/>
      <c r="T79" s="6"/>
    </row>
    <row r="80" spans="1:29">
      <c r="A80" s="35" t="s">
        <v>31</v>
      </c>
      <c r="B80" s="5">
        <v>565874</v>
      </c>
      <c r="C80" s="5">
        <v>253093</v>
      </c>
      <c r="D80" s="5">
        <v>818967</v>
      </c>
      <c r="Q80" s="6"/>
      <c r="R80" s="6"/>
      <c r="S80" s="6"/>
      <c r="T80" s="6"/>
    </row>
    <row r="81" spans="1:30">
      <c r="A81" s="35" t="s">
        <v>222</v>
      </c>
      <c r="B81" s="5"/>
      <c r="C81" s="5">
        <v>600</v>
      </c>
      <c r="D81" s="5">
        <v>600</v>
      </c>
      <c r="Q81" s="6"/>
      <c r="R81" s="6"/>
      <c r="S81" s="6"/>
      <c r="T81" s="6"/>
    </row>
    <row r="82" spans="1:30">
      <c r="A82" s="21" t="s">
        <v>46</v>
      </c>
      <c r="B82" s="38">
        <v>4600056</v>
      </c>
      <c r="C82" s="38">
        <v>3747278</v>
      </c>
      <c r="D82" s="38">
        <v>8347334</v>
      </c>
      <c r="Q82" s="6"/>
      <c r="R82" s="6"/>
      <c r="S82" s="6"/>
      <c r="T82" s="6"/>
    </row>
    <row r="83" spans="1:30">
      <c r="B83" s="47"/>
      <c r="C83" s="47"/>
      <c r="D83" s="47"/>
      <c r="Q83" s="6"/>
      <c r="R83" s="6"/>
      <c r="S83" s="6"/>
      <c r="T83" s="6"/>
    </row>
    <row r="84" spans="1:30">
      <c r="Q84" s="6"/>
      <c r="R84" s="6"/>
      <c r="S84" s="6"/>
      <c r="T84" s="6"/>
    </row>
    <row r="85" spans="1:30">
      <c r="A85" s="7" t="s">
        <v>135</v>
      </c>
      <c r="P85" s="7" t="s">
        <v>138</v>
      </c>
      <c r="Q85" s="6"/>
      <c r="R85" s="6"/>
      <c r="S85" s="6"/>
      <c r="T85" s="6"/>
    </row>
    <row r="86" spans="1:30">
      <c r="A86" s="7" t="s">
        <v>342</v>
      </c>
      <c r="P86" s="7" t="s">
        <v>343</v>
      </c>
      <c r="Q86" s="6"/>
      <c r="R86" s="6"/>
      <c r="S86" s="6"/>
      <c r="T86" s="6"/>
    </row>
    <row r="87" spans="1:30" ht="38.25">
      <c r="A87" s="28" t="s">
        <v>50</v>
      </c>
      <c r="B87" s="28" t="s">
        <v>9</v>
      </c>
      <c r="C87" s="28" t="s">
        <v>10</v>
      </c>
      <c r="D87" s="28" t="s">
        <v>11</v>
      </c>
      <c r="E87" s="28" t="s">
        <v>12</v>
      </c>
      <c r="F87" s="28" t="s">
        <v>13</v>
      </c>
      <c r="G87" s="28" t="s">
        <v>163</v>
      </c>
      <c r="H87" s="28" t="s">
        <v>164</v>
      </c>
      <c r="I87" s="28" t="s">
        <v>165</v>
      </c>
      <c r="J87" s="28" t="s">
        <v>166</v>
      </c>
      <c r="K87" s="28" t="s">
        <v>203</v>
      </c>
      <c r="L87" s="28" t="s">
        <v>31</v>
      </c>
      <c r="M87" s="28" t="s">
        <v>222</v>
      </c>
      <c r="N87" s="28" t="s">
        <v>48</v>
      </c>
      <c r="P87" s="28" t="s">
        <v>50</v>
      </c>
      <c r="Q87" s="28" t="s">
        <v>9</v>
      </c>
      <c r="R87" s="28" t="s">
        <v>10</v>
      </c>
      <c r="S87" s="28" t="s">
        <v>11</v>
      </c>
      <c r="T87" s="28" t="s">
        <v>12</v>
      </c>
      <c r="U87" s="28" t="s">
        <v>13</v>
      </c>
      <c r="V87" s="28" t="s">
        <v>163</v>
      </c>
      <c r="W87" s="28" t="s">
        <v>164</v>
      </c>
      <c r="X87" s="28" t="s">
        <v>165</v>
      </c>
      <c r="Y87" s="28" t="s">
        <v>166</v>
      </c>
      <c r="Z87" s="28" t="s">
        <v>203</v>
      </c>
      <c r="AA87" s="28" t="s">
        <v>31</v>
      </c>
      <c r="AB87" s="28" t="s">
        <v>222</v>
      </c>
      <c r="AC87" s="28" t="s">
        <v>48</v>
      </c>
    </row>
    <row r="88" spans="1:30">
      <c r="A88" s="14" t="s">
        <v>5</v>
      </c>
      <c r="B88" s="4">
        <v>488424</v>
      </c>
      <c r="C88" s="4">
        <v>358818</v>
      </c>
      <c r="D88" s="15">
        <v>31524</v>
      </c>
      <c r="E88" s="15">
        <v>92681</v>
      </c>
      <c r="F88" s="15">
        <v>18965</v>
      </c>
      <c r="G88" s="15">
        <v>21917</v>
      </c>
      <c r="H88" s="15">
        <v>340</v>
      </c>
      <c r="I88" s="15">
        <v>30317</v>
      </c>
      <c r="J88" s="15">
        <v>44429</v>
      </c>
      <c r="K88" s="15">
        <v>95836</v>
      </c>
      <c r="L88" s="15">
        <v>286729</v>
      </c>
      <c r="M88" s="15">
        <v>0</v>
      </c>
      <c r="N88" s="15">
        <v>1469980</v>
      </c>
      <c r="O88" s="49"/>
      <c r="P88" s="14" t="s">
        <v>5</v>
      </c>
      <c r="Q88" s="4">
        <v>875504</v>
      </c>
      <c r="R88" s="4">
        <v>324601</v>
      </c>
      <c r="S88" s="15">
        <v>29316</v>
      </c>
      <c r="T88" s="15">
        <v>142080</v>
      </c>
      <c r="U88" s="15">
        <v>13373</v>
      </c>
      <c r="V88" s="15">
        <v>24062</v>
      </c>
      <c r="W88" s="15">
        <v>665</v>
      </c>
      <c r="X88" s="15">
        <v>18978</v>
      </c>
      <c r="Y88" s="15">
        <v>53760</v>
      </c>
      <c r="Z88" s="15">
        <v>42215</v>
      </c>
      <c r="AA88" s="15">
        <v>135401</v>
      </c>
      <c r="AB88" s="15">
        <v>256</v>
      </c>
      <c r="AC88" s="15">
        <v>1660211</v>
      </c>
      <c r="AD88" s="50"/>
    </row>
    <row r="89" spans="1:30">
      <c r="A89" s="17" t="s">
        <v>6</v>
      </c>
      <c r="B89" s="5">
        <v>1983000</v>
      </c>
      <c r="C89" s="5">
        <v>587173</v>
      </c>
      <c r="D89" s="10">
        <v>33953</v>
      </c>
      <c r="E89" s="10">
        <v>70891</v>
      </c>
      <c r="F89" s="10">
        <v>17354</v>
      </c>
      <c r="G89" s="10">
        <v>18095</v>
      </c>
      <c r="H89" s="10">
        <v>24760</v>
      </c>
      <c r="I89" s="10">
        <v>32408</v>
      </c>
      <c r="J89" s="10">
        <v>41112</v>
      </c>
      <c r="K89" s="10">
        <v>42185</v>
      </c>
      <c r="L89" s="10">
        <v>279145</v>
      </c>
      <c r="M89" s="10"/>
      <c r="N89" s="10">
        <v>3130076</v>
      </c>
      <c r="O89" s="49"/>
      <c r="P89" s="17" t="s">
        <v>6</v>
      </c>
      <c r="Q89" s="5">
        <v>1452855</v>
      </c>
      <c r="R89" s="5">
        <v>276482</v>
      </c>
      <c r="S89" s="10">
        <v>27938</v>
      </c>
      <c r="T89" s="10">
        <v>62204</v>
      </c>
      <c r="U89" s="10">
        <v>9234</v>
      </c>
      <c r="V89" s="10">
        <v>13874</v>
      </c>
      <c r="W89" s="10">
        <v>43577</v>
      </c>
      <c r="X89" s="10">
        <v>15051</v>
      </c>
      <c r="Y89" s="10">
        <v>45824</v>
      </c>
      <c r="Z89" s="10">
        <v>21992</v>
      </c>
      <c r="AA89" s="10">
        <v>117692</v>
      </c>
      <c r="AB89" s="10">
        <v>344</v>
      </c>
      <c r="AC89" s="10">
        <v>2087067</v>
      </c>
      <c r="AD89" s="49"/>
    </row>
    <row r="90" spans="1:30">
      <c r="A90" s="17" t="s">
        <v>222</v>
      </c>
      <c r="B90" s="5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>
        <v>0</v>
      </c>
      <c r="O90" s="49"/>
      <c r="P90" s="17" t="s">
        <v>222</v>
      </c>
      <c r="Q90" s="5"/>
      <c r="R90" s="5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>
        <v>0</v>
      </c>
      <c r="AD90" s="49"/>
    </row>
    <row r="91" spans="1:30">
      <c r="A91" s="21" t="s">
        <v>46</v>
      </c>
      <c r="B91" s="11">
        <v>2471424</v>
      </c>
      <c r="C91" s="11">
        <v>945991</v>
      </c>
      <c r="D91" s="11">
        <v>65477</v>
      </c>
      <c r="E91" s="11">
        <v>163572</v>
      </c>
      <c r="F91" s="11">
        <v>36319</v>
      </c>
      <c r="G91" s="11">
        <v>40012</v>
      </c>
      <c r="H91" s="11">
        <v>25100</v>
      </c>
      <c r="I91" s="11">
        <v>62725</v>
      </c>
      <c r="J91" s="11">
        <v>85541</v>
      </c>
      <c r="K91" s="11">
        <v>138021</v>
      </c>
      <c r="L91" s="11">
        <v>565874</v>
      </c>
      <c r="M91" s="11">
        <v>0</v>
      </c>
      <c r="N91" s="18">
        <v>4600056</v>
      </c>
      <c r="O91" s="49"/>
      <c r="P91" s="21" t="s">
        <v>46</v>
      </c>
      <c r="Q91" s="38">
        <v>2328359</v>
      </c>
      <c r="R91" s="38">
        <v>601083</v>
      </c>
      <c r="S91" s="38">
        <v>57254</v>
      </c>
      <c r="T91" s="38">
        <v>204284</v>
      </c>
      <c r="U91" s="38">
        <v>22607</v>
      </c>
      <c r="V91" s="38">
        <v>37936</v>
      </c>
      <c r="W91" s="38">
        <v>44242</v>
      </c>
      <c r="X91" s="38">
        <v>34029</v>
      </c>
      <c r="Y91" s="38">
        <v>99584</v>
      </c>
      <c r="Z91" s="38">
        <v>64207</v>
      </c>
      <c r="AA91" s="38">
        <v>253093</v>
      </c>
      <c r="AB91" s="38">
        <v>600</v>
      </c>
      <c r="AC91" s="52">
        <v>3747278</v>
      </c>
      <c r="AD91" s="49"/>
    </row>
    <row r="92" spans="1:30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30">
      <c r="Q93" s="6"/>
      <c r="R93" s="6"/>
      <c r="S93" s="6"/>
      <c r="T93" s="6"/>
    </row>
    <row r="94" spans="1:30">
      <c r="A94" s="7" t="s">
        <v>136</v>
      </c>
      <c r="P94" s="7" t="s">
        <v>139</v>
      </c>
      <c r="Q94" s="6"/>
      <c r="R94" s="6"/>
      <c r="S94" s="6"/>
      <c r="T94" s="6"/>
    </row>
    <row r="95" spans="1:30">
      <c r="A95" s="7" t="s">
        <v>344</v>
      </c>
      <c r="P95" s="7" t="s">
        <v>345</v>
      </c>
      <c r="Q95" s="6"/>
      <c r="R95" s="6"/>
      <c r="S95" s="6"/>
      <c r="T95" s="6"/>
    </row>
    <row r="96" spans="1:30" ht="38.25">
      <c r="A96" s="16" t="s">
        <v>51</v>
      </c>
      <c r="B96" s="28" t="s">
        <v>9</v>
      </c>
      <c r="C96" s="28" t="s">
        <v>10</v>
      </c>
      <c r="D96" s="28" t="s">
        <v>11</v>
      </c>
      <c r="E96" s="28" t="s">
        <v>12</v>
      </c>
      <c r="F96" s="28" t="s">
        <v>13</v>
      </c>
      <c r="G96" s="28" t="s">
        <v>163</v>
      </c>
      <c r="H96" s="28" t="s">
        <v>164</v>
      </c>
      <c r="I96" s="28" t="s">
        <v>165</v>
      </c>
      <c r="J96" s="28" t="s">
        <v>166</v>
      </c>
      <c r="K96" s="28" t="s">
        <v>203</v>
      </c>
      <c r="L96" s="28" t="s">
        <v>31</v>
      </c>
      <c r="M96" s="28" t="s">
        <v>222</v>
      </c>
      <c r="N96" s="28" t="s">
        <v>48</v>
      </c>
      <c r="P96" s="16" t="s">
        <v>51</v>
      </c>
      <c r="Q96" s="28" t="s">
        <v>9</v>
      </c>
      <c r="R96" s="28" t="s">
        <v>10</v>
      </c>
      <c r="S96" s="28" t="s">
        <v>11</v>
      </c>
      <c r="T96" s="28" t="s">
        <v>12</v>
      </c>
      <c r="U96" s="28" t="s">
        <v>13</v>
      </c>
      <c r="V96" s="28" t="s">
        <v>163</v>
      </c>
      <c r="W96" s="28" t="s">
        <v>164</v>
      </c>
      <c r="X96" s="28" t="s">
        <v>165</v>
      </c>
      <c r="Y96" s="28" t="s">
        <v>166</v>
      </c>
      <c r="Z96" s="28" t="s">
        <v>203</v>
      </c>
      <c r="AA96" s="28" t="s">
        <v>31</v>
      </c>
      <c r="AB96" s="28" t="s">
        <v>222</v>
      </c>
      <c r="AC96" s="28" t="s">
        <v>48</v>
      </c>
    </row>
    <row r="97" spans="1:30">
      <c r="A97" s="14" t="s">
        <v>40</v>
      </c>
      <c r="B97" s="4">
        <v>2284</v>
      </c>
      <c r="C97" s="4">
        <v>1548</v>
      </c>
      <c r="D97" s="4">
        <v>867</v>
      </c>
      <c r="E97" s="4">
        <v>1316</v>
      </c>
      <c r="F97" s="4">
        <v>753</v>
      </c>
      <c r="G97" s="4">
        <v>195</v>
      </c>
      <c r="H97" s="4">
        <v>555</v>
      </c>
      <c r="I97" s="4">
        <v>128</v>
      </c>
      <c r="J97" s="4"/>
      <c r="K97" s="4">
        <v>18</v>
      </c>
      <c r="L97" s="4">
        <v>9472</v>
      </c>
      <c r="M97" s="4"/>
      <c r="N97" s="4">
        <v>17136</v>
      </c>
      <c r="O97" s="50"/>
      <c r="P97" s="14" t="s">
        <v>40</v>
      </c>
      <c r="Q97" s="4">
        <v>560</v>
      </c>
      <c r="R97" s="4">
        <v>172</v>
      </c>
      <c r="S97" s="4">
        <v>69</v>
      </c>
      <c r="T97" s="4">
        <v>200</v>
      </c>
      <c r="U97" s="4">
        <v>34</v>
      </c>
      <c r="V97" s="4">
        <v>41</v>
      </c>
      <c r="W97" s="4">
        <v>10</v>
      </c>
      <c r="X97" s="4">
        <v>40</v>
      </c>
      <c r="Y97" s="4"/>
      <c r="Z97" s="4">
        <v>23</v>
      </c>
      <c r="AA97" s="4">
        <v>223</v>
      </c>
      <c r="AB97" s="4"/>
      <c r="AC97" s="4">
        <v>1372</v>
      </c>
      <c r="AD97" s="50"/>
    </row>
    <row r="98" spans="1:30">
      <c r="A98" s="17" t="s">
        <v>2</v>
      </c>
      <c r="B98" s="5">
        <v>126159</v>
      </c>
      <c r="C98" s="5">
        <v>21235</v>
      </c>
      <c r="D98" s="5">
        <v>5521</v>
      </c>
      <c r="E98" s="5">
        <v>10866</v>
      </c>
      <c r="F98" s="5">
        <v>4608</v>
      </c>
      <c r="G98" s="5">
        <v>2450</v>
      </c>
      <c r="H98" s="5">
        <v>4397</v>
      </c>
      <c r="I98" s="5">
        <v>2437</v>
      </c>
      <c r="J98" s="5">
        <v>1115</v>
      </c>
      <c r="K98" s="5">
        <v>1163</v>
      </c>
      <c r="L98" s="5">
        <v>51277</v>
      </c>
      <c r="M98" s="5"/>
      <c r="N98" s="5">
        <v>231228</v>
      </c>
      <c r="O98" s="49"/>
      <c r="P98" s="17" t="s">
        <v>2</v>
      </c>
      <c r="Q98" s="5">
        <v>45788</v>
      </c>
      <c r="R98" s="5">
        <v>13899</v>
      </c>
      <c r="S98" s="5">
        <v>1904</v>
      </c>
      <c r="T98" s="5">
        <v>8945</v>
      </c>
      <c r="U98" s="5">
        <v>1264</v>
      </c>
      <c r="V98" s="5">
        <v>1165</v>
      </c>
      <c r="W98" s="5">
        <v>1040</v>
      </c>
      <c r="X98" s="5">
        <v>490</v>
      </c>
      <c r="Y98" s="5">
        <v>283</v>
      </c>
      <c r="Z98" s="5">
        <v>362</v>
      </c>
      <c r="AA98" s="5">
        <v>5011</v>
      </c>
      <c r="AB98" s="5"/>
      <c r="AC98" s="5">
        <v>80151</v>
      </c>
      <c r="AD98" s="49"/>
    </row>
    <row r="99" spans="1:30">
      <c r="A99" s="17" t="s">
        <v>41</v>
      </c>
      <c r="B99" s="5">
        <v>906825</v>
      </c>
      <c r="C99" s="5">
        <v>106129</v>
      </c>
      <c r="D99" s="5">
        <v>18077</v>
      </c>
      <c r="E99" s="5">
        <v>31713</v>
      </c>
      <c r="F99" s="5">
        <v>12981</v>
      </c>
      <c r="G99" s="5">
        <v>7834</v>
      </c>
      <c r="H99" s="5">
        <v>14440</v>
      </c>
      <c r="I99" s="5">
        <v>12055</v>
      </c>
      <c r="J99" s="5">
        <v>4755</v>
      </c>
      <c r="K99" s="5">
        <v>6761</v>
      </c>
      <c r="L99" s="5">
        <v>135974</v>
      </c>
      <c r="M99" s="5"/>
      <c r="N99" s="5">
        <v>1257544</v>
      </c>
      <c r="O99" s="49"/>
      <c r="P99" s="17" t="s">
        <v>41</v>
      </c>
      <c r="Q99" s="5">
        <v>787391</v>
      </c>
      <c r="R99" s="5">
        <v>119162</v>
      </c>
      <c r="S99" s="5">
        <v>18350</v>
      </c>
      <c r="T99" s="5">
        <v>54610</v>
      </c>
      <c r="U99" s="5">
        <v>8620</v>
      </c>
      <c r="V99" s="5">
        <v>8206</v>
      </c>
      <c r="W99" s="5">
        <v>23485</v>
      </c>
      <c r="X99" s="5">
        <v>6638</v>
      </c>
      <c r="Y99" s="5">
        <v>6949</v>
      </c>
      <c r="Z99" s="5">
        <v>5037</v>
      </c>
      <c r="AA99" s="5">
        <v>53759</v>
      </c>
      <c r="AB99" s="5">
        <v>139</v>
      </c>
      <c r="AC99" s="5">
        <v>1092346</v>
      </c>
      <c r="AD99" s="49"/>
    </row>
    <row r="100" spans="1:30">
      <c r="A100" s="17" t="s">
        <v>42</v>
      </c>
      <c r="B100" s="5">
        <v>682164</v>
      </c>
      <c r="C100" s="5">
        <v>172311</v>
      </c>
      <c r="D100" s="5">
        <v>11103</v>
      </c>
      <c r="E100" s="5">
        <v>30123</v>
      </c>
      <c r="F100" s="5">
        <v>7849</v>
      </c>
      <c r="G100" s="5">
        <v>7211</v>
      </c>
      <c r="H100" s="5">
        <v>5457</v>
      </c>
      <c r="I100" s="5">
        <v>10274</v>
      </c>
      <c r="J100" s="5">
        <v>10143</v>
      </c>
      <c r="K100" s="5">
        <v>13657</v>
      </c>
      <c r="L100" s="5">
        <v>113784</v>
      </c>
      <c r="M100" s="5"/>
      <c r="N100" s="5">
        <v>1064076</v>
      </c>
      <c r="O100" s="49"/>
      <c r="P100" s="17" t="s">
        <v>42</v>
      </c>
      <c r="Q100" s="5">
        <v>790090</v>
      </c>
      <c r="R100" s="5">
        <v>152686</v>
      </c>
      <c r="S100" s="5">
        <v>14490</v>
      </c>
      <c r="T100" s="5">
        <v>51228</v>
      </c>
      <c r="U100" s="5">
        <v>5628</v>
      </c>
      <c r="V100" s="5">
        <v>10111</v>
      </c>
      <c r="W100" s="5">
        <v>19248</v>
      </c>
      <c r="X100" s="5">
        <v>9744</v>
      </c>
      <c r="Y100" s="5">
        <v>17475</v>
      </c>
      <c r="Z100" s="5">
        <v>11954</v>
      </c>
      <c r="AA100" s="5">
        <v>65686</v>
      </c>
      <c r="AB100" s="5">
        <v>300</v>
      </c>
      <c r="AC100" s="5">
        <v>1148640</v>
      </c>
      <c r="AD100" s="49"/>
    </row>
    <row r="101" spans="1:30">
      <c r="A101" s="17" t="s">
        <v>43</v>
      </c>
      <c r="B101" s="5">
        <v>360453</v>
      </c>
      <c r="C101" s="5">
        <v>242077</v>
      </c>
      <c r="D101" s="5">
        <v>8407</v>
      </c>
      <c r="E101" s="5">
        <v>36039</v>
      </c>
      <c r="F101" s="5">
        <v>4626</v>
      </c>
      <c r="G101" s="5">
        <v>8795</v>
      </c>
      <c r="H101" s="5">
        <v>169</v>
      </c>
      <c r="I101" s="5">
        <v>13760</v>
      </c>
      <c r="J101" s="5">
        <v>21086</v>
      </c>
      <c r="K101" s="5">
        <v>22725</v>
      </c>
      <c r="L101" s="5">
        <v>107284</v>
      </c>
      <c r="M101" s="5"/>
      <c r="N101" s="5">
        <v>825421</v>
      </c>
      <c r="O101" s="49"/>
      <c r="P101" s="17" t="s">
        <v>43</v>
      </c>
      <c r="Q101" s="5">
        <v>367433</v>
      </c>
      <c r="R101" s="5">
        <v>148313</v>
      </c>
      <c r="S101" s="5">
        <v>8643</v>
      </c>
      <c r="T101" s="5">
        <v>45638</v>
      </c>
      <c r="U101" s="5">
        <v>3540</v>
      </c>
      <c r="V101" s="5">
        <v>8883</v>
      </c>
      <c r="W101" s="5">
        <v>459</v>
      </c>
      <c r="X101" s="5">
        <v>6894</v>
      </c>
      <c r="Y101" s="5">
        <v>24886</v>
      </c>
      <c r="Z101" s="5">
        <v>15205</v>
      </c>
      <c r="AA101" s="5">
        <v>57219</v>
      </c>
      <c r="AB101" s="5">
        <v>45</v>
      </c>
      <c r="AC101" s="5">
        <v>687158</v>
      </c>
      <c r="AD101" s="49"/>
    </row>
    <row r="102" spans="1:30">
      <c r="A102" s="17" t="s">
        <v>44</v>
      </c>
      <c r="B102" s="5">
        <v>306808</v>
      </c>
      <c r="C102" s="5">
        <v>291998</v>
      </c>
      <c r="D102" s="5">
        <v>11983</v>
      </c>
      <c r="E102" s="5">
        <v>37584</v>
      </c>
      <c r="F102" s="5">
        <v>4419</v>
      </c>
      <c r="G102" s="5">
        <v>9020</v>
      </c>
      <c r="H102" s="5">
        <v>47</v>
      </c>
      <c r="I102" s="5">
        <v>12382</v>
      </c>
      <c r="J102" s="5">
        <v>27211</v>
      </c>
      <c r="K102" s="5">
        <v>48431</v>
      </c>
      <c r="L102" s="5">
        <v>101827</v>
      </c>
      <c r="M102" s="5"/>
      <c r="N102" s="5">
        <v>851710</v>
      </c>
      <c r="O102" s="49"/>
      <c r="P102" s="17" t="s">
        <v>44</v>
      </c>
      <c r="Q102" s="5">
        <v>278274</v>
      </c>
      <c r="R102" s="5">
        <v>141501</v>
      </c>
      <c r="S102" s="5">
        <v>8642</v>
      </c>
      <c r="T102" s="5">
        <v>34477</v>
      </c>
      <c r="U102" s="5">
        <v>2626</v>
      </c>
      <c r="V102" s="5">
        <v>6807</v>
      </c>
      <c r="W102" s="5"/>
      <c r="X102" s="5">
        <v>6531</v>
      </c>
      <c r="Y102" s="5">
        <v>30948</v>
      </c>
      <c r="Z102" s="5">
        <v>22203</v>
      </c>
      <c r="AA102" s="5">
        <v>55128</v>
      </c>
      <c r="AB102" s="5">
        <v>80</v>
      </c>
      <c r="AC102" s="5">
        <v>587217</v>
      </c>
      <c r="AD102" s="49"/>
    </row>
    <row r="103" spans="1:30">
      <c r="A103" s="17" t="s">
        <v>3</v>
      </c>
      <c r="B103" s="5">
        <v>86731</v>
      </c>
      <c r="C103" s="5">
        <v>110693</v>
      </c>
      <c r="D103" s="5">
        <v>9519</v>
      </c>
      <c r="E103" s="5">
        <v>15931</v>
      </c>
      <c r="F103" s="5">
        <v>1083</v>
      </c>
      <c r="G103" s="5">
        <v>4507</v>
      </c>
      <c r="H103" s="5">
        <v>35</v>
      </c>
      <c r="I103" s="5">
        <v>11689</v>
      </c>
      <c r="J103" s="5">
        <v>21231</v>
      </c>
      <c r="K103" s="5">
        <v>45266</v>
      </c>
      <c r="L103" s="5">
        <v>46256</v>
      </c>
      <c r="M103" s="5"/>
      <c r="N103" s="5">
        <v>352941</v>
      </c>
      <c r="O103" s="49"/>
      <c r="P103" s="17" t="s">
        <v>3</v>
      </c>
      <c r="Q103" s="5">
        <v>58823</v>
      </c>
      <c r="R103" s="5">
        <v>25350</v>
      </c>
      <c r="S103" s="5">
        <v>5156</v>
      </c>
      <c r="T103" s="5">
        <v>9186</v>
      </c>
      <c r="U103" s="5">
        <v>895</v>
      </c>
      <c r="V103" s="5">
        <v>2722</v>
      </c>
      <c r="W103" s="5"/>
      <c r="X103" s="5">
        <v>3692</v>
      </c>
      <c r="Y103" s="5">
        <v>19043</v>
      </c>
      <c r="Z103" s="5">
        <v>9423</v>
      </c>
      <c r="AA103" s="5">
        <v>16067</v>
      </c>
      <c r="AB103" s="5">
        <v>36</v>
      </c>
      <c r="AC103" s="5">
        <v>150393</v>
      </c>
      <c r="AD103" s="49"/>
    </row>
    <row r="104" spans="1:30">
      <c r="A104" s="17" t="s">
        <v>222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v>0</v>
      </c>
      <c r="O104" s="49"/>
      <c r="P104" s="17" t="s">
        <v>222</v>
      </c>
      <c r="Q104" s="5"/>
      <c r="R104" s="5"/>
      <c r="S104" s="5"/>
      <c r="T104" s="5"/>
      <c r="U104" s="5"/>
      <c r="V104" s="5">
        <v>1</v>
      </c>
      <c r="W104" s="5"/>
      <c r="X104" s="5"/>
      <c r="Y104" s="5"/>
      <c r="Z104" s="5"/>
      <c r="AA104" s="5">
        <v>0</v>
      </c>
      <c r="AB104" s="5"/>
      <c r="AC104" s="5">
        <v>1</v>
      </c>
      <c r="AD104" s="49"/>
    </row>
    <row r="105" spans="1:30">
      <c r="A105" s="21" t="s">
        <v>46</v>
      </c>
      <c r="B105" s="11">
        <v>2471424</v>
      </c>
      <c r="C105" s="11">
        <v>945991</v>
      </c>
      <c r="D105" s="11">
        <v>65477</v>
      </c>
      <c r="E105" s="11">
        <v>163572</v>
      </c>
      <c r="F105" s="11">
        <v>36319</v>
      </c>
      <c r="G105" s="11">
        <v>40012</v>
      </c>
      <c r="H105" s="11">
        <v>25100</v>
      </c>
      <c r="I105" s="11">
        <v>62725</v>
      </c>
      <c r="J105" s="11">
        <v>85541</v>
      </c>
      <c r="K105" s="11">
        <v>138021</v>
      </c>
      <c r="L105" s="11">
        <v>565874</v>
      </c>
      <c r="M105" s="11">
        <v>0</v>
      </c>
      <c r="N105" s="11">
        <v>4600056</v>
      </c>
      <c r="O105" s="49"/>
      <c r="P105" s="21" t="s">
        <v>46</v>
      </c>
      <c r="Q105" s="38">
        <v>2328359</v>
      </c>
      <c r="R105" s="38">
        <v>601083</v>
      </c>
      <c r="S105" s="38">
        <v>57254</v>
      </c>
      <c r="T105" s="38">
        <v>204284</v>
      </c>
      <c r="U105" s="38">
        <v>22607</v>
      </c>
      <c r="V105" s="38">
        <v>37936</v>
      </c>
      <c r="W105" s="38">
        <v>44242</v>
      </c>
      <c r="X105" s="38">
        <v>34029</v>
      </c>
      <c r="Y105" s="38">
        <v>99584</v>
      </c>
      <c r="Z105" s="38">
        <v>64207</v>
      </c>
      <c r="AA105" s="38">
        <v>253093</v>
      </c>
      <c r="AB105" s="38">
        <v>600</v>
      </c>
      <c r="AC105" s="38">
        <v>3747278</v>
      </c>
      <c r="AD105" s="49"/>
    </row>
    <row r="106" spans="1:30"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30">
      <c r="Q107" s="6"/>
      <c r="R107" s="6"/>
      <c r="S107" s="6"/>
      <c r="T107" s="6"/>
    </row>
    <row r="108" spans="1:30">
      <c r="A108" s="7" t="s">
        <v>137</v>
      </c>
      <c r="P108" s="7" t="s">
        <v>140</v>
      </c>
      <c r="Q108" s="6"/>
      <c r="R108" s="6"/>
      <c r="S108" s="6"/>
      <c r="T108" s="6"/>
    </row>
    <row r="109" spans="1:30">
      <c r="A109" s="7" t="s">
        <v>346</v>
      </c>
      <c r="P109" s="7" t="s">
        <v>347</v>
      </c>
      <c r="Q109" s="6"/>
      <c r="R109" s="6"/>
      <c r="S109" s="6"/>
      <c r="T109" s="6"/>
    </row>
    <row r="110" spans="1:30" ht="38.25">
      <c r="A110" s="16" t="s">
        <v>149</v>
      </c>
      <c r="B110" s="28" t="s">
        <v>9</v>
      </c>
      <c r="C110" s="28" t="s">
        <v>10</v>
      </c>
      <c r="D110" s="28" t="s">
        <v>11</v>
      </c>
      <c r="E110" s="28" t="s">
        <v>12</v>
      </c>
      <c r="F110" s="28" t="s">
        <v>13</v>
      </c>
      <c r="G110" s="28" t="s">
        <v>163</v>
      </c>
      <c r="H110" s="28" t="s">
        <v>164</v>
      </c>
      <c r="I110" s="28" t="s">
        <v>165</v>
      </c>
      <c r="J110" s="28" t="s">
        <v>166</v>
      </c>
      <c r="K110" s="28" t="s">
        <v>203</v>
      </c>
      <c r="L110" s="28" t="s">
        <v>31</v>
      </c>
      <c r="M110" s="28" t="s">
        <v>222</v>
      </c>
      <c r="N110" s="28" t="s">
        <v>48</v>
      </c>
      <c r="P110" s="16" t="s">
        <v>149</v>
      </c>
      <c r="Q110" s="28" t="s">
        <v>9</v>
      </c>
      <c r="R110" s="28" t="s">
        <v>10</v>
      </c>
      <c r="S110" s="28" t="s">
        <v>11</v>
      </c>
      <c r="T110" s="28" t="s">
        <v>12</v>
      </c>
      <c r="U110" s="28" t="s">
        <v>13</v>
      </c>
      <c r="V110" s="28" t="s">
        <v>163</v>
      </c>
      <c r="W110" s="28" t="s">
        <v>164</v>
      </c>
      <c r="X110" s="28" t="s">
        <v>165</v>
      </c>
      <c r="Y110" s="28" t="s">
        <v>166</v>
      </c>
      <c r="Z110" s="28" t="s">
        <v>204</v>
      </c>
      <c r="AA110" s="28" t="s">
        <v>31</v>
      </c>
      <c r="AB110" s="28" t="s">
        <v>222</v>
      </c>
      <c r="AC110" s="28" t="s">
        <v>48</v>
      </c>
    </row>
    <row r="111" spans="1:30">
      <c r="A111" s="22" t="s">
        <v>14</v>
      </c>
      <c r="B111" s="4">
        <v>6160</v>
      </c>
      <c r="C111" s="4">
        <v>1513</v>
      </c>
      <c r="D111" s="4">
        <v>513</v>
      </c>
      <c r="E111" s="4">
        <v>434</v>
      </c>
      <c r="F111" s="4">
        <v>450</v>
      </c>
      <c r="G111" s="4">
        <v>511</v>
      </c>
      <c r="H111" s="4">
        <v>295</v>
      </c>
      <c r="I111" s="4">
        <v>415</v>
      </c>
      <c r="J111" s="4">
        <v>220</v>
      </c>
      <c r="K111" s="4">
        <v>600</v>
      </c>
      <c r="L111" s="4">
        <v>760</v>
      </c>
      <c r="M111" s="4"/>
      <c r="N111" s="4">
        <v>11871</v>
      </c>
      <c r="O111" s="50"/>
      <c r="P111" s="22" t="s">
        <v>14</v>
      </c>
      <c r="Q111" s="4">
        <v>5091</v>
      </c>
      <c r="R111" s="4">
        <v>1484</v>
      </c>
      <c r="S111" s="4">
        <v>345</v>
      </c>
      <c r="T111" s="4">
        <v>746</v>
      </c>
      <c r="U111" s="4">
        <v>137</v>
      </c>
      <c r="V111" s="4">
        <v>361</v>
      </c>
      <c r="W111" s="4">
        <v>337</v>
      </c>
      <c r="X111" s="4">
        <v>183</v>
      </c>
      <c r="Y111" s="4">
        <v>524</v>
      </c>
      <c r="Z111" s="4">
        <v>375</v>
      </c>
      <c r="AA111" s="4">
        <v>1226</v>
      </c>
      <c r="AB111" s="4">
        <v>0</v>
      </c>
      <c r="AC111" s="4">
        <v>10809</v>
      </c>
      <c r="AD111" s="50"/>
    </row>
    <row r="112" spans="1:30">
      <c r="A112" s="23" t="s">
        <v>15</v>
      </c>
      <c r="B112" s="5">
        <v>32593</v>
      </c>
      <c r="C112" s="5">
        <v>13806</v>
      </c>
      <c r="D112" s="5">
        <v>785</v>
      </c>
      <c r="E112" s="5">
        <v>2242</v>
      </c>
      <c r="F112" s="5">
        <v>18756</v>
      </c>
      <c r="G112" s="5">
        <v>640</v>
      </c>
      <c r="H112" s="5">
        <v>385</v>
      </c>
      <c r="I112" s="5">
        <v>1042</v>
      </c>
      <c r="J112" s="5">
        <v>1399</v>
      </c>
      <c r="K112" s="5">
        <v>1955</v>
      </c>
      <c r="L112" s="5">
        <v>5016</v>
      </c>
      <c r="M112" s="5"/>
      <c r="N112" s="5">
        <v>78619</v>
      </c>
      <c r="O112" s="49"/>
      <c r="P112" s="23" t="s">
        <v>15</v>
      </c>
      <c r="Q112" s="5">
        <v>41583</v>
      </c>
      <c r="R112" s="5">
        <v>12135</v>
      </c>
      <c r="S112" s="5">
        <v>1119</v>
      </c>
      <c r="T112" s="5">
        <v>5432</v>
      </c>
      <c r="U112" s="5">
        <v>467</v>
      </c>
      <c r="V112" s="5">
        <v>558</v>
      </c>
      <c r="W112" s="5">
        <v>668</v>
      </c>
      <c r="X112" s="5">
        <v>525</v>
      </c>
      <c r="Y112" s="5">
        <v>2197</v>
      </c>
      <c r="Z112" s="5">
        <v>1579</v>
      </c>
      <c r="AA112" s="5">
        <v>4356</v>
      </c>
      <c r="AB112" s="5">
        <v>0</v>
      </c>
      <c r="AC112" s="5">
        <v>70619</v>
      </c>
      <c r="AD112" s="49"/>
    </row>
    <row r="113" spans="1:30" ht="15" customHeight="1">
      <c r="A113" s="23" t="s">
        <v>16</v>
      </c>
      <c r="B113" s="5">
        <v>23894</v>
      </c>
      <c r="C113" s="5">
        <v>12366</v>
      </c>
      <c r="D113" s="5">
        <v>1992</v>
      </c>
      <c r="E113" s="5">
        <v>5285</v>
      </c>
      <c r="F113" s="5">
        <v>527</v>
      </c>
      <c r="G113" s="5">
        <v>1286</v>
      </c>
      <c r="H113" s="5">
        <v>730</v>
      </c>
      <c r="I113" s="5">
        <v>975</v>
      </c>
      <c r="J113" s="5">
        <v>1078</v>
      </c>
      <c r="K113" s="5">
        <v>1885</v>
      </c>
      <c r="L113" s="5">
        <v>137807</v>
      </c>
      <c r="M113" s="5"/>
      <c r="N113" s="5">
        <v>187825</v>
      </c>
      <c r="O113" s="49"/>
      <c r="P113" s="23" t="s">
        <v>16</v>
      </c>
      <c r="Q113" s="5">
        <v>124795</v>
      </c>
      <c r="R113" s="5">
        <v>45986</v>
      </c>
      <c r="S113" s="5">
        <v>3462</v>
      </c>
      <c r="T113" s="5">
        <v>12672</v>
      </c>
      <c r="U113" s="5">
        <v>1289</v>
      </c>
      <c r="V113" s="5">
        <v>2893</v>
      </c>
      <c r="W113" s="5">
        <v>2358</v>
      </c>
      <c r="X113" s="5">
        <v>2337</v>
      </c>
      <c r="Y113" s="5">
        <v>5164</v>
      </c>
      <c r="Z113" s="5">
        <v>5890</v>
      </c>
      <c r="AA113" s="5">
        <v>15281</v>
      </c>
      <c r="AB113" s="5">
        <v>5</v>
      </c>
      <c r="AC113" s="5">
        <v>222132</v>
      </c>
      <c r="AD113" s="49"/>
    </row>
    <row r="114" spans="1:30" ht="15" customHeight="1">
      <c r="A114" s="23" t="s">
        <v>17</v>
      </c>
      <c r="B114" s="5">
        <v>53455</v>
      </c>
      <c r="C114" s="5">
        <v>32043</v>
      </c>
      <c r="D114" s="5">
        <v>13157</v>
      </c>
      <c r="E114" s="5">
        <v>5116</v>
      </c>
      <c r="F114" s="5">
        <v>654</v>
      </c>
      <c r="G114" s="5">
        <v>1424</v>
      </c>
      <c r="H114" s="5">
        <v>1745</v>
      </c>
      <c r="I114" s="5">
        <v>1044</v>
      </c>
      <c r="J114" s="5">
        <v>2662</v>
      </c>
      <c r="K114" s="5">
        <v>4476</v>
      </c>
      <c r="L114" s="5">
        <v>18850</v>
      </c>
      <c r="M114" s="5"/>
      <c r="N114" s="5">
        <v>134626</v>
      </c>
      <c r="O114" s="49"/>
      <c r="P114" s="23" t="s">
        <v>17</v>
      </c>
      <c r="Q114" s="5">
        <v>28522</v>
      </c>
      <c r="R114" s="5">
        <v>9591</v>
      </c>
      <c r="S114" s="5">
        <v>826</v>
      </c>
      <c r="T114" s="5">
        <v>3785</v>
      </c>
      <c r="U114" s="5">
        <v>314</v>
      </c>
      <c r="V114" s="5">
        <v>663</v>
      </c>
      <c r="W114" s="5">
        <v>1026</v>
      </c>
      <c r="X114" s="5">
        <v>834</v>
      </c>
      <c r="Y114" s="5">
        <v>1862</v>
      </c>
      <c r="Z114" s="5">
        <v>856</v>
      </c>
      <c r="AA114" s="5">
        <v>4595</v>
      </c>
      <c r="AB114" s="5">
        <v>0</v>
      </c>
      <c r="AC114" s="5">
        <v>52874</v>
      </c>
      <c r="AD114" s="49"/>
    </row>
    <row r="115" spans="1:30" ht="15" customHeight="1">
      <c r="A115" s="23" t="s">
        <v>18</v>
      </c>
      <c r="B115" s="5">
        <v>61452</v>
      </c>
      <c r="C115" s="5">
        <v>18982</v>
      </c>
      <c r="D115" s="5">
        <v>1077</v>
      </c>
      <c r="E115" s="5">
        <v>3160</v>
      </c>
      <c r="F115" s="5">
        <v>204</v>
      </c>
      <c r="G115" s="5">
        <v>984</v>
      </c>
      <c r="H115" s="5">
        <v>2042</v>
      </c>
      <c r="I115" s="5">
        <v>1895</v>
      </c>
      <c r="J115" s="5">
        <v>1919</v>
      </c>
      <c r="K115" s="5">
        <v>5422</v>
      </c>
      <c r="L115" s="5">
        <v>15838</v>
      </c>
      <c r="M115" s="5"/>
      <c r="N115" s="5">
        <v>112975</v>
      </c>
      <c r="O115" s="49"/>
      <c r="P115" s="23" t="s">
        <v>18</v>
      </c>
      <c r="Q115" s="5">
        <v>32298</v>
      </c>
      <c r="R115" s="5">
        <v>7129</v>
      </c>
      <c r="S115" s="5">
        <v>1189</v>
      </c>
      <c r="T115" s="5">
        <v>2262</v>
      </c>
      <c r="U115" s="5">
        <v>273</v>
      </c>
      <c r="V115" s="5">
        <v>482</v>
      </c>
      <c r="W115" s="5">
        <v>820</v>
      </c>
      <c r="X115" s="5">
        <v>437</v>
      </c>
      <c r="Y115" s="5">
        <v>2051</v>
      </c>
      <c r="Z115" s="5">
        <v>349</v>
      </c>
      <c r="AA115" s="5">
        <v>2718</v>
      </c>
      <c r="AB115" s="5">
        <v>1</v>
      </c>
      <c r="AC115" s="5">
        <v>50009</v>
      </c>
      <c r="AD115" s="49"/>
    </row>
    <row r="116" spans="1:30" ht="15" customHeight="1">
      <c r="A116" s="23" t="s">
        <v>19</v>
      </c>
      <c r="B116" s="5">
        <v>219875</v>
      </c>
      <c r="C116" s="5">
        <v>100921</v>
      </c>
      <c r="D116" s="5">
        <v>5430</v>
      </c>
      <c r="E116" s="5">
        <v>15783</v>
      </c>
      <c r="F116" s="5">
        <v>2014</v>
      </c>
      <c r="G116" s="5">
        <v>2904</v>
      </c>
      <c r="H116" s="5">
        <v>2583</v>
      </c>
      <c r="I116" s="5">
        <v>4277</v>
      </c>
      <c r="J116" s="5">
        <v>7518</v>
      </c>
      <c r="K116" s="5">
        <v>9706</v>
      </c>
      <c r="L116" s="5">
        <v>69330</v>
      </c>
      <c r="M116" s="5"/>
      <c r="N116" s="5">
        <v>440341</v>
      </c>
      <c r="O116" s="49"/>
      <c r="P116" s="23" t="s">
        <v>19</v>
      </c>
      <c r="Q116" s="5">
        <v>141186</v>
      </c>
      <c r="R116" s="5">
        <v>36748</v>
      </c>
      <c r="S116" s="5">
        <v>3191</v>
      </c>
      <c r="T116" s="5">
        <v>13520</v>
      </c>
      <c r="U116" s="5">
        <v>947</v>
      </c>
      <c r="V116" s="5">
        <v>3073</v>
      </c>
      <c r="W116" s="5">
        <v>2537</v>
      </c>
      <c r="X116" s="5">
        <v>2637</v>
      </c>
      <c r="Y116" s="5">
        <v>7033</v>
      </c>
      <c r="Z116" s="5">
        <v>4262</v>
      </c>
      <c r="AA116" s="5">
        <v>16685</v>
      </c>
      <c r="AB116" s="5">
        <v>15</v>
      </c>
      <c r="AC116" s="5">
        <v>231834</v>
      </c>
      <c r="AD116" s="49"/>
    </row>
    <row r="117" spans="1:30" ht="15" customHeight="1">
      <c r="A117" s="23" t="s">
        <v>20</v>
      </c>
      <c r="B117" s="5">
        <v>1357107</v>
      </c>
      <c r="C117" s="5">
        <v>477097</v>
      </c>
      <c r="D117" s="5">
        <v>18147</v>
      </c>
      <c r="E117" s="5">
        <v>74131</v>
      </c>
      <c r="F117" s="5">
        <v>4916</v>
      </c>
      <c r="G117" s="5">
        <v>15046</v>
      </c>
      <c r="H117" s="5">
        <v>2704</v>
      </c>
      <c r="I117" s="5">
        <v>39640</v>
      </c>
      <c r="J117" s="5">
        <v>39323</v>
      </c>
      <c r="K117" s="5">
        <v>76251</v>
      </c>
      <c r="L117" s="5">
        <v>159717</v>
      </c>
      <c r="M117" s="5"/>
      <c r="N117" s="5">
        <v>2264079</v>
      </c>
      <c r="O117" s="49"/>
      <c r="P117" s="23" t="s">
        <v>20</v>
      </c>
      <c r="Q117" s="5">
        <v>1378543</v>
      </c>
      <c r="R117" s="5">
        <v>339885</v>
      </c>
      <c r="S117" s="5">
        <v>31284</v>
      </c>
      <c r="T117" s="5">
        <v>112507</v>
      </c>
      <c r="U117" s="5">
        <v>13567</v>
      </c>
      <c r="V117" s="5">
        <v>19370</v>
      </c>
      <c r="W117" s="5">
        <v>22234</v>
      </c>
      <c r="X117" s="5">
        <v>19200</v>
      </c>
      <c r="Y117" s="5">
        <v>50725</v>
      </c>
      <c r="Z117" s="5">
        <v>36317</v>
      </c>
      <c r="AA117" s="5">
        <v>148522</v>
      </c>
      <c r="AB117" s="5">
        <v>341</v>
      </c>
      <c r="AC117" s="5">
        <v>2172495</v>
      </c>
      <c r="AD117" s="49"/>
    </row>
    <row r="118" spans="1:30" ht="15" customHeight="1">
      <c r="A118" s="23" t="s">
        <v>21</v>
      </c>
      <c r="B118" s="5">
        <v>212796</v>
      </c>
      <c r="C118" s="5">
        <v>74501</v>
      </c>
      <c r="D118" s="5">
        <v>5572</v>
      </c>
      <c r="E118" s="5">
        <v>14362</v>
      </c>
      <c r="F118" s="5">
        <v>2815</v>
      </c>
      <c r="G118" s="5">
        <v>4884</v>
      </c>
      <c r="H118" s="5">
        <v>3986</v>
      </c>
      <c r="I118" s="5">
        <v>3311</v>
      </c>
      <c r="J118" s="5">
        <v>8160</v>
      </c>
      <c r="K118" s="5">
        <v>10163</v>
      </c>
      <c r="L118" s="5">
        <v>29946</v>
      </c>
      <c r="M118" s="5"/>
      <c r="N118" s="5">
        <v>370496</v>
      </c>
      <c r="O118" s="49"/>
      <c r="P118" s="23" t="s">
        <v>21</v>
      </c>
      <c r="Q118" s="5">
        <v>106906</v>
      </c>
      <c r="R118" s="5">
        <v>25166</v>
      </c>
      <c r="S118" s="5">
        <v>1720</v>
      </c>
      <c r="T118" s="5">
        <v>9661</v>
      </c>
      <c r="U118" s="5">
        <v>645</v>
      </c>
      <c r="V118" s="5">
        <v>1856</v>
      </c>
      <c r="W118" s="5">
        <v>3023</v>
      </c>
      <c r="X118" s="5">
        <v>1205</v>
      </c>
      <c r="Y118" s="5">
        <v>3401</v>
      </c>
      <c r="Z118" s="5">
        <v>2235</v>
      </c>
      <c r="AA118" s="5">
        <v>11412</v>
      </c>
      <c r="AB118" s="5">
        <v>0</v>
      </c>
      <c r="AC118" s="5">
        <v>167230</v>
      </c>
      <c r="AD118" s="49"/>
    </row>
    <row r="119" spans="1:30" ht="15" customHeight="1">
      <c r="A119" s="23" t="s">
        <v>22</v>
      </c>
      <c r="B119" s="5">
        <v>87105</v>
      </c>
      <c r="C119" s="5">
        <v>32483</v>
      </c>
      <c r="D119" s="5">
        <v>1579</v>
      </c>
      <c r="E119" s="5">
        <v>4870</v>
      </c>
      <c r="F119" s="5">
        <v>337</v>
      </c>
      <c r="G119" s="5">
        <v>1286</v>
      </c>
      <c r="H119" s="5">
        <v>1249</v>
      </c>
      <c r="I119" s="5">
        <v>1257</v>
      </c>
      <c r="J119" s="5">
        <v>2673</v>
      </c>
      <c r="K119" s="5">
        <v>4646</v>
      </c>
      <c r="L119" s="5">
        <v>24884</v>
      </c>
      <c r="M119" s="5"/>
      <c r="N119" s="5">
        <v>162369</v>
      </c>
      <c r="O119" s="49"/>
      <c r="P119" s="23" t="s">
        <v>22</v>
      </c>
      <c r="Q119" s="5">
        <v>62426</v>
      </c>
      <c r="R119" s="5">
        <v>12983</v>
      </c>
      <c r="S119" s="5">
        <v>1394</v>
      </c>
      <c r="T119" s="5">
        <v>5512</v>
      </c>
      <c r="U119" s="5">
        <v>532</v>
      </c>
      <c r="V119" s="5">
        <v>879</v>
      </c>
      <c r="W119" s="5">
        <v>930</v>
      </c>
      <c r="X119" s="5">
        <v>373</v>
      </c>
      <c r="Y119" s="5">
        <v>2916</v>
      </c>
      <c r="Z119" s="5">
        <v>1072</v>
      </c>
      <c r="AA119" s="5">
        <v>5227</v>
      </c>
      <c r="AB119" s="5">
        <v>76</v>
      </c>
      <c r="AC119" s="5">
        <v>94320</v>
      </c>
      <c r="AD119" s="49"/>
    </row>
    <row r="120" spans="1:30" ht="15" customHeight="1">
      <c r="A120" s="23" t="s">
        <v>367</v>
      </c>
      <c r="B120" s="5">
        <v>35433</v>
      </c>
      <c r="C120" s="5">
        <v>19260</v>
      </c>
      <c r="D120" s="5">
        <v>3180</v>
      </c>
      <c r="E120" s="5">
        <v>4488</v>
      </c>
      <c r="F120" s="5">
        <v>431</v>
      </c>
      <c r="G120" s="5">
        <v>580</v>
      </c>
      <c r="H120" s="5">
        <v>503</v>
      </c>
      <c r="I120" s="5">
        <v>542</v>
      </c>
      <c r="J120" s="5">
        <v>1483</v>
      </c>
      <c r="K120" s="5">
        <v>2423</v>
      </c>
      <c r="L120" s="5">
        <v>10311</v>
      </c>
      <c r="M120" s="5"/>
      <c r="N120" s="5">
        <v>78634</v>
      </c>
      <c r="O120" s="49"/>
      <c r="P120" s="23" t="s">
        <v>367</v>
      </c>
      <c r="Q120" s="5">
        <v>28553</v>
      </c>
      <c r="R120" s="5">
        <v>6554</v>
      </c>
      <c r="S120" s="5">
        <v>843</v>
      </c>
      <c r="T120" s="5">
        <v>2519</v>
      </c>
      <c r="U120" s="5">
        <v>268</v>
      </c>
      <c r="V120" s="5">
        <v>514</v>
      </c>
      <c r="W120" s="5">
        <v>945</v>
      </c>
      <c r="X120" s="5">
        <v>278</v>
      </c>
      <c r="Y120" s="5">
        <v>1191</v>
      </c>
      <c r="Z120" s="5">
        <v>518</v>
      </c>
      <c r="AA120" s="5">
        <v>4473</v>
      </c>
      <c r="AB120" s="5">
        <v>20</v>
      </c>
      <c r="AC120" s="5">
        <v>46676</v>
      </c>
      <c r="AD120" s="49"/>
    </row>
    <row r="121" spans="1:30" ht="15" customHeight="1">
      <c r="A121" s="23" t="s">
        <v>23</v>
      </c>
      <c r="B121" s="5">
        <v>166025</v>
      </c>
      <c r="C121" s="5">
        <v>97948</v>
      </c>
      <c r="D121" s="5">
        <v>5170</v>
      </c>
      <c r="E121" s="5">
        <v>17476</v>
      </c>
      <c r="F121" s="5">
        <v>1864</v>
      </c>
      <c r="G121" s="5">
        <v>4928</v>
      </c>
      <c r="H121" s="5">
        <v>4826</v>
      </c>
      <c r="I121" s="5">
        <v>4314</v>
      </c>
      <c r="J121" s="5">
        <v>10180</v>
      </c>
      <c r="K121" s="5">
        <v>12057</v>
      </c>
      <c r="L121" s="5">
        <v>44960</v>
      </c>
      <c r="M121" s="5"/>
      <c r="N121" s="5">
        <v>369748</v>
      </c>
      <c r="O121" s="49"/>
      <c r="P121" s="23" t="s">
        <v>23</v>
      </c>
      <c r="Q121" s="5">
        <v>156319</v>
      </c>
      <c r="R121" s="5">
        <v>49960</v>
      </c>
      <c r="S121" s="5">
        <v>3362</v>
      </c>
      <c r="T121" s="5">
        <v>14139</v>
      </c>
      <c r="U121" s="5">
        <v>1081</v>
      </c>
      <c r="V121" s="5">
        <v>2715</v>
      </c>
      <c r="W121" s="5">
        <v>5951</v>
      </c>
      <c r="X121" s="5">
        <v>2704</v>
      </c>
      <c r="Y121" s="5">
        <v>9286</v>
      </c>
      <c r="Z121" s="5">
        <v>4176</v>
      </c>
      <c r="AA121" s="5">
        <v>18411</v>
      </c>
      <c r="AB121" s="5">
        <v>35</v>
      </c>
      <c r="AC121" s="5">
        <v>268139</v>
      </c>
      <c r="AD121" s="49"/>
    </row>
    <row r="122" spans="1:30" ht="15" customHeight="1">
      <c r="A122" s="23" t="s">
        <v>24</v>
      </c>
      <c r="B122" s="5">
        <v>109322</v>
      </c>
      <c r="C122" s="5">
        <v>33672</v>
      </c>
      <c r="D122" s="5">
        <v>3608</v>
      </c>
      <c r="E122" s="5">
        <v>6171</v>
      </c>
      <c r="F122" s="5">
        <v>798</v>
      </c>
      <c r="G122" s="5">
        <v>1866</v>
      </c>
      <c r="H122" s="5">
        <v>2277</v>
      </c>
      <c r="I122" s="5">
        <v>1606</v>
      </c>
      <c r="J122" s="5">
        <v>3140</v>
      </c>
      <c r="K122" s="5">
        <v>4162</v>
      </c>
      <c r="L122" s="5">
        <v>13661</v>
      </c>
      <c r="M122" s="5"/>
      <c r="N122" s="5">
        <v>180283</v>
      </c>
      <c r="O122" s="49"/>
      <c r="P122" s="23" t="s">
        <v>24</v>
      </c>
      <c r="Q122" s="5">
        <v>88070</v>
      </c>
      <c r="R122" s="5">
        <v>16417</v>
      </c>
      <c r="S122" s="5">
        <v>1586</v>
      </c>
      <c r="T122" s="5">
        <v>4444</v>
      </c>
      <c r="U122" s="5">
        <v>510</v>
      </c>
      <c r="V122" s="5">
        <v>1112</v>
      </c>
      <c r="W122" s="5">
        <v>1213</v>
      </c>
      <c r="X122" s="5">
        <v>840</v>
      </c>
      <c r="Y122" s="5">
        <v>4019</v>
      </c>
      <c r="Z122" s="5">
        <v>2151</v>
      </c>
      <c r="AA122" s="5">
        <v>5696</v>
      </c>
      <c r="AB122" s="5">
        <v>20</v>
      </c>
      <c r="AC122" s="5">
        <v>126078</v>
      </c>
      <c r="AD122" s="49"/>
    </row>
    <row r="123" spans="1:30" ht="15" customHeight="1">
      <c r="A123" s="23" t="s">
        <v>25</v>
      </c>
      <c r="B123" s="5">
        <v>23329</v>
      </c>
      <c r="C123" s="5">
        <v>8997</v>
      </c>
      <c r="D123" s="5">
        <v>1287</v>
      </c>
      <c r="E123" s="5">
        <v>2020</v>
      </c>
      <c r="F123" s="5">
        <v>618</v>
      </c>
      <c r="G123" s="5">
        <v>966</v>
      </c>
      <c r="H123" s="5">
        <v>336</v>
      </c>
      <c r="I123" s="5">
        <v>775</v>
      </c>
      <c r="J123" s="5">
        <v>1623</v>
      </c>
      <c r="K123" s="5">
        <v>1122</v>
      </c>
      <c r="L123" s="5">
        <v>5835</v>
      </c>
      <c r="M123" s="5"/>
      <c r="N123" s="5">
        <v>46908</v>
      </c>
      <c r="O123" s="49"/>
      <c r="P123" s="23" t="s">
        <v>25</v>
      </c>
      <c r="Q123" s="5">
        <v>17234</v>
      </c>
      <c r="R123" s="5">
        <v>4171</v>
      </c>
      <c r="S123" s="5">
        <v>373</v>
      </c>
      <c r="T123" s="5">
        <v>1506</v>
      </c>
      <c r="U123" s="5">
        <v>208</v>
      </c>
      <c r="V123" s="5">
        <v>310</v>
      </c>
      <c r="W123" s="5">
        <v>124</v>
      </c>
      <c r="X123" s="5">
        <v>146</v>
      </c>
      <c r="Y123" s="5">
        <v>1334</v>
      </c>
      <c r="Z123" s="5">
        <v>779</v>
      </c>
      <c r="AA123" s="5">
        <v>1575</v>
      </c>
      <c r="AB123" s="5">
        <v>0</v>
      </c>
      <c r="AC123" s="5">
        <v>27760</v>
      </c>
      <c r="AD123" s="49"/>
    </row>
    <row r="124" spans="1:30" ht="15" customHeight="1">
      <c r="A124" s="23" t="s">
        <v>26</v>
      </c>
      <c r="B124" s="5">
        <v>48498</v>
      </c>
      <c r="C124" s="5">
        <v>14029</v>
      </c>
      <c r="D124" s="5">
        <v>3232</v>
      </c>
      <c r="E124" s="5">
        <v>5638</v>
      </c>
      <c r="F124" s="5">
        <v>1436</v>
      </c>
      <c r="G124" s="5">
        <v>2059</v>
      </c>
      <c r="H124" s="5">
        <v>823</v>
      </c>
      <c r="I124" s="5">
        <v>952</v>
      </c>
      <c r="J124" s="5">
        <v>3059</v>
      </c>
      <c r="K124" s="5">
        <v>1379</v>
      </c>
      <c r="L124" s="5">
        <v>20965</v>
      </c>
      <c r="M124" s="5"/>
      <c r="N124" s="5">
        <v>102070</v>
      </c>
      <c r="O124" s="49"/>
      <c r="P124" s="23" t="s">
        <v>26</v>
      </c>
      <c r="Q124" s="5">
        <v>67631</v>
      </c>
      <c r="R124" s="5">
        <v>12825</v>
      </c>
      <c r="S124" s="5">
        <v>1359</v>
      </c>
      <c r="T124" s="5">
        <v>6815</v>
      </c>
      <c r="U124" s="5">
        <v>479</v>
      </c>
      <c r="V124" s="5">
        <v>972</v>
      </c>
      <c r="W124" s="5">
        <v>946</v>
      </c>
      <c r="X124" s="5">
        <v>932</v>
      </c>
      <c r="Y124" s="5">
        <v>3598</v>
      </c>
      <c r="Z124" s="5">
        <v>1955</v>
      </c>
      <c r="AA124" s="5">
        <v>5247</v>
      </c>
      <c r="AB124" s="5">
        <v>0</v>
      </c>
      <c r="AC124" s="5">
        <v>102759</v>
      </c>
      <c r="AD124" s="49"/>
    </row>
    <row r="125" spans="1:30" ht="15" customHeight="1">
      <c r="A125" s="23" t="s">
        <v>27</v>
      </c>
      <c r="B125" s="5">
        <v>8799</v>
      </c>
      <c r="C125" s="5">
        <v>2519</v>
      </c>
      <c r="D125" s="5">
        <v>560</v>
      </c>
      <c r="E125" s="5">
        <v>1218</v>
      </c>
      <c r="F125" s="5">
        <v>296</v>
      </c>
      <c r="G125" s="5">
        <v>358</v>
      </c>
      <c r="H125" s="5">
        <v>385</v>
      </c>
      <c r="I125" s="5">
        <v>307</v>
      </c>
      <c r="J125" s="5">
        <v>278</v>
      </c>
      <c r="K125" s="5">
        <v>607</v>
      </c>
      <c r="L125" s="5">
        <v>2968</v>
      </c>
      <c r="M125" s="5"/>
      <c r="N125" s="5">
        <v>18295</v>
      </c>
      <c r="O125" s="49"/>
      <c r="P125" s="23" t="s">
        <v>27</v>
      </c>
      <c r="Q125" s="5">
        <v>6692</v>
      </c>
      <c r="R125" s="5">
        <v>1405</v>
      </c>
      <c r="S125" s="5">
        <v>135</v>
      </c>
      <c r="T125" s="5">
        <v>527</v>
      </c>
      <c r="U125" s="5">
        <v>31</v>
      </c>
      <c r="V125" s="5">
        <v>182</v>
      </c>
      <c r="W125" s="5">
        <v>55</v>
      </c>
      <c r="X125" s="5">
        <v>109</v>
      </c>
      <c r="Y125" s="5">
        <v>190</v>
      </c>
      <c r="Z125" s="5">
        <v>72</v>
      </c>
      <c r="AA125" s="5">
        <v>474</v>
      </c>
      <c r="AB125" s="5">
        <v>0</v>
      </c>
      <c r="AC125" s="5">
        <v>9872</v>
      </c>
      <c r="AD125" s="49"/>
    </row>
    <row r="126" spans="1:30" ht="15" customHeight="1">
      <c r="A126" s="23" t="s">
        <v>28</v>
      </c>
      <c r="B126" s="5">
        <v>25581</v>
      </c>
      <c r="C126" s="5">
        <v>5854</v>
      </c>
      <c r="D126" s="5">
        <v>188</v>
      </c>
      <c r="E126" s="5">
        <v>1178</v>
      </c>
      <c r="F126" s="5">
        <v>203</v>
      </c>
      <c r="G126" s="5">
        <v>290</v>
      </c>
      <c r="H126" s="5">
        <v>231</v>
      </c>
      <c r="I126" s="5">
        <v>373</v>
      </c>
      <c r="J126" s="5">
        <v>826</v>
      </c>
      <c r="K126" s="5">
        <v>1167</v>
      </c>
      <c r="L126" s="5">
        <v>5026</v>
      </c>
      <c r="M126" s="5"/>
      <c r="N126" s="5">
        <v>40917</v>
      </c>
      <c r="O126" s="49"/>
      <c r="P126" s="23" t="s">
        <v>28</v>
      </c>
      <c r="Q126" s="5">
        <v>31606</v>
      </c>
      <c r="R126" s="5">
        <v>12184</v>
      </c>
      <c r="S126" s="5">
        <v>457</v>
      </c>
      <c r="T126" s="5">
        <v>3515</v>
      </c>
      <c r="U126" s="5">
        <v>268</v>
      </c>
      <c r="V126" s="5">
        <v>530</v>
      </c>
      <c r="W126" s="5">
        <v>289</v>
      </c>
      <c r="X126" s="5">
        <v>278</v>
      </c>
      <c r="Y126" s="5">
        <v>1801</v>
      </c>
      <c r="Z126" s="5">
        <v>843</v>
      </c>
      <c r="AA126" s="5">
        <v>3459</v>
      </c>
      <c r="AB126" s="5">
        <v>0</v>
      </c>
      <c r="AC126" s="5">
        <v>55230</v>
      </c>
      <c r="AD126" s="49"/>
    </row>
    <row r="127" spans="1:30" ht="15" customHeight="1">
      <c r="A127" s="23" t="s">
        <v>222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>
        <v>0</v>
      </c>
      <c r="O127" s="49"/>
      <c r="P127" s="23" t="s">
        <v>222</v>
      </c>
      <c r="Q127" s="5">
        <v>10904</v>
      </c>
      <c r="R127" s="5">
        <v>6460</v>
      </c>
      <c r="S127" s="5">
        <v>4609</v>
      </c>
      <c r="T127" s="5">
        <v>4722</v>
      </c>
      <c r="U127" s="5">
        <v>1591</v>
      </c>
      <c r="V127" s="5">
        <v>1466</v>
      </c>
      <c r="W127" s="5">
        <v>786</v>
      </c>
      <c r="X127" s="5">
        <v>1011</v>
      </c>
      <c r="Y127" s="5">
        <v>2292</v>
      </c>
      <c r="Z127" s="5">
        <v>778</v>
      </c>
      <c r="AA127" s="5">
        <v>3736</v>
      </c>
      <c r="AB127" s="5">
        <v>87</v>
      </c>
      <c r="AC127" s="5">
        <v>38442</v>
      </c>
      <c r="AD127" s="49"/>
    </row>
    <row r="128" spans="1:30" ht="15" customHeight="1">
      <c r="A128" s="21" t="s">
        <v>46</v>
      </c>
      <c r="B128" s="11">
        <v>2471424</v>
      </c>
      <c r="C128" s="11">
        <v>945991</v>
      </c>
      <c r="D128" s="11">
        <v>65477</v>
      </c>
      <c r="E128" s="11">
        <v>163572</v>
      </c>
      <c r="F128" s="11">
        <v>36319</v>
      </c>
      <c r="G128" s="11">
        <v>40012</v>
      </c>
      <c r="H128" s="11">
        <v>25100</v>
      </c>
      <c r="I128" s="11">
        <v>62725</v>
      </c>
      <c r="J128" s="11">
        <v>85541</v>
      </c>
      <c r="K128" s="11">
        <v>138021</v>
      </c>
      <c r="L128" s="11">
        <v>565874</v>
      </c>
      <c r="M128" s="11">
        <v>0</v>
      </c>
      <c r="N128" s="11">
        <v>4600056</v>
      </c>
      <c r="O128" s="49"/>
      <c r="P128" s="21" t="s">
        <v>46</v>
      </c>
      <c r="Q128" s="38">
        <v>2328359</v>
      </c>
      <c r="R128" s="38">
        <v>601083</v>
      </c>
      <c r="S128" s="38">
        <v>57254</v>
      </c>
      <c r="T128" s="38">
        <v>204284</v>
      </c>
      <c r="U128" s="38">
        <v>22607</v>
      </c>
      <c r="V128" s="38">
        <v>37936</v>
      </c>
      <c r="W128" s="38">
        <v>44242</v>
      </c>
      <c r="X128" s="38">
        <v>34029</v>
      </c>
      <c r="Y128" s="38">
        <v>99584</v>
      </c>
      <c r="Z128" s="38">
        <v>64207</v>
      </c>
      <c r="AA128" s="38">
        <v>253093</v>
      </c>
      <c r="AB128" s="38">
        <v>600</v>
      </c>
      <c r="AC128" s="38">
        <v>3747278</v>
      </c>
      <c r="AD128" s="49"/>
    </row>
    <row r="129" spans="2:29" ht="15" customHeight="1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2:29" ht="15" customHeight="1"/>
    <row r="131" spans="2:29" ht="15" customHeight="1">
      <c r="B131" s="3"/>
      <c r="C131" s="3"/>
      <c r="D131" s="3"/>
      <c r="E131" s="3"/>
    </row>
    <row r="132" spans="2:29" ht="15" customHeight="1">
      <c r="B132" s="3"/>
      <c r="C132" s="3"/>
      <c r="D132" s="3"/>
      <c r="E132" s="3"/>
    </row>
    <row r="133" spans="2:29">
      <c r="B133" s="3"/>
      <c r="C133" s="3"/>
      <c r="D133" s="3"/>
      <c r="E133" s="3"/>
    </row>
    <row r="134" spans="2:29" ht="15" customHeight="1">
      <c r="B134" s="3"/>
      <c r="C134" s="3"/>
      <c r="D134" s="3"/>
      <c r="E134" s="3"/>
    </row>
    <row r="135" spans="2:29" ht="15" customHeight="1">
      <c r="B135" s="3"/>
      <c r="C135" s="3"/>
      <c r="D135" s="3"/>
      <c r="E135" s="3"/>
    </row>
    <row r="136" spans="2:29" ht="15" customHeight="1">
      <c r="B136" s="3"/>
      <c r="C136" s="3"/>
      <c r="D136" s="3"/>
      <c r="E136" s="3"/>
    </row>
    <row r="137" spans="2:29" ht="15" customHeight="1">
      <c r="B137" s="3"/>
      <c r="C137" s="3"/>
      <c r="D137" s="3"/>
      <c r="E137" s="3"/>
    </row>
    <row r="138" spans="2:29" ht="15" customHeight="1">
      <c r="B138" s="3"/>
      <c r="C138" s="3"/>
      <c r="D138" s="3"/>
      <c r="E138" s="3"/>
    </row>
    <row r="139" spans="2:29" ht="15" customHeight="1">
      <c r="B139" s="3"/>
      <c r="C139" s="3"/>
      <c r="D139" s="3"/>
      <c r="E139" s="3"/>
    </row>
    <row r="140" spans="2:29" ht="15" customHeight="1">
      <c r="B140" s="3"/>
      <c r="C140" s="3"/>
      <c r="D140" s="3"/>
      <c r="E140" s="3"/>
    </row>
    <row r="141" spans="2:29" ht="15" customHeight="1">
      <c r="B141" s="3"/>
      <c r="C141" s="3"/>
      <c r="D141" s="3"/>
      <c r="E141" s="3"/>
    </row>
    <row r="142" spans="2:29" ht="15" customHeight="1">
      <c r="B142" s="3"/>
      <c r="C142" s="3"/>
      <c r="D142" s="3"/>
      <c r="E142" s="3"/>
    </row>
    <row r="143" spans="2:29" ht="15" customHeight="1">
      <c r="B143" s="3"/>
      <c r="C143" s="3"/>
      <c r="D143" s="3"/>
      <c r="E143" s="3"/>
    </row>
    <row r="144" spans="2:29" ht="15" customHeight="1">
      <c r="B144" s="3"/>
      <c r="C144" s="3"/>
      <c r="D144" s="3"/>
      <c r="E144" s="3"/>
    </row>
    <row r="145" spans="2:5" ht="15" customHeight="1">
      <c r="B145" s="3"/>
      <c r="C145" s="3"/>
      <c r="D145" s="3"/>
      <c r="E145" s="3"/>
    </row>
    <row r="146" spans="2:5" ht="15" customHeight="1">
      <c r="B146" s="3"/>
      <c r="C146" s="3"/>
      <c r="D146" s="3"/>
      <c r="E146" s="3"/>
    </row>
    <row r="147" spans="2:5" ht="15" customHeight="1">
      <c r="B147" s="3"/>
      <c r="C147" s="3"/>
      <c r="D147" s="3"/>
      <c r="E147" s="3"/>
    </row>
    <row r="148" spans="2:5" ht="15" customHeight="1">
      <c r="B148" s="3"/>
      <c r="C148" s="3"/>
      <c r="D148" s="3"/>
      <c r="E148" s="3"/>
    </row>
    <row r="149" spans="2:5" ht="15" customHeight="1">
      <c r="B149" s="3"/>
      <c r="C149" s="3"/>
      <c r="D149" s="3"/>
      <c r="E149" s="3"/>
    </row>
    <row r="150" spans="2:5" ht="15" customHeight="1"/>
    <row r="151" spans="2:5" ht="15" customHeight="1"/>
    <row r="152" spans="2:5" ht="15" customHeight="1"/>
    <row r="153" spans="2:5" ht="15" customHeight="1"/>
    <row r="154" spans="2:5" ht="15" customHeight="1"/>
    <row r="155" spans="2:5" ht="15" customHeight="1"/>
    <row r="156" spans="2:5" ht="15" customHeight="1"/>
    <row r="157" spans="2:5" ht="15" customHeight="1"/>
    <row r="158" spans="2:5" ht="15" customHeight="1"/>
    <row r="159" spans="2:5" ht="15" customHeight="1"/>
    <row r="160" spans="2:5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57"/>
  <sheetViews>
    <sheetView showGridLines="0" zoomScaleNormal="100" workbookViewId="0"/>
  </sheetViews>
  <sheetFormatPr baseColWidth="10" defaultColWidth="33.140625" defaultRowHeight="12.75"/>
  <cols>
    <col min="1" max="1" width="30.7109375" style="3" customWidth="1"/>
    <col min="2" max="6" width="15.7109375" style="6" customWidth="1"/>
    <col min="7" max="7" width="14" style="3" customWidth="1"/>
    <col min="8" max="8" width="30" style="3" customWidth="1"/>
    <col min="9" max="12" width="15.7109375" style="3" customWidth="1"/>
    <col min="13" max="13" width="26.42578125" style="3" customWidth="1"/>
    <col min="14" max="14" width="13.85546875" style="3" customWidth="1"/>
    <col min="15" max="15" width="17.42578125" style="3" customWidth="1"/>
    <col min="16" max="16" width="14" style="3" customWidth="1"/>
    <col min="17" max="17" width="11" style="3" customWidth="1"/>
    <col min="18" max="34" width="15.7109375" style="3" customWidth="1"/>
    <col min="35" max="16384" width="33.140625" style="3"/>
  </cols>
  <sheetData>
    <row r="1" spans="1:6" ht="18.75">
      <c r="A1" s="1" t="s">
        <v>147</v>
      </c>
    </row>
    <row r="3" spans="1:6">
      <c r="A3" s="2" t="s">
        <v>64</v>
      </c>
      <c r="F3" s="3"/>
    </row>
    <row r="4" spans="1:6">
      <c r="A4" s="2" t="s">
        <v>349</v>
      </c>
      <c r="F4" s="3"/>
    </row>
    <row r="5" spans="1:6">
      <c r="A5" s="8" t="s">
        <v>49</v>
      </c>
      <c r="B5" s="8" t="s">
        <v>594</v>
      </c>
      <c r="C5" s="8" t="s">
        <v>604</v>
      </c>
      <c r="D5" s="8" t="s">
        <v>45</v>
      </c>
      <c r="F5" s="3"/>
    </row>
    <row r="6" spans="1:6">
      <c r="A6" s="17">
        <v>2015</v>
      </c>
      <c r="B6" s="4">
        <v>570889517</v>
      </c>
      <c r="C6" s="4">
        <v>420101986.505714</v>
      </c>
      <c r="D6" s="15">
        <v>990991503.50571394</v>
      </c>
      <c r="E6" s="47"/>
      <c r="F6" s="3"/>
    </row>
    <row r="7" spans="1:6">
      <c r="A7" s="17">
        <v>2016</v>
      </c>
      <c r="B7" s="5">
        <v>647982618</v>
      </c>
      <c r="C7" s="5">
        <v>445459559.17212099</v>
      </c>
      <c r="D7" s="10">
        <v>1093442177.172121</v>
      </c>
      <c r="E7" s="47"/>
      <c r="F7" s="3"/>
    </row>
    <row r="8" spans="1:6">
      <c r="A8" s="17">
        <v>2017</v>
      </c>
      <c r="B8" s="5">
        <v>717127372.00999999</v>
      </c>
      <c r="C8" s="5">
        <v>531173125.01352501</v>
      </c>
      <c r="D8" s="10">
        <v>1248300497.023525</v>
      </c>
      <c r="E8" s="47"/>
      <c r="F8" s="3"/>
    </row>
    <row r="9" spans="1:6">
      <c r="A9" s="17">
        <v>2018</v>
      </c>
      <c r="B9" s="5">
        <v>807358184.11300004</v>
      </c>
      <c r="C9" s="5">
        <v>580004700.12463999</v>
      </c>
      <c r="D9" s="10">
        <v>1387362884.2376399</v>
      </c>
      <c r="E9" s="47"/>
      <c r="F9" s="3"/>
    </row>
    <row r="10" spans="1:6">
      <c r="A10" s="19">
        <v>2019</v>
      </c>
      <c r="B10" s="11">
        <v>892556819</v>
      </c>
      <c r="C10" s="11">
        <v>652063014.03354299</v>
      </c>
      <c r="D10" s="18">
        <v>1544619833.0335431</v>
      </c>
      <c r="E10" s="47"/>
      <c r="F10" s="3"/>
    </row>
    <row r="11" spans="1:6">
      <c r="A11" s="3" t="s">
        <v>622</v>
      </c>
      <c r="E11" s="43"/>
      <c r="F11" s="3"/>
    </row>
    <row r="12" spans="1:6">
      <c r="A12" s="3" t="s">
        <v>624</v>
      </c>
      <c r="F12" s="3"/>
    </row>
    <row r="13" spans="1:6">
      <c r="A13" s="2" t="s">
        <v>65</v>
      </c>
      <c r="F13" s="3"/>
    </row>
    <row r="14" spans="1:6">
      <c r="A14" s="2" t="s">
        <v>350</v>
      </c>
      <c r="F14" s="3"/>
    </row>
    <row r="15" spans="1:6">
      <c r="A15" s="8" t="s">
        <v>49</v>
      </c>
      <c r="B15" s="8" t="s">
        <v>594</v>
      </c>
      <c r="C15" s="8" t="s">
        <v>604</v>
      </c>
      <c r="D15" s="8" t="s">
        <v>45</v>
      </c>
      <c r="F15" s="3"/>
    </row>
    <row r="16" spans="1:6">
      <c r="A16" s="17">
        <v>2015</v>
      </c>
      <c r="B16" s="4">
        <v>633533961.37694037</v>
      </c>
      <c r="C16" s="4">
        <v>466200320.32097536</v>
      </c>
      <c r="D16" s="4">
        <v>1099734281.6979156</v>
      </c>
      <c r="E16" s="47"/>
      <c r="F16" s="3"/>
    </row>
    <row r="17" spans="1:6">
      <c r="A17" s="17">
        <v>2016</v>
      </c>
      <c r="B17" s="5">
        <v>700123808.44152594</v>
      </c>
      <c r="C17" s="5">
        <v>481304335.04046339</v>
      </c>
      <c r="D17" s="5">
        <v>1181428143.4819894</v>
      </c>
      <c r="E17" s="47"/>
      <c r="F17" s="3"/>
    </row>
    <row r="18" spans="1:6">
      <c r="A18" s="17">
        <v>2017</v>
      </c>
      <c r="B18" s="5">
        <v>757617441.73009169</v>
      </c>
      <c r="C18" s="5">
        <v>561163943.52733386</v>
      </c>
      <c r="D18" s="5">
        <v>1318781385.2574255</v>
      </c>
      <c r="E18" s="47"/>
      <c r="F18" s="3"/>
    </row>
    <row r="19" spans="1:6">
      <c r="A19" s="17">
        <v>2018</v>
      </c>
      <c r="B19" s="5">
        <v>831585347.42799675</v>
      </c>
      <c r="C19" s="5">
        <v>597409451.65858686</v>
      </c>
      <c r="D19" s="5">
        <v>1428994799.0865834</v>
      </c>
      <c r="E19" s="47"/>
      <c r="F19" s="3"/>
    </row>
    <row r="20" spans="1:6">
      <c r="A20" s="19">
        <v>2019</v>
      </c>
      <c r="B20" s="11">
        <v>892556819</v>
      </c>
      <c r="C20" s="11">
        <v>652063014.03354299</v>
      </c>
      <c r="D20" s="11">
        <v>1544619833.0335431</v>
      </c>
      <c r="E20" s="47"/>
      <c r="F20" s="3"/>
    </row>
    <row r="21" spans="1:6">
      <c r="A21" s="3" t="s">
        <v>622</v>
      </c>
      <c r="B21" s="44"/>
      <c r="C21" s="44"/>
      <c r="F21" s="3"/>
    </row>
    <row r="22" spans="1:6">
      <c r="A22" s="3" t="s">
        <v>624</v>
      </c>
      <c r="B22" s="44"/>
      <c r="C22" s="44"/>
      <c r="D22" s="44"/>
      <c r="F22" s="3"/>
    </row>
    <row r="23" spans="1:6">
      <c r="A23" s="2" t="s">
        <v>66</v>
      </c>
      <c r="F23" s="3"/>
    </row>
    <row r="24" spans="1:6">
      <c r="A24" s="7" t="s">
        <v>348</v>
      </c>
      <c r="F24" s="3"/>
    </row>
    <row r="25" spans="1:6">
      <c r="A25" s="8" t="s">
        <v>148</v>
      </c>
      <c r="B25" s="8" t="s">
        <v>594</v>
      </c>
      <c r="C25" s="8" t="s">
        <v>604</v>
      </c>
      <c r="D25" s="8" t="s">
        <v>45</v>
      </c>
      <c r="F25" s="3"/>
    </row>
    <row r="26" spans="1:6">
      <c r="A26" s="23" t="s">
        <v>9</v>
      </c>
      <c r="B26" s="4">
        <v>316947224.51841998</v>
      </c>
      <c r="C26" s="4">
        <v>137199895.68783161</v>
      </c>
      <c r="D26" s="4">
        <v>454147120.20625162</v>
      </c>
      <c r="E26" s="47"/>
      <c r="F26" s="3"/>
    </row>
    <row r="27" spans="1:6">
      <c r="A27" s="23" t="s">
        <v>10</v>
      </c>
      <c r="B27" s="5">
        <v>199003207.09744799</v>
      </c>
      <c r="C27" s="5">
        <v>124635652.55189079</v>
      </c>
      <c r="D27" s="5">
        <v>323638859.64933878</v>
      </c>
      <c r="E27" s="47"/>
      <c r="F27" s="3"/>
    </row>
    <row r="28" spans="1:6">
      <c r="A28" s="23" t="s">
        <v>11</v>
      </c>
      <c r="B28" s="5">
        <v>30234099.259910751</v>
      </c>
      <c r="C28" s="5">
        <v>35896564.738835365</v>
      </c>
      <c r="D28" s="5">
        <v>66130663.998746112</v>
      </c>
      <c r="E28" s="47"/>
      <c r="F28" s="3"/>
    </row>
    <row r="29" spans="1:6">
      <c r="A29" s="23" t="s">
        <v>12</v>
      </c>
      <c r="B29" s="5">
        <v>86330791.221561506</v>
      </c>
      <c r="C29" s="5">
        <v>100130834.56785189</v>
      </c>
      <c r="D29" s="5">
        <v>186461625.78941339</v>
      </c>
      <c r="E29" s="47"/>
      <c r="F29" s="3"/>
    </row>
    <row r="30" spans="1:6">
      <c r="A30" s="23" t="s">
        <v>13</v>
      </c>
      <c r="B30" s="5">
        <v>8866626.2364005148</v>
      </c>
      <c r="C30" s="5">
        <v>9378189.1397612579</v>
      </c>
      <c r="D30" s="5">
        <v>18244815.376161773</v>
      </c>
      <c r="E30" s="47"/>
      <c r="F30" s="3"/>
    </row>
    <row r="31" spans="1:6">
      <c r="A31" s="23" t="s">
        <v>163</v>
      </c>
      <c r="B31" s="5">
        <v>28654462.86692084</v>
      </c>
      <c r="C31" s="5">
        <v>35048375.86736922</v>
      </c>
      <c r="D31" s="5">
        <v>63702838.734290063</v>
      </c>
      <c r="E31" s="47"/>
      <c r="F31" s="3"/>
    </row>
    <row r="32" spans="1:6">
      <c r="A32" s="23" t="s">
        <v>164</v>
      </c>
      <c r="B32" s="5">
        <v>28677489.290824685</v>
      </c>
      <c r="C32" s="5">
        <v>26614598.706341278</v>
      </c>
      <c r="D32" s="5">
        <v>55292087.997165963</v>
      </c>
      <c r="E32" s="47"/>
      <c r="F32" s="3"/>
    </row>
    <row r="33" spans="1:13">
      <c r="A33" s="23" t="s">
        <v>165</v>
      </c>
      <c r="B33" s="5">
        <v>21164285.732247263</v>
      </c>
      <c r="C33" s="5">
        <v>19700790.258255836</v>
      </c>
      <c r="D33" s="5">
        <v>40865075.990503103</v>
      </c>
      <c r="E33" s="47"/>
      <c r="F33" s="3"/>
    </row>
    <row r="34" spans="1:13">
      <c r="A34" s="23" t="s">
        <v>166</v>
      </c>
      <c r="B34" s="5">
        <v>45655247.602890842</v>
      </c>
      <c r="C34" s="5">
        <v>66467002.299493574</v>
      </c>
      <c r="D34" s="5">
        <v>112122249.90238442</v>
      </c>
      <c r="E34" s="47"/>
      <c r="F34" s="3"/>
    </row>
    <row r="35" spans="1:13">
      <c r="A35" s="23" t="s">
        <v>203</v>
      </c>
      <c r="B35" s="5">
        <v>34600432.859934494</v>
      </c>
      <c r="C35" s="5">
        <v>26217232.911515754</v>
      </c>
      <c r="D35" s="5">
        <v>60817665.771450251</v>
      </c>
      <c r="E35" s="47"/>
      <c r="F35" s="3"/>
    </row>
    <row r="36" spans="1:13">
      <c r="A36" s="23" t="s">
        <v>167</v>
      </c>
      <c r="B36" s="5">
        <v>92409959.56876415</v>
      </c>
      <c r="C36" s="5">
        <v>70757840.119851902</v>
      </c>
      <c r="D36" s="5">
        <v>163167799.68861604</v>
      </c>
      <c r="E36" s="47"/>
      <c r="F36" s="3"/>
    </row>
    <row r="37" spans="1:13">
      <c r="A37" s="23" t="s">
        <v>222</v>
      </c>
      <c r="B37" s="5">
        <v>12992.744676937549</v>
      </c>
      <c r="C37" s="5">
        <v>16037.184544528087</v>
      </c>
      <c r="D37" s="5">
        <v>29029.929221465638</v>
      </c>
      <c r="E37" s="47"/>
      <c r="F37" s="3"/>
    </row>
    <row r="38" spans="1:13">
      <c r="A38" s="21" t="s">
        <v>46</v>
      </c>
      <c r="B38" s="38">
        <v>892556818.99999988</v>
      </c>
      <c r="C38" s="38">
        <v>652063014.03354311</v>
      </c>
      <c r="D38" s="38">
        <v>1544619833.0335431</v>
      </c>
      <c r="E38" s="47"/>
      <c r="F38" s="3"/>
    </row>
    <row r="39" spans="1:13">
      <c r="A39" s="3" t="s">
        <v>622</v>
      </c>
      <c r="B39" s="47"/>
      <c r="C39" s="47"/>
      <c r="D39" s="47"/>
      <c r="F39" s="3"/>
    </row>
    <row r="40" spans="1:13">
      <c r="A40" s="3" t="s">
        <v>624</v>
      </c>
    </row>
    <row r="41" spans="1:13">
      <c r="A41" s="2" t="s">
        <v>168</v>
      </c>
      <c r="H41" s="2" t="s">
        <v>171</v>
      </c>
    </row>
    <row r="42" spans="1:13">
      <c r="A42" s="36" t="s">
        <v>625</v>
      </c>
      <c r="B42" s="37"/>
      <c r="C42" s="37"/>
      <c r="D42" s="37"/>
      <c r="E42" s="37"/>
      <c r="F42" s="37"/>
      <c r="H42" s="36" t="s">
        <v>626</v>
      </c>
    </row>
    <row r="43" spans="1:13">
      <c r="A43" s="8" t="s">
        <v>148</v>
      </c>
      <c r="B43" s="8" t="s">
        <v>169</v>
      </c>
      <c r="C43" s="8" t="s">
        <v>170</v>
      </c>
      <c r="D43" s="8" t="s">
        <v>223</v>
      </c>
      <c r="E43" s="8" t="s">
        <v>48</v>
      </c>
      <c r="H43" s="8" t="s">
        <v>148</v>
      </c>
      <c r="I43" s="8" t="s">
        <v>169</v>
      </c>
      <c r="J43" s="8" t="s">
        <v>170</v>
      </c>
      <c r="K43" s="8" t="s">
        <v>227</v>
      </c>
      <c r="L43" s="8" t="s">
        <v>48</v>
      </c>
    </row>
    <row r="44" spans="1:13">
      <c r="A44" s="23" t="s">
        <v>9</v>
      </c>
      <c r="B44" s="4">
        <v>143264025.4824509</v>
      </c>
      <c r="C44" s="4">
        <v>38389146.028887056</v>
      </c>
      <c r="D44" s="4">
        <v>135294053.00708202</v>
      </c>
      <c r="E44" s="4">
        <v>316947224.51841998</v>
      </c>
      <c r="F44" s="47"/>
      <c r="H44" s="23" t="s">
        <v>9</v>
      </c>
      <c r="I44" s="4">
        <v>39114693.104104005</v>
      </c>
      <c r="J44" s="4">
        <v>98085202.583727598</v>
      </c>
      <c r="K44" s="4"/>
      <c r="L44" s="4">
        <v>137199895.68783161</v>
      </c>
      <c r="M44" s="50"/>
    </row>
    <row r="45" spans="1:13">
      <c r="A45" s="23" t="s">
        <v>10</v>
      </c>
      <c r="B45" s="5">
        <v>87653182.756071717</v>
      </c>
      <c r="C45" s="5">
        <v>48843169.917976908</v>
      </c>
      <c r="D45" s="5">
        <v>62506854.423399366</v>
      </c>
      <c r="E45" s="5">
        <v>199003207.09744799</v>
      </c>
      <c r="F45" s="47"/>
      <c r="H45" s="23" t="s">
        <v>10</v>
      </c>
      <c r="I45" s="5">
        <v>26329869.640094057</v>
      </c>
      <c r="J45" s="5">
        <v>98305782.911796764</v>
      </c>
      <c r="K45" s="5"/>
      <c r="L45" s="5">
        <v>124635652.55189082</v>
      </c>
      <c r="M45" s="50"/>
    </row>
    <row r="46" spans="1:13">
      <c r="A46" s="23" t="s">
        <v>11</v>
      </c>
      <c r="B46" s="5">
        <v>13670665.290354617</v>
      </c>
      <c r="C46" s="5">
        <v>5921524.5507548638</v>
      </c>
      <c r="D46" s="5">
        <v>10641909.418801265</v>
      </c>
      <c r="E46" s="5">
        <v>30234099.259910747</v>
      </c>
      <c r="F46" s="47"/>
      <c r="H46" s="23" t="s">
        <v>11</v>
      </c>
      <c r="I46" s="5">
        <v>12338497.583582414</v>
      </c>
      <c r="J46" s="5">
        <v>23558067.155252948</v>
      </c>
      <c r="K46" s="5"/>
      <c r="L46" s="5">
        <v>35896564.738835365</v>
      </c>
      <c r="M46" s="50"/>
    </row>
    <row r="47" spans="1:13">
      <c r="A47" s="23" t="s">
        <v>12</v>
      </c>
      <c r="B47" s="5">
        <v>29409232.352812573</v>
      </c>
      <c r="C47" s="5">
        <v>34154564.972475491</v>
      </c>
      <c r="D47" s="5">
        <v>22766993.896273412</v>
      </c>
      <c r="E47" s="5">
        <v>86330791.221561477</v>
      </c>
      <c r="F47" s="47"/>
      <c r="H47" s="23" t="s">
        <v>12</v>
      </c>
      <c r="I47" s="5">
        <v>17877896.948361147</v>
      </c>
      <c r="J47" s="5">
        <v>82252937.619490743</v>
      </c>
      <c r="K47" s="5"/>
      <c r="L47" s="5">
        <v>100130834.56785189</v>
      </c>
      <c r="M47" s="50"/>
    </row>
    <row r="48" spans="1:13">
      <c r="A48" s="23" t="s">
        <v>13</v>
      </c>
      <c r="B48" s="5">
        <v>3650882.3206553543</v>
      </c>
      <c r="C48" s="5">
        <v>2108999.6277287197</v>
      </c>
      <c r="D48" s="5">
        <v>3106744.2880164408</v>
      </c>
      <c r="E48" s="5">
        <v>8866626.2364005148</v>
      </c>
      <c r="F48" s="47"/>
      <c r="H48" s="23" t="s">
        <v>13</v>
      </c>
      <c r="I48" s="5">
        <v>2822008.2821773994</v>
      </c>
      <c r="J48" s="5">
        <v>6556180.8575838581</v>
      </c>
      <c r="K48" s="5"/>
      <c r="L48" s="5">
        <v>9378189.1397612579</v>
      </c>
      <c r="M48" s="50"/>
    </row>
    <row r="49" spans="1:13">
      <c r="A49" s="23" t="s">
        <v>163</v>
      </c>
      <c r="B49" s="5">
        <v>7743060.8241326045</v>
      </c>
      <c r="C49" s="5">
        <v>10451228.957831839</v>
      </c>
      <c r="D49" s="5">
        <v>10460173.084956393</v>
      </c>
      <c r="E49" s="5">
        <v>28654462.866920836</v>
      </c>
      <c r="F49" s="47"/>
      <c r="H49" s="23" t="s">
        <v>163</v>
      </c>
      <c r="I49" s="5">
        <v>7878221.9701870726</v>
      </c>
      <c r="J49" s="5">
        <v>27170153.897182155</v>
      </c>
      <c r="K49" s="5"/>
      <c r="L49" s="5">
        <v>35048375.867369227</v>
      </c>
      <c r="M49" s="50"/>
    </row>
    <row r="50" spans="1:13">
      <c r="A50" s="23" t="s">
        <v>164</v>
      </c>
      <c r="B50" s="5">
        <v>13017499.515124625</v>
      </c>
      <c r="C50" s="5">
        <v>4313015.644850946</v>
      </c>
      <c r="D50" s="5">
        <v>11346974.13084911</v>
      </c>
      <c r="E50" s="5">
        <v>28677489.290824682</v>
      </c>
      <c r="F50" s="47"/>
      <c r="H50" s="23" t="s">
        <v>164</v>
      </c>
      <c r="I50" s="5">
        <v>7227424.5014006579</v>
      </c>
      <c r="J50" s="5">
        <v>19387174.204940621</v>
      </c>
      <c r="K50" s="5"/>
      <c r="L50" s="5">
        <v>26614598.706341278</v>
      </c>
      <c r="M50" s="50"/>
    </row>
    <row r="51" spans="1:13">
      <c r="A51" s="23" t="s">
        <v>165</v>
      </c>
      <c r="B51" s="5">
        <v>5912135.5616589952</v>
      </c>
      <c r="C51" s="5">
        <v>6656727.5234889491</v>
      </c>
      <c r="D51" s="5">
        <v>8595422.6470993124</v>
      </c>
      <c r="E51" s="5">
        <v>21164285.732247256</v>
      </c>
      <c r="F51" s="47"/>
      <c r="H51" s="23" t="s">
        <v>165</v>
      </c>
      <c r="I51" s="5">
        <v>4800463.9069954064</v>
      </c>
      <c r="J51" s="5">
        <v>14900326.351260424</v>
      </c>
      <c r="K51" s="5"/>
      <c r="L51" s="5">
        <v>19700790.258255832</v>
      </c>
      <c r="M51" s="50"/>
    </row>
    <row r="52" spans="1:13">
      <c r="A52" s="23" t="s">
        <v>166</v>
      </c>
      <c r="B52" s="5">
        <v>6286813.7792949649</v>
      </c>
      <c r="C52" s="5">
        <v>19067688.778936092</v>
      </c>
      <c r="D52" s="5">
        <v>20300745.044659778</v>
      </c>
      <c r="E52" s="5">
        <v>45655247.602890834</v>
      </c>
      <c r="F52" s="47"/>
      <c r="H52" s="23" t="s">
        <v>166</v>
      </c>
      <c r="I52" s="5">
        <v>14261385.543924693</v>
      </c>
      <c r="J52" s="5">
        <v>52205616.755568892</v>
      </c>
      <c r="K52" s="5"/>
      <c r="L52" s="5">
        <v>66467002.299493581</v>
      </c>
      <c r="M52" s="50"/>
    </row>
    <row r="53" spans="1:13">
      <c r="A53" s="23" t="s">
        <v>203</v>
      </c>
      <c r="B53" s="5">
        <v>6416125.5656436691</v>
      </c>
      <c r="C53" s="5">
        <v>12867029.572143015</v>
      </c>
      <c r="D53" s="5">
        <v>15317277.722147806</v>
      </c>
      <c r="E53" s="5">
        <v>34600432.859934486</v>
      </c>
      <c r="F53" s="47"/>
      <c r="H53" s="23" t="s">
        <v>203</v>
      </c>
      <c r="I53" s="5">
        <v>5308308.0842387984</v>
      </c>
      <c r="J53" s="5">
        <v>20908924.827276953</v>
      </c>
      <c r="K53" s="5"/>
      <c r="L53" s="5">
        <v>26217232.91151575</v>
      </c>
      <c r="M53" s="50"/>
    </row>
    <row r="54" spans="1:13">
      <c r="A54" s="23" t="s">
        <v>167</v>
      </c>
      <c r="B54" s="5">
        <v>33478038.237893794</v>
      </c>
      <c r="C54" s="5">
        <v>24610267.560182244</v>
      </c>
      <c r="D54" s="5">
        <v>34321653.770688102</v>
      </c>
      <c r="E54" s="5">
        <v>92409959.568764135</v>
      </c>
      <c r="F54" s="47"/>
      <c r="H54" s="23" t="s">
        <v>167</v>
      </c>
      <c r="I54" s="5">
        <v>16115430.001355553</v>
      </c>
      <c r="J54" s="5">
        <v>54642410.118496358</v>
      </c>
      <c r="K54" s="5"/>
      <c r="L54" s="5">
        <v>70757840.119851917</v>
      </c>
      <c r="M54" s="50"/>
    </row>
    <row r="55" spans="1:13">
      <c r="A55" s="23" t="s">
        <v>222</v>
      </c>
      <c r="B55" s="5">
        <v>928.15110472493791</v>
      </c>
      <c r="C55" s="5">
        <v>781.87804461139956</v>
      </c>
      <c r="D55" s="5">
        <v>11282.715527601207</v>
      </c>
      <c r="E55" s="5">
        <v>12992.744676937546</v>
      </c>
      <c r="F55" s="47"/>
      <c r="H55" s="23" t="s">
        <v>222</v>
      </c>
      <c r="I55" s="5">
        <v>8018.5922722640444</v>
      </c>
      <c r="J55" s="5">
        <v>8018.5922722640444</v>
      </c>
      <c r="K55" s="5"/>
      <c r="L55" s="5">
        <v>16037.184544528089</v>
      </c>
      <c r="M55" s="50"/>
    </row>
    <row r="56" spans="1:13">
      <c r="A56" s="21" t="s">
        <v>46</v>
      </c>
      <c r="B56" s="38">
        <v>350502589.83719856</v>
      </c>
      <c r="C56" s="38">
        <v>207384145.01330072</v>
      </c>
      <c r="D56" s="38">
        <v>334670084.14950067</v>
      </c>
      <c r="E56" s="38">
        <v>892556818.99999964</v>
      </c>
      <c r="F56" s="47"/>
      <c r="H56" s="21" t="s">
        <v>46</v>
      </c>
      <c r="I56" s="38">
        <v>154082218.15869346</v>
      </c>
      <c r="J56" s="38">
        <v>497980795.87484962</v>
      </c>
      <c r="K56" s="38">
        <v>0</v>
      </c>
      <c r="L56" s="38">
        <v>652063014.03354311</v>
      </c>
      <c r="M56" s="50"/>
    </row>
    <row r="57" spans="1:13">
      <c r="A57" s="3" t="s">
        <v>622</v>
      </c>
      <c r="E57" s="47"/>
      <c r="F57" s="47"/>
      <c r="H57" s="3" t="s">
        <v>623</v>
      </c>
      <c r="L57" s="50"/>
    </row>
  </sheetData>
  <sortState xmlns:xlrd2="http://schemas.microsoft.com/office/spreadsheetml/2017/richdata2" ref="Q26:S35">
    <sortCondition ref="Q26:Q35"/>
  </sortState>
  <pageMargins left="0.7" right="0.7" top="0.75" bottom="0.75" header="0.3" footer="0.3"/>
  <pageSetup scale="4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4"/>
  <sheetViews>
    <sheetView showGridLines="0" zoomScaleNormal="100" workbookViewId="0"/>
  </sheetViews>
  <sheetFormatPr baseColWidth="10" defaultColWidth="33.140625" defaultRowHeight="12.75"/>
  <cols>
    <col min="1" max="1" width="30.7109375" style="3" customWidth="1"/>
    <col min="2" max="4" width="15.7109375" style="6" customWidth="1"/>
    <col min="5" max="5" width="13" style="6" customWidth="1"/>
    <col min="6" max="8" width="8.85546875" style="3" customWidth="1"/>
    <col min="9" max="11" width="6.42578125" style="3" customWidth="1"/>
    <col min="12" max="16384" width="33.140625" style="3"/>
  </cols>
  <sheetData>
    <row r="1" spans="1:13" ht="18.75">
      <c r="A1" s="1" t="s">
        <v>371</v>
      </c>
    </row>
    <row r="3" spans="1:13">
      <c r="A3" s="2" t="s">
        <v>372</v>
      </c>
    </row>
    <row r="4" spans="1:13">
      <c r="A4" s="2" t="s">
        <v>378</v>
      </c>
    </row>
    <row r="5" spans="1:13">
      <c r="A5" s="8" t="s">
        <v>49</v>
      </c>
      <c r="B5" s="8" t="s">
        <v>0</v>
      </c>
      <c r="C5" s="8" t="s">
        <v>1</v>
      </c>
      <c r="D5" s="8" t="s">
        <v>45</v>
      </c>
    </row>
    <row r="6" spans="1:13">
      <c r="A6" s="17">
        <v>2015</v>
      </c>
      <c r="B6" s="62">
        <v>147.22682838962999</v>
      </c>
      <c r="C6" s="62">
        <v>287.52374476352696</v>
      </c>
      <c r="D6" s="62">
        <v>185.62334298697738</v>
      </c>
    </row>
    <row r="7" spans="1:13">
      <c r="A7" s="17">
        <v>2016</v>
      </c>
      <c r="B7" s="63">
        <v>156.72839904952662</v>
      </c>
      <c r="C7" s="63">
        <v>288.50971411118599</v>
      </c>
      <c r="D7" s="64">
        <v>192.56058005773164</v>
      </c>
    </row>
    <row r="8" spans="1:13">
      <c r="A8" s="17">
        <v>2017</v>
      </c>
      <c r="B8" s="63">
        <v>164.38186226557585</v>
      </c>
      <c r="C8" s="63">
        <v>330.95259966376892</v>
      </c>
      <c r="D8" s="64">
        <v>209.1813204729113</v>
      </c>
    </row>
    <row r="9" spans="1:13">
      <c r="A9" s="17">
        <v>2018</v>
      </c>
      <c r="B9" s="63">
        <v>184.64959865937871</v>
      </c>
      <c r="C9" s="63">
        <v>349.65126305688977</v>
      </c>
      <c r="D9" s="64">
        <v>230.03140742929466</v>
      </c>
      <c r="F9" s="44"/>
      <c r="G9" s="44"/>
      <c r="H9" s="44"/>
      <c r="J9" s="44"/>
      <c r="K9" s="44"/>
      <c r="L9" s="44"/>
      <c r="M9" s="44"/>
    </row>
    <row r="10" spans="1:13">
      <c r="A10" s="19">
        <v>2019</v>
      </c>
      <c r="B10" s="27">
        <v>192.5826874762119</v>
      </c>
      <c r="C10" s="27">
        <v>372.11043024895366</v>
      </c>
      <c r="D10" s="65">
        <v>241.83787904998664</v>
      </c>
      <c r="F10" s="44"/>
      <c r="G10" s="44"/>
      <c r="H10" s="44"/>
      <c r="J10" s="44"/>
      <c r="K10" s="44"/>
      <c r="L10" s="44"/>
      <c r="M10" s="44"/>
    </row>
    <row r="13" spans="1:13">
      <c r="A13" s="2" t="s">
        <v>373</v>
      </c>
    </row>
    <row r="14" spans="1:13">
      <c r="A14" s="2" t="s">
        <v>379</v>
      </c>
    </row>
    <row r="15" spans="1:13">
      <c r="A15" s="8" t="s">
        <v>49</v>
      </c>
      <c r="B15" s="8" t="s">
        <v>0</v>
      </c>
      <c r="C15" s="8" t="s">
        <v>1</v>
      </c>
      <c r="D15" s="8" t="s">
        <v>45</v>
      </c>
    </row>
    <row r="16" spans="1:13">
      <c r="A16" s="17">
        <v>2015</v>
      </c>
      <c r="B16" s="62">
        <v>8.2667197341677614</v>
      </c>
      <c r="C16" s="62">
        <v>7.5924027874735653</v>
      </c>
      <c r="D16" s="62">
        <v>8.0821724101340617</v>
      </c>
    </row>
    <row r="17" spans="1:8">
      <c r="A17" s="17">
        <v>2016</v>
      </c>
      <c r="B17" s="63">
        <v>8.7135611122032479</v>
      </c>
      <c r="C17" s="63">
        <v>7.0583023047650384</v>
      </c>
      <c r="D17" s="64">
        <v>8.2634856733916067</v>
      </c>
    </row>
    <row r="18" spans="1:8">
      <c r="A18" s="17">
        <v>2017</v>
      </c>
      <c r="B18" s="63">
        <v>9.1471592247188376</v>
      </c>
      <c r="C18" s="63">
        <v>7.6213874275463267</v>
      </c>
      <c r="D18" s="64">
        <v>8.7368005330960763</v>
      </c>
      <c r="F18" s="6"/>
    </row>
    <row r="19" spans="1:8">
      <c r="A19" s="17">
        <v>2018</v>
      </c>
      <c r="B19" s="63">
        <v>10.315406211849846</v>
      </c>
      <c r="C19" s="63">
        <v>8.3671195039148163</v>
      </c>
      <c r="D19" s="64">
        <v>9.7795523758820533</v>
      </c>
      <c r="F19" s="44"/>
      <c r="G19" s="44"/>
      <c r="H19" s="44"/>
    </row>
    <row r="20" spans="1:8">
      <c r="A20" s="19">
        <v>2019</v>
      </c>
      <c r="B20" s="27">
        <v>12.161755275674548</v>
      </c>
      <c r="C20" s="27">
        <v>8.6617024944078267</v>
      </c>
      <c r="D20" s="65">
        <v>11.201481573142422</v>
      </c>
      <c r="F20" s="44"/>
      <c r="G20" s="44"/>
      <c r="H20" s="44"/>
    </row>
    <row r="21" spans="1:8">
      <c r="F21" s="45"/>
      <c r="G21" s="45"/>
      <c r="H21" s="45"/>
    </row>
    <row r="23" spans="1:8">
      <c r="A23" s="2" t="s">
        <v>374</v>
      </c>
    </row>
    <row r="24" spans="1:8">
      <c r="A24" s="2" t="s">
        <v>382</v>
      </c>
    </row>
    <row r="25" spans="1:8">
      <c r="A25" s="8" t="s">
        <v>49</v>
      </c>
      <c r="B25" s="8" t="s">
        <v>0</v>
      </c>
      <c r="C25" s="8" t="s">
        <v>1</v>
      </c>
      <c r="D25" s="8" t="s">
        <v>45</v>
      </c>
    </row>
    <row r="26" spans="1:8">
      <c r="A26" s="17">
        <v>2015</v>
      </c>
      <c r="B26" s="62">
        <v>17.809582654788262</v>
      </c>
      <c r="C26" s="62">
        <v>37.869927717468059</v>
      </c>
      <c r="D26" s="62">
        <v>22.967011042009975</v>
      </c>
    </row>
    <row r="27" spans="1:8">
      <c r="A27" s="17">
        <v>2016</v>
      </c>
      <c r="B27" s="63">
        <v>17.986721735391306</v>
      </c>
      <c r="C27" s="63">
        <v>40.875227732370426</v>
      </c>
      <c r="D27" s="64">
        <v>23.302585333665672</v>
      </c>
    </row>
    <row r="28" spans="1:8">
      <c r="A28" s="17">
        <v>2017</v>
      </c>
      <c r="B28" s="63">
        <v>17.970810196608181</v>
      </c>
      <c r="C28" s="63">
        <v>43.424193141998252</v>
      </c>
      <c r="D28" s="64">
        <v>23.942554219992399</v>
      </c>
    </row>
    <row r="29" spans="1:8">
      <c r="A29" s="17">
        <v>2018</v>
      </c>
      <c r="B29" s="63">
        <v>17.900371043775483</v>
      </c>
      <c r="C29" s="63">
        <v>41.788725844455143</v>
      </c>
      <c r="D29" s="64">
        <v>23.521670377939696</v>
      </c>
      <c r="F29" s="44"/>
      <c r="G29" s="44"/>
      <c r="H29" s="44"/>
    </row>
    <row r="30" spans="1:8">
      <c r="A30" s="19">
        <v>2019</v>
      </c>
      <c r="B30" s="27">
        <v>17.692863147517354</v>
      </c>
      <c r="C30" s="27">
        <v>42.960426138994713</v>
      </c>
      <c r="D30" s="65">
        <v>23.664019414542157</v>
      </c>
      <c r="F30" s="44"/>
      <c r="G30" s="44"/>
      <c r="H30" s="44"/>
    </row>
    <row r="31" spans="1:8" ht="41.1" customHeight="1">
      <c r="A31" s="115" t="s">
        <v>629</v>
      </c>
      <c r="B31" s="115"/>
      <c r="C31" s="115"/>
      <c r="D31" s="115"/>
      <c r="F31" s="45"/>
      <c r="G31" s="45"/>
      <c r="H31" s="45"/>
    </row>
    <row r="33" spans="1:8">
      <c r="A33" s="2" t="s">
        <v>375</v>
      </c>
    </row>
    <row r="34" spans="1:8">
      <c r="A34" s="2" t="s">
        <v>384</v>
      </c>
    </row>
    <row r="35" spans="1:8">
      <c r="A35" s="8" t="s">
        <v>49</v>
      </c>
      <c r="B35" s="8" t="s">
        <v>0</v>
      </c>
      <c r="C35" s="8" t="s">
        <v>1</v>
      </c>
      <c r="D35" s="8" t="s">
        <v>45</v>
      </c>
    </row>
    <row r="36" spans="1:8">
      <c r="A36" s="17">
        <v>2015</v>
      </c>
      <c r="B36" s="62">
        <v>200.54521359751558</v>
      </c>
      <c r="C36" s="62">
        <v>274.78181344141609</v>
      </c>
      <c r="D36" s="62">
        <v>226.48418649216762</v>
      </c>
    </row>
    <row r="37" spans="1:8">
      <c r="A37" s="17">
        <v>2016</v>
      </c>
      <c r="B37" s="63">
        <v>209.08205570201099</v>
      </c>
      <c r="C37" s="63">
        <v>285.48705268292741</v>
      </c>
      <c r="D37" s="64">
        <v>234.66801513447294</v>
      </c>
    </row>
    <row r="38" spans="1:8">
      <c r="A38" s="17">
        <v>2017</v>
      </c>
      <c r="B38" s="63">
        <v>206.76925609815848</v>
      </c>
      <c r="C38" s="63">
        <v>308.98988369039444</v>
      </c>
      <c r="D38" s="64">
        <v>240.64493044727334</v>
      </c>
    </row>
    <row r="39" spans="1:8">
      <c r="A39" s="17">
        <v>2018</v>
      </c>
      <c r="B39" s="63">
        <v>207.60548157730938</v>
      </c>
      <c r="C39" s="63">
        <v>316.86908785610046</v>
      </c>
      <c r="D39" s="64">
        <v>242.57438718961245</v>
      </c>
      <c r="F39" s="44"/>
      <c r="G39" s="44"/>
      <c r="H39" s="44"/>
    </row>
    <row r="40" spans="1:8">
      <c r="A40" s="19">
        <v>2019</v>
      </c>
      <c r="B40" s="27">
        <v>207.03383564160399</v>
      </c>
      <c r="C40" s="27">
        <v>323.33040481494743</v>
      </c>
      <c r="D40" s="65">
        <v>244.09783147218261</v>
      </c>
      <c r="F40" s="44"/>
      <c r="G40" s="44"/>
      <c r="H40" s="44"/>
    </row>
    <row r="41" spans="1:8">
      <c r="B41" s="71"/>
    </row>
    <row r="43" spans="1:8">
      <c r="A43" s="2" t="s">
        <v>376</v>
      </c>
    </row>
    <row r="44" spans="1:8">
      <c r="A44" s="2" t="s">
        <v>381</v>
      </c>
    </row>
    <row r="45" spans="1:8">
      <c r="A45" s="8" t="s">
        <v>49</v>
      </c>
      <c r="B45" s="8" t="s">
        <v>0</v>
      </c>
      <c r="C45" s="8" t="s">
        <v>1</v>
      </c>
      <c r="D45" s="8" t="s">
        <v>45</v>
      </c>
    </row>
    <row r="46" spans="1:8">
      <c r="A46" s="17">
        <v>2015</v>
      </c>
      <c r="B46" s="62">
        <v>11.260522915375406</v>
      </c>
      <c r="C46" s="62">
        <v>7.2559370984663625</v>
      </c>
      <c r="D46" s="62">
        <v>9.8612826056423017</v>
      </c>
    </row>
    <row r="47" spans="1:8">
      <c r="A47" s="17">
        <v>2016</v>
      </c>
      <c r="B47" s="63">
        <v>11.624244749982083</v>
      </c>
      <c r="C47" s="63">
        <v>6.9843538133205527</v>
      </c>
      <c r="D47" s="64">
        <v>10.070471227732991</v>
      </c>
    </row>
    <row r="48" spans="1:8">
      <c r="A48" s="17">
        <v>2017</v>
      </c>
      <c r="B48" s="63">
        <v>11.505839404902524</v>
      </c>
      <c r="C48" s="63">
        <v>7.1156160041935461</v>
      </c>
      <c r="D48" s="64">
        <v>10.050929747768146</v>
      </c>
    </row>
    <row r="49" spans="1:11">
      <c r="A49" s="17">
        <v>2018</v>
      </c>
      <c r="B49" s="63">
        <v>11.597831188504905</v>
      </c>
      <c r="C49" s="63">
        <v>7.5826453535707676</v>
      </c>
      <c r="D49" s="64">
        <v>10.312804460397338</v>
      </c>
      <c r="F49" s="45"/>
      <c r="G49" s="45"/>
      <c r="H49" s="45"/>
    </row>
    <row r="50" spans="1:11">
      <c r="A50" s="19">
        <v>2019</v>
      </c>
      <c r="B50" s="27">
        <v>13.074357180566547</v>
      </c>
      <c r="C50" s="27">
        <v>7.5262383051983726</v>
      </c>
      <c r="D50" s="65">
        <v>11.306158373620706</v>
      </c>
      <c r="F50" s="45"/>
      <c r="G50" s="45"/>
      <c r="H50" s="45"/>
      <c r="I50" s="45"/>
      <c r="J50" s="45"/>
      <c r="K50" s="45"/>
    </row>
    <row r="51" spans="1:11">
      <c r="B51" s="72"/>
    </row>
    <row r="53" spans="1:11">
      <c r="A53" s="2" t="s">
        <v>377</v>
      </c>
    </row>
    <row r="54" spans="1:11">
      <c r="A54" s="2" t="s">
        <v>380</v>
      </c>
    </row>
    <row r="55" spans="1:11">
      <c r="A55" s="8" t="s">
        <v>49</v>
      </c>
      <c r="B55" s="8" t="s">
        <v>0</v>
      </c>
      <c r="C55" s="8" t="s">
        <v>1</v>
      </c>
      <c r="D55" s="8" t="s">
        <v>45</v>
      </c>
    </row>
    <row r="56" spans="1:11">
      <c r="A56" s="17">
        <v>2015</v>
      </c>
      <c r="B56" s="67">
        <v>2.4998216110389909E-2</v>
      </c>
      <c r="C56" s="67">
        <v>1.9333675403711698E-2</v>
      </c>
      <c r="D56" s="67">
        <v>2.2236372833381226E-2</v>
      </c>
    </row>
    <row r="57" spans="1:11">
      <c r="A57" s="17">
        <v>2016</v>
      </c>
      <c r="B57" s="61">
        <v>2.5915420981387542E-2</v>
      </c>
      <c r="C57" s="61">
        <v>1.9240743800474094E-2</v>
      </c>
      <c r="D57" s="68">
        <v>2.2706422025629613E-2</v>
      </c>
    </row>
    <row r="58" spans="1:11">
      <c r="A58" s="17">
        <v>2017</v>
      </c>
      <c r="B58" s="61">
        <v>2.6533712285332293E-2</v>
      </c>
      <c r="C58" s="61">
        <v>2.1815285050033117E-2</v>
      </c>
      <c r="D58" s="68">
        <v>2.429749112719198E-2</v>
      </c>
    </row>
    <row r="59" spans="1:11">
      <c r="A59" s="17">
        <v>2018</v>
      </c>
      <c r="B59" s="61">
        <v>2.6933916805225354E-2</v>
      </c>
      <c r="C59" s="61">
        <v>2.2445050159195047E-2</v>
      </c>
      <c r="D59" s="68">
        <v>2.4855732189550037E-2</v>
      </c>
      <c r="F59" s="44"/>
      <c r="G59" s="44"/>
      <c r="H59" s="44"/>
    </row>
    <row r="60" spans="1:11">
      <c r="A60" s="19">
        <v>2019</v>
      </c>
      <c r="B60" s="69">
        <v>2.7774837174539081E-2</v>
      </c>
      <c r="C60" s="69">
        <v>2.3255478005524077E-2</v>
      </c>
      <c r="D60" s="70">
        <v>2.5668983378979351E-2</v>
      </c>
      <c r="F60" s="44"/>
      <c r="G60" s="44"/>
      <c r="H60" s="44"/>
    </row>
    <row r="61" spans="1:11">
      <c r="G61" s="44"/>
    </row>
    <row r="63" spans="1:11">
      <c r="F63" s="66"/>
      <c r="G63" s="66"/>
      <c r="H63" s="66"/>
    </row>
    <row r="64" spans="1:11">
      <c r="F64" s="73"/>
      <c r="G64" s="73"/>
      <c r="H64" s="73"/>
    </row>
  </sheetData>
  <mergeCells count="1">
    <mergeCell ref="A31:D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818"/>
  <sheetViews>
    <sheetView showGridLines="0" zoomScaleNormal="100" workbookViewId="0"/>
  </sheetViews>
  <sheetFormatPr baseColWidth="10" defaultColWidth="33.140625" defaultRowHeight="12.75"/>
  <cols>
    <col min="1" max="1" width="41.85546875" style="3" customWidth="1"/>
    <col min="2" max="5" width="17.140625" style="6" customWidth="1"/>
    <col min="6" max="6" width="10.42578125" style="48" customWidth="1"/>
    <col min="7" max="7" width="37.28515625" style="3" customWidth="1"/>
    <col min="8" max="10" width="13.28515625" style="3" customWidth="1"/>
    <col min="11" max="11" width="13.28515625" style="6" customWidth="1"/>
    <col min="12" max="12" width="8.42578125" style="49" customWidth="1"/>
    <col min="13" max="16384" width="33.140625" style="3"/>
  </cols>
  <sheetData>
    <row r="1" spans="1:12" ht="18.75">
      <c r="A1" s="1" t="s">
        <v>219</v>
      </c>
    </row>
    <row r="2" spans="1:12">
      <c r="A2" s="7"/>
    </row>
    <row r="3" spans="1:12">
      <c r="A3" s="7" t="s">
        <v>205</v>
      </c>
    </row>
    <row r="4" spans="1:12">
      <c r="A4" s="7" t="s">
        <v>268</v>
      </c>
    </row>
    <row r="5" spans="1:12">
      <c r="A5" s="8" t="s">
        <v>173</v>
      </c>
      <c r="B5" s="8" t="s">
        <v>590</v>
      </c>
      <c r="C5" s="8" t="s">
        <v>1</v>
      </c>
      <c r="D5" s="8" t="s">
        <v>45</v>
      </c>
      <c r="E5" s="48"/>
    </row>
    <row r="6" spans="1:12">
      <c r="A6" s="23" t="s">
        <v>174</v>
      </c>
      <c r="B6" s="4">
        <v>1447011</v>
      </c>
      <c r="C6" s="4">
        <v>499468</v>
      </c>
      <c r="D6" s="4">
        <v>1946479</v>
      </c>
      <c r="E6" s="47"/>
    </row>
    <row r="7" spans="1:12">
      <c r="A7" s="23" t="s">
        <v>175</v>
      </c>
      <c r="B7" s="5">
        <v>3114555</v>
      </c>
      <c r="C7" s="5">
        <v>1089255</v>
      </c>
      <c r="D7" s="5">
        <v>4203810</v>
      </c>
      <c r="E7" s="47"/>
    </row>
    <row r="8" spans="1:12">
      <c r="A8" s="23" t="s">
        <v>222</v>
      </c>
      <c r="B8" s="5">
        <v>14</v>
      </c>
      <c r="C8" s="5"/>
      <c r="D8" s="5">
        <v>14</v>
      </c>
      <c r="E8" s="47"/>
    </row>
    <row r="9" spans="1:12">
      <c r="A9" s="21" t="s">
        <v>46</v>
      </c>
      <c r="B9" s="38">
        <v>4561580</v>
      </c>
      <c r="C9" s="38">
        <v>1588723</v>
      </c>
      <c r="D9" s="38">
        <v>6150303</v>
      </c>
      <c r="E9" s="47"/>
    </row>
    <row r="10" spans="1:12">
      <c r="A10" s="3" t="s">
        <v>228</v>
      </c>
      <c r="B10" s="47"/>
      <c r="C10" s="47"/>
      <c r="D10" s="47"/>
      <c r="E10" s="48"/>
    </row>
    <row r="12" spans="1:12">
      <c r="A12" s="7" t="s">
        <v>206</v>
      </c>
      <c r="G12" s="7" t="s">
        <v>207</v>
      </c>
    </row>
    <row r="13" spans="1:12">
      <c r="A13" s="7" t="s">
        <v>591</v>
      </c>
      <c r="G13" s="7" t="s">
        <v>351</v>
      </c>
    </row>
    <row r="14" spans="1:12">
      <c r="A14" s="28" t="s">
        <v>50</v>
      </c>
      <c r="B14" s="28" t="s">
        <v>169</v>
      </c>
      <c r="C14" s="28" t="s">
        <v>170</v>
      </c>
      <c r="D14" s="28" t="s">
        <v>223</v>
      </c>
      <c r="E14" s="28" t="s">
        <v>48</v>
      </c>
      <c r="F14" s="49"/>
      <c r="G14" s="28" t="s">
        <v>50</v>
      </c>
      <c r="H14" s="28" t="s">
        <v>169</v>
      </c>
      <c r="I14" s="28" t="s">
        <v>170</v>
      </c>
      <c r="J14" s="8" t="s">
        <v>223</v>
      </c>
      <c r="K14" s="28" t="s">
        <v>48</v>
      </c>
    </row>
    <row r="15" spans="1:12">
      <c r="A15" s="14" t="s">
        <v>5</v>
      </c>
      <c r="B15" s="4">
        <v>604802</v>
      </c>
      <c r="C15" s="4">
        <v>1029402</v>
      </c>
      <c r="D15" s="4">
        <v>4</v>
      </c>
      <c r="E15" s="4">
        <v>1634208</v>
      </c>
      <c r="F15" s="47"/>
      <c r="G15" s="14" t="s">
        <v>5</v>
      </c>
      <c r="H15" s="4">
        <v>170009</v>
      </c>
      <c r="I15" s="4">
        <v>588356</v>
      </c>
      <c r="J15" s="4"/>
      <c r="K15" s="15">
        <v>758365</v>
      </c>
      <c r="L15" s="50"/>
    </row>
    <row r="16" spans="1:12">
      <c r="A16" s="17" t="s">
        <v>6</v>
      </c>
      <c r="B16" s="5">
        <v>842209</v>
      </c>
      <c r="C16" s="5">
        <v>2085153</v>
      </c>
      <c r="D16" s="5">
        <v>10</v>
      </c>
      <c r="E16" s="5">
        <v>2927372</v>
      </c>
      <c r="F16" s="47"/>
      <c r="G16" s="17" t="s">
        <v>6</v>
      </c>
      <c r="H16" s="5">
        <v>329459</v>
      </c>
      <c r="I16" s="5">
        <v>500899</v>
      </c>
      <c r="J16" s="5"/>
      <c r="K16" s="10">
        <v>830358</v>
      </c>
      <c r="L16" s="50"/>
    </row>
    <row r="17" spans="1:12">
      <c r="A17" s="23" t="s">
        <v>222</v>
      </c>
      <c r="B17" s="5"/>
      <c r="C17" s="5"/>
      <c r="D17" s="5"/>
      <c r="E17" s="5">
        <v>0</v>
      </c>
      <c r="F17" s="47"/>
      <c r="G17" s="23" t="s">
        <v>222</v>
      </c>
      <c r="H17" s="5"/>
      <c r="I17" s="5"/>
      <c r="J17" s="5"/>
      <c r="K17" s="10">
        <v>0</v>
      </c>
      <c r="L17" s="50"/>
    </row>
    <row r="18" spans="1:12">
      <c r="A18" s="21" t="s">
        <v>46</v>
      </c>
      <c r="B18" s="38">
        <v>1447011</v>
      </c>
      <c r="C18" s="38">
        <v>3114555</v>
      </c>
      <c r="D18" s="38">
        <v>14</v>
      </c>
      <c r="E18" s="38">
        <v>4561580</v>
      </c>
      <c r="F18" s="47"/>
      <c r="G18" s="21" t="s">
        <v>46</v>
      </c>
      <c r="H18" s="38">
        <v>499468</v>
      </c>
      <c r="I18" s="38">
        <v>1089255</v>
      </c>
      <c r="J18" s="38">
        <v>0</v>
      </c>
      <c r="K18" s="38">
        <v>1588723</v>
      </c>
      <c r="L18" s="50"/>
    </row>
    <row r="19" spans="1:12">
      <c r="A19" s="3" t="s">
        <v>228</v>
      </c>
      <c r="B19" s="50"/>
      <c r="C19" s="50"/>
      <c r="D19" s="50"/>
      <c r="E19" s="50"/>
      <c r="F19" s="47"/>
      <c r="H19" s="55"/>
      <c r="I19" s="55"/>
      <c r="J19" s="56"/>
      <c r="K19" s="55"/>
    </row>
    <row r="20" spans="1:12">
      <c r="E20" s="3"/>
      <c r="F20" s="47"/>
      <c r="H20" s="6"/>
      <c r="I20" s="6"/>
      <c r="J20" s="6"/>
      <c r="K20" s="3"/>
    </row>
    <row r="21" spans="1:12">
      <c r="A21" s="7" t="s">
        <v>208</v>
      </c>
      <c r="E21" s="3"/>
      <c r="F21" s="47"/>
      <c r="G21" s="7" t="s">
        <v>209</v>
      </c>
      <c r="H21" s="6"/>
      <c r="I21" s="6"/>
      <c r="J21" s="6"/>
      <c r="K21" s="3"/>
    </row>
    <row r="22" spans="1:12">
      <c r="A22" s="7" t="s">
        <v>592</v>
      </c>
      <c r="E22" s="3"/>
      <c r="F22" s="47"/>
      <c r="G22" s="7" t="s">
        <v>352</v>
      </c>
      <c r="H22" s="6"/>
      <c r="I22" s="6"/>
      <c r="J22" s="6"/>
      <c r="K22" s="3"/>
    </row>
    <row r="23" spans="1:12">
      <c r="A23" s="16" t="s">
        <v>51</v>
      </c>
      <c r="B23" s="28" t="s">
        <v>169</v>
      </c>
      <c r="C23" s="28" t="s">
        <v>170</v>
      </c>
      <c r="D23" s="28" t="s">
        <v>223</v>
      </c>
      <c r="E23" s="28" t="s">
        <v>48</v>
      </c>
      <c r="F23" s="47"/>
      <c r="G23" s="16" t="s">
        <v>51</v>
      </c>
      <c r="H23" s="28" t="s">
        <v>169</v>
      </c>
      <c r="I23" s="28" t="s">
        <v>170</v>
      </c>
      <c r="J23" s="8" t="s">
        <v>223</v>
      </c>
      <c r="K23" s="28" t="s">
        <v>48</v>
      </c>
    </row>
    <row r="24" spans="1:12">
      <c r="A24" s="14" t="s">
        <v>40</v>
      </c>
      <c r="B24" s="4">
        <v>9707</v>
      </c>
      <c r="C24" s="4">
        <v>19266</v>
      </c>
      <c r="D24" s="4"/>
      <c r="E24" s="4">
        <v>28973</v>
      </c>
      <c r="F24" s="47"/>
      <c r="G24" s="14" t="s">
        <v>40</v>
      </c>
      <c r="H24" s="4">
        <v>23</v>
      </c>
      <c r="I24" s="4">
        <v>1282</v>
      </c>
      <c r="J24" s="4"/>
      <c r="K24" s="4">
        <v>1305</v>
      </c>
      <c r="L24" s="50"/>
    </row>
    <row r="25" spans="1:12">
      <c r="A25" s="17" t="s">
        <v>2</v>
      </c>
      <c r="B25" s="5">
        <v>87679</v>
      </c>
      <c r="C25" s="5">
        <v>256113</v>
      </c>
      <c r="D25" s="5"/>
      <c r="E25" s="5">
        <v>343792</v>
      </c>
      <c r="F25" s="47"/>
      <c r="G25" s="17" t="s">
        <v>2</v>
      </c>
      <c r="H25" s="5">
        <v>2863</v>
      </c>
      <c r="I25" s="5">
        <v>44154</v>
      </c>
      <c r="J25" s="5"/>
      <c r="K25" s="5">
        <v>47017</v>
      </c>
      <c r="L25" s="50"/>
    </row>
    <row r="26" spans="1:12">
      <c r="A26" s="17" t="s">
        <v>41</v>
      </c>
      <c r="B26" s="5">
        <v>333958</v>
      </c>
      <c r="C26" s="5">
        <v>1025358</v>
      </c>
      <c r="D26" s="5">
        <v>7</v>
      </c>
      <c r="E26" s="5">
        <v>1359323</v>
      </c>
      <c r="F26" s="47"/>
      <c r="G26" s="17" t="s">
        <v>41</v>
      </c>
      <c r="H26" s="5">
        <v>153059</v>
      </c>
      <c r="I26" s="5">
        <v>388644</v>
      </c>
      <c r="J26" s="5"/>
      <c r="K26" s="5">
        <v>541703</v>
      </c>
      <c r="L26" s="50"/>
    </row>
    <row r="27" spans="1:12">
      <c r="A27" s="17" t="s">
        <v>42</v>
      </c>
      <c r="B27" s="5">
        <v>310443</v>
      </c>
      <c r="C27" s="5">
        <v>750717</v>
      </c>
      <c r="D27" s="5">
        <v>2</v>
      </c>
      <c r="E27" s="5">
        <v>1061162</v>
      </c>
      <c r="F27" s="47"/>
      <c r="G27" s="17" t="s">
        <v>42</v>
      </c>
      <c r="H27" s="5">
        <v>156148</v>
      </c>
      <c r="I27" s="5">
        <v>317572</v>
      </c>
      <c r="J27" s="5"/>
      <c r="K27" s="5">
        <v>473720</v>
      </c>
      <c r="L27" s="50"/>
    </row>
    <row r="28" spans="1:12">
      <c r="A28" s="17" t="s">
        <v>43</v>
      </c>
      <c r="B28" s="5">
        <v>321509</v>
      </c>
      <c r="C28" s="5">
        <v>561440</v>
      </c>
      <c r="D28" s="5">
        <v>3</v>
      </c>
      <c r="E28" s="5">
        <v>882952</v>
      </c>
      <c r="F28" s="47"/>
      <c r="G28" s="17" t="s">
        <v>43</v>
      </c>
      <c r="H28" s="5">
        <v>89195</v>
      </c>
      <c r="I28" s="5">
        <v>193582</v>
      </c>
      <c r="J28" s="5"/>
      <c r="K28" s="5">
        <v>282777</v>
      </c>
      <c r="L28" s="50"/>
    </row>
    <row r="29" spans="1:12">
      <c r="A29" s="17" t="s">
        <v>44</v>
      </c>
      <c r="B29" s="5">
        <v>283819</v>
      </c>
      <c r="C29" s="5">
        <v>395512</v>
      </c>
      <c r="D29" s="5">
        <v>2</v>
      </c>
      <c r="E29" s="5">
        <v>679333</v>
      </c>
      <c r="F29" s="47"/>
      <c r="G29" s="17" t="s">
        <v>44</v>
      </c>
      <c r="H29" s="5">
        <v>80337</v>
      </c>
      <c r="I29" s="5">
        <v>117902</v>
      </c>
      <c r="J29" s="5"/>
      <c r="K29" s="5">
        <v>198239</v>
      </c>
      <c r="L29" s="50"/>
    </row>
    <row r="30" spans="1:12">
      <c r="A30" s="17" t="s">
        <v>3</v>
      </c>
      <c r="B30" s="5">
        <v>99896</v>
      </c>
      <c r="C30" s="5">
        <v>106149</v>
      </c>
      <c r="D30" s="5"/>
      <c r="E30" s="5">
        <v>206045</v>
      </c>
      <c r="F30" s="47"/>
      <c r="G30" s="17" t="s">
        <v>3</v>
      </c>
      <c r="H30" s="5">
        <v>17843</v>
      </c>
      <c r="I30" s="5">
        <v>26113</v>
      </c>
      <c r="J30" s="5"/>
      <c r="K30" s="5">
        <v>43956</v>
      </c>
      <c r="L30" s="50"/>
    </row>
    <row r="31" spans="1:12">
      <c r="A31" s="23" t="s">
        <v>222</v>
      </c>
      <c r="B31" s="5"/>
      <c r="C31" s="5">
        <v>0</v>
      </c>
      <c r="D31" s="5"/>
      <c r="E31" s="5">
        <v>0</v>
      </c>
      <c r="F31" s="47"/>
      <c r="G31" s="23" t="s">
        <v>222</v>
      </c>
      <c r="H31" s="5"/>
      <c r="I31" s="5">
        <v>6</v>
      </c>
      <c r="J31" s="5"/>
      <c r="K31" s="5">
        <v>6</v>
      </c>
      <c r="L31" s="50"/>
    </row>
    <row r="32" spans="1:12">
      <c r="A32" s="21" t="s">
        <v>46</v>
      </c>
      <c r="B32" s="38">
        <v>1447011</v>
      </c>
      <c r="C32" s="38">
        <v>3114555</v>
      </c>
      <c r="D32" s="38">
        <v>14</v>
      </c>
      <c r="E32" s="38">
        <v>4561580</v>
      </c>
      <c r="F32" s="47"/>
      <c r="G32" s="21" t="s">
        <v>46</v>
      </c>
      <c r="H32" s="38">
        <v>499468</v>
      </c>
      <c r="I32" s="38">
        <v>1089255</v>
      </c>
      <c r="J32" s="38">
        <v>0</v>
      </c>
      <c r="K32" s="38">
        <v>1588723</v>
      </c>
      <c r="L32" s="50"/>
    </row>
    <row r="33" spans="1:13">
      <c r="A33" s="3" t="s">
        <v>228</v>
      </c>
      <c r="B33" s="47"/>
      <c r="C33" s="47"/>
      <c r="D33" s="47"/>
      <c r="E33" s="47"/>
      <c r="F33" s="47"/>
      <c r="H33" s="55"/>
      <c r="I33" s="55"/>
      <c r="J33" s="56"/>
      <c r="K33" s="55"/>
    </row>
    <row r="34" spans="1:13">
      <c r="E34" s="3"/>
      <c r="F34" s="47"/>
      <c r="H34" s="6"/>
      <c r="I34" s="6"/>
      <c r="J34" s="6"/>
      <c r="K34" s="3"/>
    </row>
    <row r="35" spans="1:13">
      <c r="A35" s="7" t="s">
        <v>210</v>
      </c>
      <c r="E35" s="3"/>
      <c r="F35" s="47"/>
      <c r="G35" s="7" t="s">
        <v>211</v>
      </c>
      <c r="H35" s="6"/>
      <c r="I35" s="6"/>
      <c r="J35" s="6"/>
      <c r="K35" s="3"/>
    </row>
    <row r="36" spans="1:13">
      <c r="A36" s="7" t="s">
        <v>593</v>
      </c>
      <c r="E36" s="3"/>
      <c r="F36" s="47"/>
      <c r="G36" s="7" t="s">
        <v>353</v>
      </c>
      <c r="H36" s="6"/>
      <c r="I36" s="6"/>
      <c r="J36" s="6"/>
      <c r="K36" s="3"/>
    </row>
    <row r="37" spans="1:13">
      <c r="A37" s="8" t="s">
        <v>148</v>
      </c>
      <c r="B37" s="28" t="s">
        <v>169</v>
      </c>
      <c r="C37" s="28" t="s">
        <v>170</v>
      </c>
      <c r="D37" s="28" t="s">
        <v>383</v>
      </c>
      <c r="E37" s="28" t="s">
        <v>48</v>
      </c>
      <c r="F37" s="47"/>
      <c r="G37" s="8" t="s">
        <v>148</v>
      </c>
      <c r="H37" s="28" t="s">
        <v>169</v>
      </c>
      <c r="I37" s="28" t="s">
        <v>170</v>
      </c>
      <c r="J37" s="8" t="s">
        <v>223</v>
      </c>
      <c r="K37" s="28" t="s">
        <v>48</v>
      </c>
    </row>
    <row r="38" spans="1:13">
      <c r="A38" s="23" t="s">
        <v>9</v>
      </c>
      <c r="B38" s="40">
        <v>211875</v>
      </c>
      <c r="C38" s="40">
        <v>915593</v>
      </c>
      <c r="D38" s="40">
        <v>2</v>
      </c>
      <c r="E38" s="40">
        <v>1127470</v>
      </c>
      <c r="F38" s="47"/>
      <c r="G38" s="23" t="s">
        <v>9</v>
      </c>
      <c r="H38" s="4">
        <v>87706</v>
      </c>
      <c r="I38" s="4">
        <v>234607</v>
      </c>
      <c r="J38" s="5"/>
      <c r="K38" s="5">
        <v>322313</v>
      </c>
      <c r="L38" s="50"/>
      <c r="M38" s="39"/>
    </row>
    <row r="39" spans="1:13">
      <c r="A39" s="23" t="s">
        <v>10</v>
      </c>
      <c r="B39" s="41">
        <v>316343</v>
      </c>
      <c r="C39" s="41">
        <v>694574</v>
      </c>
      <c r="D39" s="41">
        <v>3</v>
      </c>
      <c r="E39" s="41">
        <v>1010920</v>
      </c>
      <c r="F39" s="47"/>
      <c r="G39" s="23" t="s">
        <v>10</v>
      </c>
      <c r="H39" s="5">
        <v>66861</v>
      </c>
      <c r="I39" s="5">
        <v>178579</v>
      </c>
      <c r="J39" s="5"/>
      <c r="K39" s="5">
        <v>245440</v>
      </c>
      <c r="L39" s="50"/>
      <c r="M39" s="39"/>
    </row>
    <row r="40" spans="1:13">
      <c r="A40" s="23" t="s">
        <v>11</v>
      </c>
      <c r="B40" s="41">
        <v>154268</v>
      </c>
      <c r="C40" s="41">
        <v>432291</v>
      </c>
      <c r="D40" s="41">
        <v>5</v>
      </c>
      <c r="E40" s="41">
        <v>586564</v>
      </c>
      <c r="F40" s="50"/>
      <c r="G40" s="23" t="s">
        <v>11</v>
      </c>
      <c r="H40" s="5">
        <v>118465</v>
      </c>
      <c r="I40" s="5">
        <v>190594</v>
      </c>
      <c r="J40" s="5"/>
      <c r="K40" s="5">
        <v>309059</v>
      </c>
      <c r="L40" s="50"/>
      <c r="M40" s="39"/>
    </row>
    <row r="41" spans="1:13">
      <c r="A41" s="23" t="s">
        <v>12</v>
      </c>
      <c r="B41" s="41">
        <v>175007</v>
      </c>
      <c r="C41" s="41">
        <v>170451</v>
      </c>
      <c r="D41" s="41">
        <v>1</v>
      </c>
      <c r="E41" s="41">
        <v>345459</v>
      </c>
      <c r="F41" s="50"/>
      <c r="G41" s="23" t="s">
        <v>12</v>
      </c>
      <c r="H41" s="5">
        <v>25209</v>
      </c>
      <c r="I41" s="5">
        <v>96619</v>
      </c>
      <c r="J41" s="5"/>
      <c r="K41" s="5">
        <v>121828</v>
      </c>
      <c r="L41" s="50"/>
      <c r="M41" s="39"/>
    </row>
    <row r="42" spans="1:13">
      <c r="A42" s="23" t="s">
        <v>13</v>
      </c>
      <c r="B42" s="41">
        <v>63264</v>
      </c>
      <c r="C42" s="41">
        <v>194314</v>
      </c>
      <c r="D42" s="41">
        <v>1</v>
      </c>
      <c r="E42" s="41">
        <v>257579</v>
      </c>
      <c r="F42" s="50"/>
      <c r="G42" s="23" t="s">
        <v>13</v>
      </c>
      <c r="H42" s="5">
        <v>50985</v>
      </c>
      <c r="I42" s="5">
        <v>77671</v>
      </c>
      <c r="J42" s="5"/>
      <c r="K42" s="5">
        <v>128656</v>
      </c>
      <c r="L42" s="50"/>
      <c r="M42" s="39"/>
    </row>
    <row r="43" spans="1:13">
      <c r="A43" s="23" t="s">
        <v>163</v>
      </c>
      <c r="B43" s="41">
        <v>97989</v>
      </c>
      <c r="C43" s="41">
        <v>123802</v>
      </c>
      <c r="D43" s="41">
        <v>1</v>
      </c>
      <c r="E43" s="41">
        <v>221792</v>
      </c>
      <c r="F43" s="50"/>
      <c r="G43" s="23" t="s">
        <v>163</v>
      </c>
      <c r="H43" s="5">
        <v>45299</v>
      </c>
      <c r="I43" s="5">
        <v>75106</v>
      </c>
      <c r="J43" s="5"/>
      <c r="K43" s="5">
        <v>120405</v>
      </c>
      <c r="L43" s="50"/>
      <c r="M43" s="39"/>
    </row>
    <row r="44" spans="1:13">
      <c r="A44" s="23" t="s">
        <v>164</v>
      </c>
      <c r="B44" s="41">
        <v>30835</v>
      </c>
      <c r="C44" s="41">
        <v>88663</v>
      </c>
      <c r="D44" s="41"/>
      <c r="E44" s="41">
        <v>119498</v>
      </c>
      <c r="F44" s="50"/>
      <c r="G44" s="23" t="s">
        <v>164</v>
      </c>
      <c r="H44" s="5">
        <v>10530</v>
      </c>
      <c r="I44" s="5">
        <v>26558</v>
      </c>
      <c r="J44" s="5"/>
      <c r="K44" s="5">
        <v>37088</v>
      </c>
      <c r="L44" s="50"/>
      <c r="M44" s="39"/>
    </row>
    <row r="45" spans="1:13">
      <c r="A45" s="23" t="s">
        <v>165</v>
      </c>
      <c r="B45" s="41">
        <v>54755</v>
      </c>
      <c r="C45" s="41">
        <v>78685</v>
      </c>
      <c r="D45" s="41"/>
      <c r="E45" s="41">
        <v>133440</v>
      </c>
      <c r="F45" s="50"/>
      <c r="G45" s="23" t="s">
        <v>165</v>
      </c>
      <c r="H45" s="5">
        <v>17427</v>
      </c>
      <c r="I45" s="5">
        <v>32573</v>
      </c>
      <c r="J45" s="5"/>
      <c r="K45" s="5">
        <v>50000</v>
      </c>
      <c r="L45" s="50"/>
      <c r="M45" s="39"/>
    </row>
    <row r="46" spans="1:13">
      <c r="A46" s="23" t="s">
        <v>166</v>
      </c>
      <c r="B46" s="41">
        <v>77196</v>
      </c>
      <c r="C46" s="41">
        <v>28600</v>
      </c>
      <c r="D46" s="41"/>
      <c r="E46" s="41">
        <v>105796</v>
      </c>
      <c r="F46" s="50"/>
      <c r="G46" s="23" t="s">
        <v>166</v>
      </c>
      <c r="H46" s="5">
        <v>10602</v>
      </c>
      <c r="I46" s="5">
        <v>33974</v>
      </c>
      <c r="J46" s="5"/>
      <c r="K46" s="5">
        <v>44576</v>
      </c>
      <c r="L46" s="50"/>
      <c r="M46" s="39"/>
    </row>
    <row r="47" spans="1:13">
      <c r="A47" s="23" t="s">
        <v>203</v>
      </c>
      <c r="B47" s="41">
        <v>67699</v>
      </c>
      <c r="C47" s="41">
        <v>45630</v>
      </c>
      <c r="D47" s="41"/>
      <c r="E47" s="41">
        <v>113329</v>
      </c>
      <c r="F47" s="50"/>
      <c r="G47" s="23" t="s">
        <v>203</v>
      </c>
      <c r="H47" s="5">
        <v>6923</v>
      </c>
      <c r="I47" s="5">
        <v>21818</v>
      </c>
      <c r="J47" s="5"/>
      <c r="K47" s="5">
        <v>28741</v>
      </c>
      <c r="L47" s="50"/>
      <c r="M47" s="39"/>
    </row>
    <row r="48" spans="1:13">
      <c r="A48" s="23" t="s">
        <v>31</v>
      </c>
      <c r="B48" s="41">
        <v>197364</v>
      </c>
      <c r="C48" s="41">
        <v>341247</v>
      </c>
      <c r="D48" s="41">
        <v>1</v>
      </c>
      <c r="E48" s="41">
        <v>538612</v>
      </c>
      <c r="F48" s="50"/>
      <c r="G48" s="23" t="s">
        <v>31</v>
      </c>
      <c r="H48" s="5">
        <v>59220</v>
      </c>
      <c r="I48" s="5">
        <v>120985</v>
      </c>
      <c r="J48" s="5"/>
      <c r="K48" s="5">
        <v>180205</v>
      </c>
      <c r="L48" s="50"/>
      <c r="M48" s="39"/>
    </row>
    <row r="49" spans="1:13">
      <c r="A49" s="23" t="s">
        <v>222</v>
      </c>
      <c r="B49" s="41">
        <v>416</v>
      </c>
      <c r="C49" s="41">
        <v>705</v>
      </c>
      <c r="D49" s="41"/>
      <c r="E49" s="41">
        <v>1121</v>
      </c>
      <c r="F49" s="50"/>
      <c r="G49" s="23" t="s">
        <v>222</v>
      </c>
      <c r="H49" s="53">
        <v>241</v>
      </c>
      <c r="I49" s="5">
        <v>171</v>
      </c>
      <c r="J49" s="5"/>
      <c r="K49" s="5">
        <v>412</v>
      </c>
      <c r="L49" s="50"/>
      <c r="M49" s="39"/>
    </row>
    <row r="50" spans="1:13">
      <c r="A50" s="21" t="s">
        <v>46</v>
      </c>
      <c r="B50" s="38">
        <v>1447011</v>
      </c>
      <c r="C50" s="38">
        <v>3114555</v>
      </c>
      <c r="D50" s="38">
        <v>14</v>
      </c>
      <c r="E50" s="38">
        <v>4561580</v>
      </c>
      <c r="F50" s="50"/>
      <c r="G50" s="21" t="s">
        <v>46</v>
      </c>
      <c r="H50" s="38">
        <v>499468</v>
      </c>
      <c r="I50" s="38">
        <v>1089255</v>
      </c>
      <c r="J50" s="38">
        <v>0</v>
      </c>
      <c r="K50" s="38">
        <v>1588723</v>
      </c>
    </row>
    <row r="51" spans="1:13">
      <c r="A51" s="3" t="s">
        <v>228</v>
      </c>
      <c r="B51" s="47"/>
      <c r="C51" s="47"/>
      <c r="D51" s="47"/>
      <c r="E51" s="47"/>
      <c r="F51" s="49"/>
      <c r="H51" s="55"/>
      <c r="I51" s="55"/>
      <c r="J51" s="56"/>
      <c r="K51" s="55"/>
    </row>
    <row r="52" spans="1:13">
      <c r="E52" s="3"/>
      <c r="F52" s="49"/>
      <c r="H52" s="6"/>
      <c r="I52" s="6"/>
      <c r="J52" s="6"/>
      <c r="K52" s="3"/>
    </row>
    <row r="53" spans="1:13">
      <c r="A53" s="7" t="s">
        <v>212</v>
      </c>
      <c r="E53" s="3"/>
      <c r="F53" s="49"/>
      <c r="H53" s="6"/>
      <c r="I53" s="6"/>
      <c r="J53" s="6"/>
    </row>
    <row r="54" spans="1:13">
      <c r="A54" s="7" t="s">
        <v>354</v>
      </c>
      <c r="E54" s="3"/>
      <c r="F54" s="49"/>
      <c r="G54" s="7"/>
      <c r="H54" s="6"/>
      <c r="I54" s="6"/>
      <c r="J54" s="6"/>
    </row>
    <row r="55" spans="1:13">
      <c r="A55" s="8" t="s">
        <v>173</v>
      </c>
      <c r="B55" s="8" t="s">
        <v>594</v>
      </c>
      <c r="C55" s="8" t="s">
        <v>1</v>
      </c>
      <c r="D55" s="8" t="s">
        <v>45</v>
      </c>
      <c r="F55" s="49"/>
      <c r="G55" s="26"/>
      <c r="H55" s="26"/>
      <c r="I55" s="26"/>
      <c r="J55" s="26"/>
      <c r="K55" s="26"/>
    </row>
    <row r="56" spans="1:13">
      <c r="A56" s="23" t="s">
        <v>174</v>
      </c>
      <c r="B56" s="4">
        <v>27927034</v>
      </c>
      <c r="C56" s="4">
        <v>4030075</v>
      </c>
      <c r="D56" s="5">
        <v>27414450</v>
      </c>
      <c r="F56" s="49"/>
      <c r="G56" s="25"/>
      <c r="H56" s="13"/>
      <c r="I56" s="13"/>
      <c r="J56" s="13"/>
      <c r="K56" s="13"/>
    </row>
    <row r="57" spans="1:13">
      <c r="A57" s="23" t="s">
        <v>175</v>
      </c>
      <c r="B57" s="5">
        <v>33104772</v>
      </c>
      <c r="C57" s="5">
        <v>12541083</v>
      </c>
      <c r="D57" s="5">
        <v>50188514</v>
      </c>
      <c r="F57" s="49"/>
      <c r="G57" s="25"/>
      <c r="H57" s="13"/>
      <c r="I57" s="13"/>
      <c r="J57" s="13"/>
      <c r="K57" s="13"/>
    </row>
    <row r="58" spans="1:13">
      <c r="A58" s="23" t="s">
        <v>222</v>
      </c>
      <c r="B58" s="5">
        <v>189</v>
      </c>
      <c r="C58" s="5"/>
      <c r="D58" s="5">
        <v>189</v>
      </c>
      <c r="F58" s="49"/>
      <c r="G58" s="25"/>
      <c r="H58" s="13"/>
      <c r="I58" s="13"/>
      <c r="J58" s="13"/>
      <c r="K58" s="13"/>
    </row>
    <row r="59" spans="1:13">
      <c r="A59" s="21" t="s">
        <v>46</v>
      </c>
      <c r="B59" s="38">
        <v>61031995</v>
      </c>
      <c r="C59" s="38">
        <v>16571158</v>
      </c>
      <c r="D59" s="38">
        <v>77603153</v>
      </c>
      <c r="F59" s="49"/>
      <c r="G59" s="29"/>
      <c r="H59" s="13"/>
      <c r="I59" s="13"/>
      <c r="J59" s="13"/>
      <c r="K59" s="13"/>
    </row>
    <row r="60" spans="1:13">
      <c r="A60" s="3" t="s">
        <v>609</v>
      </c>
      <c r="B60" s="47"/>
      <c r="C60" s="47"/>
      <c r="D60" s="47"/>
      <c r="F60" s="49"/>
      <c r="H60" s="6"/>
      <c r="I60" s="6"/>
      <c r="J60" s="6"/>
    </row>
    <row r="61" spans="1:13">
      <c r="E61" s="3"/>
      <c r="F61" s="49"/>
      <c r="H61" s="6"/>
      <c r="I61" s="6"/>
      <c r="J61" s="6"/>
      <c r="K61" s="3"/>
    </row>
    <row r="62" spans="1:13">
      <c r="A62" s="7" t="s">
        <v>213</v>
      </c>
      <c r="E62" s="3"/>
      <c r="F62" s="49"/>
      <c r="G62" s="7" t="s">
        <v>214</v>
      </c>
      <c r="H62" s="6"/>
      <c r="I62" s="6"/>
      <c r="J62" s="6"/>
      <c r="K62" s="3"/>
    </row>
    <row r="63" spans="1:13">
      <c r="A63" s="7" t="s">
        <v>595</v>
      </c>
      <c r="E63" s="3"/>
      <c r="F63" s="49"/>
      <c r="G63" s="7" t="s">
        <v>355</v>
      </c>
      <c r="H63" s="6"/>
      <c r="I63" s="6"/>
      <c r="J63" s="6"/>
      <c r="K63" s="3"/>
    </row>
    <row r="64" spans="1:13">
      <c r="A64" s="28" t="s">
        <v>50</v>
      </c>
      <c r="B64" s="28" t="s">
        <v>169</v>
      </c>
      <c r="C64" s="28" t="s">
        <v>170</v>
      </c>
      <c r="D64" s="28" t="s">
        <v>383</v>
      </c>
      <c r="E64" s="28" t="s">
        <v>48</v>
      </c>
      <c r="F64" s="49"/>
      <c r="G64" s="28" t="s">
        <v>50</v>
      </c>
      <c r="H64" s="28" t="s">
        <v>169</v>
      </c>
      <c r="I64" s="28" t="s">
        <v>170</v>
      </c>
      <c r="J64" s="8" t="s">
        <v>223</v>
      </c>
      <c r="K64" s="28" t="s">
        <v>48</v>
      </c>
    </row>
    <row r="65" spans="1:12">
      <c r="A65" s="14" t="s">
        <v>5</v>
      </c>
      <c r="B65" s="4">
        <v>11293712</v>
      </c>
      <c r="C65" s="4">
        <v>12356149</v>
      </c>
      <c r="D65" s="5">
        <v>97</v>
      </c>
      <c r="E65" s="5">
        <v>23649958</v>
      </c>
      <c r="F65" s="50"/>
      <c r="G65" s="14" t="s">
        <v>5</v>
      </c>
      <c r="H65" s="4">
        <v>1316856</v>
      </c>
      <c r="I65" s="4">
        <v>6838448</v>
      </c>
      <c r="J65" s="4"/>
      <c r="K65" s="15">
        <v>8155304</v>
      </c>
      <c r="L65" s="50"/>
    </row>
    <row r="66" spans="1:12">
      <c r="A66" s="17" t="s">
        <v>6</v>
      </c>
      <c r="B66" s="5">
        <v>21811060</v>
      </c>
      <c r="C66" s="5">
        <v>15570885</v>
      </c>
      <c r="D66" s="5">
        <v>92</v>
      </c>
      <c r="E66" s="5">
        <v>37382037</v>
      </c>
      <c r="F66" s="50"/>
      <c r="G66" s="17" t="s">
        <v>6</v>
      </c>
      <c r="H66" s="5">
        <v>2713219</v>
      </c>
      <c r="I66" s="5">
        <v>5702635</v>
      </c>
      <c r="J66" s="5"/>
      <c r="K66" s="10">
        <v>8415854</v>
      </c>
      <c r="L66" s="50"/>
    </row>
    <row r="67" spans="1:12">
      <c r="A67" s="23" t="s">
        <v>222</v>
      </c>
      <c r="B67" s="5"/>
      <c r="C67" s="5"/>
      <c r="D67" s="5"/>
      <c r="E67" s="5">
        <v>0</v>
      </c>
      <c r="F67" s="50"/>
      <c r="G67" s="23" t="s">
        <v>222</v>
      </c>
      <c r="H67" s="5"/>
      <c r="I67" s="5"/>
      <c r="J67" s="5"/>
      <c r="K67" s="10">
        <v>0</v>
      </c>
      <c r="L67" s="50"/>
    </row>
    <row r="68" spans="1:12">
      <c r="A68" s="21" t="s">
        <v>46</v>
      </c>
      <c r="B68" s="38">
        <v>33104772</v>
      </c>
      <c r="C68" s="38">
        <v>27927034</v>
      </c>
      <c r="D68" s="38">
        <v>189</v>
      </c>
      <c r="E68" s="38">
        <v>61031995</v>
      </c>
      <c r="F68" s="50"/>
      <c r="G68" s="21" t="s">
        <v>46</v>
      </c>
      <c r="H68" s="38">
        <v>4030075</v>
      </c>
      <c r="I68" s="38">
        <v>12541083</v>
      </c>
      <c r="J68" s="38">
        <v>0</v>
      </c>
      <c r="K68" s="38">
        <v>16571158</v>
      </c>
      <c r="L68" s="50"/>
    </row>
    <row r="69" spans="1:12">
      <c r="A69" s="3" t="s">
        <v>609</v>
      </c>
      <c r="B69" s="47"/>
      <c r="C69" s="47"/>
      <c r="D69" s="47"/>
      <c r="E69" s="47"/>
      <c r="F69" s="49"/>
      <c r="G69" s="3" t="s">
        <v>228</v>
      </c>
      <c r="H69" s="54"/>
      <c r="I69" s="54"/>
      <c r="J69" s="6"/>
      <c r="K69" s="50"/>
    </row>
    <row r="70" spans="1:12">
      <c r="E70" s="3"/>
      <c r="F70" s="49"/>
      <c r="H70" s="6"/>
      <c r="I70" s="6"/>
      <c r="J70" s="6"/>
      <c r="K70" s="3"/>
    </row>
    <row r="71" spans="1:12">
      <c r="A71" s="7" t="s">
        <v>215</v>
      </c>
      <c r="E71" s="3"/>
      <c r="F71" s="49"/>
      <c r="G71" s="7" t="s">
        <v>216</v>
      </c>
      <c r="H71" s="6"/>
      <c r="I71" s="6"/>
      <c r="J71" s="6"/>
      <c r="K71" s="3"/>
    </row>
    <row r="72" spans="1:12">
      <c r="A72" s="7" t="s">
        <v>596</v>
      </c>
      <c r="E72" s="3"/>
      <c r="F72" s="49"/>
      <c r="G72" s="7" t="s">
        <v>356</v>
      </c>
      <c r="H72" s="6"/>
      <c r="I72" s="6"/>
      <c r="J72" s="6"/>
      <c r="K72" s="3"/>
    </row>
    <row r="73" spans="1:12">
      <c r="A73" s="16" t="s">
        <v>51</v>
      </c>
      <c r="B73" s="28" t="s">
        <v>169</v>
      </c>
      <c r="C73" s="28" t="s">
        <v>170</v>
      </c>
      <c r="D73" s="28" t="s">
        <v>383</v>
      </c>
      <c r="E73" s="28" t="s">
        <v>48</v>
      </c>
      <c r="F73" s="49"/>
      <c r="G73" s="16" t="s">
        <v>51</v>
      </c>
      <c r="H73" s="28" t="s">
        <v>169</v>
      </c>
      <c r="I73" s="28" t="s">
        <v>170</v>
      </c>
      <c r="J73" s="8" t="s">
        <v>223</v>
      </c>
      <c r="K73" s="28" t="s">
        <v>48</v>
      </c>
    </row>
    <row r="74" spans="1:12">
      <c r="A74" s="14" t="s">
        <v>40</v>
      </c>
      <c r="B74" s="4">
        <v>141312</v>
      </c>
      <c r="C74" s="4">
        <v>110925</v>
      </c>
      <c r="D74" s="4"/>
      <c r="E74" s="4">
        <v>252237</v>
      </c>
      <c r="F74" s="50"/>
      <c r="G74" s="14" t="s">
        <v>40</v>
      </c>
      <c r="H74" s="4">
        <v>124</v>
      </c>
      <c r="I74" s="4">
        <v>9737</v>
      </c>
      <c r="J74" s="4"/>
      <c r="K74" s="4">
        <v>9861</v>
      </c>
      <c r="L74" s="50"/>
    </row>
    <row r="75" spans="1:12">
      <c r="A75" s="17" t="s">
        <v>2</v>
      </c>
      <c r="B75" s="5">
        <v>2192130</v>
      </c>
      <c r="C75" s="5">
        <v>1328706</v>
      </c>
      <c r="D75" s="5"/>
      <c r="E75" s="5">
        <v>3520836</v>
      </c>
      <c r="F75" s="50"/>
      <c r="G75" s="17" t="s">
        <v>2</v>
      </c>
      <c r="H75" s="5">
        <v>17690</v>
      </c>
      <c r="I75" s="5">
        <v>372794</v>
      </c>
      <c r="J75" s="5"/>
      <c r="K75" s="5">
        <v>390484</v>
      </c>
      <c r="L75" s="50"/>
    </row>
    <row r="76" spans="1:12">
      <c r="A76" s="17" t="s">
        <v>41</v>
      </c>
      <c r="B76" s="5">
        <v>9911994</v>
      </c>
      <c r="C76" s="5">
        <v>5849142</v>
      </c>
      <c r="D76" s="5">
        <v>94</v>
      </c>
      <c r="E76" s="5">
        <v>15761230</v>
      </c>
      <c r="F76" s="50"/>
      <c r="G76" s="17" t="s">
        <v>41</v>
      </c>
      <c r="H76" s="5">
        <v>1041649</v>
      </c>
      <c r="I76" s="5">
        <v>3780022</v>
      </c>
      <c r="J76" s="5"/>
      <c r="K76" s="5">
        <v>4821671</v>
      </c>
      <c r="L76" s="50"/>
    </row>
    <row r="77" spans="1:12">
      <c r="A77" s="17" t="s">
        <v>42</v>
      </c>
      <c r="B77" s="5">
        <v>7788153</v>
      </c>
      <c r="C77" s="5">
        <v>5745101</v>
      </c>
      <c r="D77" s="5">
        <v>4</v>
      </c>
      <c r="E77" s="5">
        <v>13533258</v>
      </c>
      <c r="F77" s="50"/>
      <c r="G77" s="17" t="s">
        <v>42</v>
      </c>
      <c r="H77" s="5">
        <v>1176432</v>
      </c>
      <c r="I77" s="5">
        <v>3653975</v>
      </c>
      <c r="J77" s="5"/>
      <c r="K77" s="5">
        <v>4830407</v>
      </c>
      <c r="L77" s="50"/>
    </row>
    <row r="78" spans="1:12">
      <c r="A78" s="17" t="s">
        <v>43</v>
      </c>
      <c r="B78" s="5">
        <v>6350815</v>
      </c>
      <c r="C78" s="5">
        <v>6280958</v>
      </c>
      <c r="D78" s="5">
        <v>62</v>
      </c>
      <c r="E78" s="5">
        <v>12631835</v>
      </c>
      <c r="F78" s="50"/>
      <c r="G78" s="17" t="s">
        <v>43</v>
      </c>
      <c r="H78" s="5">
        <v>738581</v>
      </c>
      <c r="I78" s="5">
        <v>2485348</v>
      </c>
      <c r="J78" s="5"/>
      <c r="K78" s="5">
        <v>3223929</v>
      </c>
      <c r="L78" s="50"/>
    </row>
    <row r="79" spans="1:12">
      <c r="A79" s="17" t="s">
        <v>44</v>
      </c>
      <c r="B79" s="5">
        <v>5149796</v>
      </c>
      <c r="C79" s="5">
        <v>6201875</v>
      </c>
      <c r="D79" s="5">
        <v>29</v>
      </c>
      <c r="E79" s="5">
        <v>11351700</v>
      </c>
      <c r="F79" s="50"/>
      <c r="G79" s="17" t="s">
        <v>44</v>
      </c>
      <c r="H79" s="5">
        <v>834432</v>
      </c>
      <c r="I79" s="5">
        <v>1785693</v>
      </c>
      <c r="J79" s="5"/>
      <c r="K79" s="5">
        <v>2620125</v>
      </c>
      <c r="L79" s="50"/>
    </row>
    <row r="80" spans="1:12">
      <c r="A80" s="17" t="s">
        <v>3</v>
      </c>
      <c r="B80" s="5">
        <v>1570572</v>
      </c>
      <c r="C80" s="5">
        <v>2410327</v>
      </c>
      <c r="D80" s="5"/>
      <c r="E80" s="5">
        <v>3980899</v>
      </c>
      <c r="F80" s="50"/>
      <c r="G80" s="17" t="s">
        <v>3</v>
      </c>
      <c r="H80" s="5">
        <v>221167</v>
      </c>
      <c r="I80" s="5">
        <v>453490</v>
      </c>
      <c r="J80" s="5"/>
      <c r="K80" s="5">
        <v>674657</v>
      </c>
      <c r="L80" s="50"/>
    </row>
    <row r="81" spans="1:12">
      <c r="A81" s="23" t="s">
        <v>222</v>
      </c>
      <c r="B81" s="5"/>
      <c r="C81" s="5"/>
      <c r="D81" s="5"/>
      <c r="E81" s="5">
        <v>0</v>
      </c>
      <c r="F81" s="50"/>
      <c r="G81" s="23" t="s">
        <v>222</v>
      </c>
      <c r="H81" s="5"/>
      <c r="I81" s="5">
        <v>24</v>
      </c>
      <c r="J81" s="5"/>
      <c r="K81" s="5">
        <v>24</v>
      </c>
      <c r="L81" s="50"/>
    </row>
    <row r="82" spans="1:12">
      <c r="A82" s="21" t="s">
        <v>46</v>
      </c>
      <c r="B82" s="38">
        <v>33104772</v>
      </c>
      <c r="C82" s="38">
        <v>27927034</v>
      </c>
      <c r="D82" s="38">
        <v>189</v>
      </c>
      <c r="E82" s="38">
        <v>61031995</v>
      </c>
      <c r="F82" s="50"/>
      <c r="G82" s="21" t="s">
        <v>46</v>
      </c>
      <c r="H82" s="38">
        <v>4030075</v>
      </c>
      <c r="I82" s="38">
        <v>12541083</v>
      </c>
      <c r="J82" s="38">
        <v>0</v>
      </c>
      <c r="K82" s="38">
        <v>16571158</v>
      </c>
      <c r="L82" s="50"/>
    </row>
    <row r="83" spans="1:12">
      <c r="A83" s="3" t="s">
        <v>609</v>
      </c>
      <c r="B83" s="47"/>
      <c r="C83" s="47"/>
      <c r="D83" s="47"/>
      <c r="E83" s="47"/>
      <c r="F83" s="49"/>
      <c r="G83" s="3" t="s">
        <v>228</v>
      </c>
      <c r="H83" s="54"/>
      <c r="I83" s="54"/>
      <c r="J83" s="6"/>
      <c r="K83" s="50"/>
    </row>
    <row r="84" spans="1:12">
      <c r="E84" s="3"/>
      <c r="F84" s="49"/>
      <c r="H84" s="6"/>
      <c r="I84" s="6"/>
      <c r="J84" s="6"/>
      <c r="K84" s="3"/>
    </row>
    <row r="85" spans="1:12">
      <c r="A85" s="7" t="s">
        <v>217</v>
      </c>
      <c r="E85" s="3"/>
      <c r="F85" s="49"/>
      <c r="G85" s="7" t="s">
        <v>218</v>
      </c>
      <c r="H85" s="6"/>
      <c r="I85" s="6"/>
      <c r="J85" s="6"/>
      <c r="K85" s="3"/>
    </row>
    <row r="86" spans="1:12">
      <c r="A86" s="7" t="s">
        <v>597</v>
      </c>
      <c r="E86" s="3"/>
      <c r="F86" s="49"/>
      <c r="G86" s="7" t="s">
        <v>357</v>
      </c>
      <c r="H86" s="6"/>
      <c r="I86" s="6"/>
      <c r="J86" s="6"/>
      <c r="K86" s="3"/>
    </row>
    <row r="87" spans="1:12">
      <c r="A87" s="8" t="s">
        <v>148</v>
      </c>
      <c r="B87" s="28" t="s">
        <v>169</v>
      </c>
      <c r="C87" s="28" t="s">
        <v>170</v>
      </c>
      <c r="D87" s="28" t="s">
        <v>383</v>
      </c>
      <c r="E87" s="28" t="s">
        <v>48</v>
      </c>
      <c r="F87" s="49"/>
      <c r="G87" s="8" t="s">
        <v>148</v>
      </c>
      <c r="H87" s="28" t="s">
        <v>169</v>
      </c>
      <c r="I87" s="28" t="s">
        <v>170</v>
      </c>
      <c r="J87" s="8" t="s">
        <v>223</v>
      </c>
      <c r="K87" s="28" t="s">
        <v>48</v>
      </c>
    </row>
    <row r="88" spans="1:12">
      <c r="A88" s="23" t="s">
        <v>9</v>
      </c>
      <c r="B88" s="4">
        <v>13046444</v>
      </c>
      <c r="C88" s="4">
        <v>7009659</v>
      </c>
      <c r="D88" s="4">
        <v>41</v>
      </c>
      <c r="E88" s="4">
        <v>20056144</v>
      </c>
      <c r="F88" s="50"/>
      <c r="G88" s="23" t="s">
        <v>9</v>
      </c>
      <c r="H88" s="4">
        <v>1366953</v>
      </c>
      <c r="I88" s="4">
        <v>3938577</v>
      </c>
      <c r="J88" s="4"/>
      <c r="K88" s="4">
        <v>5305530</v>
      </c>
      <c r="L88" s="50"/>
    </row>
    <row r="89" spans="1:12">
      <c r="A89" s="23" t="s">
        <v>10</v>
      </c>
      <c r="B89" s="5">
        <v>7774259</v>
      </c>
      <c r="C89" s="5">
        <v>6064481</v>
      </c>
      <c r="D89" s="5">
        <v>63</v>
      </c>
      <c r="E89" s="5">
        <v>13838803</v>
      </c>
      <c r="F89" s="50"/>
      <c r="G89" s="23" t="s">
        <v>10</v>
      </c>
      <c r="H89" s="5">
        <v>638491</v>
      </c>
      <c r="I89" s="5">
        <v>2363098</v>
      </c>
      <c r="J89" s="5"/>
      <c r="K89" s="5">
        <v>3001589</v>
      </c>
      <c r="L89" s="50"/>
    </row>
    <row r="90" spans="1:12" ht="15" customHeight="1">
      <c r="A90" s="23" t="s">
        <v>11</v>
      </c>
      <c r="B90" s="5">
        <v>1851335</v>
      </c>
      <c r="C90" s="5">
        <v>1052843</v>
      </c>
      <c r="D90" s="5">
        <v>17</v>
      </c>
      <c r="E90" s="5">
        <v>2904195</v>
      </c>
      <c r="F90" s="50"/>
      <c r="G90" s="23" t="s">
        <v>11</v>
      </c>
      <c r="H90" s="5">
        <v>426123</v>
      </c>
      <c r="I90" s="5">
        <v>771245</v>
      </c>
      <c r="J90" s="5"/>
      <c r="K90" s="5">
        <v>1197368</v>
      </c>
      <c r="L90" s="50"/>
    </row>
    <row r="91" spans="1:12" ht="15" customHeight="1">
      <c r="A91" s="23" t="s">
        <v>12</v>
      </c>
      <c r="B91" s="5">
        <v>2253888</v>
      </c>
      <c r="C91" s="5">
        <v>3521816</v>
      </c>
      <c r="D91" s="5">
        <v>60</v>
      </c>
      <c r="E91" s="5">
        <v>5775764</v>
      </c>
      <c r="F91" s="50"/>
      <c r="G91" s="23" t="s">
        <v>12</v>
      </c>
      <c r="H91" s="5">
        <v>324887</v>
      </c>
      <c r="I91" s="5">
        <v>1552912</v>
      </c>
      <c r="J91" s="5"/>
      <c r="K91" s="5">
        <v>1877799</v>
      </c>
      <c r="L91" s="50"/>
    </row>
    <row r="92" spans="1:12" ht="15" customHeight="1">
      <c r="A92" s="23" t="s">
        <v>13</v>
      </c>
      <c r="B92" s="5">
        <v>658510</v>
      </c>
      <c r="C92" s="5">
        <v>403562</v>
      </c>
      <c r="D92" s="5">
        <v>2</v>
      </c>
      <c r="E92" s="5">
        <v>1062074</v>
      </c>
      <c r="F92" s="50"/>
      <c r="G92" s="23" t="s">
        <v>13</v>
      </c>
      <c r="H92" s="5">
        <v>136458</v>
      </c>
      <c r="I92" s="5">
        <v>264870</v>
      </c>
      <c r="J92" s="5"/>
      <c r="K92" s="5">
        <v>401328</v>
      </c>
      <c r="L92" s="50"/>
    </row>
    <row r="93" spans="1:12" ht="15" customHeight="1">
      <c r="A93" s="23" t="s">
        <v>163</v>
      </c>
      <c r="B93" s="5">
        <v>809082</v>
      </c>
      <c r="C93" s="5">
        <v>1201760</v>
      </c>
      <c r="D93" s="5">
        <v>1</v>
      </c>
      <c r="E93" s="5">
        <v>2010843</v>
      </c>
      <c r="F93" s="50"/>
      <c r="G93" s="23" t="s">
        <v>163</v>
      </c>
      <c r="H93" s="5">
        <v>189439</v>
      </c>
      <c r="I93" s="5">
        <v>543293</v>
      </c>
      <c r="J93" s="5"/>
      <c r="K93" s="5">
        <v>732732</v>
      </c>
      <c r="L93" s="50"/>
    </row>
    <row r="94" spans="1:12" ht="15" customHeight="1">
      <c r="A94" s="23" t="s">
        <v>164</v>
      </c>
      <c r="B94" s="5">
        <v>1268766</v>
      </c>
      <c r="C94" s="5">
        <v>580792</v>
      </c>
      <c r="D94" s="5"/>
      <c r="E94" s="5">
        <v>1849558</v>
      </c>
      <c r="F94" s="50"/>
      <c r="G94" s="23" t="s">
        <v>164</v>
      </c>
      <c r="H94" s="5">
        <v>144245</v>
      </c>
      <c r="I94" s="5">
        <v>365159</v>
      </c>
      <c r="J94" s="5"/>
      <c r="K94" s="5">
        <v>509404</v>
      </c>
      <c r="L94" s="50"/>
    </row>
    <row r="95" spans="1:12" ht="15" customHeight="1">
      <c r="A95" s="23" t="s">
        <v>165</v>
      </c>
      <c r="B95" s="5">
        <v>738126</v>
      </c>
      <c r="C95" s="5">
        <v>780733</v>
      </c>
      <c r="D95" s="5"/>
      <c r="E95" s="5">
        <v>1518859</v>
      </c>
      <c r="F95" s="50"/>
      <c r="G95" s="23" t="s">
        <v>165</v>
      </c>
      <c r="H95" s="5">
        <v>107308</v>
      </c>
      <c r="I95" s="5">
        <v>302919</v>
      </c>
      <c r="J95" s="5"/>
      <c r="K95" s="5">
        <v>410227</v>
      </c>
      <c r="L95" s="50"/>
    </row>
    <row r="96" spans="1:12" ht="15" customHeight="1">
      <c r="A96" s="23" t="s">
        <v>166</v>
      </c>
      <c r="B96" s="5">
        <v>653562</v>
      </c>
      <c r="C96" s="5">
        <v>2358964</v>
      </c>
      <c r="D96" s="5"/>
      <c r="E96" s="5">
        <v>3012526</v>
      </c>
      <c r="F96" s="50"/>
      <c r="G96" s="23" t="s">
        <v>166</v>
      </c>
      <c r="H96" s="5">
        <v>223879</v>
      </c>
      <c r="I96" s="5">
        <v>837247</v>
      </c>
      <c r="J96" s="5"/>
      <c r="K96" s="5">
        <v>1061126</v>
      </c>
      <c r="L96" s="50"/>
    </row>
    <row r="97" spans="1:12" ht="15" customHeight="1">
      <c r="A97" s="23" t="s">
        <v>203</v>
      </c>
      <c r="B97" s="5">
        <v>678533</v>
      </c>
      <c r="C97" s="5">
        <v>1704049</v>
      </c>
      <c r="D97" s="5"/>
      <c r="E97" s="5">
        <v>2382582</v>
      </c>
      <c r="F97" s="50"/>
      <c r="G97" s="23" t="s">
        <v>203</v>
      </c>
      <c r="H97" s="5">
        <v>94573</v>
      </c>
      <c r="I97" s="5">
        <v>383766</v>
      </c>
      <c r="J97" s="5"/>
      <c r="K97" s="5">
        <v>478339</v>
      </c>
      <c r="L97" s="50"/>
    </row>
    <row r="98" spans="1:12" ht="15" customHeight="1">
      <c r="A98" s="23" t="s">
        <v>31</v>
      </c>
      <c r="B98" s="5">
        <v>3363954</v>
      </c>
      <c r="C98" s="5">
        <v>3241968</v>
      </c>
      <c r="D98" s="5">
        <v>5</v>
      </c>
      <c r="E98" s="5">
        <v>6605927</v>
      </c>
      <c r="F98" s="50"/>
      <c r="G98" s="23" t="s">
        <v>31</v>
      </c>
      <c r="H98" s="5">
        <v>376982</v>
      </c>
      <c r="I98" s="5">
        <v>1217085</v>
      </c>
      <c r="J98" s="5"/>
      <c r="K98" s="5">
        <v>1594067</v>
      </c>
      <c r="L98" s="50"/>
    </row>
    <row r="99" spans="1:12" ht="15" customHeight="1">
      <c r="A99" s="23" t="s">
        <v>222</v>
      </c>
      <c r="B99" s="5">
        <v>8313</v>
      </c>
      <c r="C99" s="5">
        <v>6407</v>
      </c>
      <c r="D99" s="5"/>
      <c r="E99" s="5">
        <v>14720</v>
      </c>
      <c r="F99" s="50"/>
      <c r="G99" s="23" t="s">
        <v>222</v>
      </c>
      <c r="H99" s="5">
        <v>737</v>
      </c>
      <c r="I99" s="5">
        <v>912</v>
      </c>
      <c r="J99" s="5"/>
      <c r="K99" s="5">
        <v>1649</v>
      </c>
      <c r="L99" s="50"/>
    </row>
    <row r="100" spans="1:12" ht="15" customHeight="1">
      <c r="A100" s="21" t="s">
        <v>46</v>
      </c>
      <c r="B100" s="38">
        <v>33104772</v>
      </c>
      <c r="C100" s="38">
        <v>27927034</v>
      </c>
      <c r="D100" s="38">
        <v>189</v>
      </c>
      <c r="E100" s="38">
        <v>61031995</v>
      </c>
      <c r="F100" s="49"/>
      <c r="G100" s="21" t="s">
        <v>46</v>
      </c>
      <c r="H100" s="38">
        <v>4030075</v>
      </c>
      <c r="I100" s="38">
        <v>12541083</v>
      </c>
      <c r="J100" s="38">
        <v>0</v>
      </c>
      <c r="K100" s="38">
        <v>16571158</v>
      </c>
    </row>
    <row r="101" spans="1:12" ht="15" customHeight="1">
      <c r="A101" s="3" t="s">
        <v>609</v>
      </c>
      <c r="B101" s="47"/>
      <c r="C101" s="47"/>
      <c r="D101" s="47"/>
      <c r="E101" s="47"/>
      <c r="H101" s="54"/>
      <c r="I101" s="54"/>
      <c r="J101" s="6"/>
      <c r="K101" s="50"/>
    </row>
    <row r="102" spans="1:12" ht="15" customHeight="1"/>
    <row r="103" spans="1:12" ht="15" customHeight="1"/>
    <row r="104" spans="1:12" ht="15" customHeight="1"/>
    <row r="105" spans="1:12" ht="15" customHeight="1"/>
    <row r="106" spans="1:12" ht="15" customHeight="1"/>
    <row r="107" spans="1:12" ht="15" customHeight="1"/>
    <row r="108" spans="1:12" ht="15" customHeight="1"/>
    <row r="109" spans="1:12" ht="15" customHeight="1"/>
    <row r="110" spans="1:12" ht="15" customHeight="1"/>
    <row r="111" spans="1:12" ht="15" customHeight="1"/>
    <row r="112" spans="1:12" ht="15" customHeight="1"/>
    <row r="113" spans="2:11" ht="15" customHeight="1">
      <c r="B113" s="3"/>
      <c r="C113" s="3"/>
      <c r="D113" s="3"/>
      <c r="E113" s="3"/>
      <c r="F113" s="49"/>
      <c r="K113" s="3"/>
    </row>
    <row r="114" spans="2:11" ht="15" customHeight="1">
      <c r="B114" s="3"/>
      <c r="C114" s="3"/>
      <c r="D114" s="3"/>
      <c r="E114" s="3"/>
      <c r="F114" s="49"/>
      <c r="K114" s="3"/>
    </row>
    <row r="115" spans="2:11" ht="15" customHeight="1">
      <c r="B115" s="3"/>
      <c r="C115" s="3"/>
      <c r="D115" s="3"/>
      <c r="E115" s="3"/>
      <c r="F115" s="49"/>
      <c r="K115" s="3"/>
    </row>
    <row r="116" spans="2:11" ht="15" customHeight="1">
      <c r="B116" s="3"/>
      <c r="C116" s="3"/>
      <c r="D116" s="3"/>
      <c r="E116" s="3"/>
      <c r="F116" s="49"/>
      <c r="K116" s="3"/>
    </row>
    <row r="117" spans="2:11" ht="15" customHeight="1">
      <c r="B117" s="3"/>
      <c r="C117" s="3"/>
      <c r="D117" s="3"/>
      <c r="E117" s="3"/>
      <c r="F117" s="49"/>
      <c r="K117" s="3"/>
    </row>
    <row r="118" spans="2:11" ht="15" customHeight="1">
      <c r="B118" s="3"/>
      <c r="C118" s="3"/>
      <c r="D118" s="3"/>
      <c r="E118" s="3"/>
      <c r="F118" s="49"/>
      <c r="K118" s="3"/>
    </row>
    <row r="119" spans="2:11" ht="15" customHeight="1">
      <c r="B119" s="3"/>
      <c r="C119" s="3"/>
      <c r="D119" s="3"/>
      <c r="E119" s="3"/>
      <c r="F119" s="49"/>
      <c r="K119" s="3"/>
    </row>
    <row r="120" spans="2:11" ht="15" customHeight="1">
      <c r="B120" s="3"/>
      <c r="C120" s="3"/>
      <c r="D120" s="3"/>
      <c r="E120" s="3"/>
      <c r="F120" s="49"/>
      <c r="K120" s="3"/>
    </row>
    <row r="121" spans="2:11" ht="15" customHeight="1">
      <c r="B121" s="3"/>
      <c r="C121" s="3"/>
      <c r="D121" s="3"/>
      <c r="E121" s="3"/>
      <c r="F121" s="49"/>
      <c r="K121" s="3"/>
    </row>
    <row r="122" spans="2:11" ht="15" customHeight="1">
      <c r="B122" s="3"/>
      <c r="C122" s="3"/>
      <c r="D122" s="3"/>
      <c r="E122" s="3"/>
      <c r="F122" s="49"/>
      <c r="K122" s="3"/>
    </row>
    <row r="123" spans="2:11" ht="15" customHeight="1">
      <c r="B123" s="3"/>
      <c r="C123" s="3"/>
      <c r="D123" s="3"/>
      <c r="E123" s="3"/>
      <c r="F123" s="49"/>
      <c r="K123" s="3"/>
    </row>
    <row r="124" spans="2:11" ht="15" customHeight="1">
      <c r="B124" s="3"/>
      <c r="C124" s="3"/>
      <c r="D124" s="3"/>
      <c r="E124" s="3"/>
      <c r="F124" s="49"/>
      <c r="K124" s="3"/>
    </row>
    <row r="125" spans="2:11" ht="15" customHeight="1">
      <c r="B125" s="3"/>
      <c r="C125" s="3"/>
      <c r="D125" s="3"/>
      <c r="E125" s="3"/>
      <c r="F125" s="49"/>
      <c r="K125" s="3"/>
    </row>
    <row r="126" spans="2:11" ht="15" customHeight="1">
      <c r="B126" s="3"/>
      <c r="C126" s="3"/>
      <c r="D126" s="3"/>
      <c r="E126" s="3"/>
      <c r="F126" s="49"/>
      <c r="K126" s="3"/>
    </row>
    <row r="127" spans="2:11" ht="15" customHeight="1">
      <c r="B127" s="3"/>
      <c r="C127" s="3"/>
      <c r="D127" s="3"/>
      <c r="E127" s="3"/>
      <c r="F127" s="49"/>
      <c r="K127" s="3"/>
    </row>
    <row r="128" spans="2:11" ht="15" customHeight="1">
      <c r="B128" s="3"/>
      <c r="C128" s="3"/>
      <c r="D128" s="3"/>
      <c r="E128" s="3"/>
      <c r="F128" s="49"/>
      <c r="K128" s="3"/>
    </row>
    <row r="129" spans="2:11" ht="15" customHeight="1">
      <c r="B129" s="3"/>
      <c r="C129" s="3"/>
      <c r="D129" s="3"/>
      <c r="E129" s="3"/>
      <c r="F129" s="49"/>
      <c r="K129" s="3"/>
    </row>
    <row r="130" spans="2:11" ht="15" customHeight="1">
      <c r="B130" s="3"/>
      <c r="C130" s="3"/>
      <c r="D130" s="3"/>
      <c r="E130" s="3"/>
      <c r="F130" s="49"/>
      <c r="K130" s="3"/>
    </row>
    <row r="131" spans="2:11" ht="15" customHeight="1">
      <c r="B131" s="3"/>
      <c r="C131" s="3"/>
      <c r="D131" s="3"/>
      <c r="E131" s="3"/>
      <c r="F131" s="49"/>
      <c r="K131" s="3"/>
    </row>
    <row r="132" spans="2:11" ht="15" customHeight="1">
      <c r="B132" s="3"/>
      <c r="C132" s="3"/>
      <c r="D132" s="3"/>
      <c r="E132" s="3"/>
      <c r="F132" s="49"/>
      <c r="K132" s="3"/>
    </row>
    <row r="133" spans="2:11" ht="15" customHeight="1">
      <c r="B133" s="3"/>
      <c r="C133" s="3"/>
      <c r="D133" s="3"/>
      <c r="E133" s="3"/>
      <c r="F133" s="49"/>
      <c r="K133" s="3"/>
    </row>
    <row r="134" spans="2:11" ht="15" customHeight="1">
      <c r="B134" s="3"/>
      <c r="C134" s="3"/>
      <c r="D134" s="3"/>
      <c r="E134" s="3"/>
      <c r="F134" s="49"/>
      <c r="K134" s="3"/>
    </row>
    <row r="135" spans="2:11" ht="15" customHeight="1">
      <c r="B135" s="3"/>
      <c r="C135" s="3"/>
      <c r="D135" s="3"/>
      <c r="E135" s="3"/>
      <c r="F135" s="49"/>
      <c r="K135" s="3"/>
    </row>
    <row r="136" spans="2:11" ht="15" customHeight="1">
      <c r="B136" s="3"/>
      <c r="C136" s="3"/>
      <c r="D136" s="3"/>
      <c r="E136" s="3"/>
      <c r="F136" s="49"/>
      <c r="K136" s="3"/>
    </row>
    <row r="137" spans="2:11" ht="15" customHeight="1">
      <c r="B137" s="3"/>
      <c r="C137" s="3"/>
      <c r="D137" s="3"/>
      <c r="E137" s="3"/>
      <c r="F137" s="49"/>
      <c r="K137" s="3"/>
    </row>
    <row r="138" spans="2:11" ht="15" customHeight="1">
      <c r="B138" s="3"/>
      <c r="C138" s="3"/>
      <c r="D138" s="3"/>
      <c r="E138" s="3"/>
      <c r="F138" s="49"/>
      <c r="K138" s="3"/>
    </row>
    <row r="139" spans="2:11" ht="15" customHeight="1">
      <c r="B139" s="3"/>
      <c r="C139" s="3"/>
      <c r="D139" s="3"/>
      <c r="E139" s="3"/>
      <c r="F139" s="49"/>
      <c r="K139" s="3"/>
    </row>
    <row r="140" spans="2:11" ht="15" customHeight="1">
      <c r="B140" s="3"/>
      <c r="C140" s="3"/>
      <c r="D140" s="3"/>
      <c r="E140" s="3"/>
      <c r="F140" s="49"/>
      <c r="K140" s="3"/>
    </row>
    <row r="141" spans="2:11" ht="15" customHeight="1">
      <c r="B141" s="3"/>
      <c r="C141" s="3"/>
      <c r="D141" s="3"/>
      <c r="E141" s="3"/>
      <c r="F141" s="49"/>
      <c r="K141" s="3"/>
    </row>
    <row r="142" spans="2:11" ht="15" customHeight="1">
      <c r="B142" s="3"/>
      <c r="C142" s="3"/>
      <c r="D142" s="3"/>
      <c r="E142" s="3"/>
      <c r="F142" s="49"/>
      <c r="K142" s="3"/>
    </row>
    <row r="143" spans="2:11" ht="15" customHeight="1">
      <c r="B143" s="3"/>
      <c r="C143" s="3"/>
      <c r="D143" s="3"/>
      <c r="E143" s="3"/>
      <c r="F143" s="49"/>
      <c r="K143" s="3"/>
    </row>
    <row r="144" spans="2:11" ht="15" customHeight="1">
      <c r="B144" s="3"/>
      <c r="C144" s="3"/>
      <c r="D144" s="3"/>
      <c r="E144" s="3"/>
      <c r="F144" s="49"/>
      <c r="K144" s="3"/>
    </row>
    <row r="145" spans="2:11" ht="15" customHeight="1">
      <c r="B145" s="3"/>
      <c r="C145" s="3"/>
      <c r="D145" s="3"/>
      <c r="E145" s="3"/>
      <c r="F145" s="49"/>
      <c r="K145" s="3"/>
    </row>
    <row r="146" spans="2:11" ht="15" customHeight="1">
      <c r="B146" s="3"/>
      <c r="C146" s="3"/>
      <c r="D146" s="3"/>
      <c r="E146" s="3"/>
      <c r="F146" s="49"/>
      <c r="K146" s="3"/>
    </row>
    <row r="147" spans="2:11" ht="15" customHeight="1">
      <c r="B147" s="3"/>
      <c r="C147" s="3"/>
      <c r="D147" s="3"/>
      <c r="E147" s="3"/>
      <c r="F147" s="49"/>
      <c r="K147" s="3"/>
    </row>
    <row r="148" spans="2:11" ht="15" customHeight="1">
      <c r="B148" s="3"/>
      <c r="C148" s="3"/>
      <c r="D148" s="3"/>
      <c r="E148" s="3"/>
      <c r="F148" s="49"/>
      <c r="K148" s="3"/>
    </row>
    <row r="149" spans="2:11" ht="15" customHeight="1">
      <c r="B149" s="3"/>
      <c r="C149" s="3"/>
      <c r="D149" s="3"/>
      <c r="E149" s="3"/>
      <c r="F149" s="49"/>
      <c r="K149" s="3"/>
    </row>
    <row r="150" spans="2:11" ht="15" customHeight="1">
      <c r="B150" s="3"/>
      <c r="C150" s="3"/>
      <c r="D150" s="3"/>
      <c r="E150" s="3"/>
      <c r="F150" s="49"/>
      <c r="K150" s="3"/>
    </row>
    <row r="151" spans="2:11" ht="15" customHeight="1">
      <c r="B151" s="3"/>
      <c r="C151" s="3"/>
      <c r="D151" s="3"/>
      <c r="E151" s="3"/>
      <c r="F151" s="49"/>
      <c r="K151" s="3"/>
    </row>
    <row r="152" spans="2:11" ht="15" customHeight="1">
      <c r="B152" s="3"/>
      <c r="C152" s="3"/>
      <c r="D152" s="3"/>
      <c r="E152" s="3"/>
      <c r="F152" s="49"/>
      <c r="K152" s="3"/>
    </row>
    <row r="153" spans="2:11" ht="15" customHeight="1">
      <c r="B153" s="3"/>
      <c r="C153" s="3"/>
      <c r="D153" s="3"/>
      <c r="E153" s="3"/>
      <c r="F153" s="49"/>
      <c r="K153" s="3"/>
    </row>
    <row r="154" spans="2:11" ht="15" customHeight="1">
      <c r="B154" s="3"/>
      <c r="C154" s="3"/>
      <c r="D154" s="3"/>
      <c r="E154" s="3"/>
      <c r="F154" s="49"/>
      <c r="K154" s="3"/>
    </row>
    <row r="155" spans="2:11" ht="15" customHeight="1">
      <c r="B155" s="3"/>
      <c r="C155" s="3"/>
      <c r="D155" s="3"/>
      <c r="E155" s="3"/>
      <c r="F155" s="49"/>
      <c r="K155" s="3"/>
    </row>
    <row r="156" spans="2:11" ht="15" customHeight="1">
      <c r="B156" s="3"/>
      <c r="C156" s="3"/>
      <c r="D156" s="3"/>
      <c r="E156" s="3"/>
      <c r="F156" s="49"/>
      <c r="K156" s="3"/>
    </row>
    <row r="157" spans="2:11" ht="15" customHeight="1">
      <c r="B157" s="3"/>
      <c r="C157" s="3"/>
      <c r="D157" s="3"/>
      <c r="E157" s="3"/>
      <c r="F157" s="49"/>
      <c r="K157" s="3"/>
    </row>
    <row r="158" spans="2:11" ht="15" customHeight="1">
      <c r="B158" s="3"/>
      <c r="C158" s="3"/>
      <c r="D158" s="3"/>
      <c r="E158" s="3"/>
      <c r="F158" s="49"/>
      <c r="K158" s="3"/>
    </row>
    <row r="159" spans="2:11" ht="15" customHeight="1">
      <c r="B159" s="3"/>
      <c r="C159" s="3"/>
      <c r="D159" s="3"/>
      <c r="E159" s="3"/>
      <c r="F159" s="49"/>
      <c r="K159" s="3"/>
    </row>
    <row r="160" spans="2:11" ht="15" customHeight="1">
      <c r="B160" s="3"/>
      <c r="C160" s="3"/>
      <c r="D160" s="3"/>
      <c r="E160" s="3"/>
      <c r="F160" s="49"/>
      <c r="K160" s="3"/>
    </row>
    <row r="806" spans="2:11" ht="15" customHeight="1">
      <c r="B806" s="3"/>
      <c r="C806" s="3"/>
      <c r="D806" s="3"/>
      <c r="E806" s="3"/>
      <c r="F806" s="49"/>
      <c r="K806" s="3"/>
    </row>
    <row r="807" spans="2:11" ht="15" customHeight="1">
      <c r="B807" s="3"/>
      <c r="C807" s="3"/>
      <c r="D807" s="3"/>
      <c r="E807" s="3"/>
      <c r="F807" s="49"/>
      <c r="K807" s="3"/>
    </row>
    <row r="808" spans="2:11" ht="15" customHeight="1">
      <c r="B808" s="3"/>
      <c r="C808" s="3"/>
      <c r="D808" s="3"/>
      <c r="E808" s="3"/>
      <c r="F808" s="49"/>
      <c r="K808" s="3"/>
    </row>
    <row r="809" spans="2:11" ht="15" customHeight="1">
      <c r="B809" s="3"/>
      <c r="C809" s="3"/>
      <c r="D809" s="3"/>
      <c r="E809" s="3"/>
      <c r="F809" s="49"/>
      <c r="K809" s="3"/>
    </row>
    <row r="810" spans="2:11" ht="15" customHeight="1">
      <c r="B810" s="3"/>
      <c r="C810" s="3"/>
      <c r="D810" s="3"/>
      <c r="E810" s="3"/>
      <c r="F810" s="49"/>
      <c r="K810" s="3"/>
    </row>
    <row r="811" spans="2:11" ht="15" customHeight="1">
      <c r="B811" s="3"/>
      <c r="C811" s="3"/>
      <c r="D811" s="3"/>
      <c r="E811" s="3"/>
      <c r="F811" s="49"/>
      <c r="K811" s="3"/>
    </row>
    <row r="812" spans="2:11" ht="15" customHeight="1">
      <c r="B812" s="3"/>
      <c r="C812" s="3"/>
      <c r="D812" s="3"/>
      <c r="E812" s="3"/>
      <c r="F812" s="49"/>
      <c r="K812" s="3"/>
    </row>
    <row r="813" spans="2:11" ht="15" customHeight="1">
      <c r="B813" s="3"/>
      <c r="C813" s="3"/>
      <c r="D813" s="3"/>
      <c r="E813" s="3"/>
      <c r="F813" s="49"/>
      <c r="K813" s="3"/>
    </row>
    <row r="814" spans="2:11" ht="15" customHeight="1">
      <c r="B814" s="3"/>
      <c r="C814" s="3"/>
      <c r="D814" s="3"/>
      <c r="E814" s="3"/>
      <c r="F814" s="49"/>
      <c r="K814" s="3"/>
    </row>
    <row r="815" spans="2:11" ht="15" customHeight="1">
      <c r="B815" s="3"/>
      <c r="C815" s="3"/>
      <c r="D815" s="3"/>
      <c r="E815" s="3"/>
      <c r="F815" s="49"/>
      <c r="K815" s="3"/>
    </row>
    <row r="816" spans="2:11" ht="15" customHeight="1">
      <c r="B816" s="3"/>
      <c r="C816" s="3"/>
      <c r="D816" s="3"/>
      <c r="E816" s="3"/>
      <c r="F816" s="49"/>
      <c r="K816" s="3"/>
    </row>
    <row r="817" spans="2:11" ht="15" customHeight="1">
      <c r="B817" s="3"/>
      <c r="C817" s="3"/>
      <c r="D817" s="3"/>
      <c r="E817" s="3"/>
      <c r="F817" s="49"/>
      <c r="K817" s="3"/>
    </row>
    <row r="818" spans="2:11" ht="15" customHeight="1">
      <c r="B818" s="3"/>
      <c r="C818" s="3"/>
      <c r="D818" s="3"/>
      <c r="E818" s="3"/>
      <c r="F818" s="49"/>
      <c r="K818" s="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34"/>
  <sheetViews>
    <sheetView showGridLines="0" tabSelected="1" zoomScaleNormal="100" workbookViewId="0"/>
  </sheetViews>
  <sheetFormatPr baseColWidth="10" defaultColWidth="33.140625" defaultRowHeight="12.75"/>
  <cols>
    <col min="1" max="1" width="40.28515625" style="3" customWidth="1"/>
    <col min="2" max="5" width="17.140625" style="6" customWidth="1"/>
    <col min="6" max="6" width="8.85546875" style="48" customWidth="1"/>
    <col min="7" max="7" width="40.140625" style="3" customWidth="1"/>
    <col min="8" max="10" width="15.28515625" style="3" customWidth="1"/>
    <col min="11" max="11" width="14" style="6" customWidth="1"/>
    <col min="12" max="12" width="7.42578125" style="49" customWidth="1"/>
    <col min="13" max="16384" width="33.140625" style="3"/>
  </cols>
  <sheetData>
    <row r="1" spans="1:12" ht="18.75">
      <c r="A1" s="1" t="s">
        <v>220</v>
      </c>
    </row>
    <row r="2" spans="1:12">
      <c r="A2" s="7"/>
    </row>
    <row r="3" spans="1:12">
      <c r="A3" s="7" t="s">
        <v>172</v>
      </c>
    </row>
    <row r="4" spans="1:12">
      <c r="A4" s="7" t="s">
        <v>286</v>
      </c>
    </row>
    <row r="5" spans="1:12">
      <c r="A5" s="8" t="s">
        <v>173</v>
      </c>
      <c r="B5" s="8" t="s">
        <v>594</v>
      </c>
      <c r="C5" s="8" t="s">
        <v>604</v>
      </c>
      <c r="D5" s="8" t="s">
        <v>45</v>
      </c>
    </row>
    <row r="6" spans="1:12">
      <c r="A6" s="23" t="s">
        <v>174</v>
      </c>
      <c r="B6" s="4">
        <v>2630057</v>
      </c>
      <c r="C6" s="4">
        <v>661929.22652530705</v>
      </c>
      <c r="D6" s="4">
        <v>3291986.2265253072</v>
      </c>
    </row>
    <row r="7" spans="1:12">
      <c r="A7" s="23" t="s">
        <v>175</v>
      </c>
      <c r="B7" s="5">
        <v>1681095</v>
      </c>
      <c r="C7" s="5">
        <v>1354778.7734746928</v>
      </c>
      <c r="D7" s="5">
        <v>3035873.7734746928</v>
      </c>
    </row>
    <row r="8" spans="1:12">
      <c r="A8" s="23" t="s">
        <v>222</v>
      </c>
      <c r="B8" s="5">
        <v>12</v>
      </c>
      <c r="C8" s="5"/>
      <c r="D8" s="5">
        <v>12</v>
      </c>
    </row>
    <row r="9" spans="1:12">
      <c r="A9" s="21" t="s">
        <v>46</v>
      </c>
      <c r="B9" s="38">
        <v>4311164</v>
      </c>
      <c r="C9" s="38">
        <v>2016708</v>
      </c>
      <c r="D9" s="38">
        <v>6327872</v>
      </c>
    </row>
    <row r="10" spans="1:12">
      <c r="A10" s="3" t="s">
        <v>228</v>
      </c>
      <c r="B10" s="47"/>
      <c r="C10" s="48"/>
      <c r="D10" s="48"/>
    </row>
    <row r="11" spans="1:12">
      <c r="A11" s="3" t="s">
        <v>605</v>
      </c>
    </row>
    <row r="12" spans="1:12">
      <c r="A12" s="7" t="s">
        <v>176</v>
      </c>
      <c r="G12" s="7" t="s">
        <v>177</v>
      </c>
    </row>
    <row r="13" spans="1:12">
      <c r="A13" s="7" t="s">
        <v>606</v>
      </c>
      <c r="G13" s="7" t="s">
        <v>598</v>
      </c>
    </row>
    <row r="14" spans="1:12">
      <c r="A14" s="28" t="s">
        <v>50</v>
      </c>
      <c r="B14" s="28" t="s">
        <v>169</v>
      </c>
      <c r="C14" s="28" t="s">
        <v>170</v>
      </c>
      <c r="D14" s="28" t="s">
        <v>383</v>
      </c>
      <c r="E14" s="28" t="s">
        <v>48</v>
      </c>
      <c r="F14" s="49"/>
      <c r="G14" s="28" t="s">
        <v>50</v>
      </c>
      <c r="H14" s="28" t="s">
        <v>169</v>
      </c>
      <c r="I14" s="28" t="s">
        <v>170</v>
      </c>
      <c r="J14" s="8" t="s">
        <v>223</v>
      </c>
      <c r="K14" s="28" t="s">
        <v>48</v>
      </c>
    </row>
    <row r="15" spans="1:12">
      <c r="A15" s="14" t="s">
        <v>5</v>
      </c>
      <c r="B15" s="4">
        <v>883189</v>
      </c>
      <c r="C15" s="4">
        <v>667443</v>
      </c>
      <c r="D15" s="4">
        <v>3</v>
      </c>
      <c r="E15" s="15">
        <v>1550635</v>
      </c>
      <c r="F15" s="50"/>
      <c r="G15" s="14" t="s">
        <v>5</v>
      </c>
      <c r="H15" s="4">
        <v>228263.50908812883</v>
      </c>
      <c r="I15" s="4">
        <v>741139.05192779575</v>
      </c>
      <c r="J15" s="4"/>
      <c r="K15" s="15">
        <v>969402.56101592456</v>
      </c>
      <c r="L15" s="50"/>
    </row>
    <row r="16" spans="1:12">
      <c r="A16" s="17" t="s">
        <v>6</v>
      </c>
      <c r="B16" s="5">
        <v>1746868</v>
      </c>
      <c r="C16" s="5">
        <v>1013652</v>
      </c>
      <c r="D16" s="5">
        <v>9</v>
      </c>
      <c r="E16" s="10">
        <v>2760529</v>
      </c>
      <c r="F16" s="50"/>
      <c r="G16" s="17" t="s">
        <v>6</v>
      </c>
      <c r="H16" s="5">
        <v>433665.71743717819</v>
      </c>
      <c r="I16" s="5">
        <v>613639.72154689685</v>
      </c>
      <c r="J16" s="5"/>
      <c r="K16" s="10">
        <v>1047305.4389840751</v>
      </c>
      <c r="L16" s="50"/>
    </row>
    <row r="17" spans="1:12">
      <c r="A17" s="23" t="s">
        <v>222</v>
      </c>
      <c r="B17" s="5"/>
      <c r="C17" s="5"/>
      <c r="D17" s="5"/>
      <c r="E17" s="10">
        <v>0</v>
      </c>
      <c r="F17" s="50"/>
      <c r="G17" s="23" t="s">
        <v>222</v>
      </c>
      <c r="H17" s="5"/>
      <c r="I17" s="5"/>
      <c r="J17" s="5"/>
      <c r="K17" s="10">
        <v>0</v>
      </c>
      <c r="L17" s="50"/>
    </row>
    <row r="18" spans="1:12">
      <c r="A18" s="21" t="s">
        <v>46</v>
      </c>
      <c r="B18" s="38">
        <v>2630057</v>
      </c>
      <c r="C18" s="38">
        <v>1681095</v>
      </c>
      <c r="D18" s="38">
        <v>12</v>
      </c>
      <c r="E18" s="38">
        <v>4311164</v>
      </c>
      <c r="F18" s="50"/>
      <c r="G18" s="21" t="s">
        <v>46</v>
      </c>
      <c r="H18" s="38">
        <v>661929.22652530705</v>
      </c>
      <c r="I18" s="38">
        <v>1354778.7734746926</v>
      </c>
      <c r="J18" s="38">
        <v>0</v>
      </c>
      <c r="K18" s="38">
        <v>2016707.9999999995</v>
      </c>
      <c r="L18" s="50"/>
    </row>
    <row r="19" spans="1:12">
      <c r="A19" s="3" t="s">
        <v>228</v>
      </c>
      <c r="B19" s="47"/>
      <c r="C19" s="47"/>
      <c r="D19" s="47"/>
      <c r="E19" s="50"/>
      <c r="F19" s="49"/>
      <c r="G19" s="3" t="s">
        <v>56</v>
      </c>
      <c r="H19" s="54"/>
      <c r="I19" s="54"/>
      <c r="J19" s="57"/>
      <c r="K19" s="55"/>
    </row>
    <row r="20" spans="1:12">
      <c r="E20" s="3"/>
      <c r="F20" s="49"/>
      <c r="H20" s="6"/>
      <c r="I20" s="6"/>
      <c r="J20" s="6"/>
      <c r="K20" s="3"/>
    </row>
    <row r="21" spans="1:12">
      <c r="A21" s="7" t="s">
        <v>178</v>
      </c>
      <c r="E21" s="3"/>
      <c r="F21" s="49"/>
      <c r="G21" s="7" t="s">
        <v>179</v>
      </c>
      <c r="H21" s="6"/>
      <c r="I21" s="6"/>
      <c r="J21" s="6"/>
      <c r="K21" s="3"/>
    </row>
    <row r="22" spans="1:12">
      <c r="A22" s="7" t="s">
        <v>617</v>
      </c>
      <c r="E22" s="3"/>
      <c r="F22" s="49"/>
      <c r="G22" s="7" t="s">
        <v>599</v>
      </c>
      <c r="H22" s="6"/>
      <c r="I22" s="6"/>
      <c r="J22" s="6"/>
      <c r="K22" s="3"/>
    </row>
    <row r="23" spans="1:12">
      <c r="A23" s="16" t="s">
        <v>51</v>
      </c>
      <c r="B23" s="28" t="s">
        <v>169</v>
      </c>
      <c r="C23" s="28" t="s">
        <v>170</v>
      </c>
      <c r="D23" s="28" t="s">
        <v>383</v>
      </c>
      <c r="E23" s="28" t="s">
        <v>48</v>
      </c>
      <c r="F23" s="49"/>
      <c r="G23" s="16" t="s">
        <v>51</v>
      </c>
      <c r="H23" s="28" t="s">
        <v>169</v>
      </c>
      <c r="I23" s="28" t="s">
        <v>170</v>
      </c>
      <c r="J23" s="8" t="s">
        <v>223</v>
      </c>
      <c r="K23" s="28" t="s">
        <v>48</v>
      </c>
    </row>
    <row r="24" spans="1:12">
      <c r="A24" s="14" t="s">
        <v>40</v>
      </c>
      <c r="B24" s="4">
        <v>16276</v>
      </c>
      <c r="C24" s="4">
        <v>10550</v>
      </c>
      <c r="D24" s="4"/>
      <c r="E24" s="4">
        <v>26826</v>
      </c>
      <c r="F24" s="50"/>
      <c r="G24" s="14" t="s">
        <v>40</v>
      </c>
      <c r="H24" s="4">
        <v>33.775046055937025</v>
      </c>
      <c r="I24" s="4">
        <v>1678.4729409537399</v>
      </c>
      <c r="J24" s="4"/>
      <c r="K24" s="4">
        <v>1712.247987009677</v>
      </c>
      <c r="L24" s="50"/>
    </row>
    <row r="25" spans="1:12">
      <c r="A25" s="17" t="s">
        <v>2</v>
      </c>
      <c r="B25" s="5">
        <v>217989</v>
      </c>
      <c r="C25" s="5">
        <v>106885</v>
      </c>
      <c r="D25" s="5"/>
      <c r="E25" s="5">
        <v>324874</v>
      </c>
      <c r="F25" s="50"/>
      <c r="G25" s="17" t="s">
        <v>2</v>
      </c>
      <c r="H25" s="5">
        <v>3934.0586253850129</v>
      </c>
      <c r="I25" s="5">
        <v>56188.460314709497</v>
      </c>
      <c r="J25" s="5"/>
      <c r="K25" s="5">
        <v>60122.518940094509</v>
      </c>
      <c r="L25" s="50"/>
    </row>
    <row r="26" spans="1:12">
      <c r="A26" s="17" t="s">
        <v>41</v>
      </c>
      <c r="B26" s="5">
        <v>854390</v>
      </c>
      <c r="C26" s="5">
        <v>426281</v>
      </c>
      <c r="D26" s="5">
        <v>6</v>
      </c>
      <c r="E26" s="5">
        <v>1280677</v>
      </c>
      <c r="F26" s="50"/>
      <c r="G26" s="17" t="s">
        <v>41</v>
      </c>
      <c r="H26" s="5">
        <v>204929.35770426627</v>
      </c>
      <c r="I26" s="5">
        <v>488479.68022543739</v>
      </c>
      <c r="J26" s="5"/>
      <c r="K26" s="5">
        <v>693409.03792970371</v>
      </c>
      <c r="L26" s="50"/>
    </row>
    <row r="27" spans="1:12">
      <c r="A27" s="17" t="s">
        <v>42</v>
      </c>
      <c r="B27" s="5">
        <v>627130</v>
      </c>
      <c r="C27" s="5">
        <v>374941</v>
      </c>
      <c r="D27" s="5">
        <v>2</v>
      </c>
      <c r="E27" s="5">
        <v>1002073</v>
      </c>
      <c r="F27" s="50"/>
      <c r="G27" s="17" t="s">
        <v>42</v>
      </c>
      <c r="H27" s="5">
        <v>207663.66795453386</v>
      </c>
      <c r="I27" s="5">
        <v>389912.34799210675</v>
      </c>
      <c r="J27" s="5"/>
      <c r="K27" s="5">
        <v>597576.01594664063</v>
      </c>
      <c r="L27" s="50"/>
    </row>
    <row r="28" spans="1:12">
      <c r="A28" s="17" t="s">
        <v>43</v>
      </c>
      <c r="B28" s="5">
        <v>482440</v>
      </c>
      <c r="C28" s="5">
        <v>359083</v>
      </c>
      <c r="D28" s="5">
        <v>2</v>
      </c>
      <c r="E28" s="5">
        <v>841525</v>
      </c>
      <c r="F28" s="50"/>
      <c r="G28" s="17" t="s">
        <v>43</v>
      </c>
      <c r="H28" s="5">
        <v>118421.18539316842</v>
      </c>
      <c r="I28" s="5">
        <v>241378.50631967551</v>
      </c>
      <c r="J28" s="5"/>
      <c r="K28" s="5">
        <v>359799.69171284395</v>
      </c>
      <c r="L28" s="50"/>
    </row>
    <row r="29" spans="1:12">
      <c r="A29" s="17" t="s">
        <v>44</v>
      </c>
      <c r="B29" s="5">
        <v>340434</v>
      </c>
      <c r="C29" s="5">
        <v>302453</v>
      </c>
      <c r="D29" s="5">
        <v>2</v>
      </c>
      <c r="E29" s="5">
        <v>642889</v>
      </c>
      <c r="F29" s="50"/>
      <c r="G29" s="17" t="s">
        <v>44</v>
      </c>
      <c r="H29" s="5">
        <v>104313.49550362985</v>
      </c>
      <c r="I29" s="5">
        <v>145206.26539578976</v>
      </c>
      <c r="J29" s="5"/>
      <c r="K29" s="5">
        <v>249519.76089941961</v>
      </c>
      <c r="L29" s="50"/>
    </row>
    <row r="30" spans="1:12">
      <c r="A30" s="17" t="s">
        <v>3</v>
      </c>
      <c r="B30" s="5">
        <v>91398</v>
      </c>
      <c r="C30" s="5">
        <v>100902</v>
      </c>
      <c r="D30" s="5"/>
      <c r="E30" s="5">
        <v>192300</v>
      </c>
      <c r="F30" s="50"/>
      <c r="G30" s="17" t="s">
        <v>3</v>
      </c>
      <c r="H30" s="5">
        <v>22633.686298267712</v>
      </c>
      <c r="I30" s="5">
        <v>31927.697884703604</v>
      </c>
      <c r="J30" s="5"/>
      <c r="K30" s="5">
        <v>54561.38418297132</v>
      </c>
      <c r="L30" s="50"/>
    </row>
    <row r="31" spans="1:12">
      <c r="A31" s="23" t="s">
        <v>222</v>
      </c>
      <c r="B31" s="5"/>
      <c r="C31" s="5"/>
      <c r="D31" s="5"/>
      <c r="E31" s="5">
        <v>0</v>
      </c>
      <c r="F31" s="50"/>
      <c r="G31" s="23" t="s">
        <v>222</v>
      </c>
      <c r="H31" s="5">
        <v>0</v>
      </c>
      <c r="I31" s="5">
        <v>7.3424013165080488</v>
      </c>
      <c r="J31" s="5"/>
      <c r="K31" s="5">
        <v>7.3424013165080488</v>
      </c>
      <c r="L31" s="50"/>
    </row>
    <row r="32" spans="1:12">
      <c r="A32" s="21" t="s">
        <v>46</v>
      </c>
      <c r="B32" s="38">
        <v>2630057</v>
      </c>
      <c r="C32" s="38">
        <v>1681095</v>
      </c>
      <c r="D32" s="38">
        <v>12</v>
      </c>
      <c r="E32" s="38">
        <v>4311164</v>
      </c>
      <c r="F32" s="50"/>
      <c r="G32" s="21" t="s">
        <v>46</v>
      </c>
      <c r="H32" s="38">
        <v>661929.22652530693</v>
      </c>
      <c r="I32" s="38">
        <v>1354778.7734746931</v>
      </c>
      <c r="J32" s="38">
        <v>0</v>
      </c>
      <c r="K32" s="38">
        <v>2016708.0000000002</v>
      </c>
      <c r="L32" s="50"/>
    </row>
    <row r="33" spans="1:12">
      <c r="A33" s="3" t="s">
        <v>228</v>
      </c>
      <c r="B33" s="47"/>
      <c r="C33" s="48"/>
      <c r="D33" s="48"/>
      <c r="E33" s="49"/>
      <c r="F33" s="49"/>
      <c r="G33" s="3" t="s">
        <v>56</v>
      </c>
      <c r="H33" s="47"/>
      <c r="I33" s="48"/>
      <c r="J33" s="48"/>
      <c r="K33" s="49"/>
    </row>
    <row r="34" spans="1:12">
      <c r="E34" s="3"/>
      <c r="F34" s="49"/>
      <c r="H34" s="6"/>
      <c r="I34" s="6"/>
      <c r="J34" s="6"/>
      <c r="K34" s="3"/>
    </row>
    <row r="35" spans="1:12">
      <c r="A35" s="7" t="s">
        <v>180</v>
      </c>
      <c r="E35" s="3"/>
      <c r="F35" s="49"/>
      <c r="G35" s="7" t="s">
        <v>181</v>
      </c>
      <c r="H35" s="6"/>
      <c r="I35" s="6"/>
      <c r="J35" s="6"/>
      <c r="K35" s="3"/>
    </row>
    <row r="36" spans="1:12">
      <c r="A36" s="7" t="s">
        <v>618</v>
      </c>
      <c r="E36" s="3"/>
      <c r="F36" s="49"/>
      <c r="G36" s="7" t="s">
        <v>600</v>
      </c>
      <c r="H36" s="6"/>
      <c r="I36" s="6"/>
      <c r="J36" s="6"/>
      <c r="K36" s="3"/>
    </row>
    <row r="37" spans="1:12">
      <c r="A37" s="8" t="s">
        <v>148</v>
      </c>
      <c r="B37" s="28" t="s">
        <v>169</v>
      </c>
      <c r="C37" s="28" t="s">
        <v>170</v>
      </c>
      <c r="D37" s="28" t="s">
        <v>383</v>
      </c>
      <c r="E37" s="28" t="s">
        <v>48</v>
      </c>
      <c r="F37" s="49"/>
      <c r="G37" s="8" t="s">
        <v>148</v>
      </c>
      <c r="H37" s="28" t="s">
        <v>169</v>
      </c>
      <c r="I37" s="28" t="s">
        <v>170</v>
      </c>
      <c r="J37" s="28"/>
      <c r="K37" s="28" t="s">
        <v>48</v>
      </c>
    </row>
    <row r="38" spans="1:12">
      <c r="A38" s="23" t="s">
        <v>9</v>
      </c>
      <c r="B38" s="5">
        <v>670388</v>
      </c>
      <c r="C38" s="5">
        <v>336057</v>
      </c>
      <c r="D38" s="5">
        <v>2</v>
      </c>
      <c r="E38" s="4">
        <v>1006447</v>
      </c>
      <c r="F38" s="50"/>
      <c r="G38" s="23" t="s">
        <v>9</v>
      </c>
      <c r="H38" s="4">
        <v>85922.24868604049</v>
      </c>
      <c r="I38" s="4">
        <v>208872.2272112311</v>
      </c>
      <c r="J38" s="4"/>
      <c r="K38" s="4">
        <v>294794.47589727159</v>
      </c>
      <c r="L38" s="50"/>
    </row>
    <row r="39" spans="1:12">
      <c r="A39" s="23" t="s">
        <v>10</v>
      </c>
      <c r="B39" s="5">
        <v>610655</v>
      </c>
      <c r="C39" s="5">
        <v>355031</v>
      </c>
      <c r="D39" s="5">
        <v>2</v>
      </c>
      <c r="E39" s="5">
        <v>965688</v>
      </c>
      <c r="F39" s="50"/>
      <c r="G39" s="23" t="s">
        <v>10</v>
      </c>
      <c r="H39" s="5">
        <v>88828.371127114369</v>
      </c>
      <c r="I39" s="5">
        <v>221136.97437032612</v>
      </c>
      <c r="J39" s="5"/>
      <c r="K39" s="5">
        <v>309965.34549744049</v>
      </c>
      <c r="L39" s="50"/>
    </row>
    <row r="40" spans="1:12">
      <c r="A40" s="23" t="s">
        <v>11</v>
      </c>
      <c r="B40" s="5">
        <v>392589</v>
      </c>
      <c r="C40" s="5">
        <v>185286</v>
      </c>
      <c r="D40" s="5">
        <v>5</v>
      </c>
      <c r="E40" s="5">
        <v>577880</v>
      </c>
      <c r="F40" s="50"/>
      <c r="G40" s="23" t="s">
        <v>11</v>
      </c>
      <c r="H40" s="5">
        <v>170499.36945089669</v>
      </c>
      <c r="I40" s="5">
        <v>267445.49947354238</v>
      </c>
      <c r="J40" s="5"/>
      <c r="K40" s="5">
        <v>437944.86892443907</v>
      </c>
      <c r="L40" s="50"/>
    </row>
    <row r="41" spans="1:12">
      <c r="A41" s="23" t="s">
        <v>12</v>
      </c>
      <c r="B41" s="5">
        <v>156087</v>
      </c>
      <c r="C41" s="5">
        <v>181246</v>
      </c>
      <c r="D41" s="5">
        <v>1</v>
      </c>
      <c r="E41" s="5">
        <v>337334</v>
      </c>
      <c r="F41" s="50"/>
      <c r="G41" s="23" t="s">
        <v>12</v>
      </c>
      <c r="H41" s="5">
        <v>34161.256365185349</v>
      </c>
      <c r="I41" s="5">
        <v>128312.86844676806</v>
      </c>
      <c r="J41" s="5"/>
      <c r="K41" s="5">
        <v>162474.1248119534</v>
      </c>
      <c r="L41" s="50"/>
    </row>
    <row r="42" spans="1:12">
      <c r="A42" s="23" t="s">
        <v>13</v>
      </c>
      <c r="B42" s="5">
        <v>177353</v>
      </c>
      <c r="C42" s="5">
        <v>75291</v>
      </c>
      <c r="D42" s="5">
        <v>1</v>
      </c>
      <c r="E42" s="5">
        <v>252645</v>
      </c>
      <c r="F42" s="50"/>
      <c r="G42" s="23" t="s">
        <v>13</v>
      </c>
      <c r="H42" s="5">
        <v>73031.92893477896</v>
      </c>
      <c r="I42" s="5">
        <v>108318.04118165335</v>
      </c>
      <c r="J42" s="5"/>
      <c r="K42" s="5">
        <v>181349.97011643229</v>
      </c>
      <c r="L42" s="50"/>
    </row>
    <row r="43" spans="1:12">
      <c r="A43" s="23" t="s">
        <v>163</v>
      </c>
      <c r="B43" s="5">
        <v>114482</v>
      </c>
      <c r="C43" s="5">
        <v>103996</v>
      </c>
      <c r="D43" s="5">
        <v>1</v>
      </c>
      <c r="E43" s="5">
        <v>218479</v>
      </c>
      <c r="F43" s="50"/>
      <c r="G43" s="23" t="s">
        <v>163</v>
      </c>
      <c r="H43" s="5">
        <v>65027.243019521884</v>
      </c>
      <c r="I43" s="5">
        <v>105482.40579321793</v>
      </c>
      <c r="J43" s="5"/>
      <c r="K43" s="5">
        <v>170509.64881273982</v>
      </c>
      <c r="L43" s="50"/>
    </row>
    <row r="44" spans="1:12">
      <c r="A44" s="23" t="s">
        <v>164</v>
      </c>
      <c r="B44" s="5">
        <v>79963</v>
      </c>
      <c r="C44" s="5">
        <v>37904</v>
      </c>
      <c r="D44" s="5"/>
      <c r="E44" s="5">
        <v>117867</v>
      </c>
      <c r="F44" s="50"/>
      <c r="G44" s="23" t="s">
        <v>164</v>
      </c>
      <c r="H44" s="5">
        <v>14068.040922429422</v>
      </c>
      <c r="I44" s="5">
        <v>36324.327793028613</v>
      </c>
      <c r="J44" s="5"/>
      <c r="K44" s="5">
        <v>50392.368715458033</v>
      </c>
      <c r="L44" s="50"/>
    </row>
    <row r="45" spans="1:12">
      <c r="A45" s="23" t="s">
        <v>165</v>
      </c>
      <c r="B45" s="5">
        <v>71936</v>
      </c>
      <c r="C45" s="5">
        <v>58315</v>
      </c>
      <c r="D45" s="5"/>
      <c r="E45" s="5">
        <v>130251</v>
      </c>
      <c r="F45" s="50"/>
      <c r="G45" s="23" t="s">
        <v>165</v>
      </c>
      <c r="H45" s="5">
        <v>24645.504258990917</v>
      </c>
      <c r="I45" s="5">
        <v>44753.404504379854</v>
      </c>
      <c r="J45" s="5"/>
      <c r="K45" s="5">
        <v>69398.908763370768</v>
      </c>
      <c r="L45" s="50"/>
    </row>
    <row r="46" spans="1:12">
      <c r="A46" s="23" t="s">
        <v>166</v>
      </c>
      <c r="B46" s="5">
        <v>26872</v>
      </c>
      <c r="C46" s="5">
        <v>76063</v>
      </c>
      <c r="D46" s="5"/>
      <c r="E46" s="5">
        <v>102935</v>
      </c>
      <c r="F46" s="50"/>
      <c r="G46" s="23" t="s">
        <v>166</v>
      </c>
      <c r="H46" s="5">
        <v>14414.602264568603</v>
      </c>
      <c r="I46" s="5">
        <v>45671.20466894337</v>
      </c>
      <c r="J46" s="5"/>
      <c r="K46" s="5">
        <v>60085.806933511973</v>
      </c>
      <c r="L46" s="50"/>
    </row>
    <row r="47" spans="1:12">
      <c r="A47" s="23" t="s">
        <v>203</v>
      </c>
      <c r="B47" s="5">
        <v>40881</v>
      </c>
      <c r="C47" s="5">
        <v>67381</v>
      </c>
      <c r="D47" s="5"/>
      <c r="E47" s="5">
        <v>108262</v>
      </c>
      <c r="F47" s="50"/>
      <c r="G47" s="23" t="s">
        <v>203</v>
      </c>
      <c r="H47" s="5">
        <v>9368.9040798642709</v>
      </c>
      <c r="I47" s="5">
        <v>28675.014101490531</v>
      </c>
      <c r="J47" s="5"/>
      <c r="K47" s="5">
        <v>38043.918181354806</v>
      </c>
      <c r="L47" s="50"/>
    </row>
    <row r="48" spans="1:12">
      <c r="A48" s="23" t="s">
        <v>31</v>
      </c>
      <c r="B48" s="5">
        <v>288798</v>
      </c>
      <c r="C48" s="5">
        <v>204447</v>
      </c>
      <c r="D48" s="5"/>
      <c r="E48" s="5">
        <v>493245</v>
      </c>
      <c r="F48" s="50"/>
      <c r="G48" s="23" t="s">
        <v>31</v>
      </c>
      <c r="H48" s="5">
        <v>81629.880876409894</v>
      </c>
      <c r="I48" s="5">
        <v>159575.34477219603</v>
      </c>
      <c r="J48" s="5"/>
      <c r="K48" s="5">
        <v>241205.22564860591</v>
      </c>
      <c r="L48" s="50"/>
    </row>
    <row r="49" spans="1:12">
      <c r="A49" s="23" t="s">
        <v>222</v>
      </c>
      <c r="B49" s="5">
        <v>53</v>
      </c>
      <c r="C49" s="5">
        <v>78</v>
      </c>
      <c r="D49" s="5"/>
      <c r="E49" s="5">
        <v>131</v>
      </c>
      <c r="F49" s="50"/>
      <c r="G49" s="23" t="s">
        <v>222</v>
      </c>
      <c r="H49" s="5">
        <v>331.87653950616385</v>
      </c>
      <c r="I49" s="5">
        <v>211.46115791543181</v>
      </c>
      <c r="J49" s="5"/>
      <c r="K49" s="5">
        <v>543.33769742159564</v>
      </c>
      <c r="L49" s="50"/>
    </row>
    <row r="50" spans="1:12">
      <c r="A50" s="21" t="s">
        <v>46</v>
      </c>
      <c r="B50" s="38">
        <v>2630057</v>
      </c>
      <c r="C50" s="38">
        <v>1681095</v>
      </c>
      <c r="D50" s="38">
        <v>12</v>
      </c>
      <c r="E50" s="38">
        <v>4311164</v>
      </c>
      <c r="F50" s="49"/>
      <c r="G50" s="21" t="s">
        <v>46</v>
      </c>
      <c r="H50" s="38">
        <v>661929.22652530693</v>
      </c>
      <c r="I50" s="38">
        <v>1354778.7734746931</v>
      </c>
      <c r="J50" s="38">
        <v>0</v>
      </c>
      <c r="K50" s="38">
        <v>2016708</v>
      </c>
    </row>
    <row r="51" spans="1:12">
      <c r="A51" s="3" t="s">
        <v>228</v>
      </c>
      <c r="B51" s="47"/>
      <c r="C51" s="47"/>
      <c r="D51" s="47"/>
      <c r="E51" s="49"/>
      <c r="F51" s="49"/>
      <c r="G51" s="3" t="s">
        <v>56</v>
      </c>
      <c r="H51" s="47"/>
      <c r="I51" s="48"/>
      <c r="J51" s="48"/>
      <c r="K51" s="49"/>
    </row>
    <row r="52" spans="1:12">
      <c r="E52" s="3"/>
      <c r="F52" s="49"/>
      <c r="H52" s="6"/>
      <c r="I52" s="6"/>
      <c r="J52" s="6"/>
      <c r="K52" s="3"/>
    </row>
    <row r="53" spans="1:12">
      <c r="A53" s="7" t="s">
        <v>182</v>
      </c>
      <c r="C53" s="34"/>
      <c r="D53" s="34"/>
      <c r="E53" s="3"/>
      <c r="F53" s="49"/>
      <c r="H53" s="6"/>
      <c r="I53" s="6"/>
      <c r="J53" s="6"/>
    </row>
    <row r="54" spans="1:12">
      <c r="A54" s="7" t="s">
        <v>358</v>
      </c>
      <c r="E54" s="3"/>
      <c r="F54" s="49"/>
      <c r="G54" s="7"/>
      <c r="H54" s="6"/>
      <c r="I54" s="6"/>
      <c r="J54" s="6"/>
    </row>
    <row r="55" spans="1:12">
      <c r="A55" s="8" t="s">
        <v>173</v>
      </c>
      <c r="B55" s="8" t="s">
        <v>594</v>
      </c>
      <c r="C55" s="8" t="s">
        <v>604</v>
      </c>
      <c r="D55" s="8"/>
      <c r="E55" s="8" t="s">
        <v>45</v>
      </c>
      <c r="F55" s="49"/>
      <c r="G55" s="26"/>
      <c r="H55" s="26"/>
      <c r="I55" s="26"/>
      <c r="J55" s="26"/>
      <c r="K55" s="26"/>
    </row>
    <row r="56" spans="1:12">
      <c r="A56" s="23" t="s">
        <v>174</v>
      </c>
      <c r="B56" s="4">
        <v>30377891</v>
      </c>
      <c r="C56" s="4">
        <v>2706851.5012971405</v>
      </c>
      <c r="D56" s="4"/>
      <c r="E56" s="4">
        <v>33084742.501297139</v>
      </c>
      <c r="F56" s="49"/>
      <c r="G56" s="25"/>
      <c r="H56" s="13"/>
      <c r="I56" s="13"/>
      <c r="J56" s="13"/>
      <c r="K56" s="13"/>
    </row>
    <row r="57" spans="1:12">
      <c r="A57" s="23" t="s">
        <v>175</v>
      </c>
      <c r="B57" s="5">
        <v>25987653</v>
      </c>
      <c r="C57" s="5">
        <v>12471373.49870286</v>
      </c>
      <c r="D57" s="5"/>
      <c r="E57" s="5">
        <v>38459026.498702861</v>
      </c>
      <c r="F57" s="49"/>
      <c r="G57" s="25"/>
      <c r="H57" s="13"/>
      <c r="I57" s="13"/>
      <c r="J57" s="13"/>
      <c r="K57" s="13"/>
    </row>
    <row r="58" spans="1:12">
      <c r="A58" s="23" t="s">
        <v>222</v>
      </c>
      <c r="B58" s="5">
        <v>154</v>
      </c>
      <c r="C58" s="5"/>
      <c r="D58" s="5"/>
      <c r="E58" s="5">
        <v>154</v>
      </c>
      <c r="F58" s="49"/>
      <c r="G58" s="25"/>
      <c r="H58" s="13"/>
      <c r="I58" s="13"/>
      <c r="J58" s="13"/>
      <c r="K58" s="13"/>
    </row>
    <row r="59" spans="1:12">
      <c r="A59" s="21" t="s">
        <v>46</v>
      </c>
      <c r="B59" s="38">
        <v>56365698</v>
      </c>
      <c r="C59" s="38">
        <v>15178225</v>
      </c>
      <c r="D59" s="38"/>
      <c r="E59" s="38">
        <v>71543923</v>
      </c>
      <c r="F59" s="49"/>
      <c r="G59" s="29"/>
      <c r="H59" s="13"/>
      <c r="I59" s="13"/>
      <c r="J59" s="13"/>
      <c r="K59" s="13"/>
    </row>
    <row r="60" spans="1:12">
      <c r="A60" s="3" t="s">
        <v>608</v>
      </c>
      <c r="B60" s="47"/>
      <c r="C60" s="48"/>
      <c r="D60" s="48"/>
      <c r="E60" s="49"/>
      <c r="F60" s="49"/>
      <c r="H60" s="6"/>
      <c r="I60" s="6"/>
      <c r="J60" s="6"/>
    </row>
    <row r="61" spans="1:12">
      <c r="A61" s="3" t="s">
        <v>607</v>
      </c>
      <c r="E61" s="3"/>
      <c r="F61" s="49"/>
      <c r="H61" s="6"/>
      <c r="I61" s="6"/>
      <c r="J61" s="6"/>
      <c r="K61" s="3"/>
    </row>
    <row r="62" spans="1:12">
      <c r="A62" s="7" t="s">
        <v>183</v>
      </c>
      <c r="E62" s="3"/>
      <c r="F62" s="49"/>
      <c r="G62" s="7" t="s">
        <v>184</v>
      </c>
      <c r="H62" s="6"/>
      <c r="I62" s="6"/>
      <c r="J62" s="6"/>
      <c r="K62" s="3"/>
    </row>
    <row r="63" spans="1:12">
      <c r="A63" s="7" t="s">
        <v>619</v>
      </c>
      <c r="E63" s="3"/>
      <c r="F63" s="49"/>
      <c r="G63" s="7" t="s">
        <v>601</v>
      </c>
      <c r="H63" s="6"/>
      <c r="I63" s="6"/>
      <c r="J63" s="6"/>
      <c r="K63" s="3"/>
    </row>
    <row r="64" spans="1:12" ht="25.5">
      <c r="A64" s="28" t="s">
        <v>50</v>
      </c>
      <c r="B64" s="28" t="s">
        <v>169</v>
      </c>
      <c r="C64" s="28" t="s">
        <v>170</v>
      </c>
      <c r="D64" s="28" t="s">
        <v>383</v>
      </c>
      <c r="E64" s="28" t="s">
        <v>48</v>
      </c>
      <c r="F64" s="49"/>
      <c r="G64" s="28" t="s">
        <v>50</v>
      </c>
      <c r="H64" s="28" t="s">
        <v>169</v>
      </c>
      <c r="I64" s="28" t="s">
        <v>170</v>
      </c>
      <c r="J64" s="28" t="s">
        <v>223</v>
      </c>
      <c r="K64" s="28" t="s">
        <v>48</v>
      </c>
    </row>
    <row r="65" spans="1:12">
      <c r="A65" s="14" t="s">
        <v>5</v>
      </c>
      <c r="B65" s="4">
        <v>10509005</v>
      </c>
      <c r="C65" s="4">
        <v>11646765</v>
      </c>
      <c r="D65" s="4">
        <v>92</v>
      </c>
      <c r="E65" s="15">
        <v>22155862</v>
      </c>
      <c r="F65" s="50"/>
      <c r="G65" s="14" t="s">
        <v>5</v>
      </c>
      <c r="H65" s="4">
        <v>898523.22281689884</v>
      </c>
      <c r="I65" s="4">
        <v>7135543.1347338045</v>
      </c>
      <c r="J65" s="4"/>
      <c r="K65" s="15">
        <v>8034066.357550703</v>
      </c>
      <c r="L65" s="50"/>
    </row>
    <row r="66" spans="1:12">
      <c r="A66" s="17" t="s">
        <v>6</v>
      </c>
      <c r="B66" s="5">
        <v>19868886</v>
      </c>
      <c r="C66" s="5">
        <v>14340888</v>
      </c>
      <c r="D66" s="5">
        <v>62</v>
      </c>
      <c r="E66" s="10">
        <v>34209836</v>
      </c>
      <c r="F66" s="50"/>
      <c r="G66" s="17" t="s">
        <v>6</v>
      </c>
      <c r="H66" s="5">
        <v>1808328.2784802415</v>
      </c>
      <c r="I66" s="5">
        <v>5335830.363969055</v>
      </c>
      <c r="J66" s="5"/>
      <c r="K66" s="10">
        <v>7144158.642449297</v>
      </c>
      <c r="L66" s="50"/>
    </row>
    <row r="67" spans="1:12">
      <c r="A67" s="23" t="s">
        <v>222</v>
      </c>
      <c r="B67" s="5"/>
      <c r="C67" s="5"/>
      <c r="D67" s="5"/>
      <c r="E67" s="10">
        <v>0</v>
      </c>
      <c r="F67" s="50"/>
      <c r="G67" s="23" t="s">
        <v>222</v>
      </c>
      <c r="H67" s="5"/>
      <c r="I67" s="5"/>
      <c r="J67" s="5"/>
      <c r="K67" s="10">
        <v>0</v>
      </c>
      <c r="L67" s="50"/>
    </row>
    <row r="68" spans="1:12">
      <c r="A68" s="21" t="s">
        <v>46</v>
      </c>
      <c r="B68" s="38">
        <v>30377891</v>
      </c>
      <c r="C68" s="38">
        <v>25987653</v>
      </c>
      <c r="D68" s="38">
        <v>154</v>
      </c>
      <c r="E68" s="38">
        <v>56365698</v>
      </c>
      <c r="F68" s="50"/>
      <c r="G68" s="21" t="s">
        <v>46</v>
      </c>
      <c r="H68" s="38">
        <v>2706851.5012971405</v>
      </c>
      <c r="I68" s="38">
        <v>12471373.49870286</v>
      </c>
      <c r="J68" s="38">
        <v>0</v>
      </c>
      <c r="K68" s="38">
        <v>15178225</v>
      </c>
      <c r="L68" s="50"/>
    </row>
    <row r="69" spans="1:12" ht="14.1" customHeight="1">
      <c r="A69" s="3" t="s">
        <v>608</v>
      </c>
      <c r="B69" s="47"/>
      <c r="C69" s="47"/>
      <c r="D69" s="47"/>
      <c r="E69" s="50"/>
      <c r="F69" s="49"/>
      <c r="G69" s="3" t="s">
        <v>55</v>
      </c>
      <c r="H69" s="58"/>
      <c r="I69" s="58"/>
      <c r="J69" s="58"/>
      <c r="K69" s="55"/>
    </row>
    <row r="70" spans="1:12">
      <c r="E70" s="3"/>
      <c r="F70" s="49"/>
      <c r="H70" s="6"/>
      <c r="I70" s="6"/>
      <c r="K70" s="3"/>
    </row>
    <row r="71" spans="1:12">
      <c r="A71" s="7" t="s">
        <v>185</v>
      </c>
      <c r="E71" s="3"/>
      <c r="F71" s="49"/>
      <c r="G71" s="7" t="s">
        <v>186</v>
      </c>
      <c r="H71" s="6"/>
      <c r="I71" s="6"/>
      <c r="J71" s="6"/>
      <c r="K71" s="3"/>
    </row>
    <row r="72" spans="1:12">
      <c r="A72" s="7" t="s">
        <v>620</v>
      </c>
      <c r="E72" s="3"/>
      <c r="F72" s="49"/>
      <c r="G72" s="7" t="s">
        <v>602</v>
      </c>
      <c r="H72" s="6"/>
      <c r="I72" s="6"/>
      <c r="J72" s="6"/>
      <c r="K72" s="3"/>
    </row>
    <row r="73" spans="1:12" ht="25.5">
      <c r="A73" s="16" t="s">
        <v>51</v>
      </c>
      <c r="B73" s="28" t="s">
        <v>169</v>
      </c>
      <c r="C73" s="28" t="s">
        <v>170</v>
      </c>
      <c r="D73" s="28" t="s">
        <v>383</v>
      </c>
      <c r="E73" s="28" t="s">
        <v>48</v>
      </c>
      <c r="F73" s="49"/>
      <c r="G73" s="16" t="s">
        <v>51</v>
      </c>
      <c r="H73" s="28" t="s">
        <v>169</v>
      </c>
      <c r="I73" s="28" t="s">
        <v>170</v>
      </c>
      <c r="J73" s="28" t="s">
        <v>223</v>
      </c>
      <c r="K73" s="28" t="s">
        <v>48</v>
      </c>
    </row>
    <row r="74" spans="1:12">
      <c r="A74" s="14" t="s">
        <v>40</v>
      </c>
      <c r="B74" s="4">
        <v>129792</v>
      </c>
      <c r="C74" s="4">
        <v>105091</v>
      </c>
      <c r="D74" s="4"/>
      <c r="E74" s="4">
        <v>234883</v>
      </c>
      <c r="F74" s="50"/>
      <c r="G74" s="14" t="s">
        <v>40</v>
      </c>
      <c r="H74" s="4">
        <v>30.117958289815192</v>
      </c>
      <c r="I74" s="4">
        <v>8684.6018550984754</v>
      </c>
      <c r="J74" s="4"/>
      <c r="K74" s="4">
        <v>8714.7198133882903</v>
      </c>
      <c r="L74" s="50"/>
    </row>
    <row r="75" spans="1:12">
      <c r="A75" s="17" t="s">
        <v>2</v>
      </c>
      <c r="B75" s="5">
        <v>2030379</v>
      </c>
      <c r="C75" s="5">
        <v>1255099</v>
      </c>
      <c r="D75" s="5"/>
      <c r="E75" s="5">
        <v>3285478</v>
      </c>
      <c r="F75" s="50"/>
      <c r="G75" s="17" t="s">
        <v>2</v>
      </c>
      <c r="H75" s="5">
        <v>9299.3625331317598</v>
      </c>
      <c r="I75" s="5">
        <v>326930.43723594386</v>
      </c>
      <c r="J75" s="5"/>
      <c r="K75" s="5">
        <v>336229.79976907559</v>
      </c>
      <c r="L75" s="50"/>
    </row>
    <row r="76" spans="1:12">
      <c r="A76" s="17" t="s">
        <v>41</v>
      </c>
      <c r="B76" s="5">
        <v>9046249</v>
      </c>
      <c r="C76" s="5">
        <v>5439200</v>
      </c>
      <c r="D76" s="5">
        <v>89</v>
      </c>
      <c r="E76" s="5">
        <v>14485538</v>
      </c>
      <c r="F76" s="50"/>
      <c r="G76" s="17" t="s">
        <v>41</v>
      </c>
      <c r="H76" s="5">
        <v>592104.88682092435</v>
      </c>
      <c r="I76" s="5">
        <v>3459439.0430430421</v>
      </c>
      <c r="J76" s="5"/>
      <c r="K76" s="5">
        <v>4051543.9298639665</v>
      </c>
      <c r="L76" s="50"/>
    </row>
    <row r="77" spans="1:12">
      <c r="A77" s="17" t="s">
        <v>42</v>
      </c>
      <c r="B77" s="5">
        <v>7107782</v>
      </c>
      <c r="C77" s="5">
        <v>5347461</v>
      </c>
      <c r="D77" s="5">
        <v>4</v>
      </c>
      <c r="E77" s="5">
        <v>12455247</v>
      </c>
      <c r="F77" s="50"/>
      <c r="G77" s="17" t="s">
        <v>42</v>
      </c>
      <c r="H77" s="5">
        <v>738609.26581021713</v>
      </c>
      <c r="I77" s="5">
        <v>3504752.3971123719</v>
      </c>
      <c r="J77" s="5"/>
      <c r="K77" s="5">
        <v>4243361.6629225891</v>
      </c>
      <c r="L77" s="50"/>
    </row>
    <row r="78" spans="1:12">
      <c r="A78" s="17" t="s">
        <v>43</v>
      </c>
      <c r="B78" s="5">
        <v>5904091</v>
      </c>
      <c r="C78" s="5">
        <v>5888749</v>
      </c>
      <c r="D78" s="5">
        <v>32</v>
      </c>
      <c r="E78" s="5">
        <v>11792872</v>
      </c>
      <c r="F78" s="50"/>
      <c r="G78" s="17" t="s">
        <v>43</v>
      </c>
      <c r="H78" s="5">
        <v>540452.58835389127</v>
      </c>
      <c r="I78" s="5">
        <v>2638882.3560154485</v>
      </c>
      <c r="J78" s="5"/>
      <c r="K78" s="5">
        <v>3179334.9443693398</v>
      </c>
      <c r="L78" s="50"/>
    </row>
    <row r="79" spans="1:12">
      <c r="A79" s="17" t="s">
        <v>44</v>
      </c>
      <c r="B79" s="5">
        <v>4735838</v>
      </c>
      <c r="C79" s="5">
        <v>5751619</v>
      </c>
      <c r="D79" s="5">
        <v>29</v>
      </c>
      <c r="E79" s="5">
        <v>10487486</v>
      </c>
      <c r="F79" s="50"/>
      <c r="G79" s="17" t="s">
        <v>44</v>
      </c>
      <c r="H79" s="5">
        <v>651858.91606791771</v>
      </c>
      <c r="I79" s="5">
        <v>1997963.3453851547</v>
      </c>
      <c r="J79" s="5"/>
      <c r="K79" s="5">
        <v>2649822.2614530725</v>
      </c>
      <c r="L79" s="50"/>
    </row>
    <row r="80" spans="1:12">
      <c r="A80" s="17" t="s">
        <v>3</v>
      </c>
      <c r="B80" s="5">
        <v>1423760</v>
      </c>
      <c r="C80" s="5">
        <v>2200434</v>
      </c>
      <c r="D80" s="5"/>
      <c r="E80" s="5">
        <v>3624194</v>
      </c>
      <c r="F80" s="50"/>
      <c r="G80" s="17" t="s">
        <v>3</v>
      </c>
      <c r="H80" s="5">
        <v>174496.36375276805</v>
      </c>
      <c r="I80" s="5">
        <v>534707.14489895769</v>
      </c>
      <c r="J80" s="5"/>
      <c r="K80" s="5">
        <v>709203.50865172572</v>
      </c>
      <c r="L80" s="50"/>
    </row>
    <row r="81" spans="1:12">
      <c r="A81" s="23" t="s">
        <v>222</v>
      </c>
      <c r="B81" s="5"/>
      <c r="C81" s="5"/>
      <c r="D81" s="5"/>
      <c r="E81" s="5">
        <v>0</v>
      </c>
      <c r="F81" s="50"/>
      <c r="G81" s="23" t="s">
        <v>222</v>
      </c>
      <c r="H81" s="5">
        <v>0</v>
      </c>
      <c r="I81" s="5">
        <v>14.173156842265971</v>
      </c>
      <c r="J81" s="5"/>
      <c r="K81" s="5">
        <v>14.173156842265971</v>
      </c>
      <c r="L81" s="50"/>
    </row>
    <row r="82" spans="1:12">
      <c r="A82" s="21" t="s">
        <v>46</v>
      </c>
      <c r="B82" s="38">
        <v>30377891</v>
      </c>
      <c r="C82" s="38">
        <v>25987653</v>
      </c>
      <c r="D82" s="38">
        <v>154</v>
      </c>
      <c r="E82" s="38">
        <v>56365698</v>
      </c>
      <c r="F82" s="50"/>
      <c r="G82" s="21" t="s">
        <v>46</v>
      </c>
      <c r="H82" s="38">
        <v>2706851.50129714</v>
      </c>
      <c r="I82" s="38">
        <v>12471373.49870286</v>
      </c>
      <c r="J82" s="38">
        <v>0</v>
      </c>
      <c r="K82" s="38">
        <v>15178225</v>
      </c>
      <c r="L82" s="50"/>
    </row>
    <row r="83" spans="1:12">
      <c r="A83" s="3" t="s">
        <v>608</v>
      </c>
      <c r="B83" s="47"/>
      <c r="C83" s="48"/>
      <c r="D83" s="48"/>
      <c r="E83" s="49"/>
      <c r="F83" s="49"/>
      <c r="G83" s="3" t="s">
        <v>55</v>
      </c>
      <c r="H83" s="58"/>
      <c r="I83" s="58"/>
      <c r="J83" s="58"/>
      <c r="K83" s="55"/>
    </row>
    <row r="84" spans="1:12">
      <c r="E84" s="3"/>
      <c r="F84" s="49"/>
      <c r="H84" s="6"/>
      <c r="I84" s="6"/>
      <c r="J84" s="6"/>
      <c r="K84" s="3"/>
    </row>
    <row r="85" spans="1:12">
      <c r="A85" s="7" t="s">
        <v>187</v>
      </c>
      <c r="E85" s="3"/>
      <c r="F85" s="49"/>
      <c r="G85" s="7" t="s">
        <v>188</v>
      </c>
      <c r="H85" s="6"/>
      <c r="I85" s="6"/>
      <c r="J85" s="6"/>
      <c r="K85" s="3"/>
    </row>
    <row r="86" spans="1:12">
      <c r="A86" s="7" t="s">
        <v>621</v>
      </c>
      <c r="E86" s="3"/>
      <c r="F86" s="49"/>
      <c r="G86" s="7" t="s">
        <v>603</v>
      </c>
      <c r="H86" s="6"/>
      <c r="I86" s="6"/>
      <c r="J86" s="6"/>
      <c r="K86" s="3"/>
    </row>
    <row r="87" spans="1:12" ht="25.5">
      <c r="A87" s="8" t="s">
        <v>148</v>
      </c>
      <c r="B87" s="28" t="s">
        <v>169</v>
      </c>
      <c r="C87" s="28" t="s">
        <v>170</v>
      </c>
      <c r="D87" s="28" t="s">
        <v>383</v>
      </c>
      <c r="E87" s="28" t="s">
        <v>48</v>
      </c>
      <c r="F87" s="49"/>
      <c r="G87" s="8" t="s">
        <v>148</v>
      </c>
      <c r="H87" s="28" t="s">
        <v>169</v>
      </c>
      <c r="I87" s="28" t="s">
        <v>170</v>
      </c>
      <c r="J87" s="28" t="s">
        <v>223</v>
      </c>
      <c r="K87" s="28" t="s">
        <v>48</v>
      </c>
    </row>
    <row r="88" spans="1:12">
      <c r="A88" s="23" t="s">
        <v>9</v>
      </c>
      <c r="B88" s="5">
        <v>11389864</v>
      </c>
      <c r="C88" s="4">
        <v>6177020</v>
      </c>
      <c r="D88" s="4">
        <v>41</v>
      </c>
      <c r="E88" s="4">
        <v>17566925</v>
      </c>
      <c r="F88" s="50"/>
      <c r="G88" s="23" t="s">
        <v>9</v>
      </c>
      <c r="H88" s="4">
        <v>712183.41487781226</v>
      </c>
      <c r="I88" s="4">
        <v>2636340.0460068672</v>
      </c>
      <c r="J88" s="4"/>
      <c r="K88" s="4">
        <v>3348523.4608846796</v>
      </c>
      <c r="L88" s="50"/>
    </row>
    <row r="89" spans="1:12">
      <c r="A89" s="23" t="s">
        <v>10</v>
      </c>
      <c r="B89" s="5">
        <v>7317173</v>
      </c>
      <c r="C89" s="5">
        <v>5560855</v>
      </c>
      <c r="D89" s="5">
        <v>33</v>
      </c>
      <c r="E89" s="5">
        <v>12878061</v>
      </c>
      <c r="F89" s="50"/>
      <c r="G89" s="23" t="s">
        <v>10</v>
      </c>
      <c r="H89" s="5">
        <v>477863.92773844482</v>
      </c>
      <c r="I89" s="5">
        <v>2468526.3257052274</v>
      </c>
      <c r="J89" s="5"/>
      <c r="K89" s="5">
        <v>2946390.2534436723</v>
      </c>
      <c r="L89" s="50"/>
    </row>
    <row r="90" spans="1:12" ht="15" customHeight="1">
      <c r="A90" s="23" t="s">
        <v>11</v>
      </c>
      <c r="B90" s="5">
        <v>1812048</v>
      </c>
      <c r="C90" s="5">
        <v>1025288</v>
      </c>
      <c r="D90" s="5">
        <v>17</v>
      </c>
      <c r="E90" s="5">
        <v>2837353</v>
      </c>
      <c r="F90" s="50"/>
      <c r="G90" s="23" t="s">
        <v>11</v>
      </c>
      <c r="H90" s="5">
        <v>167537.34374321549</v>
      </c>
      <c r="I90" s="5">
        <v>465832.68922396621</v>
      </c>
      <c r="J90" s="5"/>
      <c r="K90" s="5">
        <v>633370.03296718164</v>
      </c>
      <c r="L90" s="50"/>
    </row>
    <row r="91" spans="1:12" ht="15" customHeight="1">
      <c r="A91" s="23" t="s">
        <v>12</v>
      </c>
      <c r="B91" s="5">
        <v>2191113</v>
      </c>
      <c r="C91" s="5">
        <v>3416378</v>
      </c>
      <c r="D91" s="5">
        <v>60</v>
      </c>
      <c r="E91" s="5">
        <v>5607551</v>
      </c>
      <c r="F91" s="50"/>
      <c r="G91" s="23" t="s">
        <v>12</v>
      </c>
      <c r="H91" s="5">
        <v>328230.8243762218</v>
      </c>
      <c r="I91" s="5">
        <v>2104525.9967483366</v>
      </c>
      <c r="J91" s="5"/>
      <c r="K91" s="5">
        <v>2432756.8211245583</v>
      </c>
      <c r="L91" s="50"/>
    </row>
    <row r="92" spans="1:12" ht="15" customHeight="1">
      <c r="A92" s="23" t="s">
        <v>13</v>
      </c>
      <c r="B92" s="5">
        <v>634686</v>
      </c>
      <c r="C92" s="5">
        <v>390593</v>
      </c>
      <c r="D92" s="5">
        <v>2</v>
      </c>
      <c r="E92" s="5">
        <v>1025281</v>
      </c>
      <c r="F92" s="50"/>
      <c r="G92" s="23" t="s">
        <v>13</v>
      </c>
      <c r="H92" s="5">
        <v>32663.811587607215</v>
      </c>
      <c r="I92" s="5">
        <v>134859.35899876602</v>
      </c>
      <c r="J92" s="5"/>
      <c r="K92" s="5">
        <v>167523.17058637325</v>
      </c>
      <c r="L92" s="50"/>
    </row>
    <row r="93" spans="1:12" ht="15" customHeight="1">
      <c r="A93" s="23" t="s">
        <v>163</v>
      </c>
      <c r="B93" s="5">
        <v>789001</v>
      </c>
      <c r="C93" s="5">
        <v>1180272</v>
      </c>
      <c r="D93" s="5">
        <v>1</v>
      </c>
      <c r="E93" s="5">
        <v>1969274</v>
      </c>
      <c r="F93" s="50"/>
      <c r="G93" s="23" t="s">
        <v>163</v>
      </c>
      <c r="H93" s="5">
        <v>126330.66186893247</v>
      </c>
      <c r="I93" s="5">
        <v>645465.05068745057</v>
      </c>
      <c r="J93" s="5"/>
      <c r="K93" s="5">
        <v>771795.71255638299</v>
      </c>
      <c r="L93" s="50"/>
    </row>
    <row r="94" spans="1:12" ht="15" customHeight="1">
      <c r="A94" s="23" t="s">
        <v>164</v>
      </c>
      <c r="B94" s="5">
        <v>1251830</v>
      </c>
      <c r="C94" s="5">
        <v>571722</v>
      </c>
      <c r="D94" s="5"/>
      <c r="E94" s="5">
        <v>1823552</v>
      </c>
      <c r="F94" s="50"/>
      <c r="G94" s="23" t="s">
        <v>164</v>
      </c>
      <c r="H94" s="5">
        <v>141958.33893213596</v>
      </c>
      <c r="I94" s="5">
        <v>525569.0020249068</v>
      </c>
      <c r="J94" s="5"/>
      <c r="K94" s="5">
        <v>667527.34095704276</v>
      </c>
      <c r="L94" s="50"/>
    </row>
    <row r="95" spans="1:12" ht="15" customHeight="1">
      <c r="A95" s="23" t="s">
        <v>165</v>
      </c>
      <c r="B95" s="5">
        <v>695753</v>
      </c>
      <c r="C95" s="5">
        <v>759167</v>
      </c>
      <c r="D95" s="5"/>
      <c r="E95" s="5">
        <v>1454920</v>
      </c>
      <c r="F95" s="50"/>
      <c r="G95" s="23" t="s">
        <v>165</v>
      </c>
      <c r="H95" s="5">
        <v>82427.536905408328</v>
      </c>
      <c r="I95" s="5">
        <v>361087.74522580492</v>
      </c>
      <c r="J95" s="5"/>
      <c r="K95" s="5">
        <v>443515.28213121323</v>
      </c>
      <c r="L95" s="50"/>
    </row>
    <row r="96" spans="1:12" ht="15" customHeight="1">
      <c r="A96" s="23" t="s">
        <v>166</v>
      </c>
      <c r="B96" s="5">
        <v>634764</v>
      </c>
      <c r="C96" s="5">
        <v>2289965</v>
      </c>
      <c r="D96" s="5"/>
      <c r="E96" s="5">
        <v>2924729</v>
      </c>
      <c r="F96" s="50"/>
      <c r="G96" s="23" t="s">
        <v>166</v>
      </c>
      <c r="H96" s="5">
        <v>253290.25757274049</v>
      </c>
      <c r="I96" s="5">
        <v>1270302.8432355882</v>
      </c>
      <c r="J96" s="5"/>
      <c r="K96" s="5">
        <v>1523593.1008083287</v>
      </c>
      <c r="L96" s="50"/>
    </row>
    <row r="97" spans="1:12" ht="15" customHeight="1">
      <c r="A97" s="23" t="s">
        <v>203</v>
      </c>
      <c r="B97" s="5">
        <v>636654</v>
      </c>
      <c r="C97" s="5">
        <v>1606159</v>
      </c>
      <c r="D97" s="5"/>
      <c r="E97" s="5">
        <v>2242813</v>
      </c>
      <c r="F97" s="50"/>
      <c r="G97" s="23" t="s">
        <v>203</v>
      </c>
      <c r="H97" s="5">
        <v>97491.830984131782</v>
      </c>
      <c r="I97" s="5">
        <v>521495.99107736064</v>
      </c>
      <c r="J97" s="5"/>
      <c r="K97" s="5">
        <v>618987.82206149236</v>
      </c>
      <c r="L97" s="50"/>
    </row>
    <row r="98" spans="1:12" ht="15" customHeight="1">
      <c r="A98" s="23" t="s">
        <v>31</v>
      </c>
      <c r="B98" s="5">
        <v>3024307</v>
      </c>
      <c r="C98" s="5">
        <v>3008930</v>
      </c>
      <c r="D98" s="5"/>
      <c r="E98" s="5">
        <v>6033237</v>
      </c>
      <c r="F98" s="50"/>
      <c r="G98" s="23" t="s">
        <v>31</v>
      </c>
      <c r="H98" s="5">
        <v>286783.19883562025</v>
      </c>
      <c r="I98" s="5">
        <v>1337260.379447663</v>
      </c>
      <c r="J98" s="5"/>
      <c r="K98" s="5">
        <v>1624043.5782832832</v>
      </c>
      <c r="L98" s="50"/>
    </row>
    <row r="99" spans="1:12" ht="15" customHeight="1">
      <c r="A99" s="23" t="s">
        <v>222</v>
      </c>
      <c r="B99" s="5">
        <v>698</v>
      </c>
      <c r="C99" s="5">
        <v>1304</v>
      </c>
      <c r="D99" s="5"/>
      <c r="E99" s="5">
        <v>2002</v>
      </c>
      <c r="F99" s="50"/>
      <c r="G99" s="23" t="s">
        <v>222</v>
      </c>
      <c r="H99" s="5">
        <v>90.353874869445576</v>
      </c>
      <c r="I99" s="5">
        <v>108.07032092227803</v>
      </c>
      <c r="J99" s="5"/>
      <c r="K99" s="5">
        <v>198.4241957917236</v>
      </c>
      <c r="L99" s="50"/>
    </row>
    <row r="100" spans="1:12" ht="15" customHeight="1">
      <c r="A100" s="21" t="s">
        <v>46</v>
      </c>
      <c r="B100" s="38">
        <v>30377891</v>
      </c>
      <c r="C100" s="38">
        <v>25987653</v>
      </c>
      <c r="D100" s="38">
        <v>154</v>
      </c>
      <c r="E100" s="38">
        <v>56365698</v>
      </c>
      <c r="F100" s="50"/>
      <c r="G100" s="21" t="s">
        <v>46</v>
      </c>
      <c r="H100" s="38">
        <v>2706851.5012971405</v>
      </c>
      <c r="I100" s="38">
        <v>12471373.498702861</v>
      </c>
      <c r="J100" s="38">
        <v>0</v>
      </c>
      <c r="K100" s="38">
        <v>15178225.000000004</v>
      </c>
      <c r="L100" s="50"/>
    </row>
    <row r="101" spans="1:12" ht="15" customHeight="1">
      <c r="A101" s="3" t="s">
        <v>608</v>
      </c>
      <c r="B101" s="47"/>
      <c r="C101" s="48"/>
      <c r="D101" s="48"/>
      <c r="E101" s="48"/>
      <c r="G101" s="3" t="s">
        <v>55</v>
      </c>
      <c r="H101" s="58"/>
      <c r="I101" s="58"/>
      <c r="J101" s="58"/>
      <c r="K101" s="55"/>
    </row>
    <row r="102" spans="1:12" ht="15" customHeight="1"/>
    <row r="103" spans="1:12" ht="15" customHeight="1"/>
    <row r="104" spans="1:12" ht="15" customHeight="1"/>
    <row r="105" spans="1:12" ht="15" customHeight="1"/>
    <row r="106" spans="1:12" ht="15" customHeight="1"/>
    <row r="107" spans="1:12" ht="15" customHeight="1"/>
    <row r="108" spans="1:12" ht="15" customHeight="1"/>
    <row r="109" spans="1:12" ht="15" customHeight="1"/>
    <row r="110" spans="1:12" ht="15" customHeight="1"/>
    <row r="111" spans="1:12" ht="15" customHeight="1"/>
    <row r="112" spans="1:12" ht="15" customHeight="1"/>
    <row r="113" spans="2:11" ht="15" customHeight="1">
      <c r="B113" s="3"/>
      <c r="C113" s="3"/>
      <c r="D113" s="3"/>
      <c r="E113" s="3"/>
      <c r="F113" s="49"/>
      <c r="K113" s="3"/>
    </row>
    <row r="114" spans="2:11" ht="15" customHeight="1">
      <c r="B114" s="3"/>
      <c r="C114" s="3"/>
      <c r="D114" s="3"/>
      <c r="E114" s="3"/>
      <c r="F114" s="49"/>
      <c r="K114" s="3"/>
    </row>
    <row r="115" spans="2:11" ht="15" customHeight="1">
      <c r="B115" s="3"/>
      <c r="C115" s="3"/>
      <c r="D115" s="3"/>
      <c r="E115" s="3"/>
      <c r="F115" s="49"/>
      <c r="K115" s="3"/>
    </row>
    <row r="116" spans="2:11" ht="15" customHeight="1">
      <c r="B116" s="3"/>
      <c r="C116" s="3"/>
      <c r="D116" s="3"/>
      <c r="E116" s="3"/>
      <c r="F116" s="49"/>
      <c r="K116" s="3"/>
    </row>
    <row r="117" spans="2:11" ht="15" customHeight="1">
      <c r="B117" s="3"/>
      <c r="C117" s="3"/>
      <c r="D117" s="3"/>
      <c r="E117" s="3"/>
      <c r="F117" s="49"/>
      <c r="K117" s="3"/>
    </row>
    <row r="118" spans="2:11" ht="15" customHeight="1">
      <c r="B118" s="3"/>
      <c r="C118" s="3"/>
      <c r="D118" s="3"/>
      <c r="E118" s="3"/>
      <c r="F118" s="49"/>
      <c r="K118" s="3"/>
    </row>
    <row r="119" spans="2:11" ht="15" customHeight="1">
      <c r="B119" s="3"/>
      <c r="C119" s="3"/>
      <c r="D119" s="3"/>
      <c r="E119" s="3"/>
      <c r="F119" s="49"/>
      <c r="K119" s="3"/>
    </row>
    <row r="120" spans="2:11" ht="15" customHeight="1">
      <c r="B120" s="3"/>
      <c r="C120" s="3"/>
      <c r="D120" s="3"/>
      <c r="E120" s="3"/>
      <c r="F120" s="49"/>
      <c r="K120" s="3"/>
    </row>
    <row r="121" spans="2:11" ht="15" customHeight="1">
      <c r="B121" s="3"/>
      <c r="C121" s="3"/>
      <c r="D121" s="3"/>
      <c r="E121" s="3"/>
      <c r="F121" s="49"/>
      <c r="K121" s="3"/>
    </row>
    <row r="122" spans="2:11" ht="15" customHeight="1">
      <c r="B122" s="3"/>
      <c r="C122" s="3"/>
      <c r="D122" s="3"/>
      <c r="E122" s="3"/>
      <c r="F122" s="49"/>
      <c r="K122" s="3"/>
    </row>
    <row r="123" spans="2:11" ht="15" customHeight="1">
      <c r="B123" s="3"/>
      <c r="C123" s="3"/>
      <c r="D123" s="3"/>
      <c r="E123" s="3"/>
      <c r="F123" s="49"/>
      <c r="K123" s="3"/>
    </row>
    <row r="124" spans="2:11" ht="15" customHeight="1">
      <c r="B124" s="3"/>
      <c r="C124" s="3"/>
      <c r="D124" s="3"/>
      <c r="E124" s="3"/>
      <c r="F124" s="49"/>
      <c r="K124" s="3"/>
    </row>
    <row r="125" spans="2:11" ht="15" customHeight="1">
      <c r="B125" s="3"/>
      <c r="C125" s="3"/>
      <c r="D125" s="3"/>
      <c r="E125" s="3"/>
      <c r="F125" s="49"/>
      <c r="K125" s="3"/>
    </row>
    <row r="126" spans="2:11" ht="15" customHeight="1">
      <c r="B126" s="3"/>
      <c r="C126" s="3"/>
      <c r="D126" s="3"/>
      <c r="E126" s="3"/>
      <c r="F126" s="49"/>
      <c r="K126" s="3"/>
    </row>
    <row r="127" spans="2:11" ht="15" customHeight="1">
      <c r="B127" s="3"/>
      <c r="C127" s="3"/>
      <c r="D127" s="3"/>
      <c r="E127" s="3"/>
      <c r="F127" s="49"/>
      <c r="K127" s="3"/>
    </row>
    <row r="128" spans="2:11" ht="15" customHeight="1">
      <c r="B128" s="3"/>
      <c r="C128" s="3"/>
      <c r="D128" s="3"/>
      <c r="E128" s="3"/>
      <c r="F128" s="49"/>
      <c r="K128" s="3"/>
    </row>
    <row r="129" spans="2:11" ht="15" customHeight="1">
      <c r="B129" s="3"/>
      <c r="C129" s="3"/>
      <c r="D129" s="3"/>
      <c r="E129" s="3"/>
      <c r="F129" s="49"/>
      <c r="K129" s="3"/>
    </row>
    <row r="130" spans="2:11" ht="15" customHeight="1">
      <c r="B130" s="3"/>
      <c r="C130" s="3"/>
      <c r="D130" s="3"/>
      <c r="E130" s="3"/>
      <c r="F130" s="49"/>
      <c r="K130" s="3"/>
    </row>
    <row r="131" spans="2:11" ht="15" customHeight="1">
      <c r="B131" s="3"/>
      <c r="C131" s="3"/>
      <c r="D131" s="3"/>
      <c r="E131" s="3"/>
      <c r="F131" s="49"/>
      <c r="K131" s="3"/>
    </row>
    <row r="132" spans="2:11" ht="15" customHeight="1">
      <c r="B132" s="3"/>
      <c r="C132" s="3"/>
      <c r="D132" s="3"/>
      <c r="E132" s="3"/>
      <c r="F132" s="49"/>
      <c r="K132" s="3"/>
    </row>
    <row r="133" spans="2:11" ht="15" customHeight="1">
      <c r="B133" s="3"/>
      <c r="C133" s="3"/>
      <c r="D133" s="3"/>
      <c r="E133" s="3"/>
      <c r="F133" s="49"/>
      <c r="K133" s="3"/>
    </row>
    <row r="134" spans="2:11" ht="15" customHeight="1">
      <c r="B134" s="3"/>
      <c r="C134" s="3"/>
      <c r="D134" s="3"/>
      <c r="E134" s="3"/>
      <c r="F134" s="49"/>
      <c r="K134" s="3"/>
    </row>
    <row r="135" spans="2:11" ht="15" customHeight="1">
      <c r="B135" s="3"/>
      <c r="C135" s="3"/>
      <c r="D135" s="3"/>
      <c r="E135" s="3"/>
      <c r="F135" s="49"/>
      <c r="K135" s="3"/>
    </row>
    <row r="136" spans="2:11" ht="15" customHeight="1">
      <c r="B136" s="3"/>
      <c r="C136" s="3"/>
      <c r="D136" s="3"/>
      <c r="E136" s="3"/>
      <c r="F136" s="49"/>
      <c r="K136" s="3"/>
    </row>
    <row r="137" spans="2:11" ht="15" customHeight="1">
      <c r="B137" s="3"/>
      <c r="C137" s="3"/>
      <c r="D137" s="3"/>
      <c r="E137" s="3"/>
      <c r="F137" s="49"/>
      <c r="K137" s="3"/>
    </row>
    <row r="138" spans="2:11" ht="15" customHeight="1">
      <c r="B138" s="3"/>
      <c r="C138" s="3"/>
      <c r="D138" s="3"/>
      <c r="E138" s="3"/>
      <c r="F138" s="49"/>
      <c r="K138" s="3"/>
    </row>
    <row r="139" spans="2:11" ht="15" customHeight="1">
      <c r="B139" s="3"/>
      <c r="C139" s="3"/>
      <c r="D139" s="3"/>
      <c r="E139" s="3"/>
      <c r="F139" s="49"/>
      <c r="K139" s="3"/>
    </row>
    <row r="140" spans="2:11" ht="15" customHeight="1">
      <c r="B140" s="3"/>
      <c r="C140" s="3"/>
      <c r="D140" s="3"/>
      <c r="E140" s="3"/>
      <c r="F140" s="49"/>
      <c r="K140" s="3"/>
    </row>
    <row r="141" spans="2:11" ht="15" customHeight="1">
      <c r="B141" s="3"/>
      <c r="C141" s="3"/>
      <c r="D141" s="3"/>
      <c r="E141" s="3"/>
      <c r="F141" s="49"/>
      <c r="K141" s="3"/>
    </row>
    <row r="142" spans="2:11" ht="15" customHeight="1">
      <c r="B142" s="3"/>
      <c r="C142" s="3"/>
      <c r="D142" s="3"/>
      <c r="E142" s="3"/>
      <c r="F142" s="49"/>
      <c r="K142" s="3"/>
    </row>
    <row r="143" spans="2:11" ht="15" customHeight="1">
      <c r="B143" s="3"/>
      <c r="C143" s="3"/>
      <c r="D143" s="3"/>
      <c r="E143" s="3"/>
      <c r="F143" s="49"/>
      <c r="K143" s="3"/>
    </row>
    <row r="144" spans="2:11" ht="15" customHeight="1">
      <c r="B144" s="3"/>
      <c r="C144" s="3"/>
      <c r="D144" s="3"/>
      <c r="E144" s="3"/>
      <c r="F144" s="49"/>
      <c r="K144" s="3"/>
    </row>
    <row r="145" spans="2:11" ht="15" customHeight="1">
      <c r="B145" s="3"/>
      <c r="C145" s="3"/>
      <c r="D145" s="3"/>
      <c r="E145" s="3"/>
      <c r="F145" s="49"/>
      <c r="K145" s="3"/>
    </row>
    <row r="146" spans="2:11" ht="15" customHeight="1">
      <c r="B146" s="3"/>
      <c r="C146" s="3"/>
      <c r="D146" s="3"/>
      <c r="E146" s="3"/>
      <c r="F146" s="49"/>
      <c r="K146" s="3"/>
    </row>
    <row r="147" spans="2:11" ht="15" customHeight="1">
      <c r="B147" s="3"/>
      <c r="C147" s="3"/>
      <c r="D147" s="3"/>
      <c r="E147" s="3"/>
      <c r="F147" s="49"/>
      <c r="K147" s="3"/>
    </row>
    <row r="148" spans="2:11" ht="15" customHeight="1">
      <c r="B148" s="3"/>
      <c r="C148" s="3"/>
      <c r="D148" s="3"/>
      <c r="E148" s="3"/>
      <c r="F148" s="49"/>
      <c r="K148" s="3"/>
    </row>
    <row r="149" spans="2:11" ht="15" customHeight="1">
      <c r="B149" s="3"/>
      <c r="C149" s="3"/>
      <c r="D149" s="3"/>
      <c r="E149" s="3"/>
      <c r="F149" s="49"/>
      <c r="K149" s="3"/>
    </row>
    <row r="150" spans="2:11" ht="15" customHeight="1">
      <c r="B150" s="3"/>
      <c r="C150" s="3"/>
      <c r="D150" s="3"/>
      <c r="E150" s="3"/>
      <c r="F150" s="49"/>
      <c r="K150" s="3"/>
    </row>
    <row r="151" spans="2:11" ht="15" customHeight="1">
      <c r="B151" s="3"/>
      <c r="C151" s="3"/>
      <c r="D151" s="3"/>
      <c r="E151" s="3"/>
      <c r="F151" s="49"/>
      <c r="K151" s="3"/>
    </row>
    <row r="152" spans="2:11" ht="15" customHeight="1">
      <c r="B152" s="3"/>
      <c r="C152" s="3"/>
      <c r="D152" s="3"/>
      <c r="E152" s="3"/>
      <c r="F152" s="49"/>
      <c r="K152" s="3"/>
    </row>
    <row r="153" spans="2:11" ht="15" customHeight="1">
      <c r="B153" s="3"/>
      <c r="C153" s="3"/>
      <c r="D153" s="3"/>
      <c r="E153" s="3"/>
      <c r="F153" s="49"/>
      <c r="K153" s="3"/>
    </row>
    <row r="154" spans="2:11" ht="15" customHeight="1">
      <c r="B154" s="3"/>
      <c r="C154" s="3"/>
      <c r="D154" s="3"/>
      <c r="E154" s="3"/>
      <c r="F154" s="49"/>
      <c r="K154" s="3"/>
    </row>
    <row r="155" spans="2:11" ht="15" customHeight="1">
      <c r="B155" s="3"/>
      <c r="C155" s="3"/>
      <c r="D155" s="3"/>
      <c r="E155" s="3"/>
      <c r="F155" s="49"/>
      <c r="K155" s="3"/>
    </row>
    <row r="156" spans="2:11" ht="15" customHeight="1">
      <c r="B156" s="3"/>
      <c r="C156" s="3"/>
      <c r="D156" s="3"/>
      <c r="E156" s="3"/>
      <c r="F156" s="49"/>
      <c r="K156" s="3"/>
    </row>
    <row r="157" spans="2:11" ht="15" customHeight="1">
      <c r="B157" s="3"/>
      <c r="C157" s="3"/>
      <c r="D157" s="3"/>
      <c r="E157" s="3"/>
      <c r="F157" s="49"/>
      <c r="K157" s="3"/>
    </row>
    <row r="158" spans="2:11" ht="15" customHeight="1">
      <c r="B158" s="3"/>
      <c r="C158" s="3"/>
      <c r="D158" s="3"/>
      <c r="E158" s="3"/>
      <c r="F158" s="49"/>
      <c r="K158" s="3"/>
    </row>
    <row r="159" spans="2:11" ht="15" customHeight="1">
      <c r="B159" s="3"/>
      <c r="C159" s="3"/>
      <c r="D159" s="3"/>
      <c r="E159" s="3"/>
      <c r="F159" s="49"/>
      <c r="K159" s="3"/>
    </row>
    <row r="160" spans="2:11" ht="15" customHeight="1">
      <c r="B160" s="3"/>
      <c r="C160" s="3"/>
      <c r="D160" s="3"/>
      <c r="E160" s="3"/>
      <c r="F160" s="49"/>
      <c r="K160" s="3"/>
    </row>
    <row r="161" spans="2:11" ht="15" customHeight="1">
      <c r="B161" s="3"/>
      <c r="C161" s="3"/>
      <c r="D161" s="3"/>
      <c r="E161" s="3"/>
      <c r="F161" s="49"/>
      <c r="K161" s="3"/>
    </row>
    <row r="162" spans="2:11" ht="15" customHeight="1">
      <c r="B162" s="3"/>
      <c r="C162" s="3"/>
      <c r="D162" s="3"/>
      <c r="E162" s="3"/>
      <c r="F162" s="49"/>
      <c r="K162" s="3"/>
    </row>
    <row r="163" spans="2:11" ht="15" customHeight="1">
      <c r="B163" s="3"/>
      <c r="C163" s="3"/>
      <c r="D163" s="3"/>
      <c r="E163" s="3"/>
      <c r="F163" s="49"/>
      <c r="K163" s="3"/>
    </row>
    <row r="164" spans="2:11" ht="15" customHeight="1">
      <c r="B164" s="3"/>
      <c r="C164" s="3"/>
      <c r="D164" s="3"/>
      <c r="E164" s="3"/>
      <c r="F164" s="49"/>
      <c r="K164" s="3"/>
    </row>
    <row r="165" spans="2:11" ht="15" customHeight="1">
      <c r="B165" s="3"/>
      <c r="C165" s="3"/>
      <c r="D165" s="3"/>
      <c r="E165" s="3"/>
      <c r="F165" s="49"/>
      <c r="K165" s="3"/>
    </row>
    <row r="166" spans="2:11" ht="15" customHeight="1">
      <c r="B166" s="3"/>
      <c r="C166" s="3"/>
      <c r="D166" s="3"/>
      <c r="E166" s="3"/>
      <c r="F166" s="49"/>
      <c r="K166" s="3"/>
    </row>
    <row r="167" spans="2:11" ht="15" customHeight="1">
      <c r="B167" s="3"/>
      <c r="C167" s="3"/>
      <c r="D167" s="3"/>
      <c r="E167" s="3"/>
      <c r="F167" s="49"/>
      <c r="K167" s="3"/>
    </row>
    <row r="168" spans="2:11" ht="15" customHeight="1">
      <c r="B168" s="3"/>
      <c r="C168" s="3"/>
      <c r="D168" s="3"/>
      <c r="E168" s="3"/>
      <c r="F168" s="49"/>
      <c r="K168" s="3"/>
    </row>
    <row r="169" spans="2:11" ht="15" customHeight="1">
      <c r="B169" s="3"/>
      <c r="C169" s="3"/>
      <c r="D169" s="3"/>
      <c r="E169" s="3"/>
      <c r="F169" s="49"/>
      <c r="K169" s="3"/>
    </row>
    <row r="170" spans="2:11" ht="15" customHeight="1">
      <c r="B170" s="3"/>
      <c r="C170" s="3"/>
      <c r="D170" s="3"/>
      <c r="E170" s="3"/>
      <c r="F170" s="49"/>
      <c r="K170" s="3"/>
    </row>
    <row r="171" spans="2:11" ht="15" customHeight="1">
      <c r="B171" s="3"/>
      <c r="C171" s="3"/>
      <c r="D171" s="3"/>
      <c r="E171" s="3"/>
      <c r="F171" s="49"/>
      <c r="K171" s="3"/>
    </row>
    <row r="172" spans="2:11" ht="15" customHeight="1">
      <c r="B172" s="3"/>
      <c r="C172" s="3"/>
      <c r="D172" s="3"/>
      <c r="E172" s="3"/>
      <c r="F172" s="49"/>
      <c r="K172" s="3"/>
    </row>
    <row r="173" spans="2:11" ht="15" customHeight="1">
      <c r="B173" s="3"/>
      <c r="C173" s="3"/>
      <c r="D173" s="3"/>
      <c r="E173" s="3"/>
      <c r="F173" s="49"/>
      <c r="K173" s="3"/>
    </row>
    <row r="174" spans="2:11" ht="15" customHeight="1">
      <c r="B174" s="3"/>
      <c r="C174" s="3"/>
      <c r="D174" s="3"/>
      <c r="E174" s="3"/>
      <c r="F174" s="49"/>
      <c r="K174" s="3"/>
    </row>
    <row r="175" spans="2:11" ht="15" customHeight="1">
      <c r="B175" s="3"/>
      <c r="C175" s="3"/>
      <c r="D175" s="3"/>
      <c r="E175" s="3"/>
      <c r="F175" s="49"/>
      <c r="K175" s="3"/>
    </row>
    <row r="176" spans="2:11" ht="15" customHeight="1">
      <c r="B176" s="3"/>
      <c r="C176" s="3"/>
      <c r="D176" s="3"/>
      <c r="E176" s="3"/>
      <c r="F176" s="49"/>
      <c r="K176" s="3"/>
    </row>
    <row r="822" spans="2:11" ht="15" customHeight="1">
      <c r="B822" s="3"/>
      <c r="C822" s="3"/>
      <c r="D822" s="3"/>
      <c r="E822" s="3"/>
      <c r="F822" s="49"/>
      <c r="K822" s="3"/>
    </row>
    <row r="823" spans="2:11" ht="15" customHeight="1">
      <c r="B823" s="3"/>
      <c r="C823" s="3"/>
      <c r="D823" s="3"/>
      <c r="E823" s="3"/>
      <c r="F823" s="49"/>
      <c r="K823" s="3"/>
    </row>
    <row r="824" spans="2:11" ht="15" customHeight="1">
      <c r="B824" s="3"/>
      <c r="C824" s="3"/>
      <c r="D824" s="3"/>
      <c r="E824" s="3"/>
      <c r="F824" s="49"/>
      <c r="K824" s="3"/>
    </row>
    <row r="825" spans="2:11" ht="15" customHeight="1">
      <c r="B825" s="3"/>
      <c r="C825" s="3"/>
      <c r="D825" s="3"/>
      <c r="E825" s="3"/>
      <c r="F825" s="49"/>
      <c r="K825" s="3"/>
    </row>
    <row r="826" spans="2:11" ht="15" customHeight="1">
      <c r="B826" s="3"/>
      <c r="C826" s="3"/>
      <c r="D826" s="3"/>
      <c r="E826" s="3"/>
      <c r="F826" s="49"/>
      <c r="K826" s="3"/>
    </row>
    <row r="827" spans="2:11" ht="15" customHeight="1">
      <c r="B827" s="3"/>
      <c r="C827" s="3"/>
      <c r="D827" s="3"/>
      <c r="E827" s="3"/>
      <c r="F827" s="49"/>
      <c r="K827" s="3"/>
    </row>
    <row r="828" spans="2:11" ht="15" customHeight="1">
      <c r="B828" s="3"/>
      <c r="C828" s="3"/>
      <c r="D828" s="3"/>
      <c r="E828" s="3"/>
      <c r="F828" s="49"/>
      <c r="K828" s="3"/>
    </row>
    <row r="829" spans="2:11" ht="15" customHeight="1">
      <c r="B829" s="3"/>
      <c r="C829" s="3"/>
      <c r="D829" s="3"/>
      <c r="E829" s="3"/>
      <c r="F829" s="49"/>
      <c r="K829" s="3"/>
    </row>
    <row r="830" spans="2:11" ht="15" customHeight="1">
      <c r="B830" s="3"/>
      <c r="C830" s="3"/>
      <c r="D830" s="3"/>
      <c r="E830" s="3"/>
      <c r="F830" s="49"/>
      <c r="K830" s="3"/>
    </row>
    <row r="831" spans="2:11" ht="15" customHeight="1">
      <c r="B831" s="3"/>
      <c r="C831" s="3"/>
      <c r="D831" s="3"/>
      <c r="E831" s="3"/>
      <c r="F831" s="49"/>
      <c r="K831" s="3"/>
    </row>
    <row r="832" spans="2:11" ht="15" customHeight="1">
      <c r="B832" s="3"/>
      <c r="C832" s="3"/>
      <c r="D832" s="3"/>
      <c r="E832" s="3"/>
      <c r="F832" s="49"/>
      <c r="K832" s="3"/>
    </row>
    <row r="833" spans="2:11" ht="15" customHeight="1">
      <c r="B833" s="3"/>
      <c r="C833" s="3"/>
      <c r="D833" s="3"/>
      <c r="E833" s="3"/>
      <c r="F833" s="49"/>
      <c r="K833" s="3"/>
    </row>
    <row r="834" spans="2:11" ht="15" customHeight="1">
      <c r="B834" s="3"/>
      <c r="C834" s="3"/>
      <c r="D834" s="3"/>
      <c r="E834" s="3"/>
      <c r="F834" s="49"/>
      <c r="K834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34"/>
  <sheetViews>
    <sheetView showGridLines="0" zoomScaleNormal="100" workbookViewId="0"/>
  </sheetViews>
  <sheetFormatPr baseColWidth="10" defaultColWidth="33.140625" defaultRowHeight="12.75"/>
  <cols>
    <col min="1" max="1" width="36.140625" style="3" customWidth="1"/>
    <col min="2" max="4" width="14" style="6" customWidth="1"/>
    <col min="5" max="5" width="15.42578125" style="6" customWidth="1"/>
    <col min="6" max="6" width="7.42578125" style="48" customWidth="1"/>
    <col min="7" max="7" width="31.85546875" style="3" customWidth="1"/>
    <col min="8" max="10" width="12.85546875" style="3" customWidth="1"/>
    <col min="11" max="11" width="12.85546875" style="6" customWidth="1"/>
    <col min="12" max="12" width="7.140625" style="49" customWidth="1"/>
    <col min="13" max="13" width="6.42578125" style="3" customWidth="1"/>
    <col min="14" max="17" width="13.85546875" style="3" customWidth="1"/>
    <col min="18" max="18" width="7.42578125" style="3" customWidth="1"/>
    <col min="19" max="16384" width="33.140625" style="3"/>
  </cols>
  <sheetData>
    <row r="1" spans="1:21" ht="18.75">
      <c r="A1" s="1" t="s">
        <v>221</v>
      </c>
    </row>
    <row r="2" spans="1:21">
      <c r="A2" s="7"/>
    </row>
    <row r="3" spans="1:21">
      <c r="A3" s="7" t="s">
        <v>189</v>
      </c>
    </row>
    <row r="4" spans="1:21">
      <c r="A4" s="7" t="s">
        <v>359</v>
      </c>
      <c r="N4" s="45"/>
      <c r="O4" s="45"/>
      <c r="P4" s="45"/>
      <c r="Q4" s="45"/>
    </row>
    <row r="5" spans="1:21">
      <c r="A5" s="8" t="s">
        <v>173</v>
      </c>
      <c r="B5" s="8" t="s">
        <v>594</v>
      </c>
      <c r="C5" s="8" t="s">
        <v>1</v>
      </c>
      <c r="D5" s="16" t="s">
        <v>223</v>
      </c>
      <c r="E5" s="8" t="s">
        <v>45</v>
      </c>
      <c r="N5" s="45"/>
      <c r="O5" s="45"/>
      <c r="P5" s="45"/>
      <c r="Q5" s="45"/>
    </row>
    <row r="6" spans="1:21">
      <c r="A6" s="23" t="s">
        <v>174</v>
      </c>
      <c r="B6" s="4">
        <v>79563</v>
      </c>
      <c r="C6" s="4">
        <v>48710</v>
      </c>
      <c r="D6" s="4"/>
      <c r="E6" s="4">
        <v>128273</v>
      </c>
      <c r="N6" s="45"/>
      <c r="O6" s="45"/>
      <c r="P6" s="45"/>
      <c r="Q6" s="45"/>
      <c r="S6" s="45"/>
      <c r="T6" s="45"/>
      <c r="U6" s="45"/>
    </row>
    <row r="7" spans="1:21">
      <c r="A7" s="23" t="s">
        <v>175</v>
      </c>
      <c r="B7" s="5">
        <v>58941</v>
      </c>
      <c r="C7" s="5">
        <v>166683</v>
      </c>
      <c r="D7" s="5"/>
      <c r="E7" s="5">
        <v>225624</v>
      </c>
      <c r="N7" s="45"/>
      <c r="O7" s="45"/>
      <c r="P7" s="45"/>
      <c r="Q7" s="45"/>
      <c r="S7" s="45"/>
      <c r="T7" s="45"/>
      <c r="U7" s="45"/>
    </row>
    <row r="8" spans="1:21">
      <c r="A8" s="23" t="s">
        <v>222</v>
      </c>
      <c r="B8" s="5">
        <v>107421</v>
      </c>
      <c r="C8" s="5"/>
      <c r="D8" s="5"/>
      <c r="E8" s="5">
        <v>107421</v>
      </c>
      <c r="N8" s="45"/>
      <c r="O8" s="45"/>
      <c r="P8" s="45"/>
      <c r="Q8" s="45"/>
      <c r="S8" s="45"/>
      <c r="T8" s="45"/>
      <c r="U8" s="45"/>
    </row>
    <row r="9" spans="1:21">
      <c r="A9" s="21" t="s">
        <v>46</v>
      </c>
      <c r="B9" s="38">
        <v>245925</v>
      </c>
      <c r="C9" s="38">
        <v>215393</v>
      </c>
      <c r="D9" s="38">
        <v>0</v>
      </c>
      <c r="E9" s="38">
        <v>461318</v>
      </c>
      <c r="N9" s="45"/>
      <c r="O9" s="45"/>
      <c r="P9" s="45"/>
      <c r="Q9" s="45"/>
    </row>
    <row r="10" spans="1:21">
      <c r="A10" s="3" t="s">
        <v>228</v>
      </c>
      <c r="B10" s="47"/>
      <c r="C10" s="48"/>
      <c r="D10" s="48"/>
      <c r="E10" s="47"/>
      <c r="N10" s="45"/>
      <c r="O10" s="45"/>
      <c r="P10" s="45"/>
      <c r="Q10" s="45"/>
    </row>
    <row r="11" spans="1:21">
      <c r="N11" s="45"/>
      <c r="O11" s="45"/>
      <c r="P11" s="45"/>
      <c r="Q11" s="45"/>
    </row>
    <row r="12" spans="1:21">
      <c r="A12" s="7" t="s">
        <v>190</v>
      </c>
      <c r="G12" s="7" t="s">
        <v>191</v>
      </c>
    </row>
    <row r="13" spans="1:21">
      <c r="A13" s="7" t="s">
        <v>610</v>
      </c>
      <c r="G13" s="7" t="s">
        <v>360</v>
      </c>
    </row>
    <row r="14" spans="1:21">
      <c r="A14" s="28" t="s">
        <v>50</v>
      </c>
      <c r="B14" s="28" t="s">
        <v>169</v>
      </c>
      <c r="C14" s="28" t="s">
        <v>170</v>
      </c>
      <c r="D14" s="16" t="s">
        <v>223</v>
      </c>
      <c r="E14" s="28" t="s">
        <v>48</v>
      </c>
      <c r="F14" s="49"/>
      <c r="G14" s="28" t="s">
        <v>50</v>
      </c>
      <c r="H14" s="28" t="s">
        <v>169</v>
      </c>
      <c r="I14" s="28" t="s">
        <v>170</v>
      </c>
      <c r="J14" s="16" t="s">
        <v>223</v>
      </c>
      <c r="K14" s="28" t="s">
        <v>48</v>
      </c>
    </row>
    <row r="15" spans="1:21">
      <c r="A15" s="14" t="s">
        <v>5</v>
      </c>
      <c r="B15" s="4">
        <v>18749</v>
      </c>
      <c r="C15" s="4">
        <v>17408</v>
      </c>
      <c r="D15" s="4">
        <v>45856</v>
      </c>
      <c r="E15" s="15">
        <v>82013</v>
      </c>
      <c r="F15" s="50"/>
      <c r="G15" s="14" t="s">
        <v>5</v>
      </c>
      <c r="H15" s="4">
        <v>14567</v>
      </c>
      <c r="I15" s="4">
        <v>83658</v>
      </c>
      <c r="J15" s="4"/>
      <c r="K15" s="15">
        <v>98225</v>
      </c>
      <c r="L15" s="50"/>
    </row>
    <row r="16" spans="1:21">
      <c r="A16" s="17" t="s">
        <v>6</v>
      </c>
      <c r="B16" s="5">
        <v>60814</v>
      </c>
      <c r="C16" s="5">
        <v>41533</v>
      </c>
      <c r="D16" s="5">
        <v>61565</v>
      </c>
      <c r="E16" s="10">
        <v>163912</v>
      </c>
      <c r="F16" s="50"/>
      <c r="G16" s="17" t="s">
        <v>6</v>
      </c>
      <c r="H16" s="5">
        <v>34143</v>
      </c>
      <c r="I16" s="5">
        <v>83025</v>
      </c>
      <c r="J16" s="5"/>
      <c r="K16" s="10">
        <v>117168</v>
      </c>
      <c r="L16" s="50"/>
    </row>
    <row r="17" spans="1:12">
      <c r="A17" s="17" t="s">
        <v>222</v>
      </c>
      <c r="B17" s="5"/>
      <c r="C17" s="5"/>
      <c r="D17" s="5"/>
      <c r="E17" s="10">
        <v>0</v>
      </c>
      <c r="F17" s="50"/>
      <c r="G17" s="17" t="s">
        <v>222</v>
      </c>
      <c r="H17" s="5"/>
      <c r="I17" s="5"/>
      <c r="J17" s="5"/>
      <c r="K17" s="10">
        <v>0</v>
      </c>
      <c r="L17" s="50"/>
    </row>
    <row r="18" spans="1:12">
      <c r="A18" s="21" t="s">
        <v>46</v>
      </c>
      <c r="B18" s="38">
        <v>79563</v>
      </c>
      <c r="C18" s="38">
        <v>58941</v>
      </c>
      <c r="D18" s="38">
        <v>107421</v>
      </c>
      <c r="E18" s="38">
        <v>245925</v>
      </c>
      <c r="F18" s="50"/>
      <c r="G18" s="21" t="s">
        <v>46</v>
      </c>
      <c r="H18" s="38">
        <v>48710</v>
      </c>
      <c r="I18" s="38">
        <v>166683</v>
      </c>
      <c r="J18" s="38">
        <v>0</v>
      </c>
      <c r="K18" s="38">
        <v>215393</v>
      </c>
      <c r="L18" s="50"/>
    </row>
    <row r="19" spans="1:12">
      <c r="A19" s="3" t="s">
        <v>228</v>
      </c>
      <c r="B19" s="47"/>
      <c r="C19" s="47"/>
      <c r="D19" s="47"/>
      <c r="E19" s="47"/>
      <c r="F19" s="49"/>
      <c r="H19" s="54"/>
      <c r="I19" s="54"/>
      <c r="J19" s="57"/>
      <c r="K19" s="55"/>
    </row>
    <row r="20" spans="1:12">
      <c r="F20" s="49"/>
      <c r="H20" s="6"/>
      <c r="I20" s="6"/>
      <c r="J20" s="6"/>
      <c r="K20" s="3"/>
    </row>
    <row r="21" spans="1:12">
      <c r="A21" s="7" t="s">
        <v>192</v>
      </c>
      <c r="F21" s="49"/>
      <c r="G21" s="7" t="s">
        <v>193</v>
      </c>
      <c r="H21" s="6"/>
      <c r="I21" s="6"/>
      <c r="J21" s="6"/>
      <c r="K21" s="3"/>
    </row>
    <row r="22" spans="1:12">
      <c r="A22" s="7" t="s">
        <v>611</v>
      </c>
      <c r="F22" s="49"/>
      <c r="G22" s="7" t="s">
        <v>361</v>
      </c>
      <c r="H22" s="6"/>
      <c r="I22" s="6"/>
      <c r="J22" s="6"/>
      <c r="K22" s="3"/>
    </row>
    <row r="23" spans="1:12">
      <c r="A23" s="16" t="s">
        <v>51</v>
      </c>
      <c r="B23" s="28" t="s">
        <v>169</v>
      </c>
      <c r="C23" s="28" t="s">
        <v>170</v>
      </c>
      <c r="D23" s="16" t="s">
        <v>223</v>
      </c>
      <c r="E23" s="28" t="s">
        <v>48</v>
      </c>
      <c r="F23" s="49"/>
      <c r="G23" s="16" t="s">
        <v>51</v>
      </c>
      <c r="H23" s="28" t="s">
        <v>169</v>
      </c>
      <c r="I23" s="28" t="s">
        <v>170</v>
      </c>
      <c r="J23" s="16" t="s">
        <v>223</v>
      </c>
      <c r="K23" s="28" t="s">
        <v>48</v>
      </c>
    </row>
    <row r="24" spans="1:12">
      <c r="A24" s="14" t="s">
        <v>40</v>
      </c>
      <c r="B24" s="4">
        <v>148</v>
      </c>
      <c r="C24" s="4">
        <v>105</v>
      </c>
      <c r="D24" s="4">
        <v>1867</v>
      </c>
      <c r="E24" s="4">
        <v>2120</v>
      </c>
      <c r="F24" s="50"/>
      <c r="G24" s="14" t="s">
        <v>40</v>
      </c>
      <c r="H24" s="4"/>
      <c r="I24" s="4">
        <v>139</v>
      </c>
      <c r="J24" s="4"/>
      <c r="K24" s="4">
        <v>139</v>
      </c>
      <c r="L24" s="50"/>
    </row>
    <row r="25" spans="1:12">
      <c r="A25" s="17" t="s">
        <v>2</v>
      </c>
      <c r="B25" s="5">
        <v>4530</v>
      </c>
      <c r="C25" s="5">
        <v>2546</v>
      </c>
      <c r="D25" s="5">
        <v>11462</v>
      </c>
      <c r="E25" s="5">
        <v>18538</v>
      </c>
      <c r="F25" s="50"/>
      <c r="G25" s="17" t="s">
        <v>2</v>
      </c>
      <c r="H25" s="5">
        <v>184</v>
      </c>
      <c r="I25" s="5">
        <v>5891</v>
      </c>
      <c r="J25" s="5"/>
      <c r="K25" s="5">
        <v>6075</v>
      </c>
      <c r="L25" s="50"/>
    </row>
    <row r="26" spans="1:12">
      <c r="A26" s="17" t="s">
        <v>41</v>
      </c>
      <c r="B26" s="5">
        <v>27462</v>
      </c>
      <c r="C26" s="5">
        <v>15960</v>
      </c>
      <c r="D26" s="5">
        <v>33792</v>
      </c>
      <c r="E26" s="5">
        <v>77214</v>
      </c>
      <c r="F26" s="50"/>
      <c r="G26" s="17" t="s">
        <v>41</v>
      </c>
      <c r="H26" s="5">
        <v>13507</v>
      </c>
      <c r="I26" s="5">
        <v>56001</v>
      </c>
      <c r="J26" s="5"/>
      <c r="K26" s="5">
        <v>69508</v>
      </c>
      <c r="L26" s="50"/>
    </row>
    <row r="27" spans="1:12">
      <c r="A27" s="17" t="s">
        <v>42</v>
      </c>
      <c r="B27" s="5">
        <v>21029</v>
      </c>
      <c r="C27" s="5">
        <v>13378</v>
      </c>
      <c r="D27" s="5">
        <v>23681</v>
      </c>
      <c r="E27" s="5">
        <v>58088</v>
      </c>
      <c r="F27" s="50"/>
      <c r="G27" s="17" t="s">
        <v>42</v>
      </c>
      <c r="H27" s="5">
        <v>14734</v>
      </c>
      <c r="I27" s="5">
        <v>52051</v>
      </c>
      <c r="J27" s="5"/>
      <c r="K27" s="5">
        <v>66785</v>
      </c>
      <c r="L27" s="50"/>
    </row>
    <row r="28" spans="1:12">
      <c r="A28" s="17" t="s">
        <v>43</v>
      </c>
      <c r="B28" s="5">
        <v>12421</v>
      </c>
      <c r="C28" s="5">
        <v>11043</v>
      </c>
      <c r="D28" s="5">
        <v>17132</v>
      </c>
      <c r="E28" s="5">
        <v>40596</v>
      </c>
      <c r="F28" s="50"/>
      <c r="G28" s="17" t="s">
        <v>43</v>
      </c>
      <c r="H28" s="5">
        <v>8553</v>
      </c>
      <c r="I28" s="5">
        <v>29209</v>
      </c>
      <c r="J28" s="5"/>
      <c r="K28" s="5">
        <v>37762</v>
      </c>
      <c r="L28" s="50"/>
    </row>
    <row r="29" spans="1:12">
      <c r="A29" s="17" t="s">
        <v>44</v>
      </c>
      <c r="B29" s="5">
        <v>10592</v>
      </c>
      <c r="C29" s="5">
        <v>11230</v>
      </c>
      <c r="D29" s="5">
        <v>13990</v>
      </c>
      <c r="E29" s="5">
        <v>35812</v>
      </c>
      <c r="F29" s="50"/>
      <c r="G29" s="17" t="s">
        <v>44</v>
      </c>
      <c r="H29" s="5">
        <v>9302</v>
      </c>
      <c r="I29" s="5">
        <v>19020</v>
      </c>
      <c r="J29" s="5"/>
      <c r="K29" s="5">
        <v>28322</v>
      </c>
      <c r="L29" s="50"/>
    </row>
    <row r="30" spans="1:12">
      <c r="A30" s="17" t="s">
        <v>3</v>
      </c>
      <c r="B30" s="5">
        <v>3381</v>
      </c>
      <c r="C30" s="5">
        <v>4679</v>
      </c>
      <c r="D30" s="5">
        <v>5497</v>
      </c>
      <c r="E30" s="5">
        <v>13557</v>
      </c>
      <c r="F30" s="50"/>
      <c r="G30" s="17" t="s">
        <v>3</v>
      </c>
      <c r="H30" s="5">
        <v>2430</v>
      </c>
      <c r="I30" s="5">
        <v>4371</v>
      </c>
      <c r="J30" s="5"/>
      <c r="K30" s="5">
        <v>6801</v>
      </c>
      <c r="L30" s="50"/>
    </row>
    <row r="31" spans="1:12">
      <c r="A31" s="17" t="s">
        <v>222</v>
      </c>
      <c r="B31" s="5"/>
      <c r="C31" s="5"/>
      <c r="D31" s="5"/>
      <c r="E31" s="5">
        <v>0</v>
      </c>
      <c r="F31" s="50"/>
      <c r="G31" s="17" t="s">
        <v>222</v>
      </c>
      <c r="H31" s="5"/>
      <c r="I31" s="5">
        <v>1</v>
      </c>
      <c r="J31" s="5"/>
      <c r="K31" s="5">
        <v>1</v>
      </c>
      <c r="L31" s="50"/>
    </row>
    <row r="32" spans="1:12">
      <c r="A32" s="21" t="s">
        <v>46</v>
      </c>
      <c r="B32" s="38">
        <v>79563</v>
      </c>
      <c r="C32" s="38">
        <v>58941</v>
      </c>
      <c r="D32" s="38">
        <v>107421</v>
      </c>
      <c r="E32" s="38">
        <v>245925</v>
      </c>
      <c r="F32" s="50"/>
      <c r="G32" s="21" t="s">
        <v>46</v>
      </c>
      <c r="H32" s="38">
        <v>48710</v>
      </c>
      <c r="I32" s="38">
        <v>166683</v>
      </c>
      <c r="J32" s="38">
        <v>0</v>
      </c>
      <c r="K32" s="38">
        <v>215393</v>
      </c>
      <c r="L32" s="50"/>
    </row>
    <row r="33" spans="1:12">
      <c r="A33" s="3" t="s">
        <v>228</v>
      </c>
      <c r="B33" s="47"/>
      <c r="C33" s="48"/>
      <c r="D33" s="48"/>
      <c r="E33" s="48"/>
      <c r="F33" s="49"/>
      <c r="H33" s="54"/>
      <c r="I33" s="54"/>
      <c r="J33" s="57"/>
      <c r="K33" s="55"/>
    </row>
    <row r="34" spans="1:12">
      <c r="F34" s="49"/>
      <c r="H34" s="6"/>
      <c r="I34" s="6"/>
      <c r="J34" s="6"/>
      <c r="K34" s="3"/>
    </row>
    <row r="35" spans="1:12">
      <c r="A35" s="7" t="s">
        <v>194</v>
      </c>
      <c r="F35" s="49"/>
      <c r="G35" s="7" t="s">
        <v>195</v>
      </c>
      <c r="H35" s="6"/>
      <c r="I35" s="6"/>
      <c r="J35" s="6"/>
      <c r="K35" s="3"/>
    </row>
    <row r="36" spans="1:12">
      <c r="A36" s="7" t="s">
        <v>612</v>
      </c>
      <c r="F36" s="49"/>
      <c r="G36" s="7" t="s">
        <v>362</v>
      </c>
      <c r="H36" s="6"/>
      <c r="I36" s="6"/>
      <c r="J36" s="6"/>
      <c r="K36" s="3"/>
    </row>
    <row r="37" spans="1:12">
      <c r="A37" s="8" t="s">
        <v>148</v>
      </c>
      <c r="B37" s="28" t="s">
        <v>169</v>
      </c>
      <c r="C37" s="28" t="s">
        <v>170</v>
      </c>
      <c r="D37" s="16" t="s">
        <v>223</v>
      </c>
      <c r="E37" s="28" t="s">
        <v>48</v>
      </c>
      <c r="F37" s="49"/>
      <c r="G37" s="8" t="s">
        <v>148</v>
      </c>
      <c r="H37" s="28" t="s">
        <v>169</v>
      </c>
      <c r="I37" s="28" t="s">
        <v>170</v>
      </c>
      <c r="J37" s="16" t="s">
        <v>223</v>
      </c>
      <c r="K37" s="28" t="s">
        <v>48</v>
      </c>
    </row>
    <row r="38" spans="1:12">
      <c r="A38" s="23" t="s">
        <v>9</v>
      </c>
      <c r="B38" s="40">
        <v>53079</v>
      </c>
      <c r="C38" s="40">
        <v>31803</v>
      </c>
      <c r="D38" s="40">
        <v>35014</v>
      </c>
      <c r="E38" s="4">
        <v>119896</v>
      </c>
      <c r="F38" s="50"/>
      <c r="G38" s="23" t="s">
        <v>9</v>
      </c>
      <c r="H38" s="4">
        <v>29195</v>
      </c>
      <c r="I38" s="4">
        <v>92370</v>
      </c>
      <c r="J38" s="4"/>
      <c r="K38" s="4">
        <v>121565</v>
      </c>
      <c r="L38" s="50"/>
    </row>
    <row r="39" spans="1:12">
      <c r="A39" s="23" t="s">
        <v>10</v>
      </c>
      <c r="B39" s="41">
        <v>14427</v>
      </c>
      <c r="C39" s="41">
        <v>13835</v>
      </c>
      <c r="D39" s="41">
        <v>15972</v>
      </c>
      <c r="E39" s="5">
        <v>44234</v>
      </c>
      <c r="F39" s="50"/>
      <c r="G39" s="23" t="s">
        <v>10</v>
      </c>
      <c r="H39" s="5">
        <v>6371</v>
      </c>
      <c r="I39" s="5">
        <v>27990</v>
      </c>
      <c r="J39" s="5"/>
      <c r="K39" s="5">
        <v>34361</v>
      </c>
      <c r="L39" s="50"/>
    </row>
    <row r="40" spans="1:12">
      <c r="A40" s="23" t="s">
        <v>11</v>
      </c>
      <c r="B40" s="41">
        <v>1627</v>
      </c>
      <c r="C40" s="41">
        <v>1245</v>
      </c>
      <c r="D40" s="41">
        <v>5662</v>
      </c>
      <c r="E40" s="5">
        <v>8534</v>
      </c>
      <c r="F40" s="50"/>
      <c r="G40" s="23" t="s">
        <v>11</v>
      </c>
      <c r="H40" s="5">
        <v>2359</v>
      </c>
      <c r="I40" s="5">
        <v>8470</v>
      </c>
      <c r="J40" s="5"/>
      <c r="K40" s="5">
        <v>10829</v>
      </c>
      <c r="L40" s="50"/>
    </row>
    <row r="41" spans="1:12">
      <c r="A41" s="23" t="s">
        <v>12</v>
      </c>
      <c r="B41" s="41">
        <v>1827</v>
      </c>
      <c r="C41" s="41">
        <v>2776</v>
      </c>
      <c r="D41" s="41">
        <v>3280</v>
      </c>
      <c r="E41" s="5">
        <v>7883</v>
      </c>
      <c r="F41" s="50"/>
      <c r="G41" s="23" t="s">
        <v>12</v>
      </c>
      <c r="H41" s="5">
        <v>1946</v>
      </c>
      <c r="I41" s="5">
        <v>9241</v>
      </c>
      <c r="J41" s="5"/>
      <c r="K41" s="5">
        <v>11187</v>
      </c>
      <c r="L41" s="50"/>
    </row>
    <row r="42" spans="1:12">
      <c r="A42" s="23" t="s">
        <v>13</v>
      </c>
      <c r="B42" s="41">
        <v>546</v>
      </c>
      <c r="C42" s="41">
        <v>430</v>
      </c>
      <c r="D42" s="41">
        <v>3887</v>
      </c>
      <c r="E42" s="5">
        <v>4863</v>
      </c>
      <c r="F42" s="50"/>
      <c r="G42" s="23" t="s">
        <v>13</v>
      </c>
      <c r="H42" s="5">
        <v>1252</v>
      </c>
      <c r="I42" s="5">
        <v>3909</v>
      </c>
      <c r="J42" s="5"/>
      <c r="K42" s="5">
        <v>5161</v>
      </c>
      <c r="L42" s="50"/>
    </row>
    <row r="43" spans="1:12">
      <c r="A43" s="23" t="s">
        <v>163</v>
      </c>
      <c r="B43" s="41">
        <v>717</v>
      </c>
      <c r="C43" s="41">
        <v>764</v>
      </c>
      <c r="D43" s="41">
        <v>1725</v>
      </c>
      <c r="E43" s="5">
        <v>3206</v>
      </c>
      <c r="F43" s="50"/>
      <c r="G43" s="23" t="s">
        <v>163</v>
      </c>
      <c r="H43" s="5">
        <v>1017</v>
      </c>
      <c r="I43" s="5">
        <v>3275</v>
      </c>
      <c r="J43" s="5"/>
      <c r="K43" s="5">
        <v>4292</v>
      </c>
      <c r="L43" s="50"/>
    </row>
    <row r="44" spans="1:12">
      <c r="A44" s="23" t="s">
        <v>164</v>
      </c>
      <c r="B44" s="41">
        <v>268</v>
      </c>
      <c r="C44" s="41">
        <v>287</v>
      </c>
      <c r="D44" s="41">
        <v>1011</v>
      </c>
      <c r="E44" s="5">
        <v>1566</v>
      </c>
      <c r="F44" s="50"/>
      <c r="G44" s="23" t="s">
        <v>164</v>
      </c>
      <c r="H44" s="5">
        <v>950</v>
      </c>
      <c r="I44" s="5">
        <v>1822</v>
      </c>
      <c r="J44" s="5"/>
      <c r="K44" s="5">
        <v>2772</v>
      </c>
      <c r="L44" s="50"/>
    </row>
    <row r="45" spans="1:12">
      <c r="A45" s="23" t="s">
        <v>165</v>
      </c>
      <c r="B45" s="41">
        <v>1130</v>
      </c>
      <c r="C45" s="41">
        <v>547</v>
      </c>
      <c r="D45" s="41">
        <v>1432</v>
      </c>
      <c r="E45" s="5">
        <v>3109</v>
      </c>
      <c r="F45" s="50"/>
      <c r="G45" s="23" t="s">
        <v>165</v>
      </c>
      <c r="H45" s="5">
        <v>644</v>
      </c>
      <c r="I45" s="5">
        <v>2097</v>
      </c>
      <c r="J45" s="5"/>
      <c r="K45" s="5">
        <v>2741</v>
      </c>
      <c r="L45" s="50"/>
    </row>
    <row r="46" spans="1:12">
      <c r="A46" s="23" t="s">
        <v>166</v>
      </c>
      <c r="B46" s="41">
        <v>266</v>
      </c>
      <c r="C46" s="41">
        <v>960</v>
      </c>
      <c r="D46" s="41">
        <v>1524</v>
      </c>
      <c r="E46" s="5">
        <v>2750</v>
      </c>
      <c r="F46" s="50"/>
      <c r="G46" s="23" t="s">
        <v>166</v>
      </c>
      <c r="H46" s="5">
        <v>786</v>
      </c>
      <c r="I46" s="5">
        <v>2873</v>
      </c>
      <c r="J46" s="5"/>
      <c r="K46" s="5">
        <v>3659</v>
      </c>
      <c r="L46" s="50"/>
    </row>
    <row r="47" spans="1:12">
      <c r="A47" s="23" t="s">
        <v>203</v>
      </c>
      <c r="B47" s="41">
        <v>804</v>
      </c>
      <c r="C47" s="41">
        <v>1803</v>
      </c>
      <c r="D47" s="41">
        <v>2379</v>
      </c>
      <c r="E47" s="5">
        <v>4986</v>
      </c>
      <c r="F47" s="50"/>
      <c r="G47" s="23" t="s">
        <v>203</v>
      </c>
      <c r="H47" s="5">
        <v>543</v>
      </c>
      <c r="I47" s="5">
        <v>2291</v>
      </c>
      <c r="J47" s="5"/>
      <c r="K47" s="5">
        <v>2834</v>
      </c>
      <c r="L47" s="50"/>
    </row>
    <row r="48" spans="1:12">
      <c r="A48" s="23" t="s">
        <v>31</v>
      </c>
      <c r="B48" s="41">
        <v>4872</v>
      </c>
      <c r="C48" s="41">
        <v>4491</v>
      </c>
      <c r="D48" s="41">
        <v>35535</v>
      </c>
      <c r="E48" s="5">
        <v>44898</v>
      </c>
      <c r="F48" s="50"/>
      <c r="G48" s="23" t="s">
        <v>31</v>
      </c>
      <c r="H48" s="5">
        <v>3632</v>
      </c>
      <c r="I48" s="5">
        <v>12318</v>
      </c>
      <c r="J48" s="5"/>
      <c r="K48" s="5">
        <v>15950</v>
      </c>
      <c r="L48" s="50"/>
    </row>
    <row r="49" spans="1:12">
      <c r="A49" s="17" t="s">
        <v>222</v>
      </c>
      <c r="B49" s="41"/>
      <c r="C49" s="41"/>
      <c r="D49" s="41"/>
      <c r="E49" s="5">
        <v>0</v>
      </c>
      <c r="F49" s="50"/>
      <c r="G49" s="17" t="s">
        <v>222</v>
      </c>
      <c r="H49" s="5">
        <v>15</v>
      </c>
      <c r="I49" s="5">
        <v>27</v>
      </c>
      <c r="J49" s="5"/>
      <c r="K49" s="5">
        <v>42</v>
      </c>
      <c r="L49" s="50"/>
    </row>
    <row r="50" spans="1:12">
      <c r="A50" s="21" t="s">
        <v>46</v>
      </c>
      <c r="B50" s="42">
        <v>79563</v>
      </c>
      <c r="C50" s="42">
        <v>58941</v>
      </c>
      <c r="D50" s="42">
        <v>107421</v>
      </c>
      <c r="E50" s="38">
        <v>245925</v>
      </c>
      <c r="F50" s="50"/>
      <c r="G50" s="21" t="s">
        <v>46</v>
      </c>
      <c r="H50" s="38">
        <v>48710</v>
      </c>
      <c r="I50" s="38">
        <v>166683</v>
      </c>
      <c r="J50" s="38">
        <v>0</v>
      </c>
      <c r="K50" s="38">
        <v>215393</v>
      </c>
      <c r="L50" s="50"/>
    </row>
    <row r="51" spans="1:12">
      <c r="A51" s="3" t="s">
        <v>228</v>
      </c>
      <c r="B51" s="47"/>
      <c r="C51" s="47"/>
      <c r="D51" s="47"/>
      <c r="E51" s="48"/>
      <c r="F51" s="49"/>
      <c r="H51" s="54"/>
      <c r="I51" s="54"/>
      <c r="J51" s="57"/>
      <c r="K51" s="55"/>
    </row>
    <row r="52" spans="1:12">
      <c r="F52" s="49"/>
      <c r="H52" s="6"/>
      <c r="I52" s="6"/>
      <c r="J52" s="6"/>
      <c r="K52" s="3"/>
    </row>
    <row r="53" spans="1:12">
      <c r="A53" s="7" t="s">
        <v>196</v>
      </c>
      <c r="F53" s="49"/>
      <c r="H53" s="6"/>
      <c r="I53" s="6"/>
      <c r="J53" s="6"/>
    </row>
    <row r="54" spans="1:12">
      <c r="A54" s="7" t="s">
        <v>363</v>
      </c>
      <c r="F54" s="49"/>
      <c r="G54" s="7"/>
      <c r="H54" s="6"/>
      <c r="I54" s="6"/>
      <c r="J54" s="6"/>
    </row>
    <row r="55" spans="1:12">
      <c r="A55" s="8" t="s">
        <v>173</v>
      </c>
      <c r="B55" s="8" t="s">
        <v>594</v>
      </c>
      <c r="C55" s="8" t="s">
        <v>1</v>
      </c>
      <c r="D55" s="16" t="s">
        <v>223</v>
      </c>
      <c r="E55" s="8" t="s">
        <v>45</v>
      </c>
      <c r="F55" s="49"/>
      <c r="G55" s="26"/>
      <c r="H55" s="26"/>
      <c r="I55" s="26"/>
      <c r="J55" s="26"/>
      <c r="K55" s="26"/>
    </row>
    <row r="56" spans="1:12">
      <c r="A56" s="23" t="s">
        <v>174</v>
      </c>
      <c r="B56" s="4">
        <v>1530709</v>
      </c>
      <c r="C56" s="4">
        <v>839063</v>
      </c>
      <c r="D56" s="4"/>
      <c r="E56" s="4">
        <v>2369772</v>
      </c>
      <c r="F56" s="49"/>
      <c r="G56" s="25"/>
      <c r="H56" s="13"/>
      <c r="I56" s="13"/>
      <c r="J56" s="13"/>
      <c r="K56" s="13"/>
    </row>
    <row r="57" spans="1:12">
      <c r="A57" s="23" t="s">
        <v>175</v>
      </c>
      <c r="B57" s="5">
        <v>1322209</v>
      </c>
      <c r="C57" s="5">
        <v>2908215</v>
      </c>
      <c r="D57" s="5"/>
      <c r="E57" s="5">
        <v>4230424</v>
      </c>
      <c r="F57" s="49"/>
      <c r="G57" s="25"/>
      <c r="H57" s="13"/>
      <c r="I57" s="13"/>
      <c r="J57" s="13"/>
      <c r="K57" s="13"/>
    </row>
    <row r="58" spans="1:12">
      <c r="A58" s="17" t="s">
        <v>222</v>
      </c>
      <c r="B58" s="5">
        <v>1747138</v>
      </c>
      <c r="C58" s="5"/>
      <c r="D58" s="5"/>
      <c r="E58" s="5">
        <v>1747138</v>
      </c>
      <c r="F58" s="49"/>
      <c r="G58" s="25"/>
      <c r="H58" s="13"/>
      <c r="I58" s="13"/>
      <c r="J58" s="13"/>
      <c r="K58" s="13"/>
    </row>
    <row r="59" spans="1:12">
      <c r="A59" s="21" t="s">
        <v>46</v>
      </c>
      <c r="B59" s="38">
        <v>4600056</v>
      </c>
      <c r="C59" s="38">
        <v>3747278</v>
      </c>
      <c r="D59" s="38">
        <v>0</v>
      </c>
      <c r="E59" s="38">
        <v>8347334</v>
      </c>
      <c r="F59" s="49"/>
      <c r="G59" s="29"/>
      <c r="H59" s="13"/>
      <c r="I59" s="13"/>
      <c r="J59" s="13"/>
      <c r="K59" s="13"/>
    </row>
    <row r="60" spans="1:12">
      <c r="A60" s="3" t="s">
        <v>613</v>
      </c>
      <c r="B60" s="47"/>
      <c r="C60" s="48"/>
      <c r="D60" s="48"/>
      <c r="E60" s="47"/>
      <c r="F60" s="49"/>
      <c r="H60" s="6"/>
      <c r="I60" s="6"/>
      <c r="J60" s="6"/>
    </row>
    <row r="61" spans="1:12">
      <c r="F61" s="49"/>
      <c r="H61" s="6"/>
      <c r="I61" s="6"/>
      <c r="J61" s="6"/>
      <c r="K61" s="3"/>
    </row>
    <row r="62" spans="1:12">
      <c r="A62" s="7" t="s">
        <v>197</v>
      </c>
      <c r="F62" s="49"/>
      <c r="G62" s="7" t="s">
        <v>198</v>
      </c>
      <c r="H62" s="6"/>
      <c r="I62" s="6"/>
      <c r="J62" s="6"/>
      <c r="K62" s="3"/>
    </row>
    <row r="63" spans="1:12">
      <c r="A63" s="7" t="s">
        <v>614</v>
      </c>
      <c r="F63" s="49"/>
      <c r="G63" s="7" t="s">
        <v>364</v>
      </c>
      <c r="H63" s="6"/>
      <c r="I63" s="6"/>
      <c r="J63" s="6"/>
      <c r="K63" s="3"/>
    </row>
    <row r="64" spans="1:12">
      <c r="A64" s="28" t="s">
        <v>50</v>
      </c>
      <c r="B64" s="28" t="s">
        <v>169</v>
      </c>
      <c r="C64" s="28" t="s">
        <v>170</v>
      </c>
      <c r="D64" s="16" t="s">
        <v>223</v>
      </c>
      <c r="E64" s="28" t="s">
        <v>48</v>
      </c>
      <c r="G64" s="28" t="s">
        <v>50</v>
      </c>
      <c r="H64" s="28" t="s">
        <v>169</v>
      </c>
      <c r="I64" s="28" t="s">
        <v>170</v>
      </c>
      <c r="J64" s="16" t="s">
        <v>223</v>
      </c>
      <c r="K64" s="28" t="s">
        <v>48</v>
      </c>
    </row>
    <row r="65" spans="1:12">
      <c r="A65" s="14" t="s">
        <v>5</v>
      </c>
      <c r="B65" s="4">
        <v>359205</v>
      </c>
      <c r="C65" s="4">
        <v>420743</v>
      </c>
      <c r="D65" s="4">
        <v>690032</v>
      </c>
      <c r="E65" s="15">
        <v>1469980</v>
      </c>
      <c r="F65" s="47"/>
      <c r="G65" s="14" t="s">
        <v>5</v>
      </c>
      <c r="H65" s="4">
        <v>239075</v>
      </c>
      <c r="I65" s="4">
        <v>1421136</v>
      </c>
      <c r="J65" s="4"/>
      <c r="K65" s="15">
        <v>1660211</v>
      </c>
      <c r="L65" s="50"/>
    </row>
    <row r="66" spans="1:12">
      <c r="A66" s="17" t="s">
        <v>6</v>
      </c>
      <c r="B66" s="5">
        <v>1171504</v>
      </c>
      <c r="C66" s="5">
        <v>901466</v>
      </c>
      <c r="D66" s="5">
        <v>1057106</v>
      </c>
      <c r="E66" s="10">
        <v>3130076</v>
      </c>
      <c r="F66" s="47"/>
      <c r="G66" s="17" t="s">
        <v>6</v>
      </c>
      <c r="H66" s="5">
        <v>599988</v>
      </c>
      <c r="I66" s="5">
        <v>1487079</v>
      </c>
      <c r="J66" s="5"/>
      <c r="K66" s="10">
        <v>2087067</v>
      </c>
      <c r="L66" s="50"/>
    </row>
    <row r="67" spans="1:12">
      <c r="A67" s="17" t="s">
        <v>222</v>
      </c>
      <c r="B67" s="5"/>
      <c r="C67" s="5">
        <v>0</v>
      </c>
      <c r="D67" s="5"/>
      <c r="E67" s="10">
        <v>0</v>
      </c>
      <c r="F67" s="47"/>
      <c r="G67" s="17" t="s">
        <v>222</v>
      </c>
      <c r="H67" s="5"/>
      <c r="I67" s="5"/>
      <c r="J67" s="5"/>
      <c r="K67" s="10">
        <v>0</v>
      </c>
      <c r="L67" s="50"/>
    </row>
    <row r="68" spans="1:12">
      <c r="A68" s="21" t="s">
        <v>46</v>
      </c>
      <c r="B68" s="38">
        <v>1530709</v>
      </c>
      <c r="C68" s="38">
        <v>1322209</v>
      </c>
      <c r="D68" s="38">
        <v>1747138</v>
      </c>
      <c r="E68" s="38">
        <v>4600056</v>
      </c>
      <c r="F68" s="47"/>
      <c r="G68" s="21" t="s">
        <v>46</v>
      </c>
      <c r="H68" s="38">
        <v>839063</v>
      </c>
      <c r="I68" s="38">
        <v>2908215</v>
      </c>
      <c r="J68" s="38">
        <v>0</v>
      </c>
      <c r="K68" s="38">
        <v>3747278</v>
      </c>
      <c r="L68" s="50"/>
    </row>
    <row r="69" spans="1:12">
      <c r="A69" s="3" t="s">
        <v>613</v>
      </c>
      <c r="B69" s="47"/>
      <c r="C69" s="47"/>
      <c r="D69" s="47"/>
      <c r="E69" s="50"/>
      <c r="F69" s="49"/>
      <c r="G69" s="6"/>
      <c r="H69" s="54"/>
      <c r="I69" s="54"/>
      <c r="J69" s="57"/>
      <c r="K69" s="55"/>
    </row>
    <row r="70" spans="1:12">
      <c r="E70" s="3"/>
      <c r="F70" s="49"/>
      <c r="G70" s="6"/>
      <c r="H70" s="6"/>
      <c r="I70" s="6"/>
      <c r="J70" s="6"/>
      <c r="K70" s="3"/>
    </row>
    <row r="71" spans="1:12">
      <c r="A71" s="7" t="s">
        <v>199</v>
      </c>
      <c r="E71" s="3"/>
      <c r="G71" s="7" t="s">
        <v>200</v>
      </c>
      <c r="H71" s="6"/>
      <c r="I71" s="6"/>
      <c r="J71" s="6"/>
      <c r="K71" s="3"/>
    </row>
    <row r="72" spans="1:12">
      <c r="A72" s="7" t="s">
        <v>615</v>
      </c>
      <c r="E72" s="3"/>
      <c r="G72" s="7" t="s">
        <v>365</v>
      </c>
      <c r="H72" s="6"/>
      <c r="I72" s="6"/>
      <c r="J72" s="6"/>
      <c r="K72" s="3"/>
    </row>
    <row r="73" spans="1:12">
      <c r="A73" s="16" t="s">
        <v>51</v>
      </c>
      <c r="B73" s="28" t="s">
        <v>169</v>
      </c>
      <c r="C73" s="28" t="s">
        <v>170</v>
      </c>
      <c r="D73" s="16" t="s">
        <v>223</v>
      </c>
      <c r="E73" s="28" t="s">
        <v>48</v>
      </c>
      <c r="G73" s="16" t="s">
        <v>51</v>
      </c>
      <c r="H73" s="28" t="s">
        <v>169</v>
      </c>
      <c r="I73" s="28" t="s">
        <v>170</v>
      </c>
      <c r="J73" s="16" t="s">
        <v>223</v>
      </c>
      <c r="K73" s="28" t="s">
        <v>48</v>
      </c>
    </row>
    <row r="74" spans="1:12">
      <c r="A74" s="14" t="s">
        <v>40</v>
      </c>
      <c r="B74" s="4">
        <v>1740</v>
      </c>
      <c r="C74" s="4">
        <v>1312</v>
      </c>
      <c r="D74" s="4">
        <v>14084</v>
      </c>
      <c r="E74" s="4">
        <v>17136</v>
      </c>
      <c r="F74" s="47"/>
      <c r="G74" s="14" t="s">
        <v>40</v>
      </c>
      <c r="H74" s="4"/>
      <c r="I74" s="4">
        <v>1372</v>
      </c>
      <c r="J74" s="4"/>
      <c r="K74" s="4">
        <v>1372</v>
      </c>
      <c r="L74" s="50"/>
    </row>
    <row r="75" spans="1:12">
      <c r="A75" s="17" t="s">
        <v>2</v>
      </c>
      <c r="B75" s="5">
        <v>73777</v>
      </c>
      <c r="C75" s="5">
        <v>44552</v>
      </c>
      <c r="D75" s="5">
        <v>112899</v>
      </c>
      <c r="E75" s="5">
        <v>231228</v>
      </c>
      <c r="F75" s="47"/>
      <c r="G75" s="17" t="s">
        <v>2</v>
      </c>
      <c r="H75" s="5">
        <v>2599</v>
      </c>
      <c r="I75" s="5">
        <v>77552</v>
      </c>
      <c r="J75" s="5"/>
      <c r="K75" s="5">
        <v>80151</v>
      </c>
      <c r="L75" s="50"/>
    </row>
    <row r="76" spans="1:12">
      <c r="A76" s="17" t="s">
        <v>41</v>
      </c>
      <c r="B76" s="5">
        <v>493327</v>
      </c>
      <c r="C76" s="5">
        <v>305180</v>
      </c>
      <c r="D76" s="5">
        <v>459037</v>
      </c>
      <c r="E76" s="5">
        <v>1257544</v>
      </c>
      <c r="F76" s="47"/>
      <c r="G76" s="17" t="s">
        <v>41</v>
      </c>
      <c r="H76" s="5">
        <v>213298</v>
      </c>
      <c r="I76" s="5">
        <v>879048</v>
      </c>
      <c r="J76" s="5"/>
      <c r="K76" s="5">
        <v>1092346</v>
      </c>
      <c r="L76" s="50"/>
    </row>
    <row r="77" spans="1:12">
      <c r="A77" s="17" t="s">
        <v>42</v>
      </c>
      <c r="B77" s="5">
        <v>399361</v>
      </c>
      <c r="C77" s="5">
        <v>283606</v>
      </c>
      <c r="D77" s="5">
        <v>381109</v>
      </c>
      <c r="E77" s="5">
        <v>1064076</v>
      </c>
      <c r="F77" s="47"/>
      <c r="G77" s="17" t="s">
        <v>42</v>
      </c>
      <c r="H77" s="5">
        <v>243252</v>
      </c>
      <c r="I77" s="5">
        <v>905388</v>
      </c>
      <c r="J77" s="5"/>
      <c r="K77" s="5">
        <v>1148640</v>
      </c>
      <c r="L77" s="50"/>
    </row>
    <row r="78" spans="1:12">
      <c r="A78" s="17" t="s">
        <v>43</v>
      </c>
      <c r="B78" s="5">
        <v>248926</v>
      </c>
      <c r="C78" s="5">
        <v>262378</v>
      </c>
      <c r="D78" s="5">
        <v>314117</v>
      </c>
      <c r="E78" s="5">
        <v>825421</v>
      </c>
      <c r="F78" s="47"/>
      <c r="G78" s="17" t="s">
        <v>43</v>
      </c>
      <c r="H78" s="5">
        <v>144571</v>
      </c>
      <c r="I78" s="5">
        <v>542587</v>
      </c>
      <c r="J78" s="5"/>
      <c r="K78" s="5">
        <v>687158</v>
      </c>
      <c r="L78" s="50"/>
    </row>
    <row r="79" spans="1:12">
      <c r="A79" s="17" t="s">
        <v>44</v>
      </c>
      <c r="B79" s="5">
        <v>235480</v>
      </c>
      <c r="C79" s="5">
        <v>296411</v>
      </c>
      <c r="D79" s="5">
        <v>319819</v>
      </c>
      <c r="E79" s="5">
        <v>851710</v>
      </c>
      <c r="F79" s="47"/>
      <c r="G79" s="17" t="s">
        <v>44</v>
      </c>
      <c r="H79" s="5">
        <v>183254</v>
      </c>
      <c r="I79" s="5">
        <v>403963</v>
      </c>
      <c r="J79" s="5"/>
      <c r="K79" s="5">
        <v>587217</v>
      </c>
      <c r="L79" s="50"/>
    </row>
    <row r="80" spans="1:12">
      <c r="A80" s="17" t="s">
        <v>3</v>
      </c>
      <c r="B80" s="5">
        <v>78098</v>
      </c>
      <c r="C80" s="5">
        <v>128770</v>
      </c>
      <c r="D80" s="5">
        <v>146073</v>
      </c>
      <c r="E80" s="5">
        <v>352941</v>
      </c>
      <c r="F80" s="47"/>
      <c r="G80" s="17" t="s">
        <v>3</v>
      </c>
      <c r="H80" s="5">
        <v>52089</v>
      </c>
      <c r="I80" s="5">
        <v>98304</v>
      </c>
      <c r="J80" s="5"/>
      <c r="K80" s="5">
        <v>150393</v>
      </c>
      <c r="L80" s="50"/>
    </row>
    <row r="81" spans="1:12">
      <c r="A81" s="17" t="s">
        <v>222</v>
      </c>
      <c r="B81" s="5"/>
      <c r="C81" s="5"/>
      <c r="D81" s="5"/>
      <c r="E81" s="5">
        <v>0</v>
      </c>
      <c r="F81" s="47"/>
      <c r="G81" s="17" t="s">
        <v>222</v>
      </c>
      <c r="H81" s="5"/>
      <c r="I81" s="5">
        <v>1</v>
      </c>
      <c r="J81" s="5"/>
      <c r="K81" s="5">
        <v>1</v>
      </c>
      <c r="L81" s="50"/>
    </row>
    <row r="82" spans="1:12">
      <c r="A82" s="21" t="s">
        <v>46</v>
      </c>
      <c r="B82" s="38">
        <v>1530709</v>
      </c>
      <c r="C82" s="38">
        <v>1322209</v>
      </c>
      <c r="D82" s="38">
        <v>1747138</v>
      </c>
      <c r="E82" s="38">
        <v>4600056</v>
      </c>
      <c r="F82" s="47"/>
      <c r="G82" s="21" t="s">
        <v>46</v>
      </c>
      <c r="H82" s="38">
        <v>839063</v>
      </c>
      <c r="I82" s="38">
        <v>2908215</v>
      </c>
      <c r="J82" s="38">
        <v>0</v>
      </c>
      <c r="K82" s="38">
        <v>3747278</v>
      </c>
      <c r="L82" s="50"/>
    </row>
    <row r="83" spans="1:12">
      <c r="A83" s="3" t="s">
        <v>613</v>
      </c>
      <c r="B83" s="47"/>
      <c r="C83" s="48"/>
      <c r="D83" s="48"/>
      <c r="E83" s="49"/>
      <c r="F83" s="49"/>
      <c r="G83" s="6"/>
      <c r="H83" s="54"/>
      <c r="I83" s="54"/>
      <c r="J83" s="57"/>
      <c r="K83" s="55"/>
    </row>
    <row r="84" spans="1:12">
      <c r="E84" s="3"/>
      <c r="F84" s="49"/>
      <c r="G84" s="6"/>
      <c r="H84" s="6"/>
      <c r="I84" s="6"/>
      <c r="J84" s="6"/>
      <c r="K84" s="3"/>
    </row>
    <row r="85" spans="1:12">
      <c r="A85" s="7" t="s">
        <v>201</v>
      </c>
      <c r="E85" s="3"/>
      <c r="G85" s="7" t="s">
        <v>202</v>
      </c>
      <c r="H85" s="6"/>
      <c r="I85" s="6"/>
      <c r="J85" s="6"/>
      <c r="K85" s="3"/>
    </row>
    <row r="86" spans="1:12">
      <c r="A86" s="7" t="s">
        <v>616</v>
      </c>
      <c r="E86" s="3"/>
      <c r="G86" s="7" t="s">
        <v>366</v>
      </c>
      <c r="H86" s="6"/>
      <c r="I86" s="6"/>
      <c r="J86" s="6"/>
      <c r="K86" s="3"/>
    </row>
    <row r="87" spans="1:12">
      <c r="A87" s="8" t="s">
        <v>148</v>
      </c>
      <c r="B87" s="28" t="s">
        <v>169</v>
      </c>
      <c r="C87" s="28" t="s">
        <v>170</v>
      </c>
      <c r="D87" s="16" t="s">
        <v>223</v>
      </c>
      <c r="E87" s="28" t="s">
        <v>48</v>
      </c>
      <c r="G87" s="8" t="s">
        <v>148</v>
      </c>
      <c r="H87" s="28" t="s">
        <v>169</v>
      </c>
      <c r="I87" s="28" t="s">
        <v>170</v>
      </c>
      <c r="J87" s="16" t="s">
        <v>223</v>
      </c>
      <c r="K87" s="28" t="s">
        <v>48</v>
      </c>
    </row>
    <row r="88" spans="1:12">
      <c r="A88" s="23" t="s">
        <v>9</v>
      </c>
      <c r="B88" s="4">
        <v>1046170</v>
      </c>
      <c r="C88" s="4">
        <v>680486</v>
      </c>
      <c r="D88" s="4">
        <v>744768</v>
      </c>
      <c r="E88" s="4">
        <v>2471424</v>
      </c>
      <c r="F88" s="47"/>
      <c r="G88" s="23" t="s">
        <v>9</v>
      </c>
      <c r="H88" s="4">
        <v>566659</v>
      </c>
      <c r="I88" s="4">
        <v>1761700</v>
      </c>
      <c r="J88" s="4"/>
      <c r="K88" s="4">
        <v>2328359</v>
      </c>
      <c r="L88" s="50"/>
    </row>
    <row r="89" spans="1:12">
      <c r="A89" s="23" t="s">
        <v>10</v>
      </c>
      <c r="B89" s="5">
        <v>276702</v>
      </c>
      <c r="C89" s="5">
        <v>338531</v>
      </c>
      <c r="D89" s="5">
        <v>330758</v>
      </c>
      <c r="E89" s="5">
        <v>945991</v>
      </c>
      <c r="F89" s="47"/>
      <c r="G89" s="23" t="s">
        <v>10</v>
      </c>
      <c r="H89" s="5">
        <v>106132</v>
      </c>
      <c r="I89" s="5">
        <v>494951</v>
      </c>
      <c r="J89" s="5"/>
      <c r="K89" s="5">
        <v>601083</v>
      </c>
      <c r="L89" s="50"/>
    </row>
    <row r="90" spans="1:12" ht="15" customHeight="1">
      <c r="A90" s="23" t="s">
        <v>11</v>
      </c>
      <c r="B90" s="5">
        <v>14414</v>
      </c>
      <c r="C90" s="5">
        <v>12970</v>
      </c>
      <c r="D90" s="5">
        <v>38093</v>
      </c>
      <c r="E90" s="5">
        <v>65477</v>
      </c>
      <c r="F90" s="47"/>
      <c r="G90" s="23" t="s">
        <v>11</v>
      </c>
      <c r="H90" s="5">
        <v>12611</v>
      </c>
      <c r="I90" s="5">
        <v>44643</v>
      </c>
      <c r="J90" s="5"/>
      <c r="K90" s="5">
        <v>57254</v>
      </c>
      <c r="L90" s="50"/>
    </row>
    <row r="91" spans="1:12" ht="15" customHeight="1">
      <c r="A91" s="23" t="s">
        <v>12</v>
      </c>
      <c r="B91" s="5">
        <v>36122</v>
      </c>
      <c r="C91" s="5">
        <v>66515</v>
      </c>
      <c r="D91" s="5">
        <v>60935</v>
      </c>
      <c r="E91" s="5">
        <v>163572</v>
      </c>
      <c r="F91" s="47"/>
      <c r="G91" s="23" t="s">
        <v>12</v>
      </c>
      <c r="H91" s="5">
        <v>34644</v>
      </c>
      <c r="I91" s="5">
        <v>169640</v>
      </c>
      <c r="J91" s="5"/>
      <c r="K91" s="5">
        <v>204284</v>
      </c>
      <c r="L91" s="50"/>
    </row>
    <row r="92" spans="1:12" ht="15" customHeight="1">
      <c r="A92" s="23" t="s">
        <v>13</v>
      </c>
      <c r="B92" s="5">
        <v>2681</v>
      </c>
      <c r="C92" s="5">
        <v>3709</v>
      </c>
      <c r="D92" s="5">
        <v>29929</v>
      </c>
      <c r="E92" s="5">
        <v>36319</v>
      </c>
      <c r="F92" s="47"/>
      <c r="G92" s="23" t="s">
        <v>13</v>
      </c>
      <c r="H92" s="5">
        <v>4673</v>
      </c>
      <c r="I92" s="5">
        <v>17934</v>
      </c>
      <c r="J92" s="5"/>
      <c r="K92" s="5">
        <v>22607</v>
      </c>
      <c r="L92" s="50"/>
    </row>
    <row r="93" spans="1:12" ht="15" customHeight="1">
      <c r="A93" s="23" t="s">
        <v>163</v>
      </c>
      <c r="B93" s="5">
        <v>8974</v>
      </c>
      <c r="C93" s="5">
        <v>10075</v>
      </c>
      <c r="D93" s="5">
        <v>20963</v>
      </c>
      <c r="E93" s="5">
        <v>40012</v>
      </c>
      <c r="F93" s="47"/>
      <c r="G93" s="23" t="s">
        <v>163</v>
      </c>
      <c r="H93" s="5">
        <v>7666</v>
      </c>
      <c r="I93" s="5">
        <v>30270</v>
      </c>
      <c r="J93" s="5"/>
      <c r="K93" s="5">
        <v>37936</v>
      </c>
      <c r="L93" s="50"/>
    </row>
    <row r="94" spans="1:12" ht="15" customHeight="1">
      <c r="A94" s="23" t="s">
        <v>164</v>
      </c>
      <c r="B94" s="5">
        <v>4440</v>
      </c>
      <c r="C94" s="5">
        <v>4679</v>
      </c>
      <c r="D94" s="5">
        <v>15981</v>
      </c>
      <c r="E94" s="5">
        <v>25100</v>
      </c>
      <c r="F94" s="47"/>
      <c r="G94" s="23" t="s">
        <v>164</v>
      </c>
      <c r="H94" s="5">
        <v>16210</v>
      </c>
      <c r="I94" s="5">
        <v>28032</v>
      </c>
      <c r="J94" s="5"/>
      <c r="K94" s="5">
        <v>44242</v>
      </c>
      <c r="L94" s="50"/>
    </row>
    <row r="95" spans="1:12" ht="15" customHeight="1">
      <c r="A95" s="23" t="s">
        <v>165</v>
      </c>
      <c r="B95" s="5">
        <v>21919</v>
      </c>
      <c r="C95" s="5">
        <v>11342</v>
      </c>
      <c r="D95" s="5">
        <v>29464</v>
      </c>
      <c r="E95" s="5">
        <v>62725</v>
      </c>
      <c r="F95" s="47"/>
      <c r="G95" s="23" t="s">
        <v>165</v>
      </c>
      <c r="H95" s="5">
        <v>6692</v>
      </c>
      <c r="I95" s="5">
        <v>27337</v>
      </c>
      <c r="J95" s="5"/>
      <c r="K95" s="5">
        <v>34029</v>
      </c>
      <c r="L95" s="50"/>
    </row>
    <row r="96" spans="1:12" ht="15" customHeight="1">
      <c r="A96" s="23" t="s">
        <v>166</v>
      </c>
      <c r="B96" s="5">
        <v>6597</v>
      </c>
      <c r="C96" s="5">
        <v>32318</v>
      </c>
      <c r="D96" s="5">
        <v>46626</v>
      </c>
      <c r="E96" s="5">
        <v>85541</v>
      </c>
      <c r="F96" s="47"/>
      <c r="G96" s="23" t="s">
        <v>166</v>
      </c>
      <c r="H96" s="5">
        <v>20642</v>
      </c>
      <c r="I96" s="5">
        <v>78942</v>
      </c>
      <c r="J96" s="5"/>
      <c r="K96" s="5">
        <v>99584</v>
      </c>
      <c r="L96" s="50"/>
    </row>
    <row r="97" spans="1:12" ht="15" customHeight="1">
      <c r="A97" s="23" t="s">
        <v>203</v>
      </c>
      <c r="B97" s="5">
        <v>18778</v>
      </c>
      <c r="C97" s="5">
        <v>52824</v>
      </c>
      <c r="D97" s="5">
        <v>66419</v>
      </c>
      <c r="E97" s="5">
        <v>138021</v>
      </c>
      <c r="F97" s="47"/>
      <c r="G97" s="23" t="s">
        <v>203</v>
      </c>
      <c r="H97" s="5">
        <v>12355</v>
      </c>
      <c r="I97" s="5">
        <v>51852</v>
      </c>
      <c r="J97" s="5"/>
      <c r="K97" s="5">
        <v>64207</v>
      </c>
      <c r="L97" s="50"/>
    </row>
    <row r="98" spans="1:12" ht="15" customHeight="1">
      <c r="A98" s="23" t="s">
        <v>31</v>
      </c>
      <c r="B98" s="5">
        <v>93912</v>
      </c>
      <c r="C98" s="5">
        <v>108760</v>
      </c>
      <c r="D98" s="5">
        <v>363202</v>
      </c>
      <c r="E98" s="5">
        <v>565874</v>
      </c>
      <c r="F98" s="47"/>
      <c r="G98" s="23" t="s">
        <v>31</v>
      </c>
      <c r="H98" s="5">
        <v>50624</v>
      </c>
      <c r="I98" s="5">
        <v>202469</v>
      </c>
      <c r="J98" s="5"/>
      <c r="K98" s="5">
        <v>253093</v>
      </c>
      <c r="L98" s="50"/>
    </row>
    <row r="99" spans="1:12" ht="15" customHeight="1">
      <c r="A99" s="17" t="s">
        <v>222</v>
      </c>
      <c r="B99" s="5">
        <v>0</v>
      </c>
      <c r="C99" s="5">
        <v>0</v>
      </c>
      <c r="D99" s="5">
        <v>0</v>
      </c>
      <c r="E99" s="5">
        <v>0</v>
      </c>
      <c r="F99" s="47"/>
      <c r="G99" s="17" t="s">
        <v>222</v>
      </c>
      <c r="H99" s="5">
        <v>155</v>
      </c>
      <c r="I99" s="5">
        <v>445</v>
      </c>
      <c r="J99" s="5"/>
      <c r="K99" s="5">
        <v>600</v>
      </c>
      <c r="L99" s="50"/>
    </row>
    <row r="100" spans="1:12" ht="15" customHeight="1">
      <c r="A100" s="21" t="s">
        <v>46</v>
      </c>
      <c r="B100" s="38">
        <v>1530709</v>
      </c>
      <c r="C100" s="38">
        <v>1322209</v>
      </c>
      <c r="D100" s="38">
        <v>1747138</v>
      </c>
      <c r="E100" s="38">
        <v>4600056</v>
      </c>
      <c r="F100" s="47"/>
      <c r="G100" s="21" t="s">
        <v>46</v>
      </c>
      <c r="H100" s="38">
        <v>839063</v>
      </c>
      <c r="I100" s="38">
        <v>2908215</v>
      </c>
      <c r="J100" s="38">
        <v>0</v>
      </c>
      <c r="K100" s="38">
        <v>3747278</v>
      </c>
      <c r="L100" s="50"/>
    </row>
    <row r="101" spans="1:12" ht="15" customHeight="1">
      <c r="A101" s="3" t="s">
        <v>613</v>
      </c>
      <c r="B101" s="47"/>
      <c r="C101" s="47"/>
      <c r="D101" s="47"/>
      <c r="E101" s="48"/>
      <c r="H101" s="54"/>
      <c r="I101" s="54"/>
      <c r="J101" s="57"/>
      <c r="K101" s="55"/>
    </row>
    <row r="102" spans="1:12" ht="15" customHeight="1"/>
    <row r="103" spans="1:12" ht="15" customHeight="1"/>
    <row r="104" spans="1:12" ht="15" customHeight="1"/>
    <row r="105" spans="1:12" ht="15" customHeight="1"/>
    <row r="106" spans="1:12" ht="15" customHeight="1"/>
    <row r="107" spans="1:12" ht="15" customHeight="1"/>
    <row r="108" spans="1:12" ht="15" customHeight="1"/>
    <row r="109" spans="1:12" ht="15" customHeight="1"/>
    <row r="110" spans="1:12" ht="15" customHeight="1"/>
    <row r="111" spans="1:12" ht="15" customHeight="1"/>
    <row r="112" spans="1:12" ht="15" customHeight="1"/>
    <row r="113" spans="2:11" ht="15" customHeight="1">
      <c r="B113" s="3"/>
      <c r="C113" s="3"/>
      <c r="D113" s="3"/>
      <c r="E113" s="3"/>
      <c r="F113" s="49"/>
      <c r="K113" s="3"/>
    </row>
    <row r="114" spans="2:11" ht="15" customHeight="1">
      <c r="B114" s="3"/>
      <c r="C114" s="3"/>
      <c r="D114" s="3"/>
      <c r="E114" s="3"/>
      <c r="F114" s="49"/>
      <c r="K114" s="3"/>
    </row>
    <row r="115" spans="2:11" ht="15" customHeight="1">
      <c r="B115" s="3"/>
      <c r="C115" s="3"/>
      <c r="D115" s="3"/>
      <c r="E115" s="3"/>
      <c r="F115" s="49"/>
      <c r="K115" s="3"/>
    </row>
    <row r="116" spans="2:11" ht="15" customHeight="1">
      <c r="B116" s="3"/>
      <c r="C116" s="3"/>
      <c r="D116" s="3"/>
      <c r="E116" s="3"/>
      <c r="F116" s="49"/>
      <c r="K116" s="3"/>
    </row>
    <row r="117" spans="2:11" ht="15" customHeight="1">
      <c r="B117" s="3"/>
      <c r="C117" s="3"/>
      <c r="D117" s="3"/>
      <c r="E117" s="3"/>
      <c r="F117" s="49"/>
      <c r="K117" s="3"/>
    </row>
    <row r="118" spans="2:11" ht="15" customHeight="1">
      <c r="B118" s="3"/>
      <c r="C118" s="3"/>
      <c r="D118" s="3"/>
      <c r="E118" s="3"/>
      <c r="F118" s="49"/>
      <c r="K118" s="3"/>
    </row>
    <row r="119" spans="2:11" ht="15" customHeight="1">
      <c r="B119" s="3"/>
      <c r="C119" s="3"/>
      <c r="D119" s="3"/>
      <c r="E119" s="3"/>
      <c r="F119" s="49"/>
      <c r="K119" s="3"/>
    </row>
    <row r="120" spans="2:11" ht="15" customHeight="1">
      <c r="B120" s="3"/>
      <c r="C120" s="3"/>
      <c r="D120" s="3"/>
      <c r="E120" s="3"/>
      <c r="F120" s="49"/>
      <c r="K120" s="3"/>
    </row>
    <row r="121" spans="2:11" ht="15" customHeight="1">
      <c r="B121" s="3"/>
      <c r="C121" s="3"/>
      <c r="D121" s="3"/>
      <c r="E121" s="3"/>
      <c r="F121" s="49"/>
      <c r="K121" s="3"/>
    </row>
    <row r="122" spans="2:11" ht="15" customHeight="1">
      <c r="B122" s="3"/>
      <c r="C122" s="3"/>
      <c r="D122" s="3"/>
      <c r="E122" s="3"/>
      <c r="F122" s="49"/>
      <c r="K122" s="3"/>
    </row>
    <row r="123" spans="2:11" ht="15" customHeight="1">
      <c r="B123" s="3"/>
      <c r="C123" s="3"/>
      <c r="D123" s="3"/>
      <c r="E123" s="3"/>
      <c r="F123" s="49"/>
      <c r="K123" s="3"/>
    </row>
    <row r="124" spans="2:11" ht="15" customHeight="1">
      <c r="B124" s="3"/>
      <c r="C124" s="3"/>
      <c r="D124" s="3"/>
      <c r="E124" s="3"/>
      <c r="F124" s="49"/>
      <c r="K124" s="3"/>
    </row>
    <row r="125" spans="2:11" ht="15" customHeight="1">
      <c r="B125" s="3"/>
      <c r="C125" s="3"/>
      <c r="D125" s="3"/>
      <c r="E125" s="3"/>
      <c r="F125" s="49"/>
      <c r="K125" s="3"/>
    </row>
    <row r="126" spans="2:11" ht="15" customHeight="1">
      <c r="B126" s="3"/>
      <c r="C126" s="3"/>
      <c r="D126" s="3"/>
      <c r="E126" s="3"/>
      <c r="F126" s="49"/>
      <c r="K126" s="3"/>
    </row>
    <row r="127" spans="2:11" ht="15" customHeight="1">
      <c r="B127" s="3"/>
      <c r="C127" s="3"/>
      <c r="D127" s="3"/>
      <c r="E127" s="3"/>
      <c r="F127" s="49"/>
      <c r="K127" s="3"/>
    </row>
    <row r="128" spans="2:11" ht="15" customHeight="1">
      <c r="B128" s="3"/>
      <c r="C128" s="3"/>
      <c r="D128" s="3"/>
      <c r="E128" s="3"/>
      <c r="F128" s="49"/>
      <c r="K128" s="3"/>
    </row>
    <row r="129" spans="2:11" ht="15" customHeight="1">
      <c r="B129" s="3"/>
      <c r="C129" s="3"/>
      <c r="D129" s="3"/>
      <c r="E129" s="3"/>
      <c r="F129" s="49"/>
      <c r="K129" s="3"/>
    </row>
    <row r="130" spans="2:11" ht="15" customHeight="1">
      <c r="B130" s="3"/>
      <c r="C130" s="3"/>
      <c r="D130" s="3"/>
      <c r="E130" s="3"/>
      <c r="F130" s="49"/>
      <c r="K130" s="3"/>
    </row>
    <row r="131" spans="2:11" ht="15" customHeight="1">
      <c r="B131" s="3"/>
      <c r="C131" s="3"/>
      <c r="D131" s="3"/>
      <c r="E131" s="3"/>
      <c r="F131" s="49"/>
      <c r="K131" s="3"/>
    </row>
    <row r="132" spans="2:11" ht="15" customHeight="1">
      <c r="B132" s="3"/>
      <c r="C132" s="3"/>
      <c r="D132" s="3"/>
      <c r="E132" s="3"/>
      <c r="F132" s="49"/>
      <c r="K132" s="3"/>
    </row>
    <row r="133" spans="2:11" ht="15" customHeight="1">
      <c r="B133" s="3"/>
      <c r="C133" s="3"/>
      <c r="D133" s="3"/>
      <c r="E133" s="3"/>
      <c r="F133" s="49"/>
      <c r="K133" s="3"/>
    </row>
    <row r="134" spans="2:11" ht="15" customHeight="1">
      <c r="B134" s="3"/>
      <c r="C134" s="3"/>
      <c r="D134" s="3"/>
      <c r="E134" s="3"/>
      <c r="F134" s="49"/>
      <c r="K134" s="3"/>
    </row>
    <row r="135" spans="2:11" ht="15" customHeight="1">
      <c r="B135" s="3"/>
      <c r="C135" s="3"/>
      <c r="D135" s="3"/>
      <c r="E135" s="3"/>
      <c r="F135" s="49"/>
      <c r="K135" s="3"/>
    </row>
    <row r="136" spans="2:11" ht="15" customHeight="1">
      <c r="B136" s="3"/>
      <c r="C136" s="3"/>
      <c r="D136" s="3"/>
      <c r="E136" s="3"/>
      <c r="F136" s="49"/>
      <c r="K136" s="3"/>
    </row>
    <row r="137" spans="2:11" ht="15" customHeight="1">
      <c r="B137" s="3"/>
      <c r="C137" s="3"/>
      <c r="D137" s="3"/>
      <c r="E137" s="3"/>
      <c r="F137" s="49"/>
      <c r="K137" s="3"/>
    </row>
    <row r="138" spans="2:11" ht="15" customHeight="1">
      <c r="B138" s="3"/>
      <c r="C138" s="3"/>
      <c r="D138" s="3"/>
      <c r="E138" s="3"/>
      <c r="F138" s="49"/>
      <c r="K138" s="3"/>
    </row>
    <row r="139" spans="2:11" ht="15" customHeight="1">
      <c r="B139" s="3"/>
      <c r="C139" s="3"/>
      <c r="D139" s="3"/>
      <c r="E139" s="3"/>
      <c r="F139" s="49"/>
      <c r="K139" s="3"/>
    </row>
    <row r="140" spans="2:11" ht="15" customHeight="1">
      <c r="B140" s="3"/>
      <c r="C140" s="3"/>
      <c r="D140" s="3"/>
      <c r="E140" s="3"/>
      <c r="F140" s="49"/>
      <c r="K140" s="3"/>
    </row>
    <row r="141" spans="2:11" ht="15" customHeight="1">
      <c r="B141" s="3"/>
      <c r="C141" s="3"/>
      <c r="D141" s="3"/>
      <c r="E141" s="3"/>
      <c r="F141" s="49"/>
      <c r="K141" s="3"/>
    </row>
    <row r="142" spans="2:11" ht="15" customHeight="1">
      <c r="B142" s="3"/>
      <c r="C142" s="3"/>
      <c r="D142" s="3"/>
      <c r="E142" s="3"/>
      <c r="F142" s="49"/>
      <c r="K142" s="3"/>
    </row>
    <row r="143" spans="2:11" ht="15" customHeight="1">
      <c r="B143" s="3"/>
      <c r="C143" s="3"/>
      <c r="D143" s="3"/>
      <c r="E143" s="3"/>
      <c r="F143" s="49"/>
      <c r="K143" s="3"/>
    </row>
    <row r="144" spans="2:11" ht="15" customHeight="1">
      <c r="B144" s="3"/>
      <c r="C144" s="3"/>
      <c r="D144" s="3"/>
      <c r="E144" s="3"/>
      <c r="F144" s="49"/>
      <c r="K144" s="3"/>
    </row>
    <row r="145" spans="2:11" ht="15" customHeight="1">
      <c r="B145" s="3"/>
      <c r="C145" s="3"/>
      <c r="D145" s="3"/>
      <c r="E145" s="3"/>
      <c r="F145" s="49"/>
      <c r="K145" s="3"/>
    </row>
    <row r="146" spans="2:11" ht="15" customHeight="1">
      <c r="B146" s="3"/>
      <c r="C146" s="3"/>
      <c r="D146" s="3"/>
      <c r="E146" s="3"/>
      <c r="F146" s="49"/>
      <c r="K146" s="3"/>
    </row>
    <row r="147" spans="2:11" ht="15" customHeight="1">
      <c r="B147" s="3"/>
      <c r="C147" s="3"/>
      <c r="D147" s="3"/>
      <c r="E147" s="3"/>
      <c r="F147" s="49"/>
      <c r="K147" s="3"/>
    </row>
    <row r="148" spans="2:11" ht="15" customHeight="1">
      <c r="B148" s="3"/>
      <c r="C148" s="3"/>
      <c r="D148" s="3"/>
      <c r="E148" s="3"/>
      <c r="F148" s="49"/>
      <c r="K148" s="3"/>
    </row>
    <row r="149" spans="2:11" ht="15" customHeight="1">
      <c r="B149" s="3"/>
      <c r="C149" s="3"/>
      <c r="D149" s="3"/>
      <c r="E149" s="3"/>
      <c r="F149" s="49"/>
      <c r="K149" s="3"/>
    </row>
    <row r="150" spans="2:11" ht="15" customHeight="1">
      <c r="B150" s="3"/>
      <c r="C150" s="3"/>
      <c r="D150" s="3"/>
      <c r="E150" s="3"/>
      <c r="F150" s="49"/>
      <c r="K150" s="3"/>
    </row>
    <row r="151" spans="2:11" ht="15" customHeight="1">
      <c r="B151" s="3"/>
      <c r="C151" s="3"/>
      <c r="D151" s="3"/>
      <c r="E151" s="3"/>
      <c r="F151" s="49"/>
      <c r="K151" s="3"/>
    </row>
    <row r="152" spans="2:11" ht="15" customHeight="1">
      <c r="B152" s="3"/>
      <c r="C152" s="3"/>
      <c r="D152" s="3"/>
      <c r="E152" s="3"/>
      <c r="F152" s="49"/>
      <c r="K152" s="3"/>
    </row>
    <row r="153" spans="2:11" ht="15" customHeight="1">
      <c r="B153" s="3"/>
      <c r="C153" s="3"/>
      <c r="D153" s="3"/>
      <c r="E153" s="3"/>
      <c r="F153" s="49"/>
      <c r="K153" s="3"/>
    </row>
    <row r="154" spans="2:11" ht="15" customHeight="1">
      <c r="B154" s="3"/>
      <c r="C154" s="3"/>
      <c r="D154" s="3"/>
      <c r="E154" s="3"/>
      <c r="F154" s="49"/>
      <c r="K154" s="3"/>
    </row>
    <row r="155" spans="2:11" ht="15" customHeight="1">
      <c r="B155" s="3"/>
      <c r="C155" s="3"/>
      <c r="D155" s="3"/>
      <c r="E155" s="3"/>
      <c r="F155" s="49"/>
      <c r="K155" s="3"/>
    </row>
    <row r="156" spans="2:11" ht="15" customHeight="1">
      <c r="B156" s="3"/>
      <c r="C156" s="3"/>
      <c r="D156" s="3"/>
      <c r="E156" s="3"/>
      <c r="F156" s="49"/>
      <c r="K156" s="3"/>
    </row>
    <row r="157" spans="2:11" ht="15" customHeight="1">
      <c r="B157" s="3"/>
      <c r="C157" s="3"/>
      <c r="D157" s="3"/>
      <c r="E157" s="3"/>
      <c r="F157" s="49"/>
      <c r="K157" s="3"/>
    </row>
    <row r="158" spans="2:11" ht="15" customHeight="1">
      <c r="B158" s="3"/>
      <c r="C158" s="3"/>
      <c r="D158" s="3"/>
      <c r="E158" s="3"/>
      <c r="F158" s="49"/>
      <c r="K158" s="3"/>
    </row>
    <row r="159" spans="2:11" ht="15" customHeight="1">
      <c r="B159" s="3"/>
      <c r="C159" s="3"/>
      <c r="D159" s="3"/>
      <c r="E159" s="3"/>
      <c r="F159" s="49"/>
      <c r="K159" s="3"/>
    </row>
    <row r="160" spans="2:11" ht="15" customHeight="1">
      <c r="B160" s="3"/>
      <c r="C160" s="3"/>
      <c r="D160" s="3"/>
      <c r="E160" s="3"/>
      <c r="F160" s="49"/>
      <c r="K160" s="3"/>
    </row>
    <row r="161" spans="2:11" ht="15" customHeight="1">
      <c r="B161" s="3"/>
      <c r="C161" s="3"/>
      <c r="D161" s="3"/>
      <c r="E161" s="3"/>
      <c r="F161" s="49"/>
      <c r="K161" s="3"/>
    </row>
    <row r="162" spans="2:11" ht="15" customHeight="1">
      <c r="B162" s="3"/>
      <c r="C162" s="3"/>
      <c r="D162" s="3"/>
      <c r="E162" s="3"/>
      <c r="F162" s="49"/>
      <c r="K162" s="3"/>
    </row>
    <row r="163" spans="2:11" ht="15" customHeight="1">
      <c r="B163" s="3"/>
      <c r="C163" s="3"/>
      <c r="D163" s="3"/>
      <c r="E163" s="3"/>
      <c r="F163" s="49"/>
      <c r="K163" s="3"/>
    </row>
    <row r="164" spans="2:11" ht="15" customHeight="1">
      <c r="B164" s="3"/>
      <c r="C164" s="3"/>
      <c r="D164" s="3"/>
      <c r="E164" s="3"/>
      <c r="F164" s="49"/>
      <c r="K164" s="3"/>
    </row>
    <row r="165" spans="2:11" ht="15" customHeight="1">
      <c r="B165" s="3"/>
      <c r="C165" s="3"/>
      <c r="D165" s="3"/>
      <c r="E165" s="3"/>
      <c r="F165" s="49"/>
      <c r="K165" s="3"/>
    </row>
    <row r="166" spans="2:11" ht="15" customHeight="1">
      <c r="B166" s="3"/>
      <c r="C166" s="3"/>
      <c r="D166" s="3"/>
      <c r="E166" s="3"/>
      <c r="F166" s="49"/>
      <c r="K166" s="3"/>
    </row>
    <row r="167" spans="2:11" ht="15" customHeight="1">
      <c r="B167" s="3"/>
      <c r="C167" s="3"/>
      <c r="D167" s="3"/>
      <c r="E167" s="3"/>
      <c r="F167" s="49"/>
      <c r="K167" s="3"/>
    </row>
    <row r="168" spans="2:11" ht="15" customHeight="1">
      <c r="B168" s="3"/>
      <c r="C168" s="3"/>
      <c r="D168" s="3"/>
      <c r="E168" s="3"/>
      <c r="F168" s="49"/>
      <c r="K168" s="3"/>
    </row>
    <row r="169" spans="2:11" ht="15" customHeight="1">
      <c r="B169" s="3"/>
      <c r="C169" s="3"/>
      <c r="D169" s="3"/>
      <c r="E169" s="3"/>
      <c r="F169" s="49"/>
      <c r="K169" s="3"/>
    </row>
    <row r="170" spans="2:11" ht="15" customHeight="1">
      <c r="B170" s="3"/>
      <c r="C170" s="3"/>
      <c r="D170" s="3"/>
      <c r="E170" s="3"/>
      <c r="F170" s="49"/>
      <c r="K170" s="3"/>
    </row>
    <row r="171" spans="2:11" ht="15" customHeight="1">
      <c r="B171" s="3"/>
      <c r="C171" s="3"/>
      <c r="D171" s="3"/>
      <c r="E171" s="3"/>
      <c r="F171" s="49"/>
      <c r="K171" s="3"/>
    </row>
    <row r="172" spans="2:11" ht="15" customHeight="1">
      <c r="B172" s="3"/>
      <c r="C172" s="3"/>
      <c r="D172" s="3"/>
      <c r="E172" s="3"/>
      <c r="F172" s="49"/>
      <c r="K172" s="3"/>
    </row>
    <row r="173" spans="2:11" ht="15" customHeight="1">
      <c r="B173" s="3"/>
      <c r="C173" s="3"/>
      <c r="D173" s="3"/>
      <c r="E173" s="3"/>
      <c r="F173" s="49"/>
      <c r="K173" s="3"/>
    </row>
    <row r="174" spans="2:11" ht="15" customHeight="1">
      <c r="B174" s="3"/>
      <c r="C174" s="3"/>
      <c r="D174" s="3"/>
      <c r="E174" s="3"/>
      <c r="F174" s="49"/>
      <c r="K174" s="3"/>
    </row>
    <row r="175" spans="2:11" ht="15" customHeight="1">
      <c r="B175" s="3"/>
      <c r="C175" s="3"/>
      <c r="D175" s="3"/>
      <c r="E175" s="3"/>
      <c r="F175" s="49"/>
      <c r="K175" s="3"/>
    </row>
    <row r="176" spans="2:11" ht="15" customHeight="1">
      <c r="B176" s="3"/>
      <c r="C176" s="3"/>
      <c r="D176" s="3"/>
      <c r="E176" s="3"/>
      <c r="F176" s="49"/>
      <c r="K176" s="3"/>
    </row>
    <row r="822" spans="2:11" ht="15" customHeight="1">
      <c r="B822" s="3"/>
      <c r="C822" s="3"/>
      <c r="D822" s="3"/>
      <c r="E822" s="3"/>
      <c r="F822" s="49"/>
      <c r="K822" s="3"/>
    </row>
    <row r="823" spans="2:11" ht="15" customHeight="1">
      <c r="B823" s="3"/>
      <c r="C823" s="3"/>
      <c r="D823" s="3"/>
      <c r="E823" s="3"/>
      <c r="F823" s="49"/>
      <c r="K823" s="3"/>
    </row>
    <row r="824" spans="2:11" ht="15" customHeight="1">
      <c r="B824" s="3"/>
      <c r="C824" s="3"/>
      <c r="D824" s="3"/>
      <c r="E824" s="3"/>
      <c r="F824" s="49"/>
      <c r="K824" s="3"/>
    </row>
    <row r="825" spans="2:11" ht="15" customHeight="1">
      <c r="B825" s="3"/>
      <c r="C825" s="3"/>
      <c r="D825" s="3"/>
      <c r="E825" s="3"/>
      <c r="F825" s="49"/>
      <c r="K825" s="3"/>
    </row>
    <row r="826" spans="2:11" ht="15" customHeight="1">
      <c r="B826" s="3"/>
      <c r="C826" s="3"/>
      <c r="D826" s="3"/>
      <c r="E826" s="3"/>
      <c r="F826" s="49"/>
      <c r="K826" s="3"/>
    </row>
    <row r="827" spans="2:11" ht="15" customHeight="1">
      <c r="B827" s="3"/>
      <c r="C827" s="3"/>
      <c r="D827" s="3"/>
      <c r="E827" s="3"/>
      <c r="F827" s="49"/>
      <c r="K827" s="3"/>
    </row>
    <row r="828" spans="2:11" ht="15" customHeight="1">
      <c r="B828" s="3"/>
      <c r="C828" s="3"/>
      <c r="D828" s="3"/>
      <c r="E828" s="3"/>
      <c r="F828" s="49"/>
      <c r="K828" s="3"/>
    </row>
    <row r="829" spans="2:11" ht="15" customHeight="1">
      <c r="B829" s="3"/>
      <c r="C829" s="3"/>
      <c r="D829" s="3"/>
      <c r="E829" s="3"/>
      <c r="F829" s="49"/>
      <c r="K829" s="3"/>
    </row>
    <row r="830" spans="2:11" ht="15" customHeight="1">
      <c r="B830" s="3"/>
      <c r="C830" s="3"/>
      <c r="D830" s="3"/>
      <c r="E830" s="3"/>
      <c r="F830" s="49"/>
      <c r="K830" s="3"/>
    </row>
    <row r="831" spans="2:11" ht="15" customHeight="1">
      <c r="B831" s="3"/>
      <c r="C831" s="3"/>
      <c r="D831" s="3"/>
      <c r="E831" s="3"/>
      <c r="F831" s="49"/>
      <c r="K831" s="3"/>
    </row>
    <row r="832" spans="2:11" ht="15" customHeight="1">
      <c r="B832" s="3"/>
      <c r="C832" s="3"/>
      <c r="D832" s="3"/>
      <c r="E832" s="3"/>
      <c r="F832" s="49"/>
      <c r="K832" s="3"/>
    </row>
    <row r="833" spans="2:11" ht="15" customHeight="1">
      <c r="B833" s="3"/>
      <c r="C833" s="3"/>
      <c r="D833" s="3"/>
      <c r="E833" s="3"/>
      <c r="F833" s="49"/>
      <c r="K833" s="3"/>
    </row>
    <row r="834" spans="2:11" ht="15" customHeight="1">
      <c r="B834" s="3"/>
      <c r="C834" s="3"/>
      <c r="D834" s="3"/>
      <c r="E834" s="3"/>
      <c r="F834" s="49"/>
      <c r="K834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Introducción</vt:lpstr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  <vt:lpstr>C10_LMT_SECTOR</vt:lpstr>
      <vt:lpstr>C11_LMA_SECTOR</vt:lpstr>
      <vt:lpstr>C12_LMR_SECTOR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2026-01-27T14:14:20Z</dcterms:modified>
</cp:coreProperties>
</file>