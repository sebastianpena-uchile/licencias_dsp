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F31635F4-F41A-433D-82CE-1BECFD0FB937}" xr6:coauthVersionLast="47" xr6:coauthVersionMax="47" xr10:uidLastSave="{00000000-0000-0000-0000-000000000000}"/>
  <bookViews>
    <workbookView xWindow="-108" yWindow="-108" windowWidth="23256" windowHeight="14856" xr2:uid="{F4C8F593-6C9C-4587-B07C-92B2D6D860AF}"/>
  </bookViews>
  <sheets>
    <sheet name="aceptadas" sheetId="1" r:id="rId1"/>
    <sheet name="rechazada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1" l="1" a="1"/>
  <c r="K44" i="1" s="1"/>
  <c r="K45" i="1" a="1"/>
  <c r="K45" i="1" s="1"/>
  <c r="K46" i="1" a="1"/>
  <c r="K46" i="1" s="1"/>
  <c r="K47" i="1" a="1"/>
  <c r="K47" i="1" s="1"/>
  <c r="K48" i="1" a="1"/>
  <c r="K48" i="1" s="1"/>
  <c r="K49" i="1" a="1"/>
  <c r="K49" i="1" s="1"/>
  <c r="K50" i="1" a="1"/>
  <c r="K50" i="1" s="1"/>
  <c r="K51" i="1" a="1"/>
  <c r="K51" i="1" s="1"/>
  <c r="K53" i="1" a="1"/>
  <c r="K53" i="1" s="1"/>
  <c r="K54" i="1" a="1"/>
  <c r="K54" i="1" s="1"/>
  <c r="K55" i="1" a="1"/>
  <c r="K55" i="1" s="1"/>
  <c r="K56" i="1" a="1"/>
  <c r="K56" i="1" s="1"/>
  <c r="K57" i="1" a="1"/>
  <c r="K57" i="1"/>
  <c r="K58" i="1" a="1"/>
  <c r="K58" i="1" s="1"/>
  <c r="K59" i="1" a="1"/>
  <c r="K59" i="1"/>
  <c r="K27" i="1" a="1"/>
  <c r="K27" i="1" s="1"/>
  <c r="K28" i="1" a="1"/>
  <c r="K28" i="1" s="1"/>
  <c r="K29" i="1" a="1"/>
  <c r="K29" i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6" i="1" a="1"/>
  <c r="K36" i="1" s="1"/>
  <c r="K37" i="1" a="1"/>
  <c r="K37" i="1" s="1"/>
  <c r="K38" i="1" a="1"/>
  <c r="K38" i="1"/>
  <c r="K39" i="1" a="1"/>
  <c r="K39" i="1" s="1"/>
  <c r="K40" i="1" a="1"/>
  <c r="K40" i="1" s="1"/>
  <c r="K41" i="1" a="1"/>
  <c r="K41" i="1" s="1"/>
  <c r="K42" i="1" a="1"/>
  <c r="K42" i="1" s="1"/>
  <c r="K43" i="1" a="1"/>
  <c r="K43" i="1" s="1"/>
  <c r="K26" i="1" a="1"/>
  <c r="K26" i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/>
  <c r="K23" i="1" a="1"/>
  <c r="K23" i="1" s="1"/>
  <c r="K24" i="1" a="1"/>
  <c r="K24" i="1" s="1"/>
  <c r="K25" i="1" a="1"/>
  <c r="K25" i="1" s="1"/>
  <c r="K10" i="1" a="1"/>
  <c r="K10" i="1" s="1"/>
  <c r="L806" i="1" a="1"/>
  <c r="L806" i="1" s="1"/>
  <c r="L807" i="1" a="1"/>
  <c r="L807" i="1" s="1"/>
  <c r="L808" i="1" a="1"/>
  <c r="L808" i="1"/>
  <c r="L809" i="1" a="1"/>
  <c r="L809" i="1"/>
  <c r="L810" i="1" a="1"/>
  <c r="L810" i="1"/>
  <c r="L811" i="1" a="1"/>
  <c r="L811" i="1" s="1"/>
  <c r="L812" i="1" a="1"/>
  <c r="L812" i="1"/>
  <c r="L813" i="1" a="1"/>
  <c r="L813" i="1"/>
  <c r="L816" i="1" a="1"/>
  <c r="L816" i="1" s="1"/>
  <c r="L817" i="1" a="1"/>
  <c r="L817" i="1" s="1"/>
  <c r="L818" i="1" a="1"/>
  <c r="L818" i="1" s="1"/>
  <c r="L819" i="1" a="1"/>
  <c r="L819" i="1"/>
  <c r="L820" i="1" a="1"/>
  <c r="L820" i="1" s="1"/>
  <c r="L821" i="1" a="1"/>
  <c r="L821" i="1" s="1"/>
  <c r="L822" i="1" a="1"/>
  <c r="L822" i="1" s="1"/>
  <c r="L823" i="1" a="1"/>
  <c r="L823" i="1" s="1"/>
  <c r="L824" i="1" a="1"/>
  <c r="L824" i="1" s="1"/>
  <c r="L825" i="1" a="1"/>
  <c r="L825" i="1" s="1"/>
  <c r="L826" i="1" a="1"/>
  <c r="L826" i="1" s="1"/>
  <c r="L827" i="1" a="1"/>
  <c r="L827" i="1" s="1"/>
  <c r="L830" i="1" a="1"/>
  <c r="L830" i="1" s="1"/>
  <c r="L831" i="1" a="1"/>
  <c r="L831" i="1" s="1"/>
  <c r="L832" i="1" a="1"/>
  <c r="L832" i="1" s="1"/>
  <c r="L833" i="1" a="1"/>
  <c r="L833" i="1" s="1"/>
  <c r="L834" i="1" a="1"/>
  <c r="L834" i="1" s="1"/>
  <c r="L835" i="1" a="1"/>
  <c r="L835" i="1" s="1"/>
  <c r="L836" i="1" a="1"/>
  <c r="L836" i="1" s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4" i="1" a="1"/>
  <c r="L844" i="1" s="1"/>
  <c r="L845" i="1" a="1"/>
  <c r="L845" i="1" s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 s="1"/>
  <c r="L855" i="1" a="1"/>
  <c r="L855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 s="1"/>
  <c r="L869" i="1" a="1"/>
  <c r="L869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 s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6" i="1" a="1"/>
  <c r="L886" i="1" s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900" i="1" a="1"/>
  <c r="L900" i="1" s="1"/>
  <c r="L901" i="1" a="1"/>
  <c r="L901" i="1" s="1"/>
  <c r="L902" i="1" a="1"/>
  <c r="L902" i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 s="1"/>
  <c r="L910" i="1" a="1"/>
  <c r="L910" i="1" s="1"/>
  <c r="L911" i="1" a="1"/>
  <c r="L911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 s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 s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 s="1"/>
  <c r="L951" i="1" a="1"/>
  <c r="L951" i="1" s="1"/>
  <c r="L952" i="1" a="1"/>
  <c r="L952" i="1" s="1"/>
  <c r="L953" i="1" a="1"/>
  <c r="L953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 s="1"/>
  <c r="L965" i="1" a="1"/>
  <c r="L965" i="1" s="1"/>
  <c r="L966" i="1" a="1"/>
  <c r="L966" i="1" s="1"/>
  <c r="L967" i="1" a="1"/>
  <c r="L967" i="1" s="1"/>
  <c r="L970" i="1" a="1"/>
  <c r="L970" i="1" s="1"/>
  <c r="L971" i="1" a="1"/>
  <c r="L971" i="1" s="1"/>
  <c r="L972" i="1" a="1"/>
  <c r="L972" i="1" s="1"/>
  <c r="L973" i="1" a="1"/>
  <c r="L973" i="1" s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 s="1"/>
  <c r="L1006" i="1" a="1"/>
  <c r="L1006" i="1" s="1"/>
  <c r="L1007" i="1" a="1"/>
  <c r="L1007" i="1" s="1"/>
  <c r="L1008" i="1" a="1"/>
  <c r="L1008" i="1" s="1"/>
  <c r="L1009" i="1" a="1"/>
  <c r="L1009" i="1" s="1"/>
  <c r="L1012" i="1" a="1"/>
  <c r="L1012" i="1" s="1"/>
  <c r="L1013" i="1" a="1"/>
  <c r="L1013" i="1" s="1"/>
  <c r="L1014" i="1" a="1"/>
  <c r="L1014" i="1" s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6" i="1" a="1"/>
  <c r="L1026" i="1" s="1"/>
  <c r="L1027" i="1" a="1"/>
  <c r="L1027" i="1" s="1"/>
  <c r="L791" i="1" a="1"/>
  <c r="L791" i="1" s="1"/>
  <c r="L792" i="1" a="1"/>
  <c r="L792" i="1" s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 s="1"/>
  <c r="L802" i="1" a="1"/>
  <c r="L802" i="1" s="1"/>
  <c r="L803" i="1" a="1"/>
  <c r="L803" i="1" s="1"/>
  <c r="L804" i="1" a="1"/>
  <c r="L804" i="1" s="1"/>
  <c r="L805" i="1" a="1"/>
  <c r="L805" i="1" s="1"/>
  <c r="L790" i="1" a="1"/>
  <c r="L790" i="1" s="1"/>
  <c r="L757" i="1" a="1"/>
  <c r="L757" i="1" s="1"/>
  <c r="L568" i="1" a="1"/>
  <c r="L568" i="1" s="1"/>
  <c r="L569" i="1" a="1"/>
  <c r="L569" i="1" s="1"/>
  <c r="L570" i="1" a="1"/>
  <c r="L570" i="1" s="1"/>
  <c r="L571" i="1" a="1"/>
  <c r="L571" i="1" s="1"/>
  <c r="L572" i="1" a="1"/>
  <c r="L572" i="1" s="1"/>
  <c r="L573" i="1" a="1"/>
  <c r="L573" i="1" s="1"/>
  <c r="L574" i="1" a="1"/>
  <c r="L574" i="1"/>
  <c r="L575" i="1" a="1"/>
  <c r="L575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 s="1"/>
  <c r="L585" i="1" a="1"/>
  <c r="L585" i="1" s="1"/>
  <c r="L586" i="1" a="1"/>
  <c r="L586" i="1" s="1"/>
  <c r="L587" i="1" a="1"/>
  <c r="L587" i="1" s="1"/>
  <c r="L588" i="1" a="1"/>
  <c r="L588" i="1" s="1"/>
  <c r="L589" i="1" a="1"/>
  <c r="L589" i="1" s="1"/>
  <c r="L592" i="1" a="1"/>
  <c r="L592" i="1" s="1"/>
  <c r="L593" i="1" a="1"/>
  <c r="L593" i="1" s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 s="1"/>
  <c r="L601" i="1" a="1"/>
  <c r="L601" i="1" s="1"/>
  <c r="L602" i="1" a="1"/>
  <c r="L602" i="1" s="1"/>
  <c r="L603" i="1" a="1"/>
  <c r="L603" i="1" s="1"/>
  <c r="L606" i="1" a="1"/>
  <c r="L606" i="1" s="1"/>
  <c r="L607" i="1" a="1"/>
  <c r="L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 s="1"/>
  <c r="L617" i="1" a="1"/>
  <c r="L617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 s="1"/>
  <c r="L625" i="1" a="1"/>
  <c r="L625" i="1" s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4" i="1" a="1"/>
  <c r="L634" i="1" s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 s="1"/>
  <c r="L642" i="1" a="1"/>
  <c r="L642" i="1" s="1"/>
  <c r="L643" i="1" a="1"/>
  <c r="L643" i="1" s="1"/>
  <c r="L644" i="1" a="1"/>
  <c r="L644" i="1" s="1"/>
  <c r="L645" i="1" a="1"/>
  <c r="L645" i="1" s="1"/>
  <c r="L648" i="1" a="1"/>
  <c r="L648" i="1" s="1"/>
  <c r="L649" i="1" a="1"/>
  <c r="L649" i="1" s="1"/>
  <c r="L650" i="1" a="1"/>
  <c r="L650" i="1" s="1"/>
  <c r="L651" i="1" a="1"/>
  <c r="L651" i="1" s="1"/>
  <c r="L652" i="1" a="1"/>
  <c r="L652" i="1" s="1"/>
  <c r="L653" i="1" a="1"/>
  <c r="L653" i="1" s="1"/>
  <c r="L654" i="1" a="1"/>
  <c r="L654" i="1" s="1"/>
  <c r="L655" i="1" a="1"/>
  <c r="L655" i="1"/>
  <c r="L656" i="1" a="1"/>
  <c r="L656" i="1"/>
  <c r="L657" i="1" a="1"/>
  <c r="L657" i="1"/>
  <c r="L658" i="1" a="1"/>
  <c r="L658" i="1" s="1"/>
  <c r="L659" i="1" a="1"/>
  <c r="L659" i="1"/>
  <c r="L662" i="1" a="1"/>
  <c r="L662" i="1"/>
  <c r="L663" i="1" a="1"/>
  <c r="L663" i="1"/>
  <c r="L664" i="1" a="1"/>
  <c r="L664" i="1" s="1"/>
  <c r="L665" i="1" a="1"/>
  <c r="L665" i="1"/>
  <c r="L666" i="1" a="1"/>
  <c r="L666" i="1"/>
  <c r="L667" i="1" a="1"/>
  <c r="L667" i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 s="1"/>
  <c r="L698" i="1" a="1"/>
  <c r="L698" i="1" s="1"/>
  <c r="L699" i="1" a="1"/>
  <c r="L699" i="1" s="1"/>
  <c r="L700" i="1" a="1"/>
  <c r="L700" i="1" s="1"/>
  <c r="L701" i="1" a="1"/>
  <c r="L701" i="1" s="1"/>
  <c r="L704" i="1" a="1"/>
  <c r="L704" i="1" s="1"/>
  <c r="L705" i="1" a="1"/>
  <c r="L705" i="1" s="1"/>
  <c r="L706" i="1" a="1"/>
  <c r="L706" i="1" s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 s="1"/>
  <c r="L713" i="1" a="1"/>
  <c r="L713" i="1" s="1"/>
  <c r="L714" i="1" a="1"/>
  <c r="L714" i="1" s="1"/>
  <c r="L715" i="1" a="1"/>
  <c r="L715" i="1" s="1"/>
  <c r="L718" i="1" a="1"/>
  <c r="L718" i="1" s="1"/>
  <c r="L719" i="1" a="1"/>
  <c r="L719" i="1" s="1"/>
  <c r="L720" i="1" a="1"/>
  <c r="L720" i="1" s="1"/>
  <c r="L721" i="1" a="1"/>
  <c r="L721" i="1" s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/>
  <c r="L742" i="1" a="1"/>
  <c r="L742" i="1" s="1"/>
  <c r="L743" i="1" a="1"/>
  <c r="L743" i="1" s="1"/>
  <c r="L746" i="1" a="1"/>
  <c r="L746" i="1" s="1"/>
  <c r="L747" i="1" a="1"/>
  <c r="L747" i="1"/>
  <c r="L748" i="1" a="1"/>
  <c r="L748" i="1" s="1"/>
  <c r="L749" i="1" a="1"/>
  <c r="L749" i="1" s="1"/>
  <c r="L750" i="1" a="1"/>
  <c r="L750" i="1" s="1"/>
  <c r="L751" i="1" a="1"/>
  <c r="L751" i="1"/>
  <c r="L752" i="1" a="1"/>
  <c r="L752" i="1" s="1"/>
  <c r="L753" i="1" a="1"/>
  <c r="L753" i="1" s="1"/>
  <c r="L754" i="1" a="1"/>
  <c r="L754" i="1" s="1"/>
  <c r="L755" i="1" a="1"/>
  <c r="L755" i="1"/>
  <c r="L756" i="1" a="1"/>
  <c r="L756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4" i="1" a="1"/>
  <c r="L774" i="1" s="1"/>
  <c r="L775" i="1" a="1"/>
  <c r="L775" i="1" s="1"/>
  <c r="L776" i="1" a="1"/>
  <c r="L776" i="1" s="1"/>
  <c r="L777" i="1" a="1"/>
  <c r="L777" i="1" s="1"/>
  <c r="L778" i="1" a="1"/>
  <c r="L778" i="1" s="1"/>
  <c r="L779" i="1" a="1"/>
  <c r="L779" i="1" s="1"/>
  <c r="L780" i="1" a="1"/>
  <c r="L780" i="1" s="1"/>
  <c r="L781" i="1" a="1"/>
  <c r="L781" i="1" s="1"/>
  <c r="L782" i="1" a="1"/>
  <c r="L782" i="1" s="1"/>
  <c r="L783" i="1" a="1"/>
  <c r="L783" i="1" s="1"/>
  <c r="L784" i="1" a="1"/>
  <c r="L784" i="1" s="1"/>
  <c r="L785" i="1" a="1"/>
  <c r="L785" i="1" s="1"/>
  <c r="L788" i="1" a="1"/>
  <c r="L788" i="1" s="1"/>
  <c r="L789" i="1" a="1"/>
  <c r="L789" i="1" s="1"/>
  <c r="L553" i="1" a="1"/>
  <c r="L553" i="1" s="1"/>
  <c r="L554" i="1" a="1"/>
  <c r="L554" i="1" s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 s="1"/>
  <c r="L564" i="1" a="1"/>
  <c r="L564" i="1" s="1"/>
  <c r="L565" i="1" a="1"/>
  <c r="L565" i="1" s="1"/>
  <c r="L566" i="1" a="1"/>
  <c r="L566" i="1" s="1"/>
  <c r="L567" i="1" a="1"/>
  <c r="L567" i="1" s="1"/>
  <c r="L552" i="1" a="1"/>
  <c r="L552" i="1" s="1"/>
  <c r="L441" i="1" a="1"/>
  <c r="L441" i="1" s="1"/>
  <c r="L442" i="1" a="1"/>
  <c r="L442" i="1" s="1"/>
  <c r="L443" i="1" a="1"/>
  <c r="L443" i="1" s="1"/>
  <c r="L444" i="1" a="1"/>
  <c r="L444" i="1" s="1"/>
  <c r="L445" i="1" a="1"/>
  <c r="L445" i="1" s="1"/>
  <c r="L446" i="1" a="1"/>
  <c r="L446" i="1" s="1"/>
  <c r="L447" i="1" a="1"/>
  <c r="L447" i="1" s="1"/>
  <c r="L448" i="1" a="1"/>
  <c r="L448" i="1" s="1"/>
  <c r="L449" i="1" a="1"/>
  <c r="L449" i="1" s="1"/>
  <c r="L452" i="1" a="1"/>
  <c r="L452" i="1" s="1"/>
  <c r="L453" i="1" a="1"/>
  <c r="L453" i="1" s="1"/>
  <c r="L454" i="1" a="1"/>
  <c r="L454" i="1" s="1"/>
  <c r="L455" i="1" a="1"/>
  <c r="L455" i="1" s="1"/>
  <c r="L456" i="1" a="1"/>
  <c r="L456" i="1" s="1"/>
  <c r="L457" i="1" a="1"/>
  <c r="L457" i="1" s="1"/>
  <c r="L458" i="1" a="1"/>
  <c r="L458" i="1" s="1"/>
  <c r="L459" i="1" a="1"/>
  <c r="L459" i="1" s="1"/>
  <c r="L460" i="1" a="1"/>
  <c r="L460" i="1" s="1"/>
  <c r="L461" i="1" a="1"/>
  <c r="L461" i="1" s="1"/>
  <c r="L462" i="1" a="1"/>
  <c r="L462" i="1" s="1"/>
  <c r="L463" i="1" a="1"/>
  <c r="L463" i="1" s="1"/>
  <c r="L466" i="1" a="1"/>
  <c r="L466" i="1" s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/>
  <c r="L473" i="1" a="1"/>
  <c r="L473" i="1" s="1"/>
  <c r="L474" i="1" a="1"/>
  <c r="L474" i="1" s="1"/>
  <c r="L475" i="1" a="1"/>
  <c r="L475" i="1" s="1"/>
  <c r="L476" i="1" a="1"/>
  <c r="L476" i="1" s="1"/>
  <c r="L477" i="1" a="1"/>
  <c r="L477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 s="1"/>
  <c r="L501" i="1" a="1"/>
  <c r="L501" i="1" s="1"/>
  <c r="L502" i="1" a="1"/>
  <c r="L502" i="1" s="1"/>
  <c r="L503" i="1" a="1"/>
  <c r="L503" i="1" s="1"/>
  <c r="L504" i="1" a="1"/>
  <c r="L504" i="1" s="1"/>
  <c r="L505" i="1" a="1"/>
  <c r="L505" i="1" s="1"/>
  <c r="L508" i="1" a="1"/>
  <c r="L508" i="1" s="1"/>
  <c r="L509" i="1" a="1"/>
  <c r="L509" i="1" s="1"/>
  <c r="L510" i="1" a="1"/>
  <c r="L510" i="1" s="1"/>
  <c r="L511" i="1" a="1"/>
  <c r="L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 s="1"/>
  <c r="L517" i="1" a="1"/>
  <c r="L517" i="1" s="1"/>
  <c r="L518" i="1" a="1"/>
  <c r="L518" i="1"/>
  <c r="L519" i="1" a="1"/>
  <c r="L519" i="1" s="1"/>
  <c r="L522" i="1" a="1"/>
  <c r="L522" i="1" s="1"/>
  <c r="L523" i="1" a="1"/>
  <c r="L523" i="1" s="1"/>
  <c r="L524" i="1" a="1"/>
  <c r="L524" i="1" s="1"/>
  <c r="L525" i="1" a="1"/>
  <c r="L525" i="1" s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 s="1"/>
  <c r="L533" i="1" a="1"/>
  <c r="L533" i="1" s="1"/>
  <c r="L536" i="1" a="1"/>
  <c r="L536" i="1" s="1"/>
  <c r="L537" i="1" a="1"/>
  <c r="L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L544" i="1" a="1"/>
  <c r="L544" i="1" s="1"/>
  <c r="L545" i="1" a="1"/>
  <c r="L545" i="1" s="1"/>
  <c r="L546" i="1" a="1"/>
  <c r="L546" i="1" s="1"/>
  <c r="L547" i="1" a="1"/>
  <c r="L547" i="1" s="1"/>
  <c r="L550" i="1" a="1"/>
  <c r="L550" i="1" s="1"/>
  <c r="L551" i="1" a="1"/>
  <c r="L551" i="1" s="1"/>
  <c r="L440" i="1" a="1"/>
  <c r="L440" i="1" s="1"/>
  <c r="L368" i="1" a="1"/>
  <c r="L368" i="1" s="1"/>
  <c r="L329" i="1" a="1"/>
  <c r="L329" i="1"/>
  <c r="L330" i="1" a="1"/>
  <c r="L330" i="1" s="1"/>
  <c r="L331" i="1" a="1"/>
  <c r="L331" i="1" s="1"/>
  <c r="L332" i="1" a="1"/>
  <c r="L332" i="1" s="1"/>
  <c r="L333" i="1" a="1"/>
  <c r="L333" i="1" s="1"/>
  <c r="L334" i="1" a="1"/>
  <c r="L334" i="1" s="1"/>
  <c r="L335" i="1" a="1"/>
  <c r="L335" i="1"/>
  <c r="L336" i="1" a="1"/>
  <c r="L336" i="1"/>
  <c r="L337" i="1" a="1"/>
  <c r="L337" i="1"/>
  <c r="L340" i="1" a="1"/>
  <c r="L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 s="1"/>
  <c r="L348" i="1" a="1"/>
  <c r="L348" i="1"/>
  <c r="L349" i="1" a="1"/>
  <c r="L349" i="1" s="1"/>
  <c r="L350" i="1" a="1"/>
  <c r="L350" i="1" s="1"/>
  <c r="L351" i="1" a="1"/>
  <c r="L351" i="1" s="1"/>
  <c r="L354" i="1" a="1"/>
  <c r="L354" i="1" s="1"/>
  <c r="L355" i="1" a="1"/>
  <c r="L355" i="1" s="1"/>
  <c r="L356" i="1" a="1"/>
  <c r="L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 s="1"/>
  <c r="L364" i="1" a="1"/>
  <c r="L364" i="1"/>
  <c r="L365" i="1" a="1"/>
  <c r="L365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6" i="1" a="1"/>
  <c r="L396" i="1" s="1"/>
  <c r="L397" i="1" a="1"/>
  <c r="L397" i="1" s="1"/>
  <c r="L398" i="1" a="1"/>
  <c r="L398" i="1" s="1"/>
  <c r="L399" i="1" a="1"/>
  <c r="L399" i="1"/>
  <c r="L400" i="1" a="1"/>
  <c r="L400" i="1" s="1"/>
  <c r="L401" i="1" a="1"/>
  <c r="L401" i="1"/>
  <c r="L402" i="1" a="1"/>
  <c r="L402" i="1" s="1"/>
  <c r="L403" i="1" a="1"/>
  <c r="L403" i="1" s="1"/>
  <c r="L404" i="1" a="1"/>
  <c r="L404" i="1" s="1"/>
  <c r="L405" i="1" a="1"/>
  <c r="L405" i="1" s="1"/>
  <c r="L406" i="1" a="1"/>
  <c r="L406" i="1" s="1"/>
  <c r="L407" i="1" a="1"/>
  <c r="L407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8" i="1" a="1"/>
  <c r="L438" i="1" s="1"/>
  <c r="L439" i="1" a="1"/>
  <c r="L439" i="1" s="1"/>
  <c r="L328" i="1" a="1"/>
  <c r="L328" i="1" s="1"/>
  <c r="L315" i="1"/>
  <c r="L316" i="1"/>
  <c r="L317" i="1"/>
  <c r="L318" i="1"/>
  <c r="L319" i="1"/>
  <c r="L320" i="1"/>
  <c r="L321" i="1"/>
  <c r="L322" i="1"/>
  <c r="L323" i="1"/>
  <c r="L326" i="1"/>
  <c r="L327" i="1"/>
  <c r="L314" i="1"/>
  <c r="L301" i="1"/>
  <c r="L302" i="1"/>
  <c r="L303" i="1"/>
  <c r="L304" i="1"/>
  <c r="L305" i="1"/>
  <c r="L306" i="1"/>
  <c r="L307" i="1"/>
  <c r="L308" i="1"/>
  <c r="L309" i="1"/>
  <c r="L312" i="1"/>
  <c r="L313" i="1"/>
  <c r="L300" i="1"/>
  <c r="L287" i="1"/>
  <c r="L288" i="1"/>
  <c r="L289" i="1"/>
  <c r="L290" i="1"/>
  <c r="L291" i="1"/>
  <c r="L292" i="1"/>
  <c r="L293" i="1"/>
  <c r="L294" i="1"/>
  <c r="L295" i="1"/>
  <c r="L298" i="1"/>
  <c r="L299" i="1"/>
  <c r="L286" i="1"/>
  <c r="L231" i="1"/>
  <c r="L232" i="1"/>
  <c r="L233" i="1"/>
  <c r="L234" i="1"/>
  <c r="L235" i="1"/>
  <c r="L236" i="1"/>
  <c r="L237" i="1"/>
  <c r="L238" i="1"/>
  <c r="L239" i="1"/>
  <c r="L242" i="1"/>
  <c r="L243" i="1"/>
  <c r="L230" i="1"/>
  <c r="L217" i="1"/>
  <c r="L218" i="1"/>
  <c r="L219" i="1"/>
  <c r="L220" i="1"/>
  <c r="L221" i="1"/>
  <c r="L222" i="1"/>
  <c r="L223" i="1"/>
  <c r="L224" i="1"/>
  <c r="L225" i="1"/>
  <c r="L228" i="1"/>
  <c r="L229" i="1"/>
  <c r="L216" i="1"/>
  <c r="M816" i="1" a="1"/>
  <c r="M816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4" i="1" a="1"/>
  <c r="M844" i="1" s="1"/>
  <c r="M845" i="1" a="1"/>
  <c r="M845" i="1" s="1"/>
  <c r="M846" i="1" a="1"/>
  <c r="M846" i="1" s="1"/>
  <c r="M847" i="1" a="1"/>
  <c r="M847" i="1" s="1"/>
  <c r="M848" i="1" a="1"/>
  <c r="M848" i="1" s="1"/>
  <c r="M849" i="1" a="1"/>
  <c r="M849" i="1" s="1"/>
  <c r="M850" i="1" a="1"/>
  <c r="M850" i="1" s="1"/>
  <c r="M851" i="1" a="1"/>
  <c r="M851" i="1" s="1"/>
  <c r="M852" i="1" a="1"/>
  <c r="M852" i="1" s="1"/>
  <c r="M853" i="1" a="1"/>
  <c r="M853" i="1" s="1"/>
  <c r="M854" i="1" a="1"/>
  <c r="M854" i="1" s="1"/>
  <c r="M855" i="1" a="1"/>
  <c r="M855" i="1" s="1"/>
  <c r="M858" i="1" a="1"/>
  <c r="M858" i="1" s="1"/>
  <c r="M859" i="1" a="1"/>
  <c r="M859" i="1" s="1"/>
  <c r="M860" i="1" a="1"/>
  <c r="M860" i="1" s="1"/>
  <c r="M861" i="1" a="1"/>
  <c r="M861" i="1" s="1"/>
  <c r="M862" i="1" a="1"/>
  <c r="M862" i="1" s="1"/>
  <c r="M863" i="1" a="1"/>
  <c r="M863" i="1" s="1"/>
  <c r="M864" i="1" a="1"/>
  <c r="M864" i="1" s="1"/>
  <c r="M865" i="1" a="1"/>
  <c r="M865" i="1" s="1"/>
  <c r="M866" i="1" a="1"/>
  <c r="M866" i="1" s="1"/>
  <c r="M867" i="1" a="1"/>
  <c r="M867" i="1" s="1"/>
  <c r="M868" i="1" a="1"/>
  <c r="M868" i="1" s="1"/>
  <c r="M869" i="1" a="1"/>
  <c r="M869" i="1" s="1"/>
  <c r="M872" i="1" a="1"/>
  <c r="M872" i="1" s="1"/>
  <c r="M873" i="1" a="1"/>
  <c r="M873" i="1" s="1"/>
  <c r="M874" i="1" a="1"/>
  <c r="M874" i="1" s="1"/>
  <c r="M875" i="1" a="1"/>
  <c r="M875" i="1" s="1"/>
  <c r="M876" i="1" a="1"/>
  <c r="M876" i="1" s="1"/>
  <c r="M877" i="1" a="1"/>
  <c r="M877" i="1" s="1"/>
  <c r="M878" i="1" a="1"/>
  <c r="M878" i="1" s="1"/>
  <c r="M879" i="1" a="1"/>
  <c r="M879" i="1" s="1"/>
  <c r="M880" i="1" a="1"/>
  <c r="M880" i="1" s="1"/>
  <c r="M881" i="1" a="1"/>
  <c r="M881" i="1" s="1"/>
  <c r="M882" i="1" a="1"/>
  <c r="M882" i="1" s="1"/>
  <c r="M883" i="1" a="1"/>
  <c r="M883" i="1" s="1"/>
  <c r="M886" i="1" a="1"/>
  <c r="M886" i="1" s="1"/>
  <c r="M887" i="1" a="1"/>
  <c r="M887" i="1" s="1"/>
  <c r="M888" i="1" a="1"/>
  <c r="M888" i="1" s="1"/>
  <c r="M889" i="1" a="1"/>
  <c r="M889" i="1" s="1"/>
  <c r="M890" i="1" a="1"/>
  <c r="M890" i="1" s="1"/>
  <c r="M891" i="1" a="1"/>
  <c r="M891" i="1" s="1"/>
  <c r="M892" i="1" a="1"/>
  <c r="M892" i="1" s="1"/>
  <c r="M893" i="1" a="1"/>
  <c r="M893" i="1" s="1"/>
  <c r="M894" i="1" a="1"/>
  <c r="M894" i="1" s="1"/>
  <c r="M895" i="1" a="1"/>
  <c r="M895" i="1" s="1"/>
  <c r="M896" i="1" a="1"/>
  <c r="M896" i="1" s="1"/>
  <c r="M897" i="1" a="1"/>
  <c r="M897" i="1" s="1"/>
  <c r="M900" i="1" a="1"/>
  <c r="M900" i="1" s="1"/>
  <c r="M901" i="1" a="1"/>
  <c r="M901" i="1" s="1"/>
  <c r="M902" i="1" a="1"/>
  <c r="M902" i="1" s="1"/>
  <c r="M903" i="1" a="1"/>
  <c r="M903" i="1" s="1"/>
  <c r="M904" i="1" a="1"/>
  <c r="M904" i="1" s="1"/>
  <c r="M905" i="1" a="1"/>
  <c r="M905" i="1" s="1"/>
  <c r="M906" i="1" a="1"/>
  <c r="M906" i="1" s="1"/>
  <c r="M907" i="1" a="1"/>
  <c r="M907" i="1" s="1"/>
  <c r="M908" i="1" a="1"/>
  <c r="M908" i="1" s="1"/>
  <c r="M909" i="1" a="1"/>
  <c r="M909" i="1" s="1"/>
  <c r="M910" i="1" a="1"/>
  <c r="M910" i="1" s="1"/>
  <c r="M911" i="1" a="1"/>
  <c r="M911" i="1" s="1"/>
  <c r="M914" i="1" a="1"/>
  <c r="M914" i="1" s="1"/>
  <c r="M915" i="1" a="1"/>
  <c r="M915" i="1" s="1"/>
  <c r="M916" i="1" a="1"/>
  <c r="M916" i="1" s="1"/>
  <c r="M917" i="1" a="1"/>
  <c r="M917" i="1" s="1"/>
  <c r="M918" i="1" a="1"/>
  <c r="M918" i="1" s="1"/>
  <c r="M919" i="1" a="1"/>
  <c r="M919" i="1" s="1"/>
  <c r="M920" i="1" a="1"/>
  <c r="M920" i="1" s="1"/>
  <c r="M921" i="1" a="1"/>
  <c r="M921" i="1" s="1"/>
  <c r="M922" i="1" a="1"/>
  <c r="M922" i="1" s="1"/>
  <c r="M923" i="1" a="1"/>
  <c r="M923" i="1" s="1"/>
  <c r="M924" i="1" a="1"/>
  <c r="M924" i="1" s="1"/>
  <c r="M925" i="1" a="1"/>
  <c r="M925" i="1" s="1"/>
  <c r="M928" i="1" a="1"/>
  <c r="M928" i="1" s="1"/>
  <c r="M929" i="1" a="1"/>
  <c r="M929" i="1" s="1"/>
  <c r="M930" i="1" a="1"/>
  <c r="M930" i="1" s="1"/>
  <c r="M931" i="1" a="1"/>
  <c r="M931" i="1" s="1"/>
  <c r="M932" i="1" a="1"/>
  <c r="M932" i="1"/>
  <c r="M933" i="1" a="1"/>
  <c r="M933" i="1"/>
  <c r="M934" i="1" a="1"/>
  <c r="M934" i="1"/>
  <c r="M935" i="1" a="1"/>
  <c r="M935" i="1"/>
  <c r="M936" i="1" a="1"/>
  <c r="M936" i="1"/>
  <c r="M937" i="1" a="1"/>
  <c r="M937" i="1"/>
  <c r="M938" i="1" a="1"/>
  <c r="M938" i="1"/>
  <c r="M939" i="1" a="1"/>
  <c r="M939" i="1"/>
  <c r="M942" i="1" a="1"/>
  <c r="M942" i="1" s="1"/>
  <c r="M943" i="1" a="1"/>
  <c r="M943" i="1"/>
  <c r="M944" i="1" a="1"/>
  <c r="M944" i="1"/>
  <c r="M945" i="1" a="1"/>
  <c r="M945" i="1" s="1"/>
  <c r="M946" i="1" a="1"/>
  <c r="M946" i="1" s="1"/>
  <c r="M947" i="1" a="1"/>
  <c r="M947" i="1" s="1"/>
  <c r="M948" i="1" a="1"/>
  <c r="M948" i="1" s="1"/>
  <c r="M949" i="1" a="1"/>
  <c r="M949" i="1" s="1"/>
  <c r="M950" i="1" a="1"/>
  <c r="M950" i="1" s="1"/>
  <c r="M951" i="1" a="1"/>
  <c r="M951" i="1" s="1"/>
  <c r="M952" i="1" a="1"/>
  <c r="M952" i="1" s="1"/>
  <c r="M953" i="1" a="1"/>
  <c r="M953" i="1" s="1"/>
  <c r="M956" i="1" a="1"/>
  <c r="M956" i="1" s="1"/>
  <c r="M957" i="1" a="1"/>
  <c r="M957" i="1" s="1"/>
  <c r="M958" i="1" a="1"/>
  <c r="M958" i="1" s="1"/>
  <c r="M959" i="1" a="1"/>
  <c r="M959" i="1" s="1"/>
  <c r="M960" i="1" a="1"/>
  <c r="M960" i="1" s="1"/>
  <c r="M961" i="1" a="1"/>
  <c r="M961" i="1" s="1"/>
  <c r="M962" i="1" a="1"/>
  <c r="M962" i="1" s="1"/>
  <c r="M963" i="1" a="1"/>
  <c r="M963" i="1" s="1"/>
  <c r="M964" i="1" a="1"/>
  <c r="M964" i="1" s="1"/>
  <c r="M965" i="1" a="1"/>
  <c r="M965" i="1" s="1"/>
  <c r="M966" i="1" a="1"/>
  <c r="M966" i="1" s="1"/>
  <c r="M967" i="1" a="1"/>
  <c r="M967" i="1" s="1"/>
  <c r="M970" i="1" a="1"/>
  <c r="M970" i="1" s="1"/>
  <c r="M971" i="1" a="1"/>
  <c r="M971" i="1" s="1"/>
  <c r="M972" i="1" a="1"/>
  <c r="M972" i="1" s="1"/>
  <c r="M973" i="1" a="1"/>
  <c r="M973" i="1" s="1"/>
  <c r="M974" i="1" a="1"/>
  <c r="M974" i="1" s="1"/>
  <c r="M975" i="1" a="1"/>
  <c r="M975" i="1" s="1"/>
  <c r="M976" i="1" a="1"/>
  <c r="M976" i="1" s="1"/>
  <c r="M977" i="1" a="1"/>
  <c r="M977" i="1" s="1"/>
  <c r="M978" i="1" a="1"/>
  <c r="M978" i="1" s="1"/>
  <c r="M979" i="1" a="1"/>
  <c r="M979" i="1" s="1"/>
  <c r="M980" i="1" a="1"/>
  <c r="M980" i="1" s="1"/>
  <c r="M981" i="1" a="1"/>
  <c r="M981" i="1" s="1"/>
  <c r="M984" i="1" a="1"/>
  <c r="M984" i="1" s="1"/>
  <c r="M985" i="1" a="1"/>
  <c r="M985" i="1" s="1"/>
  <c r="M986" i="1" a="1"/>
  <c r="M986" i="1" s="1"/>
  <c r="M987" i="1" a="1"/>
  <c r="M987" i="1" s="1"/>
  <c r="M988" i="1" a="1"/>
  <c r="M988" i="1" s="1"/>
  <c r="M989" i="1" a="1"/>
  <c r="M989" i="1" s="1"/>
  <c r="M990" i="1" a="1"/>
  <c r="M990" i="1" s="1"/>
  <c r="M991" i="1" a="1"/>
  <c r="M991" i="1" s="1"/>
  <c r="M992" i="1" a="1"/>
  <c r="M992" i="1" s="1"/>
  <c r="M993" i="1" a="1"/>
  <c r="M993" i="1" s="1"/>
  <c r="M994" i="1" a="1"/>
  <c r="M994" i="1" s="1"/>
  <c r="M995" i="1" a="1"/>
  <c r="M995" i="1" s="1"/>
  <c r="M998" i="1" a="1"/>
  <c r="M998" i="1" s="1"/>
  <c r="M999" i="1" a="1"/>
  <c r="M999" i="1" s="1"/>
  <c r="M1000" i="1" a="1"/>
  <c r="M1000" i="1" s="1"/>
  <c r="M1001" i="1" a="1"/>
  <c r="M1001" i="1" s="1"/>
  <c r="M1002" i="1" a="1"/>
  <c r="M1002" i="1" s="1"/>
  <c r="M1003" i="1" a="1"/>
  <c r="M1003" i="1" s="1"/>
  <c r="M1004" i="1" a="1"/>
  <c r="M1004" i="1"/>
  <c r="M1005" i="1" a="1"/>
  <c r="M1005" i="1" s="1"/>
  <c r="M1006" i="1" a="1"/>
  <c r="M1006" i="1" s="1"/>
  <c r="M1007" i="1" a="1"/>
  <c r="M1007" i="1" s="1"/>
  <c r="M1008" i="1" a="1"/>
  <c r="M1008" i="1" s="1"/>
  <c r="M1009" i="1" a="1"/>
  <c r="M1009" i="1" s="1"/>
  <c r="M1012" i="1" a="1"/>
  <c r="M1012" i="1" s="1"/>
  <c r="M1013" i="1" a="1"/>
  <c r="M1013" i="1" s="1"/>
  <c r="M1014" i="1" a="1"/>
  <c r="M1014" i="1" s="1"/>
  <c r="M1015" i="1" a="1"/>
  <c r="M1015" i="1" s="1"/>
  <c r="M1016" i="1" a="1"/>
  <c r="M1016" i="1" s="1"/>
  <c r="M1017" i="1" a="1"/>
  <c r="M1017" i="1" s="1"/>
  <c r="M1018" i="1" a="1"/>
  <c r="M1018" i="1" s="1"/>
  <c r="M1019" i="1" a="1"/>
  <c r="M1019" i="1" s="1"/>
  <c r="M1020" i="1" a="1"/>
  <c r="M1020" i="1" s="1"/>
  <c r="M1021" i="1" a="1"/>
  <c r="M1021" i="1" s="1"/>
  <c r="M1022" i="1" a="1"/>
  <c r="M1022" i="1" s="1"/>
  <c r="M1023" i="1" a="1"/>
  <c r="M1023" i="1" s="1"/>
  <c r="M1026" i="1" a="1"/>
  <c r="M1026" i="1" s="1"/>
  <c r="M1027" i="1" a="1"/>
  <c r="M1027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2" i="1" a="1"/>
  <c r="M802" i="1" s="1"/>
  <c r="M803" i="1" a="1"/>
  <c r="M803" i="1" s="1"/>
  <c r="M804" i="1" a="1"/>
  <c r="M804" i="1" s="1"/>
  <c r="M790" i="1" a="1"/>
  <c r="M790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6" i="1" a="1"/>
  <c r="M676" i="1" s="1"/>
  <c r="M677" i="1" a="1"/>
  <c r="M677" i="1" s="1"/>
  <c r="M678" i="1" a="1"/>
  <c r="M678" i="1"/>
  <c r="M679" i="1" a="1"/>
  <c r="M679" i="1" s="1"/>
  <c r="M680" i="1" a="1"/>
  <c r="M680" i="1" s="1"/>
  <c r="M681" i="1" a="1"/>
  <c r="M681" i="1" s="1"/>
  <c r="M682" i="1" a="1"/>
  <c r="M682" i="1"/>
  <c r="M683" i="1" a="1"/>
  <c r="M683" i="1" s="1"/>
  <c r="M684" i="1" a="1"/>
  <c r="M684" i="1" s="1"/>
  <c r="M685" i="1" a="1"/>
  <c r="M685" i="1" s="1"/>
  <c r="M686" i="1" a="1"/>
  <c r="M686" i="1"/>
  <c r="M687" i="1" a="1"/>
  <c r="M687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/>
  <c r="M741" i="1" a="1"/>
  <c r="M741" i="1" s="1"/>
  <c r="M742" i="1" a="1"/>
  <c r="M742" i="1" s="1"/>
  <c r="M743" i="1" a="1"/>
  <c r="M743" i="1" s="1"/>
  <c r="M746" i="1" a="1"/>
  <c r="M746" i="1" s="1"/>
  <c r="M747" i="1" a="1"/>
  <c r="M747" i="1" s="1"/>
  <c r="M748" i="1" a="1"/>
  <c r="M748" i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8" i="1" a="1"/>
  <c r="M788" i="1" s="1"/>
  <c r="M789" i="1" a="1"/>
  <c r="M789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4" i="1" a="1"/>
  <c r="M564" i="1" s="1"/>
  <c r="M565" i="1" a="1"/>
  <c r="M565" i="1" s="1"/>
  <c r="M566" i="1" a="1"/>
  <c r="M566" i="1" s="1"/>
  <c r="M552" i="1" a="1"/>
  <c r="M552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50" i="1" a="1"/>
  <c r="M550" i="1" s="1"/>
  <c r="M551" i="1" a="1"/>
  <c r="M551" i="1" s="1"/>
  <c r="M440" i="1" a="1"/>
  <c r="M440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8" i="1" a="1"/>
  <c r="M438" i="1" s="1"/>
  <c r="M439" i="1" a="1"/>
  <c r="M439" i="1" s="1"/>
  <c r="M343" i="1" a="1"/>
  <c r="M343" i="1" s="1"/>
  <c r="M344" i="1" a="1"/>
  <c r="M344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40" i="1" a="1"/>
  <c r="M340" i="1" s="1"/>
  <c r="M341" i="1" a="1"/>
  <c r="M341" i="1" s="1"/>
  <c r="M342" i="1" a="1"/>
  <c r="M342" i="1" s="1"/>
  <c r="M328" i="1" a="1"/>
  <c r="M328" i="1" s="1"/>
  <c r="M315" i="1"/>
  <c r="M316" i="1"/>
  <c r="M317" i="1"/>
  <c r="M318" i="1"/>
  <c r="M319" i="1"/>
  <c r="M320" i="1"/>
  <c r="M321" i="1"/>
  <c r="M322" i="1"/>
  <c r="M323" i="1"/>
  <c r="M326" i="1"/>
  <c r="M327" i="1"/>
  <c r="M314" i="1"/>
  <c r="M301" i="1"/>
  <c r="M302" i="1"/>
  <c r="M303" i="1"/>
  <c r="M304" i="1"/>
  <c r="M305" i="1"/>
  <c r="M306" i="1"/>
  <c r="M307" i="1"/>
  <c r="M308" i="1"/>
  <c r="M309" i="1"/>
  <c r="M312" i="1"/>
  <c r="M313" i="1"/>
  <c r="M300" i="1"/>
  <c r="M287" i="1"/>
  <c r="M288" i="1"/>
  <c r="M289" i="1"/>
  <c r="M290" i="1"/>
  <c r="M291" i="1"/>
  <c r="M292" i="1"/>
  <c r="M293" i="1"/>
  <c r="M294" i="1"/>
  <c r="M295" i="1"/>
  <c r="M298" i="1"/>
  <c r="M299" i="1"/>
  <c r="M286" i="1"/>
  <c r="M273" i="1"/>
  <c r="M274" i="1"/>
  <c r="M275" i="1"/>
  <c r="M276" i="1"/>
  <c r="M277" i="1"/>
  <c r="M278" i="1"/>
  <c r="M279" i="1"/>
  <c r="M280" i="1"/>
  <c r="M281" i="1"/>
  <c r="M284" i="1"/>
  <c r="M285" i="1"/>
  <c r="M272" i="1"/>
  <c r="M259" i="1"/>
  <c r="M260" i="1"/>
  <c r="M261" i="1"/>
  <c r="M262" i="1"/>
  <c r="M263" i="1"/>
  <c r="M264" i="1"/>
  <c r="M265" i="1"/>
  <c r="M266" i="1"/>
  <c r="M267" i="1"/>
  <c r="M270" i="1"/>
  <c r="M271" i="1"/>
  <c r="M258" i="1"/>
  <c r="M245" i="1"/>
  <c r="M246" i="1"/>
  <c r="M247" i="1"/>
  <c r="M248" i="1"/>
  <c r="M249" i="1"/>
  <c r="M250" i="1"/>
  <c r="M251" i="1"/>
  <c r="M252" i="1"/>
  <c r="M253" i="1"/>
  <c r="M256" i="1"/>
  <c r="M257" i="1"/>
  <c r="M244" i="1"/>
  <c r="M231" i="1"/>
  <c r="M232" i="1"/>
  <c r="M233" i="1"/>
  <c r="M234" i="1"/>
  <c r="M235" i="1"/>
  <c r="M236" i="1"/>
  <c r="M237" i="1"/>
  <c r="M238" i="1"/>
  <c r="M239" i="1"/>
  <c r="M242" i="1"/>
  <c r="M243" i="1"/>
  <c r="M230" i="1"/>
  <c r="M217" i="1"/>
  <c r="M218" i="1"/>
  <c r="M219" i="1"/>
  <c r="M220" i="1"/>
  <c r="M221" i="1"/>
  <c r="M222" i="1"/>
  <c r="M223" i="1"/>
  <c r="M224" i="1"/>
  <c r="M225" i="1"/>
  <c r="M228" i="1"/>
  <c r="M229" i="1"/>
  <c r="M216" i="1"/>
  <c r="N833" i="1" a="1"/>
  <c r="N833" i="1" s="1"/>
  <c r="N834" i="1" a="1"/>
  <c r="N834" i="1" s="1"/>
  <c r="N835" i="1" a="1"/>
  <c r="N835" i="1" s="1"/>
  <c r="N836" i="1" a="1"/>
  <c r="N836" i="1" s="1"/>
  <c r="N837" i="1" a="1"/>
  <c r="N837" i="1" s="1"/>
  <c r="N838" i="1" a="1"/>
  <c r="N838" i="1" s="1"/>
  <c r="N839" i="1" a="1"/>
  <c r="N839" i="1" s="1"/>
  <c r="N840" i="1" a="1"/>
  <c r="N840" i="1" s="1"/>
  <c r="N841" i="1" a="1"/>
  <c r="N841" i="1" s="1"/>
  <c r="N842" i="1" a="1"/>
  <c r="N842" i="1" s="1"/>
  <c r="N843" i="1" a="1"/>
  <c r="N843" i="1" s="1"/>
  <c r="N844" i="1" a="1"/>
  <c r="N844" i="1" s="1"/>
  <c r="N845" i="1" a="1"/>
  <c r="N845" i="1" s="1"/>
  <c r="N846" i="1" a="1"/>
  <c r="N846" i="1" s="1"/>
  <c r="N847" i="1" a="1"/>
  <c r="N847" i="1" s="1"/>
  <c r="N848" i="1" a="1"/>
  <c r="N848" i="1" s="1"/>
  <c r="N849" i="1" a="1"/>
  <c r="N849" i="1" s="1"/>
  <c r="N850" i="1" a="1"/>
  <c r="N850" i="1" s="1"/>
  <c r="N851" i="1" a="1"/>
  <c r="N851" i="1" s="1"/>
  <c r="N852" i="1" a="1"/>
  <c r="N852" i="1" s="1"/>
  <c r="N853" i="1" a="1"/>
  <c r="N853" i="1" s="1"/>
  <c r="N854" i="1" a="1"/>
  <c r="N854" i="1" s="1"/>
  <c r="N855" i="1" a="1"/>
  <c r="N855" i="1" s="1"/>
  <c r="N856" i="1" a="1"/>
  <c r="N856" i="1" s="1"/>
  <c r="N857" i="1" a="1"/>
  <c r="N857" i="1" s="1"/>
  <c r="N858" i="1" a="1"/>
  <c r="N858" i="1" s="1"/>
  <c r="N859" i="1" a="1"/>
  <c r="N859" i="1" s="1"/>
  <c r="N860" i="1" a="1"/>
  <c r="N860" i="1" s="1"/>
  <c r="N861" i="1" a="1"/>
  <c r="N861" i="1" s="1"/>
  <c r="N862" i="1" a="1"/>
  <c r="N862" i="1" s="1"/>
  <c r="N863" i="1" a="1"/>
  <c r="N863" i="1" s="1"/>
  <c r="N864" i="1" a="1"/>
  <c r="N864" i="1" s="1"/>
  <c r="N865" i="1" a="1"/>
  <c r="N865" i="1" s="1"/>
  <c r="N866" i="1" a="1"/>
  <c r="N866" i="1" s="1"/>
  <c r="N867" i="1" a="1"/>
  <c r="N867" i="1" s="1"/>
  <c r="N868" i="1" a="1"/>
  <c r="N868" i="1" s="1"/>
  <c r="N869" i="1" a="1"/>
  <c r="N869" i="1" s="1"/>
  <c r="N870" i="1" a="1"/>
  <c r="N870" i="1" s="1"/>
  <c r="N871" i="1" a="1"/>
  <c r="N871" i="1" s="1"/>
  <c r="N872" i="1" a="1"/>
  <c r="N872" i="1" s="1"/>
  <c r="N873" i="1" a="1"/>
  <c r="N873" i="1" s="1"/>
  <c r="N874" i="1" a="1"/>
  <c r="N874" i="1" s="1"/>
  <c r="N875" i="1" a="1"/>
  <c r="N875" i="1" s="1"/>
  <c r="N876" i="1" a="1"/>
  <c r="N876" i="1" s="1"/>
  <c r="N877" i="1" a="1"/>
  <c r="N877" i="1" s="1"/>
  <c r="N878" i="1" a="1"/>
  <c r="N878" i="1" s="1"/>
  <c r="N879" i="1" a="1"/>
  <c r="N879" i="1" s="1"/>
  <c r="N880" i="1" a="1"/>
  <c r="N880" i="1" s="1"/>
  <c r="N881" i="1" a="1"/>
  <c r="N881" i="1" s="1"/>
  <c r="N882" i="1" a="1"/>
  <c r="N882" i="1" s="1"/>
  <c r="N883" i="1" a="1"/>
  <c r="N883" i="1" s="1"/>
  <c r="N884" i="1" a="1"/>
  <c r="N884" i="1" s="1"/>
  <c r="N885" i="1" a="1"/>
  <c r="N885" i="1" s="1"/>
  <c r="N886" i="1" a="1"/>
  <c r="N886" i="1" s="1"/>
  <c r="N887" i="1" a="1"/>
  <c r="N887" i="1" s="1"/>
  <c r="N888" i="1" a="1"/>
  <c r="N888" i="1" s="1"/>
  <c r="N889" i="1" a="1"/>
  <c r="N889" i="1" s="1"/>
  <c r="N890" i="1" a="1"/>
  <c r="N890" i="1" s="1"/>
  <c r="N891" i="1" a="1"/>
  <c r="N891" i="1" s="1"/>
  <c r="N892" i="1" a="1"/>
  <c r="N892" i="1" s="1"/>
  <c r="N893" i="1" a="1"/>
  <c r="N893" i="1" s="1"/>
  <c r="N894" i="1" a="1"/>
  <c r="N894" i="1" s="1"/>
  <c r="N895" i="1" a="1"/>
  <c r="N895" i="1" s="1"/>
  <c r="N896" i="1" a="1"/>
  <c r="N896" i="1" s="1"/>
  <c r="N897" i="1" a="1"/>
  <c r="N897" i="1" s="1"/>
  <c r="N898" i="1" a="1"/>
  <c r="N898" i="1" s="1"/>
  <c r="N899" i="1" a="1"/>
  <c r="N899" i="1" s="1"/>
  <c r="N900" i="1" a="1"/>
  <c r="N900" i="1" s="1"/>
  <c r="N901" i="1" a="1"/>
  <c r="N901" i="1" s="1"/>
  <c r="N902" i="1" a="1"/>
  <c r="N902" i="1" s="1"/>
  <c r="N903" i="1" a="1"/>
  <c r="N903" i="1" s="1"/>
  <c r="N904" i="1" a="1"/>
  <c r="N904" i="1" s="1"/>
  <c r="N905" i="1" a="1"/>
  <c r="N905" i="1" s="1"/>
  <c r="N906" i="1" a="1"/>
  <c r="N906" i="1" s="1"/>
  <c r="N907" i="1" a="1"/>
  <c r="N907" i="1" s="1"/>
  <c r="N908" i="1" a="1"/>
  <c r="N908" i="1" s="1"/>
  <c r="N909" i="1" a="1"/>
  <c r="N909" i="1" s="1"/>
  <c r="N910" i="1" a="1"/>
  <c r="N910" i="1" s="1"/>
  <c r="N911" i="1" a="1"/>
  <c r="N911" i="1" s="1"/>
  <c r="N912" i="1" a="1"/>
  <c r="N912" i="1" s="1"/>
  <c r="N913" i="1" a="1"/>
  <c r="N913" i="1" s="1"/>
  <c r="N914" i="1" a="1"/>
  <c r="N914" i="1" s="1"/>
  <c r="N915" i="1" a="1"/>
  <c r="N915" i="1" s="1"/>
  <c r="N916" i="1" a="1"/>
  <c r="N916" i="1" s="1"/>
  <c r="N917" i="1" a="1"/>
  <c r="N917" i="1" s="1"/>
  <c r="N918" i="1" a="1"/>
  <c r="N918" i="1" s="1"/>
  <c r="N919" i="1" a="1"/>
  <c r="N919" i="1" s="1"/>
  <c r="N920" i="1" a="1"/>
  <c r="N920" i="1" s="1"/>
  <c r="N921" i="1" a="1"/>
  <c r="N921" i="1" s="1"/>
  <c r="N922" i="1" a="1"/>
  <c r="N922" i="1" s="1"/>
  <c r="N923" i="1" a="1"/>
  <c r="N923" i="1" s="1"/>
  <c r="N924" i="1" a="1"/>
  <c r="N924" i="1" s="1"/>
  <c r="N925" i="1" a="1"/>
  <c r="N925" i="1" s="1"/>
  <c r="N926" i="1" a="1"/>
  <c r="N926" i="1" s="1"/>
  <c r="N927" i="1" a="1"/>
  <c r="N927" i="1" s="1"/>
  <c r="N928" i="1" a="1"/>
  <c r="N928" i="1" s="1"/>
  <c r="N929" i="1" a="1"/>
  <c r="N929" i="1" s="1"/>
  <c r="N930" i="1" a="1"/>
  <c r="N930" i="1" s="1"/>
  <c r="N931" i="1" a="1"/>
  <c r="N931" i="1" s="1"/>
  <c r="N932" i="1" a="1"/>
  <c r="N932" i="1" s="1"/>
  <c r="N933" i="1" a="1"/>
  <c r="N933" i="1" s="1"/>
  <c r="N934" i="1" a="1"/>
  <c r="N934" i="1" s="1"/>
  <c r="N935" i="1" a="1"/>
  <c r="N935" i="1" s="1"/>
  <c r="N936" i="1" a="1"/>
  <c r="N936" i="1" s="1"/>
  <c r="N937" i="1" a="1"/>
  <c r="N937" i="1" s="1"/>
  <c r="N938" i="1" a="1"/>
  <c r="N938" i="1" s="1"/>
  <c r="N939" i="1" a="1"/>
  <c r="N939" i="1" s="1"/>
  <c r="N940" i="1" a="1"/>
  <c r="N940" i="1" s="1"/>
  <c r="N941" i="1" a="1"/>
  <c r="N941" i="1" s="1"/>
  <c r="N942" i="1" a="1"/>
  <c r="N942" i="1" s="1"/>
  <c r="N943" i="1" a="1"/>
  <c r="N943" i="1" s="1"/>
  <c r="N944" i="1" a="1"/>
  <c r="N944" i="1" s="1"/>
  <c r="N945" i="1" a="1"/>
  <c r="N945" i="1" s="1"/>
  <c r="N946" i="1" a="1"/>
  <c r="N946" i="1" s="1"/>
  <c r="N947" i="1" a="1"/>
  <c r="N947" i="1" s="1"/>
  <c r="N948" i="1" a="1"/>
  <c r="N948" i="1" s="1"/>
  <c r="N949" i="1" a="1"/>
  <c r="N949" i="1" s="1"/>
  <c r="N950" i="1" a="1"/>
  <c r="N950" i="1" s="1"/>
  <c r="N951" i="1" a="1"/>
  <c r="N951" i="1" s="1"/>
  <c r="N952" i="1" a="1"/>
  <c r="N952" i="1" s="1"/>
  <c r="N953" i="1" a="1"/>
  <c r="N953" i="1" s="1"/>
  <c r="N954" i="1" a="1"/>
  <c r="N954" i="1" s="1"/>
  <c r="N955" i="1" a="1"/>
  <c r="N955" i="1" s="1"/>
  <c r="N956" i="1" a="1"/>
  <c r="N956" i="1" s="1"/>
  <c r="N957" i="1" a="1"/>
  <c r="N957" i="1" s="1"/>
  <c r="N958" i="1" a="1"/>
  <c r="N958" i="1" s="1"/>
  <c r="N959" i="1" a="1"/>
  <c r="N959" i="1" s="1"/>
  <c r="N960" i="1" a="1"/>
  <c r="N960" i="1" s="1"/>
  <c r="N961" i="1" a="1"/>
  <c r="N961" i="1" s="1"/>
  <c r="N962" i="1" a="1"/>
  <c r="N962" i="1" s="1"/>
  <c r="N963" i="1" a="1"/>
  <c r="N963" i="1" s="1"/>
  <c r="N964" i="1" a="1"/>
  <c r="N964" i="1" s="1"/>
  <c r="N965" i="1" a="1"/>
  <c r="N965" i="1" s="1"/>
  <c r="N966" i="1" a="1"/>
  <c r="N966" i="1" s="1"/>
  <c r="N967" i="1" a="1"/>
  <c r="N967" i="1" s="1"/>
  <c r="N968" i="1" a="1"/>
  <c r="N968" i="1" s="1"/>
  <c r="N969" i="1" a="1"/>
  <c r="N969" i="1" s="1"/>
  <c r="N970" i="1" a="1"/>
  <c r="N970" i="1" s="1"/>
  <c r="N971" i="1" a="1"/>
  <c r="N971" i="1" s="1"/>
  <c r="N972" i="1" a="1"/>
  <c r="N972" i="1" s="1"/>
  <c r="N973" i="1" a="1"/>
  <c r="N973" i="1" s="1"/>
  <c r="N974" i="1" a="1"/>
  <c r="N974" i="1" s="1"/>
  <c r="N975" i="1" a="1"/>
  <c r="N975" i="1" s="1"/>
  <c r="N976" i="1" a="1"/>
  <c r="N976" i="1" s="1"/>
  <c r="N977" i="1" a="1"/>
  <c r="N977" i="1" s="1"/>
  <c r="N978" i="1" a="1"/>
  <c r="N978" i="1" s="1"/>
  <c r="N979" i="1" a="1"/>
  <c r="N979" i="1" s="1"/>
  <c r="N980" i="1" a="1"/>
  <c r="N980" i="1" s="1"/>
  <c r="N981" i="1" a="1"/>
  <c r="N981" i="1" s="1"/>
  <c r="N982" i="1" a="1"/>
  <c r="N982" i="1" s="1"/>
  <c r="N983" i="1" a="1"/>
  <c r="N983" i="1" s="1"/>
  <c r="N984" i="1" a="1"/>
  <c r="N984" i="1" s="1"/>
  <c r="N985" i="1" a="1"/>
  <c r="N985" i="1" s="1"/>
  <c r="N986" i="1" a="1"/>
  <c r="N986" i="1" s="1"/>
  <c r="N987" i="1" a="1"/>
  <c r="N987" i="1" s="1"/>
  <c r="N988" i="1" a="1"/>
  <c r="N988" i="1" s="1"/>
  <c r="N989" i="1" a="1"/>
  <c r="N989" i="1" s="1"/>
  <c r="N990" i="1" a="1"/>
  <c r="N990" i="1" s="1"/>
  <c r="N991" i="1" a="1"/>
  <c r="N991" i="1" s="1"/>
  <c r="N992" i="1" a="1"/>
  <c r="N992" i="1" s="1"/>
  <c r="N993" i="1" a="1"/>
  <c r="N993" i="1" s="1"/>
  <c r="N994" i="1" a="1"/>
  <c r="N994" i="1" s="1"/>
  <c r="N995" i="1" a="1"/>
  <c r="N995" i="1" s="1"/>
  <c r="N996" i="1" a="1"/>
  <c r="N996" i="1" s="1"/>
  <c r="N997" i="1" a="1"/>
  <c r="N997" i="1" s="1"/>
  <c r="N998" i="1" a="1"/>
  <c r="N998" i="1" s="1"/>
  <c r="N999" i="1" a="1"/>
  <c r="N999" i="1" s="1"/>
  <c r="N1000" i="1" a="1"/>
  <c r="N1000" i="1" s="1"/>
  <c r="N1001" i="1" a="1"/>
  <c r="N1001" i="1" s="1"/>
  <c r="N1002" i="1" a="1"/>
  <c r="N1002" i="1" s="1"/>
  <c r="N1003" i="1" a="1"/>
  <c r="N1003" i="1" s="1"/>
  <c r="N1004" i="1" a="1"/>
  <c r="N1004" i="1" s="1"/>
  <c r="N1005" i="1" a="1"/>
  <c r="N1005" i="1" s="1"/>
  <c r="N1006" i="1" a="1"/>
  <c r="N1006" i="1" s="1"/>
  <c r="N1007" i="1" a="1"/>
  <c r="N1007" i="1" s="1"/>
  <c r="N1008" i="1" a="1"/>
  <c r="N1008" i="1" s="1"/>
  <c r="N1009" i="1" a="1"/>
  <c r="N1009" i="1" s="1"/>
  <c r="N1010" i="1" a="1"/>
  <c r="N1010" i="1" s="1"/>
  <c r="N1011" i="1" a="1"/>
  <c r="N1011" i="1" s="1"/>
  <c r="N1012" i="1" a="1"/>
  <c r="N1012" i="1" s="1"/>
  <c r="N1013" i="1" a="1"/>
  <c r="N1013" i="1" s="1"/>
  <c r="N1014" i="1" a="1"/>
  <c r="N1014" i="1" s="1"/>
  <c r="N1015" i="1" a="1"/>
  <c r="N1015" i="1" s="1"/>
  <c r="N1016" i="1" a="1"/>
  <c r="N1016" i="1" s="1"/>
  <c r="N1017" i="1" a="1"/>
  <c r="N1017" i="1" s="1"/>
  <c r="N1018" i="1" a="1"/>
  <c r="N1018" i="1" s="1"/>
  <c r="N1019" i="1" a="1"/>
  <c r="N1019" i="1" s="1"/>
  <c r="N1020" i="1" a="1"/>
  <c r="N1020" i="1" s="1"/>
  <c r="N1021" i="1" a="1"/>
  <c r="N1021" i="1" s="1"/>
  <c r="N1022" i="1" a="1"/>
  <c r="N1022" i="1" s="1"/>
  <c r="N1023" i="1" a="1"/>
  <c r="N1023" i="1" s="1"/>
  <c r="N1024" i="1" a="1"/>
  <c r="N1024" i="1" s="1"/>
  <c r="N1025" i="1" a="1"/>
  <c r="N1025" i="1" s="1"/>
  <c r="N1026" i="1" a="1"/>
  <c r="N1026" i="1" s="1"/>
  <c r="N1027" i="1" a="1"/>
  <c r="N1027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N807" i="1" a="1"/>
  <c r="N807" i="1" s="1"/>
  <c r="N808" i="1" a="1"/>
  <c r="N808" i="1" s="1"/>
  <c r="N809" i="1" a="1"/>
  <c r="N809" i="1" s="1"/>
  <c r="N810" i="1" a="1"/>
  <c r="N810" i="1" s="1"/>
  <c r="N811" i="1" a="1"/>
  <c r="N811" i="1" s="1"/>
  <c r="N812" i="1" a="1"/>
  <c r="N812" i="1" s="1"/>
  <c r="N813" i="1" a="1"/>
  <c r="N813" i="1" s="1"/>
  <c r="N814" i="1" a="1"/>
  <c r="N814" i="1" s="1"/>
  <c r="N815" i="1" a="1"/>
  <c r="N815" i="1" s="1"/>
  <c r="N816" i="1" a="1"/>
  <c r="N816" i="1" s="1"/>
  <c r="N817" i="1" a="1"/>
  <c r="N817" i="1" s="1"/>
  <c r="N818" i="1" a="1"/>
  <c r="N818" i="1" s="1"/>
  <c r="N819" i="1" a="1"/>
  <c r="N819" i="1" s="1"/>
  <c r="N820" i="1" a="1"/>
  <c r="N820" i="1" s="1"/>
  <c r="N821" i="1" a="1"/>
  <c r="N821" i="1" s="1"/>
  <c r="N822" i="1" a="1"/>
  <c r="N822" i="1" s="1"/>
  <c r="N823" i="1" a="1"/>
  <c r="N823" i="1" s="1"/>
  <c r="N824" i="1" a="1"/>
  <c r="N824" i="1" s="1"/>
  <c r="N825" i="1" a="1"/>
  <c r="N825" i="1" s="1"/>
  <c r="N826" i="1" a="1"/>
  <c r="N826" i="1" s="1"/>
  <c r="N827" i="1" a="1"/>
  <c r="N827" i="1" s="1"/>
  <c r="N828" i="1" a="1"/>
  <c r="N828" i="1" s="1"/>
  <c r="N829" i="1" a="1"/>
  <c r="N829" i="1" s="1"/>
  <c r="N830" i="1" a="1"/>
  <c r="N830" i="1" s="1"/>
  <c r="N831" i="1" a="1"/>
  <c r="N831" i="1" s="1"/>
  <c r="N832" i="1" a="1"/>
  <c r="N832" i="1" s="1"/>
  <c r="N790" i="1" a="1"/>
  <c r="N790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N628" i="1" a="1"/>
  <c r="N628" i="1" s="1"/>
  <c r="N629" i="1" a="1"/>
  <c r="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N638" i="1" a="1"/>
  <c r="N638" i="1" s="1"/>
  <c r="N639" i="1" a="1"/>
  <c r="N639" i="1" s="1"/>
  <c r="N640" i="1" a="1"/>
  <c r="N640" i="1" s="1"/>
  <c r="N641" i="1" a="1"/>
  <c r="N641" i="1" s="1"/>
  <c r="N642" i="1" a="1"/>
  <c r="N642" i="1" s="1"/>
  <c r="N643" i="1" a="1"/>
  <c r="N643" i="1" s="1"/>
  <c r="N644" i="1" a="1"/>
  <c r="N644" i="1" s="1"/>
  <c r="N645" i="1" a="1"/>
  <c r="N645" i="1" s="1"/>
  <c r="N646" i="1" a="1"/>
  <c r="N646" i="1" s="1"/>
  <c r="N647" i="1" a="1"/>
  <c r="N647" i="1" s="1"/>
  <c r="N648" i="1" a="1"/>
  <c r="N648" i="1" s="1"/>
  <c r="N649" i="1" a="1"/>
  <c r="N649" i="1" s="1"/>
  <c r="N650" i="1" a="1"/>
  <c r="N650" i="1" s="1"/>
  <c r="N651" i="1" a="1"/>
  <c r="N651" i="1" s="1"/>
  <c r="N652" i="1" a="1"/>
  <c r="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N664" i="1" a="1"/>
  <c r="N664" i="1" s="1"/>
  <c r="N665" i="1" a="1"/>
  <c r="N665" i="1" s="1"/>
  <c r="N666" i="1" a="1"/>
  <c r="N666" i="1" s="1"/>
  <c r="N667" i="1" a="1"/>
  <c r="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567" i="1" a="1"/>
  <c r="N567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52" i="1" a="1"/>
  <c r="N552" i="1" s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38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24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10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496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82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68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54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40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26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12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398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84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70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56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42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28" i="1"/>
  <c r="L279" i="1" l="1"/>
  <c r="L280" i="1"/>
  <c r="L278" i="1"/>
  <c r="L256" i="1"/>
  <c r="L254" i="1"/>
  <c r="L252" i="1"/>
  <c r="L250" i="1"/>
  <c r="L249" i="1"/>
  <c r="L247" i="1"/>
  <c r="L245" i="1"/>
  <c r="L258" i="1"/>
  <c r="L271" i="1"/>
  <c r="L270" i="1"/>
  <c r="L269" i="1"/>
  <c r="L268" i="1"/>
  <c r="L267" i="1"/>
  <c r="L265" i="1"/>
  <c r="L273" i="1"/>
  <c r="L284" i="1"/>
  <c r="L281" i="1"/>
  <c r="L277" i="1"/>
  <c r="L264" i="1"/>
  <c r="L260" i="1"/>
  <c r="L261" i="1"/>
  <c r="L263" i="1"/>
  <c r="L259" i="1"/>
  <c r="L285" i="1"/>
  <c r="L244" i="1"/>
  <c r="L257" i="1"/>
  <c r="L255" i="1"/>
  <c r="L253" i="1"/>
  <c r="L251" i="1"/>
  <c r="L248" i="1"/>
  <c r="L246" i="1"/>
  <c r="L266" i="1"/>
  <c r="L262" i="1"/>
  <c r="L272" i="1"/>
  <c r="L276" i="1"/>
  <c r="L275" i="1"/>
  <c r="L27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14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00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286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72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58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44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30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16" i="1"/>
  <c r="P286" i="1" a="1"/>
  <c r="P286" i="1" s="1"/>
  <c r="P244" i="1" a="1"/>
  <c r="P244" i="1" s="1"/>
  <c r="P790" i="1" a="1"/>
  <c r="O790" i="1" a="1"/>
  <c r="O790" i="1" s="1"/>
  <c r="O552" i="1" a="1"/>
  <c r="O552" i="1" s="1"/>
  <c r="P440" i="1" a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38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24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10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496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82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68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54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40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26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412" i="1"/>
  <c r="O398" i="1"/>
  <c r="O384" i="1"/>
  <c r="O370" i="1"/>
  <c r="O356" i="1"/>
  <c r="O342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28" i="1"/>
  <c r="O283" i="1"/>
  <c r="O269" i="1"/>
  <c r="O255" i="1"/>
  <c r="O325" i="1"/>
  <c r="O311" i="1"/>
  <c r="O297" i="1"/>
  <c r="O315" i="1"/>
  <c r="O316" i="1"/>
  <c r="O317" i="1"/>
  <c r="O318" i="1"/>
  <c r="O319" i="1"/>
  <c r="O320" i="1"/>
  <c r="O321" i="1"/>
  <c r="O322" i="1"/>
  <c r="O323" i="1"/>
  <c r="O324" i="1"/>
  <c r="O326" i="1"/>
  <c r="O327" i="1"/>
  <c r="O314" i="1"/>
  <c r="O301" i="1"/>
  <c r="O302" i="1"/>
  <c r="O303" i="1"/>
  <c r="O304" i="1"/>
  <c r="O305" i="1"/>
  <c r="O306" i="1"/>
  <c r="O307" i="1"/>
  <c r="O308" i="1"/>
  <c r="O309" i="1"/>
  <c r="O310" i="1"/>
  <c r="O312" i="1"/>
  <c r="O313" i="1"/>
  <c r="O300" i="1"/>
  <c r="O287" i="1"/>
  <c r="O288" i="1"/>
  <c r="O289" i="1"/>
  <c r="O290" i="1"/>
  <c r="O291" i="1"/>
  <c r="O292" i="1"/>
  <c r="O293" i="1"/>
  <c r="O294" i="1"/>
  <c r="O295" i="1"/>
  <c r="O296" i="1"/>
  <c r="O298" i="1"/>
  <c r="O299" i="1"/>
  <c r="O286" i="1"/>
  <c r="O273" i="1"/>
  <c r="O274" i="1"/>
  <c r="O275" i="1"/>
  <c r="O276" i="1"/>
  <c r="O277" i="1"/>
  <c r="O278" i="1"/>
  <c r="O279" i="1"/>
  <c r="O280" i="1"/>
  <c r="O281" i="1"/>
  <c r="O282" i="1"/>
  <c r="O284" i="1"/>
  <c r="O285" i="1"/>
  <c r="O272" i="1"/>
  <c r="O259" i="1"/>
  <c r="O260" i="1"/>
  <c r="O261" i="1"/>
  <c r="O262" i="1"/>
  <c r="O263" i="1"/>
  <c r="O264" i="1"/>
  <c r="O265" i="1"/>
  <c r="O266" i="1"/>
  <c r="O267" i="1"/>
  <c r="O268" i="1"/>
  <c r="O270" i="1"/>
  <c r="O271" i="1"/>
  <c r="O258" i="1"/>
  <c r="O245" i="1"/>
  <c r="O246" i="1"/>
  <c r="O247" i="1"/>
  <c r="O248" i="1"/>
  <c r="O249" i="1"/>
  <c r="O250" i="1"/>
  <c r="O251" i="1"/>
  <c r="O252" i="1"/>
  <c r="O253" i="1"/>
  <c r="O254" i="1"/>
  <c r="O256" i="1"/>
  <c r="O257" i="1"/>
  <c r="O244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30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16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11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94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77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60" i="1"/>
  <c r="K2" i="1" a="1"/>
  <c r="K2" i="1" s="1"/>
  <c r="P552" i="1" a="1"/>
  <c r="P328" i="1" a="1"/>
  <c r="L3" i="1" a="1"/>
  <c r="L3" i="1" s="1"/>
  <c r="L2" i="1" a="1"/>
  <c r="L2" i="1" s="1"/>
  <c r="P440" i="1" l="1"/>
  <c r="P790" i="1"/>
  <c r="P552" i="1"/>
  <c r="P3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<sst xmlns="http://schemas.openxmlformats.org/spreadsheetml/2006/main" count="6920" uniqueCount="77">
  <si>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</si>
  <si>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</si>
  <si>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</si>
  <si>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</si>
  <si>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</si>
  <si>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</si>
  <si>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</si>
  <si>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</si>
  <si>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sin info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</si>
  <si>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</si>
  <si>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</si>
  <si>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</si>
  <si>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</si>
  <si>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</si>
  <si>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</si>
  <si>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</si>
  <si>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</si>
  <si>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</si>
  <si>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</si>
  <si>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</si>
  <si>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</si>
  <si>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</si>
  <si>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</si>
  <si>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</si>
  <si>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</si>
  <si>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</si>
  <si>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</si>
  <si>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</si>
  <si>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</si>
  <si>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</si>
  <si>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</si>
  <si>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</si>
  <si>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</si>
  <si>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</si>
  <si>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</si>
  <si>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</si>
  <si>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</si>
  <si>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</si>
  <si>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</si>
  <si>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</si>
  <si>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</si>
  <si>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</si>
  <si>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</si>
  <si>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</si>
  <si>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</si>
  <si>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</si>
  <si>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</si>
  <si>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</si>
  <si>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</si>
  <si>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</si>
  <si>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</si>
  <si>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</si>
  <si>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</si>
  <si>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</si>
  <si>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</si>
  <si>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</si>
  <si>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</si>
  <si>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</si>
  <si>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</si>
  <si>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</si>
  <si>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</si>
  <si>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</si>
  <si>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</si>
  <si>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</si>
  <si>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</si>
  <si>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</si>
  <si>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</si>
  <si>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</si>
  <si>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</si>
  <si>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</si>
  <si>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</si>
  <si>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</si>
  <si>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20-25</t>
  </si>
  <si>
    <t>Observación</t>
  </si>
  <si>
    <t>Mientras bajan los años, ISAPRE se ajusta</t>
  </si>
  <si>
    <t>suma de "sin info" + "indeterminado" de 2018 hacia abajo</t>
  </si>
  <si>
    <t>sin_informacion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</si>
</sst>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7.xlsx" TargetMode="External"/><Relationship Id="rId1" Type="http://schemas.openxmlformats.org/officeDocument/2006/relationships/externalLinkPath" Target="LM2017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8.xlsx" TargetMode="External"/><Relationship Id="rId1" Type="http://schemas.openxmlformats.org/officeDocument/2006/relationships/externalLinkPath" Target="LM2018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9.xlsx" TargetMode="External"/><Relationship Id="rId1" Type="http://schemas.openxmlformats.org/officeDocument/2006/relationships/externalLinkPath" Target="LM2019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0.xlsx" TargetMode="External"/><Relationship Id="rId1" Type="http://schemas.openxmlformats.org/officeDocument/2006/relationships/externalLinkPath" Target="LM2020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>
        <row r="24">
          <cell r="A24" t="str">
            <v>TRAMO ETARIO</v>
          </cell>
          <cell r="B24" t="str">
            <v>fonasa</v>
          </cell>
          <cell r="C24" t="str">
            <v>isapre</v>
          </cell>
        </row>
        <row r="25">
          <cell r="A25" t="str">
            <v>19 y menos</v>
          </cell>
          <cell r="B25">
            <v>25193</v>
          </cell>
          <cell r="C25">
            <v>2402.8534568075197</v>
          </cell>
        </row>
        <row r="26">
          <cell r="A26" t="str">
            <v>20-24</v>
          </cell>
          <cell r="B26">
            <v>282168</v>
          </cell>
          <cell r="C26">
            <v>69399.535509953173</v>
          </cell>
        </row>
        <row r="27">
          <cell r="A27" t="str">
            <v>25-34</v>
          </cell>
          <cell r="B27">
            <v>1056613</v>
          </cell>
          <cell r="C27">
            <v>629994.78684798849</v>
          </cell>
        </row>
        <row r="28">
          <cell r="A28" t="str">
            <v>35-44</v>
          </cell>
          <cell r="B28">
            <v>860879</v>
          </cell>
          <cell r="C28">
            <v>520155.16803580947</v>
          </cell>
        </row>
        <row r="29">
          <cell r="A29" t="str">
            <v>45-54</v>
          </cell>
          <cell r="B29">
            <v>750656</v>
          </cell>
          <cell r="C29">
            <v>321870.56792110309</v>
          </cell>
        </row>
        <row r="30">
          <cell r="A30" t="str">
            <v>55-64</v>
          </cell>
          <cell r="B30">
            <v>535409</v>
          </cell>
          <cell r="C30">
            <v>220028.03893260422</v>
          </cell>
        </row>
        <row r="31">
          <cell r="A31" t="str">
            <v>65 y más</v>
          </cell>
          <cell r="B31">
            <v>153154</v>
          </cell>
          <cell r="C31">
            <v>45037.105672445658</v>
          </cell>
        </row>
        <row r="32">
          <cell r="A32" t="str">
            <v>Sin información</v>
          </cell>
          <cell r="B32">
            <v>0</v>
          </cell>
          <cell r="C32">
            <v>8.9436232883654583</v>
          </cell>
        </row>
        <row r="48">
          <cell r="A48" t="str">
            <v>REGIÓN</v>
          </cell>
          <cell r="B48" t="str">
            <v>fonasa</v>
          </cell>
          <cell r="C48" t="str">
            <v>isapre</v>
          </cell>
        </row>
        <row r="49">
          <cell r="A49" t="str">
            <v>Arica y Parinacota (XV)</v>
          </cell>
          <cell r="B49">
            <v>31481</v>
          </cell>
          <cell r="C49">
            <v>12792.362510125395</v>
          </cell>
        </row>
        <row r="50">
          <cell r="A50" t="str">
            <v>Tarapacá (I)</v>
          </cell>
          <cell r="B50">
            <v>56098</v>
          </cell>
          <cell r="C50">
            <v>27005.270519219503</v>
          </cell>
        </row>
        <row r="51">
          <cell r="A51" t="str">
            <v>Antofagasta (II)</v>
          </cell>
          <cell r="B51">
            <v>96402</v>
          </cell>
          <cell r="C51">
            <v>70636.736731510391</v>
          </cell>
        </row>
        <row r="52">
          <cell r="A52" t="str">
            <v>Atacama (III)</v>
          </cell>
          <cell r="B52">
            <v>53630</v>
          </cell>
          <cell r="C52">
            <v>20504.746992459208</v>
          </cell>
        </row>
        <row r="53">
          <cell r="A53" t="str">
            <v>Coquimbo (IV)</v>
          </cell>
          <cell r="B53">
            <v>91448</v>
          </cell>
          <cell r="C53">
            <v>21826.912635255903</v>
          </cell>
        </row>
        <row r="54">
          <cell r="A54" t="str">
            <v>Valparaíso (V)</v>
          </cell>
          <cell r="B54">
            <v>237764</v>
          </cell>
          <cell r="C54">
            <v>99351.729902689083</v>
          </cell>
        </row>
        <row r="55">
          <cell r="A55" t="str">
            <v>Metropolitana (RM)</v>
          </cell>
          <cell r="B55">
            <v>2079224</v>
          </cell>
          <cell r="C55">
            <v>1170237.3327894667</v>
          </cell>
        </row>
        <row r="56">
          <cell r="A56" t="str">
            <v>O'Higgins (VI)</v>
          </cell>
          <cell r="B56">
            <v>156040</v>
          </cell>
          <cell r="C56">
            <v>51630.0466398524</v>
          </cell>
        </row>
        <row r="57">
          <cell r="A57" t="str">
            <v>Maule (VII)</v>
          </cell>
          <cell r="B57">
            <v>145314</v>
          </cell>
          <cell r="C57">
            <v>44573.527865332057</v>
          </cell>
        </row>
        <row r="58">
          <cell r="A58" t="str">
            <v>Biobío (VIII)</v>
          </cell>
          <cell r="B58">
            <v>377626</v>
          </cell>
          <cell r="C58">
            <v>123541.24968995486</v>
          </cell>
        </row>
        <row r="59">
          <cell r="A59" t="str">
            <v>La Araucanía (IX)</v>
          </cell>
          <cell r="B59">
            <v>126046</v>
          </cell>
          <cell r="C59">
            <v>48447.607353075691</v>
          </cell>
        </row>
        <row r="60">
          <cell r="A60" t="str">
            <v>Los Ríos (XIV)</v>
          </cell>
          <cell r="B60">
            <v>32517</v>
          </cell>
          <cell r="C60">
            <v>19878.693362273625</v>
          </cell>
        </row>
        <row r="61">
          <cell r="A61" t="str">
            <v>Los Lagos (X)</v>
          </cell>
          <cell r="B61">
            <v>136137</v>
          </cell>
          <cell r="C61">
            <v>59864.1424806742</v>
          </cell>
        </row>
        <row r="62">
          <cell r="A62" t="str">
            <v>Aysén (XI)</v>
          </cell>
          <cell r="B62">
            <v>16638</v>
          </cell>
          <cell r="C62">
            <v>6897.0241592111634</v>
          </cell>
        </row>
        <row r="63">
          <cell r="A63" t="str">
            <v>Magallanes (XII)</v>
          </cell>
          <cell r="B63">
            <v>27707</v>
          </cell>
          <cell r="C63">
            <v>17410.253334684759</v>
          </cell>
        </row>
        <row r="64">
          <cell r="A64" t="str">
            <v>Sin información</v>
          </cell>
          <cell r="B64">
            <v>0</v>
          </cell>
          <cell r="C64">
            <v>14299.363034214974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LMT"/>
      <sheetName val="C2_LMA"/>
      <sheetName val="C3_LMR"/>
      <sheetName val="C4_LMT_DIAG"/>
      <sheetName val="C5_LMA_DIAG"/>
      <sheetName val="C6_LMR_DIAG"/>
      <sheetName val="C7_GTO_SIL"/>
      <sheetName val="C8_IND_SIL"/>
      <sheetName val="C9_LMT_SECTOR"/>
      <sheetName val="C10_LMA_SECTOR"/>
      <sheetName val="C11_LMR_SECTOR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A6" t="str">
            <v>Trastornos mentales</v>
          </cell>
          <cell r="B6">
            <v>895548</v>
          </cell>
          <cell r="C6">
            <v>264088.45309573051</v>
          </cell>
        </row>
        <row r="7">
          <cell r="A7" t="str">
            <v>Enf. osteomusculares</v>
          </cell>
          <cell r="B7">
            <v>910912</v>
          </cell>
          <cell r="C7">
            <v>292664.34084601921</v>
          </cell>
        </row>
        <row r="8">
          <cell r="A8" t="str">
            <v>Enf. respiratorias</v>
          </cell>
          <cell r="B8">
            <v>532286</v>
          </cell>
          <cell r="C8">
            <v>392108.12925980706</v>
          </cell>
        </row>
        <row r="9">
          <cell r="A9" t="str">
            <v>Traumatismos, envenenamientos y otros</v>
          </cell>
          <cell r="B9">
            <v>299629</v>
          </cell>
          <cell r="C9">
            <v>153965.19783814071</v>
          </cell>
        </row>
        <row r="10">
          <cell r="A10" t="str">
            <v>Enf. infecciosas</v>
          </cell>
          <cell r="B10">
            <v>254300</v>
          </cell>
          <cell r="C10">
            <v>196452.83294237463</v>
          </cell>
        </row>
        <row r="11">
          <cell r="A11" t="str">
            <v>Enf. del Sistema Digestivo</v>
          </cell>
          <cell r="B11">
            <v>191758</v>
          </cell>
          <cell r="C11">
            <v>145070.40729090761</v>
          </cell>
        </row>
        <row r="12">
          <cell r="A12" t="str">
            <v>Afecciones del embarazo, Parto y Puerperio</v>
          </cell>
          <cell r="B12">
            <v>122500</v>
          </cell>
          <cell r="C12">
            <v>53085.84349945686</v>
          </cell>
        </row>
        <row r="13">
          <cell r="A13" t="str">
            <v>Enfermedades del Sist. Genito urinario</v>
          </cell>
          <cell r="B13">
            <v>129329</v>
          </cell>
          <cell r="C13">
            <v>67987.740097198272</v>
          </cell>
        </row>
        <row r="14">
          <cell r="A14" t="str">
            <v>Tumores y Cánceres</v>
          </cell>
          <cell r="B14">
            <v>98202</v>
          </cell>
          <cell r="C14">
            <v>56184.1980480532</v>
          </cell>
        </row>
        <row r="15">
          <cell r="A15" t="str">
            <v>Enf. cardiovasculares</v>
          </cell>
          <cell r="B15">
            <v>104274</v>
          </cell>
          <cell r="C15">
            <v>36546.739641456683</v>
          </cell>
        </row>
        <row r="16">
          <cell r="A16" t="str">
            <v>Otros diagnósticos</v>
          </cell>
          <cell r="B16">
            <v>466830</v>
          </cell>
          <cell r="C16">
            <v>227118.86856444593</v>
          </cell>
        </row>
        <row r="17">
          <cell r="A17" t="str">
            <v>Sin información</v>
          </cell>
          <cell r="B17">
            <v>36</v>
          </cell>
          <cell r="C17">
            <v>78.248876409426742</v>
          </cell>
        </row>
        <row r="24">
          <cell r="A24" t="str">
            <v>SEXO</v>
          </cell>
          <cell r="B24" t="str">
            <v>Trastornos mentales</v>
          </cell>
          <cell r="C24" t="str">
            <v>Enf. osteomusculares</v>
          </cell>
          <cell r="D24" t="str">
            <v>Enf. respiratorias</v>
          </cell>
          <cell r="E24" t="str">
            <v>Traumatismos, envenenamientos y otros</v>
          </cell>
          <cell r="F24" t="str">
            <v>Enf. infecciosas</v>
          </cell>
          <cell r="G24" t="str">
            <v>Enf. del Sistema Digestivo</v>
          </cell>
          <cell r="H24" t="str">
            <v>Afecciones del embarazo, Parto y Puerperio</v>
          </cell>
          <cell r="I24" t="str">
            <v>Enfermedades del Sist. Genito urinario</v>
          </cell>
          <cell r="J24" t="str">
            <v>Tumores y Cánceres</v>
          </cell>
          <cell r="K24" t="str">
            <v>Enf. cardiovasculares</v>
          </cell>
          <cell r="L24" t="str">
            <v>Otros diagnósticos</v>
          </cell>
          <cell r="M24" t="str">
            <v>Sin información</v>
          </cell>
          <cell r="P24" t="str">
            <v>SEXO</v>
          </cell>
          <cell r="Q24" t="str">
            <v>Trastornos mentales</v>
          </cell>
          <cell r="R24" t="str">
            <v>Enf. osteomusculares</v>
          </cell>
          <cell r="S24" t="str">
            <v>Enf. respiratorias</v>
          </cell>
          <cell r="T24" t="str">
            <v>Traumatismos, envenenamientos y otros</v>
          </cell>
          <cell r="U24" t="str">
            <v>Enf. infecciosas</v>
          </cell>
          <cell r="V24" t="str">
            <v>Enf. del Sistema Digestivo</v>
          </cell>
          <cell r="W24" t="str">
            <v>Afecciones del embarazo, Parto y Puerperio</v>
          </cell>
          <cell r="X24" t="str">
            <v>Enfermedades del Sist. Genito urinario</v>
          </cell>
          <cell r="Y24" t="str">
            <v>Tumores y Cánceres</v>
          </cell>
          <cell r="Z24" t="str">
            <v>Enf. cardiovasculares</v>
          </cell>
          <cell r="AA24" t="str">
            <v>Otros diagnósticos</v>
          </cell>
          <cell r="AB24" t="str">
            <v>Sin información</v>
          </cell>
        </row>
        <row r="25">
          <cell r="A25" t="str">
            <v>Hombre</v>
          </cell>
          <cell r="B25">
            <v>216142</v>
          </cell>
          <cell r="C25">
            <v>364863</v>
          </cell>
          <cell r="D25">
            <v>160268</v>
          </cell>
          <cell r="E25">
            <v>171833</v>
          </cell>
          <cell r="F25">
            <v>87218</v>
          </cell>
          <cell r="G25">
            <v>76636</v>
          </cell>
          <cell r="H25">
            <v>0</v>
          </cell>
          <cell r="I25">
            <v>38235</v>
          </cell>
          <cell r="J25">
            <v>45650</v>
          </cell>
          <cell r="K25">
            <v>65445</v>
          </cell>
          <cell r="L25">
            <v>171729</v>
          </cell>
          <cell r="M25">
            <v>20</v>
          </cell>
          <cell r="P25" t="str">
            <v>Hombre</v>
          </cell>
          <cell r="Q25">
            <v>107103.14958540285</v>
          </cell>
          <cell r="R25">
            <v>163883.24292303555</v>
          </cell>
          <cell r="S25">
            <v>173560.5222343629</v>
          </cell>
          <cell r="T25">
            <v>103112.45688852208</v>
          </cell>
          <cell r="U25">
            <v>99440.778841618216</v>
          </cell>
          <cell r="V25">
            <v>74188.963552645335</v>
          </cell>
          <cell r="W25">
            <v>4109.5707975797004</v>
          </cell>
          <cell r="X25">
            <v>24221.03682088717</v>
          </cell>
          <cell r="Y25">
            <v>26193.811378055601</v>
          </cell>
          <cell r="Z25">
            <v>23634.17024781647</v>
          </cell>
          <cell r="AA25">
            <v>103911.49829954912</v>
          </cell>
          <cell r="AB25">
            <v>6.0191443391866724</v>
          </cell>
        </row>
        <row r="26">
          <cell r="A26" t="str">
            <v>Mujer</v>
          </cell>
          <cell r="B26">
            <v>679406</v>
          </cell>
          <cell r="C26">
            <v>546046</v>
          </cell>
          <cell r="D26">
            <v>372016</v>
          </cell>
          <cell r="E26">
            <v>127796</v>
          </cell>
          <cell r="F26">
            <v>167081</v>
          </cell>
          <cell r="G26">
            <v>115122</v>
          </cell>
          <cell r="H26">
            <v>122500</v>
          </cell>
          <cell r="I26">
            <v>91093</v>
          </cell>
          <cell r="J26">
            <v>52551</v>
          </cell>
          <cell r="K26">
            <v>38829</v>
          </cell>
          <cell r="L26">
            <v>295100</v>
          </cell>
          <cell r="M26">
            <v>16</v>
          </cell>
          <cell r="P26" t="str">
            <v>Mujer</v>
          </cell>
          <cell r="Q26">
            <v>156985.30351032759</v>
          </cell>
          <cell r="R26">
            <v>128781.09792298365</v>
          </cell>
          <cell r="S26">
            <v>218547.60702544407</v>
          </cell>
          <cell r="T26">
            <v>50852.740949618601</v>
          </cell>
          <cell r="U26">
            <v>97012.054100756388</v>
          </cell>
          <cell r="V26">
            <v>70881.443738262242</v>
          </cell>
          <cell r="W26">
            <v>48976.272701877155</v>
          </cell>
          <cell r="X26">
            <v>43766.703276311091</v>
          </cell>
          <cell r="Y26">
            <v>29990.386669997592</v>
          </cell>
          <cell r="Z26">
            <v>12912.569393640208</v>
          </cell>
          <cell r="AA26">
            <v>123207.37026489679</v>
          </cell>
          <cell r="AB26">
            <v>72.229732070240061</v>
          </cell>
        </row>
        <row r="27">
          <cell r="A27" t="str">
            <v>Indeterminado (2)</v>
          </cell>
          <cell r="B27">
            <v>0</v>
          </cell>
          <cell r="C27">
            <v>2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1</v>
          </cell>
          <cell r="K27">
            <v>0</v>
          </cell>
          <cell r="L27">
            <v>1</v>
          </cell>
          <cell r="M27">
            <v>0</v>
          </cell>
          <cell r="P27" t="str">
            <v>Indeterminado (2)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A28" t="str">
            <v>Sin información</v>
          </cell>
          <cell r="B28">
            <v>0</v>
          </cell>
          <cell r="C28">
            <v>1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P28" t="str">
            <v>Sin información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</row>
        <row r="35">
          <cell r="A35" t="str">
            <v>TRAMO ETARIO</v>
          </cell>
          <cell r="B35" t="str">
            <v>Trastornos mentales</v>
          </cell>
          <cell r="C35" t="str">
            <v>Enf. osteomusculares</v>
          </cell>
          <cell r="D35" t="str">
            <v>Enf. respiratorias</v>
          </cell>
          <cell r="E35" t="str">
            <v>Traumatismos, envenenamientos y otros</v>
          </cell>
          <cell r="F35" t="str">
            <v>Enf. infecciosas</v>
          </cell>
          <cell r="G35" t="str">
            <v>Enf. del Sistema Digestivo</v>
          </cell>
          <cell r="H35" t="str">
            <v>Afecciones del embarazo, Parto y Puerperio</v>
          </cell>
          <cell r="I35" t="str">
            <v>Enfermedades del Sist. Genito urinario</v>
          </cell>
          <cell r="J35" t="str">
            <v>Tumores y Cánceres</v>
          </cell>
          <cell r="K35" t="str">
            <v>Enf. cardiovasculares</v>
          </cell>
          <cell r="L35" t="str">
            <v>Otros diagnósticos</v>
          </cell>
          <cell r="M35" t="str">
            <v>Sin información</v>
          </cell>
          <cell r="P35" t="str">
            <v>TRAMO ETARIO</v>
          </cell>
          <cell r="Q35" t="str">
            <v>Trastornos mentales</v>
          </cell>
          <cell r="R35" t="str">
            <v>Enf. osteomusculares</v>
          </cell>
          <cell r="S35" t="str">
            <v>Enf. respiratorias</v>
          </cell>
          <cell r="T35" t="str">
            <v>Traumatismos, envenenamientos y otros</v>
          </cell>
          <cell r="U35" t="str">
            <v>Enf. infecciosas</v>
          </cell>
          <cell r="V35" t="str">
            <v>Enf. del Sistema Digestivo</v>
          </cell>
          <cell r="W35" t="str">
            <v>Afecciones del embarazo, Parto y Puerperio</v>
          </cell>
          <cell r="X35" t="str">
            <v>Enfermedades del Sist. Genito urinario</v>
          </cell>
          <cell r="Y35" t="str">
            <v>Tumores y Cánceres</v>
          </cell>
          <cell r="Z35" t="str">
            <v>Enf. cardiovasculares</v>
          </cell>
          <cell r="AA35" t="str">
            <v>Otros diagnósticos</v>
          </cell>
          <cell r="AB35" t="str">
            <v>Sin información</v>
          </cell>
        </row>
        <row r="36">
          <cell r="A36" t="str">
            <v>19 y menos</v>
          </cell>
          <cell r="B36">
            <v>3510</v>
          </cell>
          <cell r="C36">
            <v>5000</v>
          </cell>
          <cell r="D36">
            <v>4397</v>
          </cell>
          <cell r="E36">
            <v>3918</v>
          </cell>
          <cell r="F36">
            <v>3024</v>
          </cell>
          <cell r="G36">
            <v>1648</v>
          </cell>
          <cell r="H36">
            <v>1370</v>
          </cell>
          <cell r="I36">
            <v>880</v>
          </cell>
          <cell r="J36">
            <v>127</v>
          </cell>
          <cell r="K36">
            <v>154</v>
          </cell>
          <cell r="L36">
            <v>3143</v>
          </cell>
          <cell r="M36">
            <v>0</v>
          </cell>
          <cell r="P36" t="str">
            <v>19 y menos</v>
          </cell>
          <cell r="Q36">
            <v>203.14612144755017</v>
          </cell>
          <cell r="R36">
            <v>281.39499785697689</v>
          </cell>
          <cell r="S36">
            <v>368.67259077518366</v>
          </cell>
          <cell r="T36">
            <v>249.79449007624689</v>
          </cell>
          <cell r="U36">
            <v>231.73705705868687</v>
          </cell>
          <cell r="V36">
            <v>145.9642502252768</v>
          </cell>
          <cell r="W36">
            <v>13.543074763170011</v>
          </cell>
          <cell r="X36">
            <v>39.124438204713371</v>
          </cell>
          <cell r="Y36">
            <v>10.533502593576676</v>
          </cell>
          <cell r="Z36">
            <v>13.543074763170011</v>
          </cell>
          <cell r="AA36">
            <v>270.86149526340029</v>
          </cell>
          <cell r="AB36">
            <v>0</v>
          </cell>
        </row>
        <row r="37">
          <cell r="A37" t="str">
            <v>20-24</v>
          </cell>
          <cell r="B37">
            <v>68129</v>
          </cell>
          <cell r="C37">
            <v>54431</v>
          </cell>
          <cell r="D37">
            <v>43895</v>
          </cell>
          <cell r="E37">
            <v>29912</v>
          </cell>
          <cell r="F37">
            <v>30194</v>
          </cell>
          <cell r="G37">
            <v>15916</v>
          </cell>
          <cell r="H37">
            <v>18848</v>
          </cell>
          <cell r="I37">
            <v>9385</v>
          </cell>
          <cell r="J37">
            <v>1329</v>
          </cell>
          <cell r="K37">
            <v>1650</v>
          </cell>
          <cell r="L37">
            <v>32406</v>
          </cell>
          <cell r="M37">
            <v>2</v>
          </cell>
          <cell r="P37" t="str">
            <v>20-24</v>
          </cell>
          <cell r="Q37">
            <v>8136.3783604955843</v>
          </cell>
          <cell r="R37">
            <v>9060.3170165607389</v>
          </cell>
          <cell r="S37">
            <v>12277.549665856015</v>
          </cell>
          <cell r="T37">
            <v>7328.3082329597728</v>
          </cell>
          <cell r="U37">
            <v>9552.3820662892485</v>
          </cell>
          <cell r="V37">
            <v>4776.1910331446243</v>
          </cell>
          <cell r="W37">
            <v>1741.037500109745</v>
          </cell>
          <cell r="X37">
            <v>1540.9009508317881</v>
          </cell>
          <cell r="Y37">
            <v>394.25395421672704</v>
          </cell>
          <cell r="Z37">
            <v>376.19652119916702</v>
          </cell>
          <cell r="AA37">
            <v>7138.7051862753924</v>
          </cell>
          <cell r="AB37">
            <v>3.0095721695933362</v>
          </cell>
        </row>
        <row r="38">
          <cell r="A38" t="str">
            <v>25-34</v>
          </cell>
          <cell r="B38">
            <v>318636</v>
          </cell>
          <cell r="C38">
            <v>208283</v>
          </cell>
          <cell r="D38">
            <v>166628</v>
          </cell>
          <cell r="E38">
            <v>78933</v>
          </cell>
          <cell r="F38">
            <v>101888</v>
          </cell>
          <cell r="G38">
            <v>55502</v>
          </cell>
          <cell r="H38">
            <v>73535</v>
          </cell>
          <cell r="I38">
            <v>35260</v>
          </cell>
          <cell r="J38">
            <v>9118</v>
          </cell>
          <cell r="K38">
            <v>8921</v>
          </cell>
          <cell r="L38">
            <v>118244</v>
          </cell>
          <cell r="M38">
            <v>14</v>
          </cell>
          <cell r="P38" t="str">
            <v>25-34</v>
          </cell>
          <cell r="Q38">
            <v>92186.205126813467</v>
          </cell>
          <cell r="R38">
            <v>83208.65134491655</v>
          </cell>
          <cell r="S38">
            <v>140628.2787685878</v>
          </cell>
          <cell r="T38">
            <v>53313.066198261149</v>
          </cell>
          <cell r="U38">
            <v>91155.426658727767</v>
          </cell>
          <cell r="V38">
            <v>51277.090625531258</v>
          </cell>
          <cell r="W38">
            <v>31368.77072367134</v>
          </cell>
          <cell r="X38">
            <v>20216.801049243233</v>
          </cell>
          <cell r="Y38">
            <v>6855.8054023336199</v>
          </cell>
          <cell r="Z38">
            <v>5099.7200413759074</v>
          </cell>
          <cell r="AA38">
            <v>73144.642009796444</v>
          </cell>
          <cell r="AB38">
            <v>37.619652119916701</v>
          </cell>
        </row>
        <row r="39">
          <cell r="A39" t="str">
            <v>35-44</v>
          </cell>
          <cell r="B39">
            <v>242676</v>
          </cell>
          <cell r="C39">
            <v>205841</v>
          </cell>
          <cell r="D39">
            <v>125454</v>
          </cell>
          <cell r="E39">
            <v>63005</v>
          </cell>
          <cell r="F39">
            <v>58159</v>
          </cell>
          <cell r="G39">
            <v>44224</v>
          </cell>
          <cell r="H39">
            <v>27993</v>
          </cell>
          <cell r="I39">
            <v>31487</v>
          </cell>
          <cell r="J39">
            <v>16951</v>
          </cell>
          <cell r="K39">
            <v>15039</v>
          </cell>
          <cell r="L39">
            <v>104541</v>
          </cell>
          <cell r="M39">
            <v>3</v>
          </cell>
          <cell r="P39" t="str">
            <v>35-44</v>
          </cell>
          <cell r="Q39">
            <v>84209.334091306329</v>
          </cell>
          <cell r="R39">
            <v>83291.414579580378</v>
          </cell>
          <cell r="S39">
            <v>116231.18197577944</v>
          </cell>
          <cell r="T39">
            <v>42525.254756353839</v>
          </cell>
          <cell r="U39">
            <v>56041.243369997508</v>
          </cell>
          <cell r="V39">
            <v>41613.354388967062</v>
          </cell>
          <cell r="W39">
            <v>19363.587339163525</v>
          </cell>
          <cell r="X39">
            <v>21929.247613741845</v>
          </cell>
          <cell r="Y39">
            <v>13263.184551397831</v>
          </cell>
          <cell r="Z39">
            <v>8122.8352857324144</v>
          </cell>
          <cell r="AA39">
            <v>64595.952262066567</v>
          </cell>
          <cell r="AB39">
            <v>21.067005187153352</v>
          </cell>
        </row>
        <row r="40">
          <cell r="A40" t="str">
            <v>45-54</v>
          </cell>
          <cell r="B40">
            <v>153086</v>
          </cell>
          <cell r="C40">
            <v>225050</v>
          </cell>
          <cell r="D40">
            <v>99426</v>
          </cell>
          <cell r="E40">
            <v>63082</v>
          </cell>
          <cell r="F40">
            <v>35911</v>
          </cell>
          <cell r="G40">
            <v>37783</v>
          </cell>
          <cell r="H40">
            <v>612</v>
          </cell>
          <cell r="I40">
            <v>26876</v>
          </cell>
          <cell r="J40">
            <v>27235</v>
          </cell>
          <cell r="K40">
            <v>26293</v>
          </cell>
          <cell r="L40">
            <v>101658</v>
          </cell>
          <cell r="M40">
            <v>8</v>
          </cell>
          <cell r="P40" t="str">
            <v>45-54</v>
          </cell>
          <cell r="Q40">
            <v>46127.712643357067</v>
          </cell>
          <cell r="R40">
            <v>63446.295693281922</v>
          </cell>
          <cell r="S40">
            <v>66856.140961431156</v>
          </cell>
          <cell r="T40">
            <v>28425.409141809057</v>
          </cell>
          <cell r="U40">
            <v>24153.321447071321</v>
          </cell>
          <cell r="V40">
            <v>25904.892449774641</v>
          </cell>
          <cell r="W40">
            <v>559.78042354436047</v>
          </cell>
          <cell r="X40">
            <v>13555.113051848386</v>
          </cell>
          <cell r="Y40">
            <v>15123.100152206514</v>
          </cell>
          <cell r="Z40">
            <v>10006.827463897842</v>
          </cell>
          <cell r="AA40">
            <v>43655.349106036134</v>
          </cell>
          <cell r="AB40">
            <v>15.047860847966682</v>
          </cell>
        </row>
        <row r="41">
          <cell r="A41" t="str">
            <v>55-64</v>
          </cell>
          <cell r="B41">
            <v>91549</v>
          </cell>
          <cell r="C41">
            <v>170356</v>
          </cell>
          <cell r="D41">
            <v>72598</v>
          </cell>
          <cell r="E41">
            <v>48103</v>
          </cell>
          <cell r="F41">
            <v>20905</v>
          </cell>
          <cell r="G41">
            <v>28644</v>
          </cell>
          <cell r="H41">
            <v>106</v>
          </cell>
          <cell r="I41">
            <v>18705</v>
          </cell>
          <cell r="J41">
            <v>29192</v>
          </cell>
          <cell r="K41">
            <v>34783</v>
          </cell>
          <cell r="L41">
            <v>80408</v>
          </cell>
          <cell r="M41">
            <v>7</v>
          </cell>
          <cell r="P41" t="str">
            <v>55-64</v>
          </cell>
          <cell r="Q41">
            <v>28742.919005701155</v>
          </cell>
          <cell r="R41">
            <v>45110.477250034513</v>
          </cell>
          <cell r="S41">
            <v>46315.810903956648</v>
          </cell>
          <cell r="T41">
            <v>18594.641649832429</v>
          </cell>
          <cell r="U41">
            <v>13320.366422620105</v>
          </cell>
          <cell r="V41">
            <v>17977.679355065793</v>
          </cell>
          <cell r="W41">
            <v>34.61007995032336</v>
          </cell>
          <cell r="X41">
            <v>8641.9864849872647</v>
          </cell>
          <cell r="Y41">
            <v>15154.700659987242</v>
          </cell>
          <cell r="Z41">
            <v>9720.918107786476</v>
          </cell>
          <cell r="AA41">
            <v>31212.272970852489</v>
          </cell>
          <cell r="AB41">
            <v>1.5047860847966681</v>
          </cell>
        </row>
        <row r="42">
          <cell r="A42" t="str">
            <v>65 y más</v>
          </cell>
          <cell r="B42">
            <v>17962</v>
          </cell>
          <cell r="C42">
            <v>41951</v>
          </cell>
          <cell r="D42">
            <v>19888</v>
          </cell>
          <cell r="E42">
            <v>12676</v>
          </cell>
          <cell r="F42">
            <v>4219</v>
          </cell>
          <cell r="G42">
            <v>8041</v>
          </cell>
          <cell r="H42">
            <v>36</v>
          </cell>
          <cell r="I42">
            <v>6736</v>
          </cell>
          <cell r="J42">
            <v>14250</v>
          </cell>
          <cell r="K42">
            <v>17434</v>
          </cell>
          <cell r="L42">
            <v>26430</v>
          </cell>
          <cell r="M42">
            <v>2</v>
          </cell>
          <cell r="P42" t="str">
            <v>65 y más</v>
          </cell>
          <cell r="Q42">
            <v>4478.2433883548838</v>
          </cell>
          <cell r="R42">
            <v>8264.2851777033011</v>
          </cell>
          <cell r="S42">
            <v>9430.4943934207186</v>
          </cell>
          <cell r="T42">
            <v>3528.7233688481865</v>
          </cell>
          <cell r="U42">
            <v>1995.3463484403819</v>
          </cell>
          <cell r="V42">
            <v>3372.2256160293332</v>
          </cell>
          <cell r="W42">
            <v>4.5143582543900038</v>
          </cell>
          <cell r="X42">
            <v>2063.0617222562319</v>
          </cell>
          <cell r="Y42">
            <v>5382.6198253176817</v>
          </cell>
          <cell r="Z42">
            <v>3206.6991467016996</v>
          </cell>
          <cell r="AA42">
            <v>7096.5711759010865</v>
          </cell>
          <cell r="AB42">
            <v>0</v>
          </cell>
        </row>
        <row r="43">
          <cell r="A43" t="str">
            <v>Sin información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P43" t="str">
            <v>Sin información</v>
          </cell>
          <cell r="Q43">
            <v>4.5143582543900038</v>
          </cell>
          <cell r="R43">
            <v>1.5047860847966681</v>
          </cell>
          <cell r="S43">
            <v>0</v>
          </cell>
          <cell r="T43">
            <v>0</v>
          </cell>
          <cell r="U43">
            <v>3.0095721695933362</v>
          </cell>
          <cell r="V43">
            <v>3.0095721695933362</v>
          </cell>
          <cell r="W43">
            <v>0</v>
          </cell>
          <cell r="X43">
            <v>1.5047860847966681</v>
          </cell>
          <cell r="Y43">
            <v>0</v>
          </cell>
          <cell r="Z43">
            <v>0</v>
          </cell>
          <cell r="AA43">
            <v>4.5143582543900038</v>
          </cell>
          <cell r="AB43">
            <v>0</v>
          </cell>
        </row>
        <row r="49">
          <cell r="A49" t="str">
            <v>REGIÓN</v>
          </cell>
          <cell r="B49" t="str">
            <v>Trastornos mentales</v>
          </cell>
          <cell r="C49" t="str">
            <v>Enf. osteomusculares</v>
          </cell>
          <cell r="D49" t="str">
            <v>Enf. respiratorias</v>
          </cell>
          <cell r="E49" t="str">
            <v>Traumatismos, envenenamientos y otros</v>
          </cell>
          <cell r="F49" t="str">
            <v>Enf. infecciosas</v>
          </cell>
          <cell r="G49" t="str">
            <v>Enf. del Sistema Digestivo</v>
          </cell>
          <cell r="H49" t="str">
            <v>Afecciones del embarazo, Parto y Puerperio</v>
          </cell>
          <cell r="I49" t="str">
            <v>Enfermedades del Sist. Genito urinario</v>
          </cell>
          <cell r="J49" t="str">
            <v>Tumores y Cánceres</v>
          </cell>
          <cell r="K49" t="str">
            <v>Enf. cardiovasculares</v>
          </cell>
          <cell r="L49" t="str">
            <v>Otros diagnósticos</v>
          </cell>
          <cell r="M49" t="str">
            <v>Sin información</v>
          </cell>
          <cell r="P49" t="str">
            <v>REGIÓN</v>
          </cell>
          <cell r="Q49" t="str">
            <v>Trastornos mentales</v>
          </cell>
          <cell r="R49" t="str">
            <v>Enf. osteomusculares</v>
          </cell>
          <cell r="S49" t="str">
            <v>Enf. respiratorias</v>
          </cell>
          <cell r="T49" t="str">
            <v>Traumatismos, envenenamientos y otros</v>
          </cell>
          <cell r="U49" t="str">
            <v>Enf. infecciosas</v>
          </cell>
          <cell r="V49" t="str">
            <v>Enf. del Sistema Digestivo</v>
          </cell>
          <cell r="W49" t="str">
            <v>Afecciones del embarazo, Parto y Puerperio</v>
          </cell>
          <cell r="X49" t="str">
            <v>Enfermedades del Sist. Genito urinario</v>
          </cell>
          <cell r="Y49" t="str">
            <v>Tumores y Cánceres</v>
          </cell>
          <cell r="Z49" t="str">
            <v>Enf. cardiovasculares</v>
          </cell>
          <cell r="AA49" t="str">
            <v>Otros diagnósticos</v>
          </cell>
          <cell r="AB49" t="str">
            <v>Sin información</v>
          </cell>
        </row>
        <row r="50">
          <cell r="A50" t="str">
            <v>Arica y Parinacota (XV)</v>
          </cell>
          <cell r="B50">
            <v>2814</v>
          </cell>
          <cell r="C50">
            <v>5415</v>
          </cell>
          <cell r="D50">
            <v>5848</v>
          </cell>
          <cell r="E50">
            <v>2500</v>
          </cell>
          <cell r="F50">
            <v>2127</v>
          </cell>
          <cell r="G50">
            <v>3403</v>
          </cell>
          <cell r="H50">
            <v>1766</v>
          </cell>
          <cell r="I50">
            <v>1641</v>
          </cell>
          <cell r="J50">
            <v>988</v>
          </cell>
          <cell r="K50">
            <v>1076</v>
          </cell>
          <cell r="L50">
            <v>3656</v>
          </cell>
          <cell r="M50">
            <v>0</v>
          </cell>
          <cell r="P50" t="str">
            <v>Arica y Parinacota (XV)</v>
          </cell>
          <cell r="Q50">
            <v>1214.3623704309111</v>
          </cell>
          <cell r="R50">
            <v>1530.3674482382114</v>
          </cell>
          <cell r="S50">
            <v>2850.0648446048895</v>
          </cell>
          <cell r="T50">
            <v>747.87868414394393</v>
          </cell>
          <cell r="U50">
            <v>1268.5346694835912</v>
          </cell>
          <cell r="V50">
            <v>1601.0923942236548</v>
          </cell>
          <cell r="W50">
            <v>433.37839242144037</v>
          </cell>
          <cell r="X50">
            <v>589.87614524029379</v>
          </cell>
          <cell r="Y50">
            <v>580.8474287315139</v>
          </cell>
          <cell r="Z50">
            <v>303.96678912892696</v>
          </cell>
          <cell r="AA50">
            <v>1607.1115385628416</v>
          </cell>
          <cell r="AB50">
            <v>0</v>
          </cell>
        </row>
        <row r="51">
          <cell r="A51" t="str">
            <v>Tarapacá (I)</v>
          </cell>
          <cell r="B51">
            <v>14669</v>
          </cell>
          <cell r="C51">
            <v>14876</v>
          </cell>
          <cell r="D51">
            <v>7898</v>
          </cell>
          <cell r="E51">
            <v>4576</v>
          </cell>
          <cell r="F51">
            <v>4600</v>
          </cell>
          <cell r="G51">
            <v>3154</v>
          </cell>
          <cell r="H51">
            <v>1806</v>
          </cell>
          <cell r="I51">
            <v>2653</v>
          </cell>
          <cell r="J51">
            <v>1914</v>
          </cell>
          <cell r="K51">
            <v>1672</v>
          </cell>
          <cell r="L51">
            <v>6768</v>
          </cell>
          <cell r="M51">
            <v>0</v>
          </cell>
          <cell r="P51" t="str">
            <v>Tarapacá (I)</v>
          </cell>
          <cell r="Q51">
            <v>4169.7622409715668</v>
          </cell>
          <cell r="R51">
            <v>5180.9784899549277</v>
          </cell>
          <cell r="S51">
            <v>4172.7718131411602</v>
          </cell>
          <cell r="T51">
            <v>2479.8874677449089</v>
          </cell>
          <cell r="U51">
            <v>1906.5639694373783</v>
          </cell>
          <cell r="V51">
            <v>2612.3086432070158</v>
          </cell>
          <cell r="W51">
            <v>729.82125112638403</v>
          </cell>
          <cell r="X51">
            <v>1122.5704192583144</v>
          </cell>
          <cell r="Y51">
            <v>847.19456574052413</v>
          </cell>
          <cell r="Z51">
            <v>722.29732070240061</v>
          </cell>
          <cell r="AA51">
            <v>3303.0054561286861</v>
          </cell>
          <cell r="AB51">
            <v>0</v>
          </cell>
        </row>
        <row r="52">
          <cell r="A52" t="str">
            <v>Antofagasta (II)</v>
          </cell>
          <cell r="B52">
            <v>18437</v>
          </cell>
          <cell r="C52">
            <v>23905</v>
          </cell>
          <cell r="D52">
            <v>11847</v>
          </cell>
          <cell r="E52">
            <v>8535</v>
          </cell>
          <cell r="F52">
            <v>4885</v>
          </cell>
          <cell r="G52">
            <v>4396</v>
          </cell>
          <cell r="H52">
            <v>4303</v>
          </cell>
          <cell r="I52">
            <v>3787</v>
          </cell>
          <cell r="J52">
            <v>2911</v>
          </cell>
          <cell r="K52">
            <v>2703</v>
          </cell>
          <cell r="L52">
            <v>13100</v>
          </cell>
          <cell r="M52">
            <v>5</v>
          </cell>
          <cell r="P52" t="str">
            <v>Antofagasta (II)</v>
          </cell>
          <cell r="Q52">
            <v>8407.239855758984</v>
          </cell>
          <cell r="R52">
            <v>16035.000519593295</v>
          </cell>
          <cell r="S52">
            <v>11219.685048243957</v>
          </cell>
          <cell r="T52">
            <v>7811.3445661795031</v>
          </cell>
          <cell r="U52">
            <v>4619.6932803257705</v>
          </cell>
          <cell r="V52">
            <v>5895.7518802333452</v>
          </cell>
          <cell r="W52">
            <v>1989.3272041011951</v>
          </cell>
          <cell r="X52">
            <v>3221.7470075496663</v>
          </cell>
          <cell r="Y52">
            <v>2525.0310502888087</v>
          </cell>
          <cell r="Z52">
            <v>1959.2314824052617</v>
          </cell>
          <cell r="AA52">
            <v>8702.1779283791311</v>
          </cell>
          <cell r="AB52">
            <v>6.0191443391866724</v>
          </cell>
        </row>
        <row r="53">
          <cell r="A53" t="str">
            <v>Atacama (III)</v>
          </cell>
          <cell r="B53">
            <v>9892</v>
          </cell>
          <cell r="C53">
            <v>11986</v>
          </cell>
          <cell r="D53">
            <v>6865</v>
          </cell>
          <cell r="E53">
            <v>4441</v>
          </cell>
          <cell r="F53">
            <v>2810</v>
          </cell>
          <cell r="G53">
            <v>3030</v>
          </cell>
          <cell r="H53">
            <v>1595</v>
          </cell>
          <cell r="I53">
            <v>2222</v>
          </cell>
          <cell r="J53">
            <v>1544</v>
          </cell>
          <cell r="K53">
            <v>1900</v>
          </cell>
          <cell r="L53">
            <v>6526</v>
          </cell>
          <cell r="M53">
            <v>1</v>
          </cell>
          <cell r="P53" t="str">
            <v>Atacama (III)</v>
          </cell>
          <cell r="Q53">
            <v>2136.7962404112686</v>
          </cell>
          <cell r="R53">
            <v>3942.5395421672702</v>
          </cell>
          <cell r="S53">
            <v>3787.5465754332135</v>
          </cell>
          <cell r="T53">
            <v>1766.6188635512883</v>
          </cell>
          <cell r="U53">
            <v>1646.2359767675548</v>
          </cell>
          <cell r="V53">
            <v>1543.9105230013813</v>
          </cell>
          <cell r="W53">
            <v>430.36882025184707</v>
          </cell>
          <cell r="X53">
            <v>958.54873601547752</v>
          </cell>
          <cell r="Y53">
            <v>708.7542459392306</v>
          </cell>
          <cell r="Z53">
            <v>588.3713591554972</v>
          </cell>
          <cell r="AA53">
            <v>3059.2301103916261</v>
          </cell>
          <cell r="AB53">
            <v>0</v>
          </cell>
        </row>
        <row r="54">
          <cell r="A54" t="str">
            <v>Coquimbo (IV)</v>
          </cell>
          <cell r="B54">
            <v>24882</v>
          </cell>
          <cell r="C54">
            <v>21870</v>
          </cell>
          <cell r="D54">
            <v>14630</v>
          </cell>
          <cell r="E54">
            <v>7621</v>
          </cell>
          <cell r="F54">
            <v>5116</v>
          </cell>
          <cell r="G54">
            <v>6181</v>
          </cell>
          <cell r="H54">
            <v>4091</v>
          </cell>
          <cell r="I54">
            <v>3729</v>
          </cell>
          <cell r="J54">
            <v>3201</v>
          </cell>
          <cell r="K54">
            <v>2877</v>
          </cell>
          <cell r="L54">
            <v>13639</v>
          </cell>
          <cell r="M54">
            <v>1</v>
          </cell>
          <cell r="P54" t="str">
            <v>Coquimbo (IV)</v>
          </cell>
          <cell r="Q54">
            <v>3420.3787707428264</v>
          </cell>
          <cell r="R54">
            <v>3510.6659358306265</v>
          </cell>
          <cell r="S54">
            <v>4997.3945876097341</v>
          </cell>
          <cell r="T54">
            <v>1786.181082653645</v>
          </cell>
          <cell r="U54">
            <v>1862.925172978275</v>
          </cell>
          <cell r="V54">
            <v>2103.6909465457416</v>
          </cell>
          <cell r="W54">
            <v>618.46708085143052</v>
          </cell>
          <cell r="X54">
            <v>969.08223860905423</v>
          </cell>
          <cell r="Y54">
            <v>941.99608908271421</v>
          </cell>
          <cell r="Z54">
            <v>495.07462189810383</v>
          </cell>
          <cell r="AA54">
            <v>2583.7177075958793</v>
          </cell>
          <cell r="AB54">
            <v>0</v>
          </cell>
        </row>
        <row r="55">
          <cell r="A55" t="str">
            <v>Valparaíso (V)</v>
          </cell>
          <cell r="B55">
            <v>52661</v>
          </cell>
          <cell r="C55">
            <v>54172</v>
          </cell>
          <cell r="D55">
            <v>30326</v>
          </cell>
          <cell r="E55">
            <v>16336</v>
          </cell>
          <cell r="F55">
            <v>14560</v>
          </cell>
          <cell r="G55">
            <v>9155</v>
          </cell>
          <cell r="H55">
            <v>9151</v>
          </cell>
          <cell r="I55">
            <v>8323</v>
          </cell>
          <cell r="J55">
            <v>5913</v>
          </cell>
          <cell r="K55">
            <v>6885</v>
          </cell>
          <cell r="L55">
            <v>28393</v>
          </cell>
          <cell r="M55">
            <v>0</v>
          </cell>
          <cell r="P55" t="str">
            <v>Valparaíso (V)</v>
          </cell>
          <cell r="Q55">
            <v>14194.647137886968</v>
          </cell>
          <cell r="R55">
            <v>16295.328512263117</v>
          </cell>
          <cell r="S55">
            <v>21939.78111633542</v>
          </cell>
          <cell r="T55">
            <v>8312.4383324167939</v>
          </cell>
          <cell r="U55">
            <v>9183.7094755140661</v>
          </cell>
          <cell r="V55">
            <v>8160.4549378523316</v>
          </cell>
          <cell r="W55">
            <v>3033.6487469500826</v>
          </cell>
          <cell r="X55">
            <v>4090.0085784773437</v>
          </cell>
          <cell r="Y55">
            <v>3325.5772474006362</v>
          </cell>
          <cell r="Z55">
            <v>2397.1242330810924</v>
          </cell>
          <cell r="AA55">
            <v>12176.728998174636</v>
          </cell>
          <cell r="AB55">
            <v>4.5143582543900038</v>
          </cell>
        </row>
        <row r="56">
          <cell r="A56" t="str">
            <v>Metropolitana (RM)</v>
          </cell>
          <cell r="B56">
            <v>532903</v>
          </cell>
          <cell r="C56">
            <v>497411</v>
          </cell>
          <cell r="D56">
            <v>304522</v>
          </cell>
          <cell r="E56">
            <v>163571</v>
          </cell>
          <cell r="F56">
            <v>160207</v>
          </cell>
          <cell r="G56">
            <v>101040</v>
          </cell>
          <cell r="H56">
            <v>54731</v>
          </cell>
          <cell r="I56">
            <v>71060</v>
          </cell>
          <cell r="J56">
            <v>51074</v>
          </cell>
          <cell r="K56">
            <v>55340</v>
          </cell>
          <cell r="L56">
            <v>264831</v>
          </cell>
          <cell r="M56">
            <v>2</v>
          </cell>
          <cell r="P56" t="str">
            <v>Metropolitana (RM)</v>
          </cell>
          <cell r="Q56">
            <v>166802.52792754106</v>
          </cell>
          <cell r="R56">
            <v>179037.94358302277</v>
          </cell>
          <cell r="S56">
            <v>256722.52521065073</v>
          </cell>
          <cell r="T56">
            <v>100336.12656207224</v>
          </cell>
          <cell r="U56">
            <v>138459.8820203958</v>
          </cell>
          <cell r="V56">
            <v>89987.712656925549</v>
          </cell>
          <cell r="W56">
            <v>34619.108666832144</v>
          </cell>
          <cell r="X56">
            <v>43044.405955608694</v>
          </cell>
          <cell r="Y56">
            <v>35067.534920101556</v>
          </cell>
          <cell r="Z56">
            <v>22033.077853592815</v>
          </cell>
          <cell r="AA56">
            <v>147419.37836927519</v>
          </cell>
          <cell r="AB56">
            <v>57.181871222273386</v>
          </cell>
        </row>
        <row r="57">
          <cell r="A57" t="str">
            <v>O'Higgins (VI)</v>
          </cell>
          <cell r="B57">
            <v>40778</v>
          </cell>
          <cell r="C57">
            <v>44438</v>
          </cell>
          <cell r="D57">
            <v>13540</v>
          </cell>
          <cell r="E57">
            <v>13884</v>
          </cell>
          <cell r="F57">
            <v>6950</v>
          </cell>
          <cell r="G57">
            <v>7124</v>
          </cell>
          <cell r="H57">
            <v>12153</v>
          </cell>
          <cell r="I57">
            <v>6047</v>
          </cell>
          <cell r="J57">
            <v>5706</v>
          </cell>
          <cell r="K57">
            <v>5614</v>
          </cell>
          <cell r="L57">
            <v>18123</v>
          </cell>
          <cell r="M57">
            <v>0</v>
          </cell>
          <cell r="P57" t="str">
            <v>O'Higgins (VI)</v>
          </cell>
          <cell r="Q57">
            <v>8726.2545057358784</v>
          </cell>
          <cell r="R57">
            <v>9523.7911306781116</v>
          </cell>
          <cell r="S57">
            <v>8008.4715432878675</v>
          </cell>
          <cell r="T57">
            <v>4759.638386211861</v>
          </cell>
          <cell r="U57">
            <v>4458.6811692525271</v>
          </cell>
          <cell r="V57">
            <v>4059.9128567814105</v>
          </cell>
          <cell r="W57">
            <v>1861.4203868934781</v>
          </cell>
          <cell r="X57">
            <v>1968.2601989140419</v>
          </cell>
          <cell r="Y57">
            <v>1447.6042135743946</v>
          </cell>
          <cell r="Z57">
            <v>1086.4555532231943</v>
          </cell>
          <cell r="AA57">
            <v>6387.8169299618557</v>
          </cell>
          <cell r="AB57">
            <v>1.5047860847966681</v>
          </cell>
        </row>
        <row r="58">
          <cell r="A58" t="str">
            <v>Maule (VII)</v>
          </cell>
          <cell r="B58">
            <v>41381</v>
          </cell>
          <cell r="C58">
            <v>39502</v>
          </cell>
          <cell r="D58">
            <v>19533</v>
          </cell>
          <cell r="E58">
            <v>12627</v>
          </cell>
          <cell r="F58">
            <v>4158</v>
          </cell>
          <cell r="G58">
            <v>11661</v>
          </cell>
          <cell r="H58">
            <v>7204</v>
          </cell>
          <cell r="I58">
            <v>5773</v>
          </cell>
          <cell r="J58">
            <v>4772</v>
          </cell>
          <cell r="K58">
            <v>4859</v>
          </cell>
          <cell r="L58">
            <v>16789</v>
          </cell>
          <cell r="M58">
            <v>0</v>
          </cell>
          <cell r="P58" t="str">
            <v>Maule (VII)</v>
          </cell>
          <cell r="Q58">
            <v>7763.1914114660103</v>
          </cell>
          <cell r="R58">
            <v>7799.3062775011294</v>
          </cell>
          <cell r="S58">
            <v>9898.4828657924827</v>
          </cell>
          <cell r="T58">
            <v>3733.3742763805335</v>
          </cell>
          <cell r="U58">
            <v>4297.6690581792836</v>
          </cell>
          <cell r="V58">
            <v>4112.5803697492938</v>
          </cell>
          <cell r="W58">
            <v>1279.0681720771679</v>
          </cell>
          <cell r="X58">
            <v>1703.417847989828</v>
          </cell>
          <cell r="Y58">
            <v>1679.3412706330814</v>
          </cell>
          <cell r="Z58">
            <v>1074.4172645448209</v>
          </cell>
          <cell r="AA58">
            <v>5916.8188854204991</v>
          </cell>
          <cell r="AB58">
            <v>0</v>
          </cell>
        </row>
        <row r="59">
          <cell r="A59" t="str">
            <v>Ñuble (XVI)</v>
          </cell>
          <cell r="B59">
            <v>12766</v>
          </cell>
          <cell r="C59">
            <v>13977</v>
          </cell>
          <cell r="D59">
            <v>10154</v>
          </cell>
          <cell r="E59">
            <v>6027</v>
          </cell>
          <cell r="F59">
            <v>2153</v>
          </cell>
          <cell r="G59">
            <v>5634</v>
          </cell>
          <cell r="H59">
            <v>2990</v>
          </cell>
          <cell r="I59">
            <v>2140</v>
          </cell>
          <cell r="J59">
            <v>1596</v>
          </cell>
          <cell r="K59">
            <v>2082</v>
          </cell>
          <cell r="L59">
            <v>7657</v>
          </cell>
          <cell r="M59">
            <v>2</v>
          </cell>
          <cell r="P59" t="str">
            <v>Ñuble (XVI)</v>
          </cell>
          <cell r="Q59">
            <v>999.17796030498755</v>
          </cell>
          <cell r="R59">
            <v>955.53916384588422</v>
          </cell>
          <cell r="S59">
            <v>1119.5608470887209</v>
          </cell>
          <cell r="T59">
            <v>385.22523770794703</v>
          </cell>
          <cell r="U59">
            <v>645.55323037777066</v>
          </cell>
          <cell r="V59">
            <v>606.42879217305722</v>
          </cell>
          <cell r="W59">
            <v>130.91638937731011</v>
          </cell>
          <cell r="X59">
            <v>225.71791271950019</v>
          </cell>
          <cell r="Y59">
            <v>141.4498919708868</v>
          </cell>
          <cell r="Z59">
            <v>161.01211107324346</v>
          </cell>
          <cell r="AA59">
            <v>829.13713272296411</v>
          </cell>
          <cell r="AB59">
            <v>0</v>
          </cell>
        </row>
        <row r="60">
          <cell r="A60" t="str">
            <v>Biobío (VIII)</v>
          </cell>
          <cell r="B60">
            <v>66057</v>
          </cell>
          <cell r="C60">
            <v>90043</v>
          </cell>
          <cell r="D60">
            <v>43947</v>
          </cell>
          <cell r="E60">
            <v>28361</v>
          </cell>
          <cell r="F60">
            <v>19256</v>
          </cell>
          <cell r="G60">
            <v>15104</v>
          </cell>
          <cell r="H60">
            <v>12673</v>
          </cell>
          <cell r="I60">
            <v>10146</v>
          </cell>
          <cell r="J60">
            <v>8692</v>
          </cell>
          <cell r="K60">
            <v>9245</v>
          </cell>
          <cell r="L60">
            <v>38015</v>
          </cell>
          <cell r="M60">
            <v>23</v>
          </cell>
          <cell r="P60" t="str">
            <v>Biobío (VIII)</v>
          </cell>
          <cell r="Q60">
            <v>19586.295679713432</v>
          </cell>
          <cell r="R60">
            <v>20574.940137424841</v>
          </cell>
          <cell r="S60">
            <v>27155.369686240672</v>
          </cell>
          <cell r="T60">
            <v>8711.2066448879104</v>
          </cell>
          <cell r="U60">
            <v>12078.917902662855</v>
          </cell>
          <cell r="V60">
            <v>9319.140223145765</v>
          </cell>
          <cell r="W60">
            <v>3590.4195983248501</v>
          </cell>
          <cell r="X60">
            <v>4248.0111173809937</v>
          </cell>
          <cell r="Y60">
            <v>3590.4195983248501</v>
          </cell>
          <cell r="Z60">
            <v>2345.9615061980053</v>
          </cell>
          <cell r="AA60">
            <v>15260.035685923011</v>
          </cell>
          <cell r="AB60">
            <v>3.0095721695933362</v>
          </cell>
        </row>
        <row r="61">
          <cell r="A61" t="str">
            <v>La Araucanía (IX)</v>
          </cell>
          <cell r="B61">
            <v>33206</v>
          </cell>
          <cell r="C61">
            <v>34087</v>
          </cell>
          <cell r="D61">
            <v>18985</v>
          </cell>
          <cell r="E61">
            <v>10051</v>
          </cell>
          <cell r="F61">
            <v>7807</v>
          </cell>
          <cell r="G61">
            <v>5695</v>
          </cell>
          <cell r="H61">
            <v>4719</v>
          </cell>
          <cell r="I61">
            <v>3993</v>
          </cell>
          <cell r="J61">
            <v>3300</v>
          </cell>
          <cell r="K61">
            <v>3293</v>
          </cell>
          <cell r="L61">
            <v>19154</v>
          </cell>
          <cell r="M61">
            <v>1</v>
          </cell>
          <cell r="P61" t="str">
            <v>La Araucanía (IX)</v>
          </cell>
          <cell r="Q61">
            <v>8766.883730025389</v>
          </cell>
          <cell r="R61">
            <v>8043.0816232381912</v>
          </cell>
          <cell r="S61">
            <v>11338.563148942894</v>
          </cell>
          <cell r="T61">
            <v>3278.9288787719397</v>
          </cell>
          <cell r="U61">
            <v>4706.9708732439776</v>
          </cell>
          <cell r="V61">
            <v>4527.9013291531746</v>
          </cell>
          <cell r="W61">
            <v>1483.7190796095147</v>
          </cell>
          <cell r="X61">
            <v>1893.0208946742084</v>
          </cell>
          <cell r="Y61">
            <v>1533.3770204078048</v>
          </cell>
          <cell r="Z61">
            <v>946.51044733710421</v>
          </cell>
          <cell r="AA61">
            <v>5942.4002488620417</v>
          </cell>
          <cell r="AB61">
            <v>3.0095721695933362</v>
          </cell>
        </row>
        <row r="62">
          <cell r="A62" t="str">
            <v>Los Ríos (XIV)</v>
          </cell>
          <cell r="B62">
            <v>6259</v>
          </cell>
          <cell r="C62">
            <v>8730</v>
          </cell>
          <cell r="D62">
            <v>8403</v>
          </cell>
          <cell r="E62">
            <v>3610</v>
          </cell>
          <cell r="F62">
            <v>3386</v>
          </cell>
          <cell r="G62">
            <v>3141</v>
          </cell>
          <cell r="H62">
            <v>891</v>
          </cell>
          <cell r="I62">
            <v>1557</v>
          </cell>
          <cell r="J62">
            <v>1437</v>
          </cell>
          <cell r="K62">
            <v>1131</v>
          </cell>
          <cell r="L62">
            <v>5011</v>
          </cell>
          <cell r="M62">
            <v>1</v>
          </cell>
          <cell r="P62" t="str">
            <v>Los Ríos (XIV)</v>
          </cell>
          <cell r="Q62">
            <v>2905.7419297423662</v>
          </cell>
          <cell r="R62">
            <v>3104.3736929355264</v>
          </cell>
          <cell r="S62">
            <v>5433.7825522007688</v>
          </cell>
          <cell r="T62">
            <v>1486.7286517791081</v>
          </cell>
          <cell r="U62">
            <v>2130.7770960720818</v>
          </cell>
          <cell r="V62">
            <v>1882.4873920806317</v>
          </cell>
          <cell r="W62">
            <v>377.70130728396367</v>
          </cell>
          <cell r="X62">
            <v>651.57237471695726</v>
          </cell>
          <cell r="Y62">
            <v>780.98397800947077</v>
          </cell>
          <cell r="Z62">
            <v>464.97890020217045</v>
          </cell>
          <cell r="AA62">
            <v>2419.696024353042</v>
          </cell>
          <cell r="AB62">
            <v>0</v>
          </cell>
        </row>
        <row r="63">
          <cell r="A63" t="str">
            <v>Los Lagos (X)</v>
          </cell>
          <cell r="B63">
            <v>27841</v>
          </cell>
          <cell r="C63">
            <v>37434</v>
          </cell>
          <cell r="D63">
            <v>27781</v>
          </cell>
          <cell r="E63">
            <v>12775</v>
          </cell>
          <cell r="F63">
            <v>13326</v>
          </cell>
          <cell r="G63">
            <v>8902</v>
          </cell>
          <cell r="H63">
            <v>3197</v>
          </cell>
          <cell r="I63">
            <v>4334</v>
          </cell>
          <cell r="J63">
            <v>3352</v>
          </cell>
          <cell r="K63">
            <v>4169</v>
          </cell>
          <cell r="L63">
            <v>18216</v>
          </cell>
          <cell r="M63">
            <v>0</v>
          </cell>
          <cell r="P63" t="str">
            <v>Los Lagos (X)</v>
          </cell>
          <cell r="Q63">
            <v>9502.7241254909586</v>
          </cell>
          <cell r="R63">
            <v>9886.4445771141091</v>
          </cell>
          <cell r="S63">
            <v>15341.294134502032</v>
          </cell>
          <cell r="T63">
            <v>4765.6575305510478</v>
          </cell>
          <cell r="U63">
            <v>6135.0128677160155</v>
          </cell>
          <cell r="V63">
            <v>5168.9402012765549</v>
          </cell>
          <cell r="W63">
            <v>1428.0419944720379</v>
          </cell>
          <cell r="X63">
            <v>1978.7937015076186</v>
          </cell>
          <cell r="Y63">
            <v>1566.4823142733314</v>
          </cell>
          <cell r="Z63">
            <v>1175.2379322261977</v>
          </cell>
          <cell r="AA63">
            <v>6897.9394127079258</v>
          </cell>
          <cell r="AB63">
            <v>3.0095721695933362</v>
          </cell>
        </row>
        <row r="64">
          <cell r="A64" t="str">
            <v>Aysén (XI)</v>
          </cell>
          <cell r="B64">
            <v>4724</v>
          </cell>
          <cell r="C64">
            <v>4041</v>
          </cell>
          <cell r="D64">
            <v>3324</v>
          </cell>
          <cell r="E64">
            <v>1933</v>
          </cell>
          <cell r="F64">
            <v>1422</v>
          </cell>
          <cell r="G64">
            <v>1101</v>
          </cell>
          <cell r="H64">
            <v>446</v>
          </cell>
          <cell r="I64">
            <v>779</v>
          </cell>
          <cell r="J64">
            <v>636</v>
          </cell>
          <cell r="K64">
            <v>533</v>
          </cell>
          <cell r="L64">
            <v>2475</v>
          </cell>
          <cell r="M64">
            <v>0</v>
          </cell>
          <cell r="P64" t="str">
            <v>Aysén (XI)</v>
          </cell>
          <cell r="Q64">
            <v>1131.5991357670944</v>
          </cell>
          <cell r="R64">
            <v>988.64445771141095</v>
          </cell>
          <cell r="S64">
            <v>1608.6163246476383</v>
          </cell>
          <cell r="T64">
            <v>496.57940798290042</v>
          </cell>
          <cell r="U64">
            <v>532.69427401802045</v>
          </cell>
          <cell r="V64">
            <v>526.67512967883374</v>
          </cell>
          <cell r="W64">
            <v>203.14612144755017</v>
          </cell>
          <cell r="X64">
            <v>222.70834054990686</v>
          </cell>
          <cell r="Y64">
            <v>255.81363441543357</v>
          </cell>
          <cell r="Z64">
            <v>123.39245895332678</v>
          </cell>
          <cell r="AA64">
            <v>720.79253461760391</v>
          </cell>
          <cell r="AB64">
            <v>0</v>
          </cell>
        </row>
        <row r="65">
          <cell r="A65" t="str">
            <v>Magallanes (XII)</v>
          </cell>
          <cell r="B65">
            <v>6278</v>
          </cell>
          <cell r="C65">
            <v>9025</v>
          </cell>
          <cell r="D65">
            <v>4683</v>
          </cell>
          <cell r="E65">
            <v>2781</v>
          </cell>
          <cell r="F65">
            <v>1537</v>
          </cell>
          <cell r="G65">
            <v>3037</v>
          </cell>
          <cell r="H65">
            <v>784</v>
          </cell>
          <cell r="I65">
            <v>1145</v>
          </cell>
          <cell r="J65">
            <v>1166</v>
          </cell>
          <cell r="K65">
            <v>895</v>
          </cell>
          <cell r="L65">
            <v>4477</v>
          </cell>
          <cell r="M65">
            <v>0</v>
          </cell>
          <cell r="P65" t="str">
            <v>Magallanes (XII)</v>
          </cell>
          <cell r="Q65">
            <v>2443.7726017097889</v>
          </cell>
          <cell r="R65">
            <v>3701.7737685998031</v>
          </cell>
          <cell r="S65">
            <v>3632.5536086991569</v>
          </cell>
          <cell r="T65">
            <v>1923.1166163701419</v>
          </cell>
          <cell r="U65">
            <v>1677.8364845482847</v>
          </cell>
          <cell r="V65">
            <v>1322.7069685362712</v>
          </cell>
          <cell r="W65">
            <v>437.89275067583037</v>
          </cell>
          <cell r="X65">
            <v>600.40964783387051</v>
          </cell>
          <cell r="Y65">
            <v>741.85953980475733</v>
          </cell>
          <cell r="Z65">
            <v>391.24438204713368</v>
          </cell>
          <cell r="AA65">
            <v>2335.4280036044288</v>
          </cell>
          <cell r="AB65">
            <v>0</v>
          </cell>
        </row>
        <row r="66">
          <cell r="A66" t="str">
            <v>Sin información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P66" t="str">
            <v>Sin información</v>
          </cell>
          <cell r="Q66">
            <v>1917.097472030955</v>
          </cell>
          <cell r="R66">
            <v>2553.6219858999457</v>
          </cell>
          <cell r="S66">
            <v>2881.6653523856194</v>
          </cell>
          <cell r="T66">
            <v>1184.2666487349777</v>
          </cell>
          <cell r="U66">
            <v>841.17542140133742</v>
          </cell>
          <cell r="V66">
            <v>1638.7120463435715</v>
          </cell>
          <cell r="W66">
            <v>439.39753676062702</v>
          </cell>
          <cell r="X66">
            <v>499.58898015249378</v>
          </cell>
          <cell r="Y66">
            <v>449.93103935420373</v>
          </cell>
          <cell r="Z66">
            <v>278.38542568738359</v>
          </cell>
          <cell r="AA66">
            <v>1557.4535977645514</v>
          </cell>
          <cell r="AB66">
            <v>0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1006447</v>
          </cell>
          <cell r="C6">
            <v>294794.47589727159</v>
          </cell>
        </row>
        <row r="7">
          <cell r="A7" t="str">
            <v>Enf. osteomusculares</v>
          </cell>
          <cell r="B7">
            <v>965688</v>
          </cell>
          <cell r="C7">
            <v>309965.34549744055</v>
          </cell>
        </row>
        <row r="8">
          <cell r="A8" t="str">
            <v>Enf. respiratorias</v>
          </cell>
          <cell r="B8">
            <v>577880</v>
          </cell>
          <cell r="C8">
            <v>437944.86892443913</v>
          </cell>
        </row>
        <row r="9">
          <cell r="A9" t="str">
            <v>Traumatismos, envenenamientos y otros</v>
          </cell>
          <cell r="B9">
            <v>337334</v>
          </cell>
          <cell r="C9">
            <v>162474.12481195343</v>
          </cell>
        </row>
        <row r="10">
          <cell r="A10" t="str">
            <v>Enf. infecciosas</v>
          </cell>
          <cell r="B10">
            <v>252645</v>
          </cell>
          <cell r="C10">
            <v>181349.97011643232</v>
          </cell>
        </row>
        <row r="11">
          <cell r="A11" t="str">
            <v>Enf. del Sistema Digestivo</v>
          </cell>
          <cell r="B11">
            <v>218479</v>
          </cell>
          <cell r="C11">
            <v>170509.64881273982</v>
          </cell>
        </row>
        <row r="12">
          <cell r="A12" t="str">
            <v>Afecciones del embarazo, Parto y Puerperio</v>
          </cell>
          <cell r="B12">
            <v>117867</v>
          </cell>
          <cell r="C12">
            <v>50392.368715458048</v>
          </cell>
        </row>
        <row r="13">
          <cell r="A13" t="str">
            <v>Enfermedades del Sist. Genito urinario</v>
          </cell>
          <cell r="B13">
            <v>130251</v>
          </cell>
          <cell r="C13">
            <v>69398.908763370782</v>
          </cell>
        </row>
        <row r="14">
          <cell r="A14" t="str">
            <v>Tumores y Cánceres</v>
          </cell>
          <cell r="B14">
            <v>102935</v>
          </cell>
          <cell r="C14">
            <v>60085.806933511973</v>
          </cell>
        </row>
        <row r="15">
          <cell r="A15" t="str">
            <v>Enf. cardiovasculares</v>
          </cell>
          <cell r="B15">
            <v>108262</v>
          </cell>
          <cell r="C15">
            <v>38043.918181354806</v>
          </cell>
        </row>
        <row r="16">
          <cell r="A16" t="str">
            <v>Otros diagnósticos</v>
          </cell>
          <cell r="B16">
            <v>493245</v>
          </cell>
          <cell r="C16">
            <v>241205.22564860596</v>
          </cell>
        </row>
        <row r="17">
          <cell r="A17" t="str">
            <v>Sin información</v>
          </cell>
          <cell r="B17">
            <v>131</v>
          </cell>
          <cell r="C17">
            <v>543.33769742159564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252112</v>
          </cell>
          <cell r="C24">
            <v>391891</v>
          </cell>
          <cell r="D24">
            <v>182980</v>
          </cell>
          <cell r="E24">
            <v>195086</v>
          </cell>
          <cell r="F24">
            <v>89779</v>
          </cell>
          <cell r="G24">
            <v>88703</v>
          </cell>
          <cell r="H24">
            <v>204</v>
          </cell>
          <cell r="I24">
            <v>40403</v>
          </cell>
          <cell r="J24">
            <v>48738</v>
          </cell>
          <cell r="K24">
            <v>69363</v>
          </cell>
          <cell r="L24">
            <v>191307</v>
          </cell>
          <cell r="M24">
            <v>69</v>
          </cell>
          <cell r="P24" t="str">
            <v>Hombre</v>
          </cell>
          <cell r="Q24">
            <v>122976.41116993004</v>
          </cell>
          <cell r="R24">
            <v>172851.87483270591</v>
          </cell>
          <cell r="S24">
            <v>196212.45886130794</v>
          </cell>
          <cell r="T24">
            <v>107837.84813555374</v>
          </cell>
          <cell r="U24">
            <v>89326.185936373644</v>
          </cell>
          <cell r="V24">
            <v>88417.196653389939</v>
          </cell>
          <cell r="W24">
            <v>3850.3552503768219</v>
          </cell>
          <cell r="X24">
            <v>24802.631647164195</v>
          </cell>
          <cell r="Y24">
            <v>28561.941121216318</v>
          </cell>
          <cell r="Z24">
            <v>24520.683436610285</v>
          </cell>
          <cell r="AA24">
            <v>109857.00849759346</v>
          </cell>
          <cell r="AB24">
            <v>187.96547370260609</v>
          </cell>
        </row>
        <row r="25">
          <cell r="A25" t="str">
            <v>Mujer</v>
          </cell>
          <cell r="B25">
            <v>754335</v>
          </cell>
          <cell r="C25">
            <v>573797</v>
          </cell>
          <cell r="D25">
            <v>394900</v>
          </cell>
          <cell r="E25">
            <v>142248</v>
          </cell>
          <cell r="F25">
            <v>162866</v>
          </cell>
          <cell r="G25">
            <v>129776</v>
          </cell>
          <cell r="H25">
            <v>117663</v>
          </cell>
          <cell r="I25">
            <v>89848</v>
          </cell>
          <cell r="J25">
            <v>54197</v>
          </cell>
          <cell r="K25">
            <v>38899</v>
          </cell>
          <cell r="L25">
            <v>301938</v>
          </cell>
          <cell r="M25">
            <v>62</v>
          </cell>
          <cell r="P25" t="str">
            <v>Mujer</v>
          </cell>
          <cell r="Q25">
            <v>171818.06472734161</v>
          </cell>
          <cell r="R25">
            <v>137113.47066473463</v>
          </cell>
          <cell r="S25">
            <v>241732.41006313125</v>
          </cell>
          <cell r="T25">
            <v>54636.276676399706</v>
          </cell>
          <cell r="U25">
            <v>92023.78418005869</v>
          </cell>
          <cell r="V25">
            <v>82092.452159349908</v>
          </cell>
          <cell r="W25">
            <v>46542.013465081232</v>
          </cell>
          <cell r="X25">
            <v>44596.277116206598</v>
          </cell>
          <cell r="Y25">
            <v>31523.865812295666</v>
          </cell>
          <cell r="Z25">
            <v>13523.234744744528</v>
          </cell>
          <cell r="AA25">
            <v>131348.2171510125</v>
          </cell>
          <cell r="AB25">
            <v>355.37222371898963</v>
          </cell>
        </row>
        <row r="26">
          <cell r="A26" t="str">
            <v>Sin información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P26" t="str">
            <v>Sin información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3922</v>
          </cell>
          <cell r="C33">
            <v>4629</v>
          </cell>
          <cell r="D33">
            <v>4615</v>
          </cell>
          <cell r="E33">
            <v>3772</v>
          </cell>
          <cell r="F33">
            <v>2765</v>
          </cell>
          <cell r="G33">
            <v>1889</v>
          </cell>
          <cell r="H33">
            <v>1091</v>
          </cell>
          <cell r="I33">
            <v>771</v>
          </cell>
          <cell r="J33">
            <v>103</v>
          </cell>
          <cell r="K33">
            <v>161</v>
          </cell>
          <cell r="L33">
            <v>3101</v>
          </cell>
          <cell r="M33">
            <v>7</v>
          </cell>
          <cell r="P33" t="str">
            <v>19 y menos</v>
          </cell>
          <cell r="Q33">
            <v>226.14596054844796</v>
          </cell>
          <cell r="R33">
            <v>230.5514013383528</v>
          </cell>
          <cell r="S33">
            <v>402.36359214464113</v>
          </cell>
          <cell r="T33">
            <v>239.36228291816244</v>
          </cell>
          <cell r="U33">
            <v>214.39811844203507</v>
          </cell>
          <cell r="V33">
            <v>149.78498685676422</v>
          </cell>
          <cell r="W33">
            <v>20.558723686222542</v>
          </cell>
          <cell r="X33">
            <v>35.243526319238647</v>
          </cell>
          <cell r="Y33">
            <v>1.4684802633016101</v>
          </cell>
          <cell r="Z33">
            <v>10.279361843111271</v>
          </cell>
          <cell r="AA33">
            <v>180.62307238609804</v>
          </cell>
          <cell r="AB33">
            <v>1.4684802633016101</v>
          </cell>
        </row>
        <row r="34">
          <cell r="A34" t="str">
            <v>20-24</v>
          </cell>
          <cell r="B34">
            <v>76671</v>
          </cell>
          <cell r="C34">
            <v>56398</v>
          </cell>
          <cell r="D34">
            <v>47550</v>
          </cell>
          <cell r="E34">
            <v>32168</v>
          </cell>
          <cell r="F34">
            <v>30758</v>
          </cell>
          <cell r="G34">
            <v>18567</v>
          </cell>
          <cell r="H34">
            <v>17724</v>
          </cell>
          <cell r="I34">
            <v>9071</v>
          </cell>
          <cell r="J34">
            <v>1416</v>
          </cell>
          <cell r="K34">
            <v>1690</v>
          </cell>
          <cell r="L34">
            <v>32841</v>
          </cell>
          <cell r="M34">
            <v>20</v>
          </cell>
          <cell r="P34" t="str">
            <v>20-24</v>
          </cell>
          <cell r="Q34">
            <v>8407.0495074017181</v>
          </cell>
          <cell r="R34">
            <v>8459.9147968805755</v>
          </cell>
          <cell r="S34">
            <v>12490.893119643495</v>
          </cell>
          <cell r="T34">
            <v>7125.0662375394122</v>
          </cell>
          <cell r="U34">
            <v>8185.308987643175</v>
          </cell>
          <cell r="V34">
            <v>5105.9058754996986</v>
          </cell>
          <cell r="W34">
            <v>1223.2440593302413</v>
          </cell>
          <cell r="X34">
            <v>1605.04892778866</v>
          </cell>
          <cell r="Y34">
            <v>415.57991451435566</v>
          </cell>
          <cell r="Z34">
            <v>393.5527105648315</v>
          </cell>
          <cell r="AA34">
            <v>6699.2069611819452</v>
          </cell>
          <cell r="AB34">
            <v>11.747842106412881</v>
          </cell>
        </row>
        <row r="35">
          <cell r="A35" t="str">
            <v>25-34</v>
          </cell>
          <cell r="B35">
            <v>363658</v>
          </cell>
          <cell r="C35">
            <v>223085</v>
          </cell>
          <cell r="D35">
            <v>186198</v>
          </cell>
          <cell r="E35">
            <v>89645</v>
          </cell>
          <cell r="F35">
            <v>101355</v>
          </cell>
          <cell r="G35">
            <v>66067</v>
          </cell>
          <cell r="H35">
            <v>72200</v>
          </cell>
          <cell r="I35">
            <v>35929</v>
          </cell>
          <cell r="J35">
            <v>9192</v>
          </cell>
          <cell r="K35">
            <v>9315</v>
          </cell>
          <cell r="L35">
            <v>124008</v>
          </cell>
          <cell r="M35">
            <v>25</v>
          </cell>
          <cell r="P35" t="str">
            <v>25-34</v>
          </cell>
          <cell r="Q35">
            <v>103165.14393772802</v>
          </cell>
          <cell r="R35">
            <v>88643.342613938396</v>
          </cell>
          <cell r="S35">
            <v>157976.16976546063</v>
          </cell>
          <cell r="T35">
            <v>56032.801406799539</v>
          </cell>
          <cell r="U35">
            <v>84521.318514850776</v>
          </cell>
          <cell r="V35">
            <v>61664.423216561212</v>
          </cell>
          <cell r="W35">
            <v>29302.055173920326</v>
          </cell>
          <cell r="X35">
            <v>20708.508673079308</v>
          </cell>
          <cell r="Y35">
            <v>7390.8611651970041</v>
          </cell>
          <cell r="Z35">
            <v>5483.305303168212</v>
          </cell>
          <cell r="AA35">
            <v>78299.367639241857</v>
          </cell>
          <cell r="AB35">
            <v>221.74051975854312</v>
          </cell>
        </row>
        <row r="36">
          <cell r="A36" t="str">
            <v>35-44</v>
          </cell>
          <cell r="B36">
            <v>271036</v>
          </cell>
          <cell r="C36">
            <v>216298</v>
          </cell>
          <cell r="D36">
            <v>135255</v>
          </cell>
          <cell r="E36">
            <v>69881</v>
          </cell>
          <cell r="F36">
            <v>57554</v>
          </cell>
          <cell r="G36">
            <v>50628</v>
          </cell>
          <cell r="H36">
            <v>26067</v>
          </cell>
          <cell r="I36">
            <v>31685</v>
          </cell>
          <cell r="J36">
            <v>17490</v>
          </cell>
          <cell r="K36">
            <v>15449</v>
          </cell>
          <cell r="L36">
            <v>110708</v>
          </cell>
          <cell r="M36">
            <v>22</v>
          </cell>
          <cell r="P36" t="str">
            <v>35-44</v>
          </cell>
          <cell r="Q36">
            <v>94973.961029031634</v>
          </cell>
          <cell r="R36">
            <v>88420.133613916551</v>
          </cell>
          <cell r="S36">
            <v>131674.21976946548</v>
          </cell>
          <cell r="T36">
            <v>45198.35402416026</v>
          </cell>
          <cell r="U36">
            <v>52452.646524870215</v>
          </cell>
          <cell r="V36">
            <v>50258.737011497607</v>
          </cell>
          <cell r="W36">
            <v>19279.677376886837</v>
          </cell>
          <cell r="X36">
            <v>22826.057212760228</v>
          </cell>
          <cell r="Y36">
            <v>14065.103961902822</v>
          </cell>
          <cell r="Z36">
            <v>8802.0706982298507</v>
          </cell>
          <cell r="AA36">
            <v>69441.494691006548</v>
          </cell>
          <cell r="AB36">
            <v>183.56003291270127</v>
          </cell>
        </row>
        <row r="37">
          <cell r="A37" t="str">
            <v>45-54</v>
          </cell>
          <cell r="B37">
            <v>167610</v>
          </cell>
          <cell r="C37">
            <v>232842</v>
          </cell>
          <cell r="D37">
            <v>106174</v>
          </cell>
          <cell r="E37">
            <v>70894</v>
          </cell>
          <cell r="F37">
            <v>34768</v>
          </cell>
          <cell r="G37">
            <v>40940</v>
          </cell>
          <cell r="H37">
            <v>611</v>
          </cell>
          <cell r="I37">
            <v>26134</v>
          </cell>
          <cell r="J37">
            <v>27879</v>
          </cell>
          <cell r="K37">
            <v>26204</v>
          </cell>
          <cell r="L37">
            <v>107440</v>
          </cell>
          <cell r="M37">
            <v>29</v>
          </cell>
          <cell r="P37" t="str">
            <v>45-54</v>
          </cell>
          <cell r="Q37">
            <v>50664.037564168852</v>
          </cell>
          <cell r="R37">
            <v>65903.925736712961</v>
          </cell>
          <cell r="S37">
            <v>75256.676533680919</v>
          </cell>
          <cell r="T37">
            <v>29647.148035796206</v>
          </cell>
          <cell r="U37">
            <v>22053.636594263582</v>
          </cell>
          <cell r="V37">
            <v>30014.268101621612</v>
          </cell>
          <cell r="W37">
            <v>533.0583355784845</v>
          </cell>
          <cell r="X37">
            <v>13407.224803943702</v>
          </cell>
          <cell r="Y37">
            <v>16209.085146323174</v>
          </cell>
          <cell r="Z37">
            <v>9947.4853036051063</v>
          </cell>
          <cell r="AA37">
            <v>46080.910662404523</v>
          </cell>
          <cell r="AB37">
            <v>82.23489474489017</v>
          </cell>
        </row>
        <row r="38">
          <cell r="A38" t="str">
            <v>55-64</v>
          </cell>
          <cell r="B38">
            <v>102288</v>
          </cell>
          <cell r="C38">
            <v>184282</v>
          </cell>
          <cell r="D38">
            <v>75901</v>
          </cell>
          <cell r="E38">
            <v>55774</v>
          </cell>
          <cell r="F38">
            <v>21027</v>
          </cell>
          <cell r="G38">
            <v>31120</v>
          </cell>
          <cell r="H38">
            <v>70</v>
          </cell>
          <cell r="I38">
            <v>19118</v>
          </cell>
          <cell r="J38">
            <v>30748</v>
          </cell>
          <cell r="K38">
            <v>36016</v>
          </cell>
          <cell r="L38">
            <v>86522</v>
          </cell>
          <cell r="M38">
            <v>23</v>
          </cell>
          <cell r="P38" t="str">
            <v>55-64</v>
          </cell>
          <cell r="Q38">
            <v>31858.67931232843</v>
          </cell>
          <cell r="R38">
            <v>48684.526169238277</v>
          </cell>
          <cell r="S38">
            <v>49887.211504882303</v>
          </cell>
          <cell r="T38">
            <v>20107.900245388948</v>
          </cell>
          <cell r="U38">
            <v>12007.763113017267</v>
          </cell>
          <cell r="V38">
            <v>19665.887686135164</v>
          </cell>
          <cell r="W38">
            <v>29.369605266032202</v>
          </cell>
          <cell r="X38">
            <v>8664.0335534795013</v>
          </cell>
          <cell r="Y38">
            <v>15937.416297612375</v>
          </cell>
          <cell r="Z38">
            <v>9921.0526588656776</v>
          </cell>
          <cell r="AA38">
            <v>32722.145707149775</v>
          </cell>
          <cell r="AB38">
            <v>33.775046055937032</v>
          </cell>
        </row>
        <row r="39">
          <cell r="A39" t="str">
            <v>65 y más</v>
          </cell>
          <cell r="B39">
            <v>21262</v>
          </cell>
          <cell r="C39">
            <v>48154</v>
          </cell>
          <cell r="D39">
            <v>22187</v>
          </cell>
          <cell r="E39">
            <v>15200</v>
          </cell>
          <cell r="F39">
            <v>4418</v>
          </cell>
          <cell r="G39">
            <v>9268</v>
          </cell>
          <cell r="H39">
            <v>104</v>
          </cell>
          <cell r="I39">
            <v>7543</v>
          </cell>
          <cell r="J39">
            <v>16107</v>
          </cell>
          <cell r="K39">
            <v>19427</v>
          </cell>
          <cell r="L39">
            <v>28625</v>
          </cell>
          <cell r="M39">
            <v>5</v>
          </cell>
          <cell r="P39" t="str">
            <v>65 y más</v>
          </cell>
          <cell r="Q39">
            <v>5499.4585860645293</v>
          </cell>
          <cell r="R39">
            <v>9622.9511654154521</v>
          </cell>
          <cell r="S39">
            <v>10251.460718108539</v>
          </cell>
          <cell r="T39">
            <v>4123.492579350921</v>
          </cell>
          <cell r="U39">
            <v>1914.8982633452995</v>
          </cell>
          <cell r="V39">
            <v>3650.6419345678028</v>
          </cell>
          <cell r="W39">
            <v>4.4054407899048309</v>
          </cell>
          <cell r="X39">
            <v>2151.3235857368586</v>
          </cell>
          <cell r="Y39">
            <v>6066.2919676989513</v>
          </cell>
          <cell r="Z39">
            <v>3486.1721450780224</v>
          </cell>
          <cell r="AA39">
            <v>7781.4769152352319</v>
          </cell>
          <cell r="AB39">
            <v>8.8108815798096618</v>
          </cell>
        </row>
        <row r="40">
          <cell r="A40" t="str">
            <v>Sin información</v>
          </cell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P40" t="str">
            <v>Sin información</v>
          </cell>
          <cell r="Q40">
            <v>0</v>
          </cell>
          <cell r="R40">
            <v>0</v>
          </cell>
          <cell r="S40">
            <v>5.8739210532064403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1.4684802633016101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2672</v>
          </cell>
          <cell r="C47">
            <v>4499</v>
          </cell>
          <cell r="D47">
            <v>5128</v>
          </cell>
          <cell r="E47">
            <v>2322</v>
          </cell>
          <cell r="F47">
            <v>2334</v>
          </cell>
          <cell r="G47">
            <v>2823</v>
          </cell>
          <cell r="H47">
            <v>1543</v>
          </cell>
          <cell r="I47">
            <v>1505</v>
          </cell>
          <cell r="J47">
            <v>1155</v>
          </cell>
          <cell r="K47">
            <v>857</v>
          </cell>
          <cell r="L47">
            <v>3424</v>
          </cell>
          <cell r="M47"/>
          <cell r="P47" t="str">
            <v>Arica y Parinacota (XV)</v>
          </cell>
          <cell r="Q47">
            <v>1152.757006691764</v>
          </cell>
          <cell r="R47">
            <v>1511.0661909373569</v>
          </cell>
          <cell r="S47">
            <v>2898.7800397573783</v>
          </cell>
          <cell r="T47">
            <v>884.02511850756923</v>
          </cell>
          <cell r="U47">
            <v>1444.9845790887844</v>
          </cell>
          <cell r="V47">
            <v>1766.581756751837</v>
          </cell>
          <cell r="W47">
            <v>348.02982240248161</v>
          </cell>
          <cell r="X47">
            <v>560.95946058121513</v>
          </cell>
          <cell r="Y47">
            <v>571.23882242432637</v>
          </cell>
          <cell r="Z47">
            <v>309.84933555663974</v>
          </cell>
          <cell r="AA47">
            <v>1558.0575593630085</v>
          </cell>
          <cell r="AB47">
            <v>4.4054407899048309</v>
          </cell>
        </row>
        <row r="48">
          <cell r="A48" t="str">
            <v>Tarapacá (I)</v>
          </cell>
          <cell r="B48">
            <v>17655</v>
          </cell>
          <cell r="C48">
            <v>16089</v>
          </cell>
          <cell r="D48">
            <v>9532</v>
          </cell>
          <cell r="E48">
            <v>5662</v>
          </cell>
          <cell r="F48">
            <v>7434</v>
          </cell>
          <cell r="G48">
            <v>3896</v>
          </cell>
          <cell r="H48">
            <v>2022</v>
          </cell>
          <cell r="I48">
            <v>2975</v>
          </cell>
          <cell r="J48">
            <v>1973</v>
          </cell>
          <cell r="K48">
            <v>1738</v>
          </cell>
          <cell r="L48">
            <v>8303</v>
          </cell>
          <cell r="M48">
            <v>6</v>
          </cell>
          <cell r="P48" t="str">
            <v>Tarapacá (I)</v>
          </cell>
          <cell r="Q48">
            <v>4439.2158359607674</v>
          </cell>
          <cell r="R48">
            <v>5204.2940531409067</v>
          </cell>
          <cell r="S48">
            <v>4737.3173294109947</v>
          </cell>
          <cell r="T48">
            <v>2697.5982436850582</v>
          </cell>
          <cell r="U48">
            <v>2185.0986317927959</v>
          </cell>
          <cell r="V48">
            <v>2612.4263884135644</v>
          </cell>
          <cell r="W48">
            <v>582.98666453073929</v>
          </cell>
          <cell r="X48">
            <v>1077.8645132633817</v>
          </cell>
          <cell r="Y48">
            <v>976.53937509557068</v>
          </cell>
          <cell r="Z48">
            <v>750.3934145471228</v>
          </cell>
          <cell r="AA48">
            <v>3537.5689542935788</v>
          </cell>
          <cell r="AB48">
            <v>1.4684802633016101</v>
          </cell>
        </row>
        <row r="49">
          <cell r="A49" t="str">
            <v>Antofagasta (II)</v>
          </cell>
          <cell r="B49">
            <v>24616</v>
          </cell>
          <cell r="C49">
            <v>27743</v>
          </cell>
          <cell r="D49">
            <v>13521</v>
          </cell>
          <cell r="E49">
            <v>10315</v>
          </cell>
          <cell r="F49">
            <v>6273</v>
          </cell>
          <cell r="G49">
            <v>5980</v>
          </cell>
          <cell r="H49">
            <v>3649</v>
          </cell>
          <cell r="I49">
            <v>4744</v>
          </cell>
          <cell r="J49">
            <v>3772</v>
          </cell>
          <cell r="K49">
            <v>3480</v>
          </cell>
          <cell r="L49">
            <v>14195</v>
          </cell>
          <cell r="M49">
            <v>1</v>
          </cell>
          <cell r="P49" t="str">
            <v>Antofagasta (II)</v>
          </cell>
          <cell r="Q49">
            <v>11095.836869506966</v>
          </cell>
          <cell r="R49">
            <v>16858.153422702482</v>
          </cell>
          <cell r="S49">
            <v>12718.507560455246</v>
          </cell>
          <cell r="T49">
            <v>8445.2299942475584</v>
          </cell>
          <cell r="U49">
            <v>4907.6610399539804</v>
          </cell>
          <cell r="V49">
            <v>6374.6728229922892</v>
          </cell>
          <cell r="W49">
            <v>1862.0329738664416</v>
          </cell>
          <cell r="X49">
            <v>3467.0819016551018</v>
          </cell>
          <cell r="Y49">
            <v>2666.7601581557242</v>
          </cell>
          <cell r="Z49">
            <v>2083.7734936249844</v>
          </cell>
          <cell r="AA49">
            <v>9806.5111983281513</v>
          </cell>
          <cell r="AB49">
            <v>16.153282896317712</v>
          </cell>
        </row>
        <row r="50">
          <cell r="A50" t="str">
            <v>Atacama (III)</v>
          </cell>
          <cell r="B50">
            <v>11673</v>
          </cell>
          <cell r="C50">
            <v>15027</v>
          </cell>
          <cell r="D50">
            <v>9074</v>
          </cell>
          <cell r="E50">
            <v>5696</v>
          </cell>
          <cell r="F50">
            <v>3200</v>
          </cell>
          <cell r="G50">
            <v>3800</v>
          </cell>
          <cell r="H50">
            <v>1828</v>
          </cell>
          <cell r="I50">
            <v>2604</v>
          </cell>
          <cell r="J50">
            <v>1942</v>
          </cell>
          <cell r="K50">
            <v>2208</v>
          </cell>
          <cell r="L50">
            <v>8267</v>
          </cell>
          <cell r="M50"/>
          <cell r="P50" t="str">
            <v>Atacama (III)</v>
          </cell>
          <cell r="Q50">
            <v>2387.748908128418</v>
          </cell>
          <cell r="R50">
            <v>3630.0832108815803</v>
          </cell>
          <cell r="S50">
            <v>4029.5098424996181</v>
          </cell>
          <cell r="T50">
            <v>1751.896954118821</v>
          </cell>
          <cell r="U50">
            <v>1443.5160988254827</v>
          </cell>
          <cell r="V50">
            <v>1722.5273488527887</v>
          </cell>
          <cell r="W50">
            <v>544.80617768489731</v>
          </cell>
          <cell r="X50">
            <v>809.13262507918716</v>
          </cell>
          <cell r="Y50">
            <v>762.14125665353572</v>
          </cell>
          <cell r="Z50">
            <v>534.52681584178606</v>
          </cell>
          <cell r="AA50">
            <v>2953.1138094995381</v>
          </cell>
          <cell r="AB50">
            <v>1.4684802633016101</v>
          </cell>
        </row>
        <row r="51">
          <cell r="A51" t="str">
            <v>Coquimbo (IV)</v>
          </cell>
          <cell r="B51">
            <v>26748</v>
          </cell>
          <cell r="C51">
            <v>24130</v>
          </cell>
          <cell r="D51">
            <v>17539</v>
          </cell>
          <cell r="E51">
            <v>9204</v>
          </cell>
          <cell r="F51">
            <v>6221</v>
          </cell>
          <cell r="G51">
            <v>7251</v>
          </cell>
          <cell r="H51">
            <v>3555</v>
          </cell>
          <cell r="I51">
            <v>4180</v>
          </cell>
          <cell r="J51">
            <v>2378</v>
          </cell>
          <cell r="K51">
            <v>2626</v>
          </cell>
          <cell r="L51">
            <v>14430</v>
          </cell>
          <cell r="M51">
            <v>1</v>
          </cell>
          <cell r="P51" t="str">
            <v>Coquimbo (IV)</v>
          </cell>
          <cell r="Q51">
            <v>3810.7062832676779</v>
          </cell>
          <cell r="R51">
            <v>3732.8768293126927</v>
          </cell>
          <cell r="S51">
            <v>5531.7651518571656</v>
          </cell>
          <cell r="T51">
            <v>1693.1577435867564</v>
          </cell>
          <cell r="U51">
            <v>2036.7821251993332</v>
          </cell>
          <cell r="V51">
            <v>2373.0641054954021</v>
          </cell>
          <cell r="W51">
            <v>538.93225663169085</v>
          </cell>
          <cell r="X51">
            <v>978.00785535887235</v>
          </cell>
          <cell r="Y51">
            <v>857.59247376814028</v>
          </cell>
          <cell r="Z51">
            <v>469.91368425651524</v>
          </cell>
          <cell r="AA51">
            <v>2766.6168160602333</v>
          </cell>
          <cell r="AB51">
            <v>8.8108815798096618</v>
          </cell>
        </row>
        <row r="52">
          <cell r="A52" t="str">
            <v>Valparaíso (V)</v>
          </cell>
          <cell r="B52">
            <v>75882</v>
          </cell>
          <cell r="C52">
            <v>76777</v>
          </cell>
          <cell r="D52">
            <v>51691</v>
          </cell>
          <cell r="E52">
            <v>28120</v>
          </cell>
          <cell r="F52">
            <v>20582</v>
          </cell>
          <cell r="G52">
            <v>16300</v>
          </cell>
          <cell r="H52">
            <v>10996</v>
          </cell>
          <cell r="I52">
            <v>12111</v>
          </cell>
          <cell r="J52">
            <v>9186</v>
          </cell>
          <cell r="K52">
            <v>9715</v>
          </cell>
          <cell r="L52">
            <v>41381</v>
          </cell>
          <cell r="M52">
            <v>7</v>
          </cell>
          <cell r="P52" t="str">
            <v>Valparaíso (V)</v>
          </cell>
          <cell r="Q52">
            <v>15325.060027815603</v>
          </cell>
          <cell r="R52">
            <v>16380.89733712946</v>
          </cell>
          <cell r="S52">
            <v>23824.623791805323</v>
          </cell>
          <cell r="T52">
            <v>8652.2857113730861</v>
          </cell>
          <cell r="U52">
            <v>8371.8059810824798</v>
          </cell>
          <cell r="V52">
            <v>8553.8975337318789</v>
          </cell>
          <cell r="W52">
            <v>2613.8948686768663</v>
          </cell>
          <cell r="X52">
            <v>4105.8708161913019</v>
          </cell>
          <cell r="Y52">
            <v>3616.8668885118659</v>
          </cell>
          <cell r="Z52">
            <v>2154.2605462634624</v>
          </cell>
          <cell r="AA52">
            <v>12382.225580159176</v>
          </cell>
          <cell r="AB52">
            <v>19.090243422920931</v>
          </cell>
        </row>
        <row r="53">
          <cell r="A53" t="str">
            <v>Metropolitana (RM)</v>
          </cell>
          <cell r="B53">
            <v>574724</v>
          </cell>
          <cell r="C53">
            <v>494435</v>
          </cell>
          <cell r="D53">
            <v>309288</v>
          </cell>
          <cell r="E53">
            <v>166566</v>
          </cell>
          <cell r="F53">
            <v>147859</v>
          </cell>
          <cell r="G53">
            <v>105251</v>
          </cell>
          <cell r="H53">
            <v>51280</v>
          </cell>
          <cell r="I53">
            <v>65296</v>
          </cell>
          <cell r="J53">
            <v>48701</v>
          </cell>
          <cell r="K53">
            <v>54698</v>
          </cell>
          <cell r="L53">
            <v>257920</v>
          </cell>
          <cell r="M53">
            <v>9</v>
          </cell>
          <cell r="P53" t="str">
            <v>Metropolitana (RM)</v>
          </cell>
          <cell r="Q53">
            <v>187867.08552496487</v>
          </cell>
          <cell r="R53">
            <v>193447.31052551101</v>
          </cell>
          <cell r="S53">
            <v>297063.27790407266</v>
          </cell>
          <cell r="T53">
            <v>106291.53841829715</v>
          </cell>
          <cell r="U53">
            <v>124483.07192007749</v>
          </cell>
          <cell r="V53">
            <v>112481.18272811343</v>
          </cell>
          <cell r="W53">
            <v>34142.166121762435</v>
          </cell>
          <cell r="X53">
            <v>44414.185563557199</v>
          </cell>
          <cell r="Y53">
            <v>38146.711799785924</v>
          </cell>
          <cell r="Z53">
            <v>23721.830173374208</v>
          </cell>
          <cell r="AA53">
            <v>158726.56318000774</v>
          </cell>
          <cell r="AB53">
            <v>267.26340792089303</v>
          </cell>
        </row>
        <row r="54">
          <cell r="A54" t="str">
            <v>O'Higgins (VI)</v>
          </cell>
          <cell r="B54">
            <v>43072</v>
          </cell>
          <cell r="C54">
            <v>50843</v>
          </cell>
          <cell r="D54">
            <v>17203</v>
          </cell>
          <cell r="E54">
            <v>17563</v>
          </cell>
          <cell r="F54">
            <v>7929</v>
          </cell>
          <cell r="G54">
            <v>8266</v>
          </cell>
          <cell r="H54">
            <v>10767</v>
          </cell>
          <cell r="I54">
            <v>5650</v>
          </cell>
          <cell r="J54">
            <v>5875</v>
          </cell>
          <cell r="K54">
            <v>5665</v>
          </cell>
          <cell r="L54">
            <v>19710</v>
          </cell>
          <cell r="M54">
            <v>2</v>
          </cell>
          <cell r="P54" t="str">
            <v>O'Higgins (VI)</v>
          </cell>
          <cell r="Q54">
            <v>9001.7840140388707</v>
          </cell>
          <cell r="R54">
            <v>9727.2132641098651</v>
          </cell>
          <cell r="S54">
            <v>8849.0620666555023</v>
          </cell>
          <cell r="T54">
            <v>4793.1195794164551</v>
          </cell>
          <cell r="U54">
            <v>4613.9649872936589</v>
          </cell>
          <cell r="V54">
            <v>4148.4567438270478</v>
          </cell>
          <cell r="W54">
            <v>1687.2838225335499</v>
          </cell>
          <cell r="X54">
            <v>1995.6646778268882</v>
          </cell>
          <cell r="Y54">
            <v>1803.2937633343772</v>
          </cell>
          <cell r="Z54">
            <v>1212.96469748713</v>
          </cell>
          <cell r="AA54">
            <v>6333.5553756198451</v>
          </cell>
          <cell r="AB54">
            <v>1.4684802633016101</v>
          </cell>
        </row>
        <row r="55">
          <cell r="A55" t="str">
            <v>Maule (VII)</v>
          </cell>
          <cell r="B55">
            <v>50529</v>
          </cell>
          <cell r="C55">
            <v>46705</v>
          </cell>
          <cell r="D55">
            <v>23032</v>
          </cell>
          <cell r="E55">
            <v>16746</v>
          </cell>
          <cell r="F55">
            <v>7727</v>
          </cell>
          <cell r="G55">
            <v>11880</v>
          </cell>
          <cell r="H55">
            <v>7586</v>
          </cell>
          <cell r="I55">
            <v>6409</v>
          </cell>
          <cell r="J55">
            <v>6361</v>
          </cell>
          <cell r="K55">
            <v>5120</v>
          </cell>
          <cell r="L55">
            <v>24141</v>
          </cell>
          <cell r="M55">
            <v>1</v>
          </cell>
          <cell r="P55" t="str">
            <v>Maule (VII)</v>
          </cell>
          <cell r="Q55">
            <v>8486.3474416200061</v>
          </cell>
          <cell r="R55">
            <v>8534.8072903089578</v>
          </cell>
          <cell r="S55">
            <v>10665.572152359595</v>
          </cell>
          <cell r="T55">
            <v>4180.7633096196842</v>
          </cell>
          <cell r="U55">
            <v>4663.8933162459143</v>
          </cell>
          <cell r="V55">
            <v>4772.560855730233</v>
          </cell>
          <cell r="W55">
            <v>1132.1982830055415</v>
          </cell>
          <cell r="X55">
            <v>1797.4198422811708</v>
          </cell>
          <cell r="Y55">
            <v>1832.6633686004095</v>
          </cell>
          <cell r="Z55">
            <v>1092.549315896398</v>
          </cell>
          <cell r="AA55">
            <v>6337.9608164097499</v>
          </cell>
          <cell r="AB55">
            <v>14.684802633016101</v>
          </cell>
        </row>
        <row r="56">
          <cell r="A56" t="str">
            <v>Ñuble (XVI)</v>
          </cell>
          <cell r="B56">
            <v>15244</v>
          </cell>
          <cell r="C56">
            <v>15477</v>
          </cell>
          <cell r="D56">
            <v>10748</v>
          </cell>
          <cell r="E56">
            <v>6820</v>
          </cell>
          <cell r="F56">
            <v>2357</v>
          </cell>
          <cell r="G56">
            <v>6142</v>
          </cell>
          <cell r="H56">
            <v>3137</v>
          </cell>
          <cell r="I56">
            <v>2255</v>
          </cell>
          <cell r="J56">
            <v>1845</v>
          </cell>
          <cell r="K56">
            <v>2378</v>
          </cell>
          <cell r="L56">
            <v>8585</v>
          </cell>
          <cell r="M56">
            <v>1</v>
          </cell>
          <cell r="P56" t="str">
            <v>Ñuble (XVI)</v>
          </cell>
          <cell r="Q56">
            <v>4011.8880793399985</v>
          </cell>
          <cell r="R56">
            <v>3494.9830266578319</v>
          </cell>
          <cell r="S56">
            <v>5042.7612241777288</v>
          </cell>
          <cell r="T56">
            <v>1600.643486998755</v>
          </cell>
          <cell r="U56">
            <v>2205.6573554790184</v>
          </cell>
          <cell r="V56">
            <v>2211.5312765322251</v>
          </cell>
          <cell r="W56">
            <v>453.76040136019753</v>
          </cell>
          <cell r="X56">
            <v>825.28590797550498</v>
          </cell>
          <cell r="Y56">
            <v>610.8877895334698</v>
          </cell>
          <cell r="Z56">
            <v>459.63432241340399</v>
          </cell>
          <cell r="AA56">
            <v>2854.72563185833</v>
          </cell>
          <cell r="AB56">
            <v>8.8108815798096618</v>
          </cell>
        </row>
        <row r="57">
          <cell r="A57" t="str">
            <v>Biobío (VIII)</v>
          </cell>
          <cell r="B57">
            <v>69233</v>
          </cell>
          <cell r="C57">
            <v>88240</v>
          </cell>
          <cell r="D57">
            <v>40550</v>
          </cell>
          <cell r="E57">
            <v>29439</v>
          </cell>
          <cell r="F57">
            <v>15722</v>
          </cell>
          <cell r="G57">
            <v>17152</v>
          </cell>
          <cell r="H57">
            <v>11036</v>
          </cell>
          <cell r="I57">
            <v>9567</v>
          </cell>
          <cell r="J57">
            <v>8611</v>
          </cell>
          <cell r="K57">
            <v>8569</v>
          </cell>
          <cell r="L57">
            <v>38462</v>
          </cell>
          <cell r="M57">
            <v>98</v>
          </cell>
          <cell r="P57" t="str">
            <v>Biobío (VIII)</v>
          </cell>
          <cell r="Q57">
            <v>18953.674758433881</v>
          </cell>
          <cell r="R57">
            <v>19759.870422986467</v>
          </cell>
          <cell r="S57">
            <v>23720.361693110906</v>
          </cell>
          <cell r="T57">
            <v>8399.7071060852104</v>
          </cell>
          <cell r="U57">
            <v>10294.046645744287</v>
          </cell>
          <cell r="V57">
            <v>8671.3759547960071</v>
          </cell>
          <cell r="W57">
            <v>2837.1038686987108</v>
          </cell>
          <cell r="X57">
            <v>3847.4182898502186</v>
          </cell>
          <cell r="Y57">
            <v>3220.377217420431</v>
          </cell>
          <cell r="Z57">
            <v>2022.0973225663174</v>
          </cell>
          <cell r="AA57">
            <v>13780.21879082231</v>
          </cell>
          <cell r="AB57">
            <v>51.39680921555636</v>
          </cell>
        </row>
        <row r="58">
          <cell r="A58" t="str">
            <v>La Araucanía (IX)</v>
          </cell>
          <cell r="B58">
            <v>38975</v>
          </cell>
          <cell r="C58">
            <v>38779</v>
          </cell>
          <cell r="D58">
            <v>22046</v>
          </cell>
          <cell r="E58">
            <v>13091</v>
          </cell>
          <cell r="F58">
            <v>7716</v>
          </cell>
          <cell r="G58">
            <v>9436</v>
          </cell>
          <cell r="H58">
            <v>4844</v>
          </cell>
          <cell r="I58">
            <v>4531</v>
          </cell>
          <cell r="J58">
            <v>3815</v>
          </cell>
          <cell r="K58">
            <v>3759</v>
          </cell>
          <cell r="L58">
            <v>20444</v>
          </cell>
          <cell r="M58">
            <v>3</v>
          </cell>
          <cell r="P58" t="str">
            <v>La Araucanía (IX)</v>
          </cell>
          <cell r="Q58">
            <v>10247.055277318635</v>
          </cell>
          <cell r="R58">
            <v>8501.0322442530214</v>
          </cell>
          <cell r="S58">
            <v>11972.519586698027</v>
          </cell>
          <cell r="T58">
            <v>3687.353941150343</v>
          </cell>
          <cell r="U58">
            <v>4721.1640465146766</v>
          </cell>
          <cell r="V58">
            <v>5061.8514676006498</v>
          </cell>
          <cell r="W58">
            <v>1425.8943356658635</v>
          </cell>
          <cell r="X58">
            <v>1995.6646778268882</v>
          </cell>
          <cell r="Y58">
            <v>1603.5804475253583</v>
          </cell>
          <cell r="Z58">
            <v>966.26001325245943</v>
          </cell>
          <cell r="AA58">
            <v>6301.2488098272088</v>
          </cell>
          <cell r="AB58">
            <v>60.207690795366013</v>
          </cell>
        </row>
        <row r="59">
          <cell r="A59" t="str">
            <v>Los Ríos (XIV)</v>
          </cell>
          <cell r="B59">
            <v>7802</v>
          </cell>
          <cell r="C59">
            <v>11229</v>
          </cell>
          <cell r="D59">
            <v>10252</v>
          </cell>
          <cell r="E59">
            <v>4904</v>
          </cell>
          <cell r="F59">
            <v>3234</v>
          </cell>
          <cell r="G59">
            <v>4679</v>
          </cell>
          <cell r="H59">
            <v>1052</v>
          </cell>
          <cell r="I59">
            <v>1783</v>
          </cell>
          <cell r="J59">
            <v>1717</v>
          </cell>
          <cell r="K59">
            <v>1464</v>
          </cell>
          <cell r="L59">
            <v>6711</v>
          </cell>
          <cell r="M59">
            <v>1</v>
          </cell>
          <cell r="P59" t="str">
            <v>Los Ríos (XIV)</v>
          </cell>
          <cell r="Q59">
            <v>3045.6280660875391</v>
          </cell>
          <cell r="R59">
            <v>3199.8184937342085</v>
          </cell>
          <cell r="S59">
            <v>5274.7811057793842</v>
          </cell>
          <cell r="T59">
            <v>1505.1922698841504</v>
          </cell>
          <cell r="U59">
            <v>2047.0614870424442</v>
          </cell>
          <cell r="V59">
            <v>1992.7277173002851</v>
          </cell>
          <cell r="W59">
            <v>374.46246714191062</v>
          </cell>
          <cell r="X59">
            <v>647.59979611601011</v>
          </cell>
          <cell r="Y59">
            <v>866.40335534794997</v>
          </cell>
          <cell r="Z59">
            <v>442.01255925378462</v>
          </cell>
          <cell r="AA59">
            <v>2638.8590331529931</v>
          </cell>
          <cell r="AB59">
            <v>26.432644739428984</v>
          </cell>
        </row>
        <row r="60">
          <cell r="A60" t="str">
            <v>Los Lagos (X)</v>
          </cell>
          <cell r="B60">
            <v>33592</v>
          </cell>
          <cell r="C60">
            <v>40578</v>
          </cell>
          <cell r="D60">
            <v>28289</v>
          </cell>
          <cell r="E60">
            <v>15535</v>
          </cell>
          <cell r="F60">
            <v>10647</v>
          </cell>
          <cell r="G60">
            <v>10829</v>
          </cell>
          <cell r="H60">
            <v>3145</v>
          </cell>
          <cell r="I60">
            <v>4595</v>
          </cell>
          <cell r="J60">
            <v>3765</v>
          </cell>
          <cell r="K60">
            <v>4408</v>
          </cell>
          <cell r="L60">
            <v>19473</v>
          </cell>
          <cell r="M60">
            <v>1</v>
          </cell>
          <cell r="P60" t="str">
            <v>Los Lagos (X)</v>
          </cell>
          <cell r="Q60">
            <v>10640.607987883466</v>
          </cell>
          <cell r="R60">
            <v>10349.848895749748</v>
          </cell>
          <cell r="S60">
            <v>15176.743521222141</v>
          </cell>
          <cell r="T60">
            <v>5289.4659084123996</v>
          </cell>
          <cell r="U60">
            <v>5531.7651518571656</v>
          </cell>
          <cell r="V60">
            <v>5533.2336321204666</v>
          </cell>
          <cell r="W60">
            <v>1337.7855198677667</v>
          </cell>
          <cell r="X60">
            <v>1941.3309080847284</v>
          </cell>
          <cell r="Y60">
            <v>1515.4716317272616</v>
          </cell>
          <cell r="Z60">
            <v>1262.8930264393846</v>
          </cell>
          <cell r="AA60">
            <v>7668.4039349610075</v>
          </cell>
          <cell r="AB60">
            <v>49.928328952254745</v>
          </cell>
        </row>
        <row r="61">
          <cell r="A61" t="str">
            <v>Aysén (XI)</v>
          </cell>
          <cell r="B61">
            <v>5562</v>
          </cell>
          <cell r="C61">
            <v>4385</v>
          </cell>
          <cell r="D61">
            <v>3607</v>
          </cell>
          <cell r="E61">
            <v>1905</v>
          </cell>
          <cell r="F61">
            <v>1312</v>
          </cell>
          <cell r="G61">
            <v>1490</v>
          </cell>
          <cell r="H61">
            <v>540</v>
          </cell>
          <cell r="I61">
            <v>844</v>
          </cell>
          <cell r="J61">
            <v>578</v>
          </cell>
          <cell r="K61">
            <v>530</v>
          </cell>
          <cell r="L61">
            <v>2744</v>
          </cell>
          <cell r="M61"/>
          <cell r="P61" t="str">
            <v>Aysén (XI)</v>
          </cell>
          <cell r="Q61">
            <v>1139.5406843220496</v>
          </cell>
          <cell r="R61">
            <v>997.09809878179317</v>
          </cell>
          <cell r="S61">
            <v>1512.5346712006585</v>
          </cell>
          <cell r="T61">
            <v>458.16584215010238</v>
          </cell>
          <cell r="U61">
            <v>481.6615263629281</v>
          </cell>
          <cell r="V61">
            <v>509.56265136565872</v>
          </cell>
          <cell r="W61">
            <v>155.65890790997068</v>
          </cell>
          <cell r="X61">
            <v>237.89380265486085</v>
          </cell>
          <cell r="Y61">
            <v>262.85796713098819</v>
          </cell>
          <cell r="Z61">
            <v>133.63170396044652</v>
          </cell>
          <cell r="AA61">
            <v>696.05964480496323</v>
          </cell>
          <cell r="AB61">
            <v>4.4054407899048309</v>
          </cell>
        </row>
        <row r="62">
          <cell r="A62" t="str">
            <v>Magallanes (XII)</v>
          </cell>
          <cell r="B62">
            <v>8468</v>
          </cell>
          <cell r="C62">
            <v>10752</v>
          </cell>
          <cell r="D62">
            <v>6380</v>
          </cell>
          <cell r="E62">
            <v>3446</v>
          </cell>
          <cell r="F62">
            <v>2098</v>
          </cell>
          <cell r="G62">
            <v>3304</v>
          </cell>
          <cell r="H62">
            <v>887</v>
          </cell>
          <cell r="I62">
            <v>1202</v>
          </cell>
          <cell r="J62">
            <v>1261</v>
          </cell>
          <cell r="K62">
            <v>1047</v>
          </cell>
          <cell r="L62">
            <v>5055</v>
          </cell>
          <cell r="M62"/>
          <cell r="P62" t="str">
            <v>Magallanes (XII)</v>
          </cell>
          <cell r="Q62">
            <v>2985.420375292173</v>
          </cell>
          <cell r="R62">
            <v>4381.9451056920043</v>
          </cell>
          <cell r="S62">
            <v>4531.7300925487689</v>
          </cell>
          <cell r="T62">
            <v>1942.7993883480303</v>
          </cell>
          <cell r="U62">
            <v>1722.5273488527887</v>
          </cell>
          <cell r="V62">
            <v>1621.2022106849774</v>
          </cell>
          <cell r="W62">
            <v>320.12869739975099</v>
          </cell>
          <cell r="X62">
            <v>640.25739479950198</v>
          </cell>
          <cell r="Y62">
            <v>740.11405270401156</v>
          </cell>
          <cell r="Z62">
            <v>411.17447372445088</v>
          </cell>
          <cell r="AA62">
            <v>2655.0123160493113</v>
          </cell>
          <cell r="AB62">
            <v>7.3424013165080506</v>
          </cell>
        </row>
        <row r="63">
          <cell r="A63" t="str">
            <v>Sin información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P63" t="str">
            <v>Sin información</v>
          </cell>
          <cell r="Q63">
            <v>204.11875659892382</v>
          </cell>
          <cell r="R63">
            <v>254.04708555117855</v>
          </cell>
          <cell r="S63">
            <v>395.02119082813311</v>
          </cell>
          <cell r="T63">
            <v>201.18179607232057</v>
          </cell>
          <cell r="U63">
            <v>195.30787501911414</v>
          </cell>
          <cell r="V63">
            <v>102.79361843111272</v>
          </cell>
          <cell r="W63">
            <v>35.243526319238647</v>
          </cell>
          <cell r="X63">
            <v>57.270730268762797</v>
          </cell>
          <cell r="Y63">
            <v>32.306565792635425</v>
          </cell>
          <cell r="Z63">
            <v>16.153282896317712</v>
          </cell>
          <cell r="AA63">
            <v>208.52419738882864</v>
          </cell>
          <cell r="AB6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1121980</v>
          </cell>
          <cell r="C6">
            <v>313391.85186065099</v>
          </cell>
        </row>
        <row r="7">
          <cell r="A7" t="str">
            <v>Enf. osteomusculares</v>
          </cell>
          <cell r="B7">
            <v>782342</v>
          </cell>
          <cell r="C7">
            <v>225905.5979318</v>
          </cell>
        </row>
        <row r="8">
          <cell r="A8" t="str">
            <v>COVID-19</v>
          </cell>
          <cell r="B8">
            <v>673016</v>
          </cell>
          <cell r="C8">
            <v>269892.31272178999</v>
          </cell>
        </row>
        <row r="9">
          <cell r="A9" t="str">
            <v>Enf. respiratorias</v>
          </cell>
          <cell r="B9">
            <v>297507</v>
          </cell>
          <cell r="C9">
            <v>131153.681292102</v>
          </cell>
        </row>
        <row r="10">
          <cell r="A10" t="str">
            <v>Traumatismos, envenenamientos y otros</v>
          </cell>
          <cell r="B10">
            <v>274979</v>
          </cell>
          <cell r="C10">
            <v>115102.36783888401</v>
          </cell>
        </row>
        <row r="11">
          <cell r="A11" t="str">
            <v>Enf. infecciosas</v>
          </cell>
          <cell r="B11">
            <v>160952</v>
          </cell>
          <cell r="C11">
            <v>81623.657093258007</v>
          </cell>
        </row>
        <row r="12">
          <cell r="A12" t="str">
            <v>Enf. del Sistema Digestivo</v>
          </cell>
          <cell r="B12">
            <v>148360</v>
          </cell>
          <cell r="C12">
            <v>89728.760926051007</v>
          </cell>
        </row>
        <row r="13">
          <cell r="A13" t="str">
            <v>Licencia médica preventiva parental</v>
          </cell>
          <cell r="B13">
            <v>95044</v>
          </cell>
          <cell r="C13">
            <v>56873.635013870902</v>
          </cell>
        </row>
        <row r="14">
          <cell r="A14" t="str">
            <v>Enf. cardiovasculares</v>
          </cell>
          <cell r="B14">
            <v>100247</v>
          </cell>
          <cell r="C14">
            <v>30570.646858883101</v>
          </cell>
        </row>
        <row r="15">
          <cell r="A15" t="str">
            <v>Tumores y Cánceres</v>
          </cell>
          <cell r="B15">
            <v>89074</v>
          </cell>
          <cell r="C15">
            <v>49888.285677674197</v>
          </cell>
        </row>
        <row r="16">
          <cell r="A16" t="str">
            <v>Enfermedades del Sist. Genito urinario</v>
          </cell>
          <cell r="B16">
            <v>91721</v>
          </cell>
          <cell r="C16">
            <v>43285.181852363901</v>
          </cell>
        </row>
        <row r="17">
          <cell r="A17" t="str">
            <v>Afecciones del embarazo, Parto y Puerperio</v>
          </cell>
          <cell r="B17">
            <v>89352</v>
          </cell>
          <cell r="C17">
            <v>37253.197790377701</v>
          </cell>
        </row>
        <row r="18">
          <cell r="A18" t="str">
            <v>Otros diagnósticos</v>
          </cell>
          <cell r="B18">
            <v>385727</v>
          </cell>
          <cell r="C18">
            <v>157723.49180370799</v>
          </cell>
        </row>
        <row r="19">
          <cell r="A19" t="str">
            <v>Sin información</v>
          </cell>
          <cell r="B19">
            <v>1</v>
          </cell>
          <cell r="C19">
            <v>253.331338587391</v>
          </cell>
        </row>
        <row r="26">
          <cell r="B26" t="str">
            <v>Trastornos mentales</v>
          </cell>
          <cell r="C26" t="str">
            <v>Enf. osteomusculares</v>
          </cell>
          <cell r="D26" t="str">
            <v>COVID-19</v>
          </cell>
          <cell r="E26" t="str">
            <v>Enf. respiratorias</v>
          </cell>
          <cell r="F26" t="str">
            <v>Traumatismos, envenenamientos y otros</v>
          </cell>
          <cell r="G26" t="str">
            <v>Enf. infecciosas</v>
          </cell>
          <cell r="H26" t="str">
            <v>Enf. del Sistema Digestivo</v>
          </cell>
          <cell r="I26" t="str">
            <v>Licencia médica preventiva parental</v>
          </cell>
          <cell r="J26" t="str">
            <v>Enf. cardiovasculares</v>
          </cell>
          <cell r="K26" t="str">
            <v>Tumores y Cánceres</v>
          </cell>
          <cell r="L26" t="str">
            <v>Enfermedades del Sist. Genito urinario</v>
          </cell>
          <cell r="M26" t="str">
            <v>Afecciones del embarazo, Parto y Puerperio</v>
          </cell>
          <cell r="N26" t="str">
            <v>Otros diagnósticos</v>
          </cell>
          <cell r="O26" t="str">
            <v>Sin información</v>
          </cell>
          <cell r="S26" t="str">
            <v>Trastornos mentales</v>
          </cell>
          <cell r="T26" t="str">
            <v>Enf. osteomusculares</v>
          </cell>
          <cell r="U26" t="str">
            <v>COVID-19</v>
          </cell>
          <cell r="V26" t="str">
            <v>Enf. respiratorias</v>
          </cell>
          <cell r="W26" t="str">
            <v>Traumatismos, envenenamientos y otros</v>
          </cell>
          <cell r="X26" t="str">
            <v>Enf. infecciosas</v>
          </cell>
          <cell r="Y26" t="str">
            <v>Enf. del Sistema Digestivo</v>
          </cell>
          <cell r="Z26" t="str">
            <v>Licencia médica preventiva parental</v>
          </cell>
          <cell r="AA26" t="str">
            <v>Enf. cardiovasculares</v>
          </cell>
          <cell r="AB26" t="str">
            <v>Tumores y Cánceres</v>
          </cell>
          <cell r="AC26" t="str">
            <v>Enfermedades del Sist. Genito urinario</v>
          </cell>
          <cell r="AD26" t="str">
            <v>Afecciones del embarazo, Parto y Puerperio</v>
          </cell>
          <cell r="AE26" t="str">
            <v>Otros diagnósticos</v>
          </cell>
          <cell r="AF26" t="str">
            <v>Sin información</v>
          </cell>
        </row>
        <row r="27">
          <cell r="B27">
            <v>364991</v>
          </cell>
          <cell r="C27">
            <v>362936</v>
          </cell>
          <cell r="D27">
            <v>383227</v>
          </cell>
          <cell r="E27">
            <v>122041</v>
          </cell>
          <cell r="F27">
            <v>165083</v>
          </cell>
          <cell r="G27">
            <v>68013</v>
          </cell>
          <cell r="H27">
            <v>69472</v>
          </cell>
          <cell r="I27">
            <v>19</v>
          </cell>
          <cell r="J27">
            <v>67978</v>
          </cell>
          <cell r="K27">
            <v>44396</v>
          </cell>
          <cell r="L27">
            <v>34809</v>
          </cell>
          <cell r="M27">
            <v>114</v>
          </cell>
          <cell r="N27">
            <v>173048</v>
          </cell>
          <cell r="O27">
            <v>0</v>
          </cell>
          <cell r="S27">
            <v>144640.20000000001</v>
          </cell>
          <cell r="T27">
            <v>136611.54999999999</v>
          </cell>
          <cell r="U27">
            <v>184961.86</v>
          </cell>
          <cell r="V27">
            <v>74331.009999999995</v>
          </cell>
          <cell r="W27">
            <v>77492.41</v>
          </cell>
          <cell r="X27">
            <v>45746.54</v>
          </cell>
          <cell r="Y27">
            <v>50786.19</v>
          </cell>
          <cell r="Z27">
            <v>113.92</v>
          </cell>
          <cell r="AA27">
            <v>21486.69</v>
          </cell>
          <cell r="AB27">
            <v>24234.37</v>
          </cell>
          <cell r="AC27">
            <v>17379.43</v>
          </cell>
          <cell r="AD27">
            <v>1543.97</v>
          </cell>
          <cell r="AE27">
            <v>81064.53</v>
          </cell>
          <cell r="AF27">
            <v>98.93</v>
          </cell>
        </row>
        <row r="28">
          <cell r="B28">
            <v>756989</v>
          </cell>
          <cell r="C28">
            <v>419406</v>
          </cell>
          <cell r="D28">
            <v>289789</v>
          </cell>
          <cell r="E28">
            <v>175466</v>
          </cell>
          <cell r="F28">
            <v>109896</v>
          </cell>
          <cell r="G28">
            <v>92939</v>
          </cell>
          <cell r="H28">
            <v>78888</v>
          </cell>
          <cell r="I28">
            <v>95025</v>
          </cell>
          <cell r="J28">
            <v>32269</v>
          </cell>
          <cell r="K28">
            <v>44678</v>
          </cell>
          <cell r="L28">
            <v>56912</v>
          </cell>
          <cell r="M28">
            <v>89238</v>
          </cell>
          <cell r="N28">
            <v>212679</v>
          </cell>
          <cell r="O28">
            <v>1</v>
          </cell>
          <cell r="S28">
            <v>168747.15</v>
          </cell>
          <cell r="T28">
            <v>89292.55</v>
          </cell>
          <cell r="U28">
            <v>84924.46</v>
          </cell>
          <cell r="V28">
            <v>56821.17</v>
          </cell>
          <cell r="W28">
            <v>37609.96</v>
          </cell>
          <cell r="X28">
            <v>35877.11</v>
          </cell>
          <cell r="Y28">
            <v>38942.57</v>
          </cell>
          <cell r="Z28">
            <v>56750.720000000001</v>
          </cell>
          <cell r="AA28">
            <v>9083.9500000000007</v>
          </cell>
          <cell r="AB28">
            <v>25653.919999999998</v>
          </cell>
          <cell r="AC28">
            <v>25904.25</v>
          </cell>
          <cell r="AD28">
            <v>35700.230000000003</v>
          </cell>
          <cell r="AE28">
            <v>76655.960000000006</v>
          </cell>
          <cell r="AF28">
            <v>154.4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S29">
            <v>4.5</v>
          </cell>
          <cell r="T29">
            <v>1.5</v>
          </cell>
          <cell r="U29">
            <v>6</v>
          </cell>
          <cell r="V29">
            <v>1.5</v>
          </cell>
          <cell r="W29">
            <v>0</v>
          </cell>
          <cell r="X29">
            <v>0</v>
          </cell>
          <cell r="Y29">
            <v>0</v>
          </cell>
          <cell r="Z29">
            <v>8.99</v>
          </cell>
          <cell r="AA29">
            <v>0</v>
          </cell>
          <cell r="AB29">
            <v>0</v>
          </cell>
          <cell r="AC29">
            <v>1.5</v>
          </cell>
          <cell r="AD29">
            <v>8.99</v>
          </cell>
          <cell r="AE29">
            <v>3</v>
          </cell>
          <cell r="AF29">
            <v>0</v>
          </cell>
        </row>
        <row r="36">
          <cell r="B36" t="str">
            <v>Trastornos mentales</v>
          </cell>
          <cell r="C36" t="str">
            <v>Enf. osteomusculares</v>
          </cell>
          <cell r="D36" t="str">
            <v>COVID-19</v>
          </cell>
          <cell r="E36" t="str">
            <v>Enf. respiratorias</v>
          </cell>
          <cell r="F36" t="str">
            <v>Traumatismos, envenenamientos y otros</v>
          </cell>
          <cell r="G36" t="str">
            <v>Enf. infecciosas</v>
          </cell>
          <cell r="H36" t="str">
            <v>Enf. del Sistema Digestivo</v>
          </cell>
          <cell r="I36" t="str">
            <v>Licencia médica preventiva parental</v>
          </cell>
          <cell r="J36" t="str">
            <v>Enf. cardiovasculares</v>
          </cell>
          <cell r="K36" t="str">
            <v>Tumores y Cánceres</v>
          </cell>
          <cell r="L36" t="str">
            <v>Enfermedades del Sist. Genito urinario</v>
          </cell>
          <cell r="M36" t="str">
            <v>Afecciones del embarazo, Parto y Puerperio</v>
          </cell>
          <cell r="N36" t="str">
            <v>Otros diagnósticos</v>
          </cell>
          <cell r="O36" t="str">
            <v>Sin información</v>
          </cell>
          <cell r="S36" t="str">
            <v>Trastornos mentales</v>
          </cell>
          <cell r="T36" t="str">
            <v>Enf. osteomusculares</v>
          </cell>
          <cell r="U36" t="str">
            <v>COVID-19</v>
          </cell>
          <cell r="V36" t="str">
            <v>Enf. respiratorias</v>
          </cell>
          <cell r="W36" t="str">
            <v>Traumatismos, envenenamientos y otros</v>
          </cell>
          <cell r="X36" t="str">
            <v>Enf. infecciosas</v>
          </cell>
          <cell r="Y36" t="str">
            <v>Enf. del Sistema Digestivo</v>
          </cell>
          <cell r="Z36" t="str">
            <v>Licencia médica preventiva parental</v>
          </cell>
          <cell r="AA36" t="str">
            <v>Enf. cardiovasculares</v>
          </cell>
          <cell r="AB36" t="str">
            <v>Tumores y Cánceres</v>
          </cell>
          <cell r="AC36" t="str">
            <v>Enfermedades del Sist. Genito urinario</v>
          </cell>
          <cell r="AD36" t="str">
            <v>Afecciones del embarazo, Parto y Puerperio</v>
          </cell>
          <cell r="AE36" t="str">
            <v>Otros diagnósticos</v>
          </cell>
          <cell r="AF36" t="str">
            <v>Sin información</v>
          </cell>
        </row>
        <row r="37">
          <cell r="B37">
            <v>3897</v>
          </cell>
          <cell r="C37">
            <v>3417</v>
          </cell>
          <cell r="D37">
            <v>8410</v>
          </cell>
          <cell r="E37">
            <v>2460</v>
          </cell>
          <cell r="F37">
            <v>2600</v>
          </cell>
          <cell r="G37">
            <v>1684</v>
          </cell>
          <cell r="H37">
            <v>1195</v>
          </cell>
          <cell r="I37">
            <v>180</v>
          </cell>
          <cell r="J37">
            <v>94</v>
          </cell>
          <cell r="K37">
            <v>110</v>
          </cell>
          <cell r="L37">
            <v>490</v>
          </cell>
          <cell r="M37">
            <v>624</v>
          </cell>
          <cell r="N37">
            <v>2056</v>
          </cell>
          <cell r="O37">
            <v>0</v>
          </cell>
          <cell r="S37">
            <v>169.39</v>
          </cell>
          <cell r="T37">
            <v>155.9</v>
          </cell>
          <cell r="U37">
            <v>310.29000000000002</v>
          </cell>
          <cell r="V37">
            <v>161.88999999999999</v>
          </cell>
          <cell r="W37">
            <v>134.91</v>
          </cell>
          <cell r="X37">
            <v>79.45</v>
          </cell>
          <cell r="Y37">
            <v>52.47</v>
          </cell>
          <cell r="Z37">
            <v>6</v>
          </cell>
          <cell r="AA37">
            <v>4.5</v>
          </cell>
          <cell r="AB37">
            <v>1.5</v>
          </cell>
          <cell r="AC37">
            <v>10.49</v>
          </cell>
          <cell r="AD37">
            <v>10.49</v>
          </cell>
          <cell r="AE37">
            <v>86.94</v>
          </cell>
          <cell r="AF37">
            <v>0</v>
          </cell>
        </row>
        <row r="38">
          <cell r="B38">
            <v>76754</v>
          </cell>
          <cell r="C38">
            <v>41062</v>
          </cell>
          <cell r="D38">
            <v>70770</v>
          </cell>
          <cell r="E38">
            <v>24546</v>
          </cell>
          <cell r="F38">
            <v>23831</v>
          </cell>
          <cell r="G38">
            <v>17501</v>
          </cell>
          <cell r="H38">
            <v>11918</v>
          </cell>
          <cell r="I38">
            <v>10583</v>
          </cell>
          <cell r="J38">
            <v>1256</v>
          </cell>
          <cell r="K38">
            <v>1049</v>
          </cell>
          <cell r="L38">
            <v>5467</v>
          </cell>
          <cell r="M38">
            <v>13089</v>
          </cell>
          <cell r="N38">
            <v>23413</v>
          </cell>
          <cell r="O38">
            <v>0</v>
          </cell>
          <cell r="S38">
            <v>7523.49</v>
          </cell>
          <cell r="T38">
            <v>5520.82</v>
          </cell>
          <cell r="U38">
            <v>10298.14</v>
          </cell>
          <cell r="V38">
            <v>4991.68</v>
          </cell>
          <cell r="W38">
            <v>3903.4</v>
          </cell>
          <cell r="X38">
            <v>3549.64</v>
          </cell>
          <cell r="Y38">
            <v>2407.4</v>
          </cell>
          <cell r="Z38">
            <v>712.03</v>
          </cell>
          <cell r="AA38">
            <v>218.85</v>
          </cell>
          <cell r="AB38">
            <v>212.86</v>
          </cell>
          <cell r="AC38">
            <v>776.48</v>
          </cell>
          <cell r="AD38">
            <v>818.46</v>
          </cell>
          <cell r="AE38">
            <v>3805.97</v>
          </cell>
          <cell r="AF38">
            <v>4.5</v>
          </cell>
        </row>
        <row r="39">
          <cell r="B39">
            <v>379600</v>
          </cell>
          <cell r="C39">
            <v>168408</v>
          </cell>
          <cell r="D39">
            <v>212127</v>
          </cell>
          <cell r="E39">
            <v>88508</v>
          </cell>
          <cell r="F39">
            <v>69423</v>
          </cell>
          <cell r="G39">
            <v>60359</v>
          </cell>
          <cell r="H39">
            <v>42538</v>
          </cell>
          <cell r="I39">
            <v>60581</v>
          </cell>
          <cell r="J39">
            <v>7867</v>
          </cell>
          <cell r="K39">
            <v>7922</v>
          </cell>
          <cell r="L39">
            <v>23205</v>
          </cell>
          <cell r="M39">
            <v>54554</v>
          </cell>
          <cell r="N39">
            <v>92585</v>
          </cell>
          <cell r="O39">
            <v>0</v>
          </cell>
          <cell r="S39">
            <v>107521.91</v>
          </cell>
          <cell r="T39">
            <v>61814.35</v>
          </cell>
          <cell r="U39">
            <v>100684.97</v>
          </cell>
          <cell r="V39">
            <v>49792.35</v>
          </cell>
          <cell r="W39">
            <v>37121.29</v>
          </cell>
          <cell r="X39">
            <v>37236.71</v>
          </cell>
          <cell r="Y39">
            <v>31477.54</v>
          </cell>
          <cell r="Z39">
            <v>31294.66</v>
          </cell>
          <cell r="AA39">
            <v>4108.76</v>
          </cell>
          <cell r="AB39">
            <v>5775.65</v>
          </cell>
          <cell r="AC39">
            <v>12871.93</v>
          </cell>
          <cell r="AD39">
            <v>22134.26</v>
          </cell>
          <cell r="AE39">
            <v>49312.67</v>
          </cell>
          <cell r="AF39">
            <v>98.93</v>
          </cell>
        </row>
        <row r="40">
          <cell r="B40">
            <v>289455</v>
          </cell>
          <cell r="C40">
            <v>173307</v>
          </cell>
          <cell r="D40">
            <v>152124</v>
          </cell>
          <cell r="E40">
            <v>67285</v>
          </cell>
          <cell r="F40">
            <v>56332</v>
          </cell>
          <cell r="G40">
            <v>36669</v>
          </cell>
          <cell r="H40">
            <v>33682</v>
          </cell>
          <cell r="I40">
            <v>23338</v>
          </cell>
          <cell r="J40">
            <v>13027</v>
          </cell>
          <cell r="K40">
            <v>14828</v>
          </cell>
          <cell r="L40">
            <v>21785</v>
          </cell>
          <cell r="M40">
            <v>20588</v>
          </cell>
          <cell r="N40">
            <v>84186</v>
          </cell>
          <cell r="O40">
            <v>1</v>
          </cell>
          <cell r="S40">
            <v>102076.04</v>
          </cell>
          <cell r="T40">
            <v>64993.73</v>
          </cell>
          <cell r="U40">
            <v>76691.94</v>
          </cell>
          <cell r="V40">
            <v>37050.83</v>
          </cell>
          <cell r="W40">
            <v>31694.9</v>
          </cell>
          <cell r="X40">
            <v>23313.98</v>
          </cell>
          <cell r="Y40">
            <v>26922.080000000002</v>
          </cell>
          <cell r="Z40">
            <v>24385.759999999998</v>
          </cell>
          <cell r="AA40">
            <v>7054.3</v>
          </cell>
          <cell r="AB40">
            <v>11329.46</v>
          </cell>
          <cell r="AC40">
            <v>14204.54</v>
          </cell>
          <cell r="AD40">
            <v>13976.69</v>
          </cell>
          <cell r="AE40">
            <v>45617.63</v>
          </cell>
          <cell r="AF40">
            <v>82.45</v>
          </cell>
        </row>
        <row r="41">
          <cell r="B41">
            <v>195999</v>
          </cell>
          <cell r="C41">
            <v>193776</v>
          </cell>
          <cell r="D41">
            <v>131034</v>
          </cell>
          <cell r="E41">
            <v>57338</v>
          </cell>
          <cell r="F41">
            <v>59715</v>
          </cell>
          <cell r="G41">
            <v>25314</v>
          </cell>
          <cell r="H41">
            <v>29233</v>
          </cell>
          <cell r="I41">
            <v>362</v>
          </cell>
          <cell r="J41">
            <v>23996</v>
          </cell>
          <cell r="K41">
            <v>22659</v>
          </cell>
          <cell r="L41">
            <v>19515</v>
          </cell>
          <cell r="M41">
            <v>418</v>
          </cell>
          <cell r="N41">
            <v>86098</v>
          </cell>
          <cell r="O41">
            <v>0</v>
          </cell>
          <cell r="S41">
            <v>55969.74</v>
          </cell>
          <cell r="T41">
            <v>51564.17</v>
          </cell>
          <cell r="U41">
            <v>50072.66</v>
          </cell>
          <cell r="V41">
            <v>22129.77</v>
          </cell>
          <cell r="W41">
            <v>23648.26</v>
          </cell>
          <cell r="X41">
            <v>10875.26</v>
          </cell>
          <cell r="Y41">
            <v>16976.2</v>
          </cell>
          <cell r="Z41">
            <v>475.18</v>
          </cell>
          <cell r="AA41">
            <v>7958.2</v>
          </cell>
          <cell r="AB41">
            <v>13123.76</v>
          </cell>
          <cell r="AC41">
            <v>8913.07</v>
          </cell>
          <cell r="AD41">
            <v>293.8</v>
          </cell>
          <cell r="AE41">
            <v>31609.46</v>
          </cell>
          <cell r="AF41">
            <v>38.97</v>
          </cell>
        </row>
        <row r="42">
          <cell r="B42">
            <v>134700</v>
          </cell>
          <cell r="C42">
            <v>158544</v>
          </cell>
          <cell r="D42">
            <v>81928</v>
          </cell>
          <cell r="E42">
            <v>44368</v>
          </cell>
          <cell r="F42">
            <v>50136</v>
          </cell>
          <cell r="G42">
            <v>16219</v>
          </cell>
          <cell r="H42">
            <v>23149</v>
          </cell>
          <cell r="I42">
            <v>0</v>
          </cell>
          <cell r="J42">
            <v>34300</v>
          </cell>
          <cell r="K42">
            <v>27317</v>
          </cell>
          <cell r="L42">
            <v>14945</v>
          </cell>
          <cell r="M42">
            <v>60</v>
          </cell>
          <cell r="N42">
            <v>73290</v>
          </cell>
          <cell r="O42">
            <v>0</v>
          </cell>
          <cell r="S42">
            <v>33499.699999999997</v>
          </cell>
          <cell r="T42">
            <v>35565.32</v>
          </cell>
          <cell r="U42">
            <v>28029.84</v>
          </cell>
          <cell r="V42">
            <v>14087.62</v>
          </cell>
          <cell r="W42">
            <v>15429.23</v>
          </cell>
          <cell r="X42">
            <v>5706.7</v>
          </cell>
          <cell r="Y42">
            <v>10058.299999999999</v>
          </cell>
          <cell r="Z42">
            <v>0</v>
          </cell>
          <cell r="AA42">
            <v>8364.43</v>
          </cell>
          <cell r="AB42">
            <v>14018.67</v>
          </cell>
          <cell r="AC42">
            <v>5162.5600000000004</v>
          </cell>
          <cell r="AD42">
            <v>16.489999999999998</v>
          </cell>
          <cell r="AE42">
            <v>22465.54</v>
          </cell>
          <cell r="AF42">
            <v>26.98</v>
          </cell>
        </row>
        <row r="43">
          <cell r="B43">
            <v>41575</v>
          </cell>
          <cell r="C43">
            <v>43828</v>
          </cell>
          <cell r="D43">
            <v>16623</v>
          </cell>
          <cell r="E43">
            <v>13002</v>
          </cell>
          <cell r="F43">
            <v>12942</v>
          </cell>
          <cell r="G43">
            <v>3206</v>
          </cell>
          <cell r="H43">
            <v>6645</v>
          </cell>
          <cell r="I43">
            <v>0</v>
          </cell>
          <cell r="J43">
            <v>19707</v>
          </cell>
          <cell r="K43">
            <v>15189</v>
          </cell>
          <cell r="L43">
            <v>6314</v>
          </cell>
          <cell r="M43">
            <v>19</v>
          </cell>
          <cell r="N43">
            <v>24099</v>
          </cell>
          <cell r="O43">
            <v>0</v>
          </cell>
          <cell r="S43">
            <v>6631.58</v>
          </cell>
          <cell r="T43">
            <v>6289.81</v>
          </cell>
          <cell r="U43">
            <v>3804.47</v>
          </cell>
          <cell r="V43">
            <v>2939.54</v>
          </cell>
          <cell r="W43">
            <v>3170.39</v>
          </cell>
          <cell r="X43">
            <v>860.43</v>
          </cell>
          <cell r="Y43">
            <v>1831.78</v>
          </cell>
          <cell r="Z43">
            <v>0</v>
          </cell>
          <cell r="AA43">
            <v>2861.59</v>
          </cell>
          <cell r="AB43">
            <v>5426.39</v>
          </cell>
          <cell r="AC43">
            <v>1346.1</v>
          </cell>
          <cell r="AD43">
            <v>1.5</v>
          </cell>
          <cell r="AE43">
            <v>4825.29</v>
          </cell>
          <cell r="AF43">
            <v>1.5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/>
          <cell r="O44">
            <v>0</v>
          </cell>
          <cell r="S44">
            <v>0</v>
          </cell>
          <cell r="T44">
            <v>1.5</v>
          </cell>
          <cell r="U44">
            <v>0</v>
          </cell>
          <cell r="V44">
            <v>0</v>
          </cell>
          <cell r="W44">
            <v>0</v>
          </cell>
          <cell r="X44">
            <v>1.5</v>
          </cell>
          <cell r="Y44">
            <v>3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1.5</v>
          </cell>
          <cell r="AE44">
            <v>0</v>
          </cell>
          <cell r="AF44">
            <v>0</v>
          </cell>
        </row>
        <row r="51">
          <cell r="B51" t="str">
            <v>Trastornos mentales</v>
          </cell>
          <cell r="C51" t="str">
            <v>Enf. osteomusculares</v>
          </cell>
          <cell r="D51" t="str">
            <v>COVID-19</v>
          </cell>
          <cell r="E51" t="str">
            <v>Enf. respiratorias</v>
          </cell>
          <cell r="F51" t="str">
            <v>Traumatismos, envenenamientos y otros</v>
          </cell>
          <cell r="G51" t="str">
            <v>Enf. infecciosas</v>
          </cell>
          <cell r="H51" t="str">
            <v>Enf. del Sistema Digestivo</v>
          </cell>
          <cell r="I51" t="str">
            <v>Licencia médica preventiva parental</v>
          </cell>
          <cell r="J51" t="str">
            <v>Enf. cardiovasculares</v>
          </cell>
          <cell r="K51" t="str">
            <v>Tumores y Cánceres</v>
          </cell>
          <cell r="L51" t="str">
            <v>Enfermedades del Sist. Genito urinario</v>
          </cell>
          <cell r="M51" t="str">
            <v>Afecciones del embarazo, Parto y Puerperio</v>
          </cell>
          <cell r="N51" t="str">
            <v>Otros diagnósticos</v>
          </cell>
          <cell r="O51" t="str">
            <v>Sin información</v>
          </cell>
          <cell r="R51" t="str">
            <v>REGIÓN</v>
          </cell>
          <cell r="S51" t="str">
            <v>Trastornos mentales</v>
          </cell>
          <cell r="T51" t="str">
            <v>Enf. osteomusculares</v>
          </cell>
          <cell r="U51" t="str">
            <v>COVID-19</v>
          </cell>
          <cell r="V51" t="str">
            <v>Enf. respiratorias</v>
          </cell>
          <cell r="W51" t="str">
            <v>Traumatismos, envenenamientos y otros</v>
          </cell>
          <cell r="X51" t="str">
            <v>Enf. infecciosas</v>
          </cell>
          <cell r="Y51" t="str">
            <v>Enf. del Sistema Digestivo</v>
          </cell>
          <cell r="Z51" t="str">
            <v>Licencia médica preventiva parental</v>
          </cell>
          <cell r="AA51" t="str">
            <v>Enf. cardiovasculares</v>
          </cell>
          <cell r="AB51" t="str">
            <v>Tumores y Cánceres</v>
          </cell>
          <cell r="AC51" t="str">
            <v>Enfermedades del Sist. Genito urinario</v>
          </cell>
          <cell r="AD51" t="str">
            <v>Afecciones del embarazo, Parto y Puerperio</v>
          </cell>
          <cell r="AE51" t="str">
            <v>Otros diagnósticos</v>
          </cell>
          <cell r="AF51" t="str">
            <v>Sin información</v>
          </cell>
        </row>
        <row r="52">
          <cell r="A52" t="str">
            <v>Arica y Parinacota (XV)</v>
          </cell>
          <cell r="B52">
            <v>1154</v>
          </cell>
          <cell r="C52">
            <v>2741</v>
          </cell>
          <cell r="D52">
            <v>7190</v>
          </cell>
          <cell r="E52">
            <v>1477</v>
          </cell>
          <cell r="F52">
            <v>1617</v>
          </cell>
          <cell r="G52">
            <v>1165</v>
          </cell>
          <cell r="H52">
            <v>1364</v>
          </cell>
          <cell r="I52">
            <v>203</v>
          </cell>
          <cell r="J52">
            <v>541</v>
          </cell>
          <cell r="K52">
            <v>816</v>
          </cell>
          <cell r="L52">
            <v>683</v>
          </cell>
          <cell r="M52">
            <v>904</v>
          </cell>
          <cell r="N52">
            <v>1878</v>
          </cell>
          <cell r="O52">
            <v>0</v>
          </cell>
          <cell r="R52" t="str">
            <v>Arica y Parinacota (XV)</v>
          </cell>
          <cell r="S52">
            <v>875.42</v>
          </cell>
          <cell r="T52">
            <v>984.84</v>
          </cell>
          <cell r="U52">
            <v>1644.41</v>
          </cell>
          <cell r="V52">
            <v>713.52</v>
          </cell>
          <cell r="W52">
            <v>683.54</v>
          </cell>
          <cell r="X52">
            <v>674.55</v>
          </cell>
          <cell r="Y52">
            <v>810.96</v>
          </cell>
          <cell r="Z52">
            <v>106.43</v>
          </cell>
          <cell r="AA52">
            <v>181.38</v>
          </cell>
          <cell r="AB52">
            <v>347.77</v>
          </cell>
          <cell r="AC52">
            <v>310.29000000000002</v>
          </cell>
          <cell r="AD52">
            <v>259.33</v>
          </cell>
          <cell r="AE52">
            <v>908.4</v>
          </cell>
          <cell r="AF52">
            <v>0</v>
          </cell>
        </row>
        <row r="53">
          <cell r="A53" t="str">
            <v>Tarapacá (I)</v>
          </cell>
          <cell r="B53">
            <v>16953</v>
          </cell>
          <cell r="C53">
            <v>10397</v>
          </cell>
          <cell r="D53">
            <v>13440</v>
          </cell>
          <cell r="E53">
            <v>3683</v>
          </cell>
          <cell r="F53">
            <v>4082</v>
          </cell>
          <cell r="G53">
            <v>3171</v>
          </cell>
          <cell r="H53">
            <v>2367</v>
          </cell>
          <cell r="I53">
            <v>328</v>
          </cell>
          <cell r="J53">
            <v>1259</v>
          </cell>
          <cell r="K53">
            <v>1314</v>
          </cell>
          <cell r="L53">
            <v>1735</v>
          </cell>
          <cell r="M53">
            <v>1146</v>
          </cell>
          <cell r="N53">
            <v>5364</v>
          </cell>
          <cell r="O53">
            <v>0</v>
          </cell>
          <cell r="R53" t="str">
            <v>Tarapacá (I)</v>
          </cell>
          <cell r="S53">
            <v>4898.74</v>
          </cell>
          <cell r="T53">
            <v>4317.13</v>
          </cell>
          <cell r="U53">
            <v>4660.3999999999996</v>
          </cell>
          <cell r="V53">
            <v>2008.66</v>
          </cell>
          <cell r="W53">
            <v>1815.29</v>
          </cell>
          <cell r="X53">
            <v>1205.2</v>
          </cell>
          <cell r="Y53">
            <v>1605.43</v>
          </cell>
          <cell r="Z53">
            <v>416.72</v>
          </cell>
          <cell r="AA53">
            <v>557.63</v>
          </cell>
          <cell r="AB53">
            <v>704.53</v>
          </cell>
          <cell r="AC53">
            <v>698.53</v>
          </cell>
          <cell r="AD53">
            <v>314.79000000000002</v>
          </cell>
          <cell r="AE53">
            <v>2414.89</v>
          </cell>
          <cell r="AF53">
            <v>1.5</v>
          </cell>
        </row>
        <row r="54">
          <cell r="A54" t="str">
            <v>Antofagasta (II)</v>
          </cell>
          <cell r="B54">
            <v>32224</v>
          </cell>
          <cell r="C54">
            <v>24212</v>
          </cell>
          <cell r="D54">
            <v>18842</v>
          </cell>
          <cell r="E54">
            <v>8692</v>
          </cell>
          <cell r="F54">
            <v>8853</v>
          </cell>
          <cell r="G54">
            <v>4038</v>
          </cell>
          <cell r="H54">
            <v>4248</v>
          </cell>
          <cell r="I54">
            <v>415</v>
          </cell>
          <cell r="J54">
            <v>3304</v>
          </cell>
          <cell r="K54">
            <v>3646</v>
          </cell>
          <cell r="L54">
            <v>3155</v>
          </cell>
          <cell r="M54">
            <v>2935</v>
          </cell>
          <cell r="N54">
            <v>11683</v>
          </cell>
          <cell r="O54">
            <v>0</v>
          </cell>
          <cell r="R54" t="str">
            <v>Antofagasta (II)</v>
          </cell>
          <cell r="S54">
            <v>12308.31</v>
          </cell>
          <cell r="T54">
            <v>12591.62</v>
          </cell>
          <cell r="U54">
            <v>11477.86</v>
          </cell>
          <cell r="V54">
            <v>6727.52</v>
          </cell>
          <cell r="W54">
            <v>5838.61</v>
          </cell>
          <cell r="X54">
            <v>2819.62</v>
          </cell>
          <cell r="Y54">
            <v>3731.02</v>
          </cell>
          <cell r="Z54">
            <v>792.97</v>
          </cell>
          <cell r="AA54">
            <v>1557.46</v>
          </cell>
          <cell r="AB54">
            <v>2245.5100000000002</v>
          </cell>
          <cell r="AC54">
            <v>2182.5500000000002</v>
          </cell>
          <cell r="AD54">
            <v>1350.6</v>
          </cell>
          <cell r="AE54">
            <v>7366.1</v>
          </cell>
          <cell r="AF54">
            <v>4.5</v>
          </cell>
        </row>
        <row r="55">
          <cell r="A55" t="str">
            <v>Atacama (III)</v>
          </cell>
          <cell r="B55">
            <v>9548</v>
          </cell>
          <cell r="C55">
            <v>10528</v>
          </cell>
          <cell r="D55">
            <v>8988</v>
          </cell>
          <cell r="E55">
            <v>3809</v>
          </cell>
          <cell r="F55">
            <v>4424</v>
          </cell>
          <cell r="G55">
            <v>1463</v>
          </cell>
          <cell r="H55">
            <v>2388</v>
          </cell>
          <cell r="I55">
            <v>227</v>
          </cell>
          <cell r="J55">
            <v>1723</v>
          </cell>
          <cell r="K55">
            <v>1515</v>
          </cell>
          <cell r="L55">
            <v>1545</v>
          </cell>
          <cell r="M55">
            <v>1135</v>
          </cell>
          <cell r="N55">
            <v>5788</v>
          </cell>
          <cell r="O55">
            <v>0</v>
          </cell>
          <cell r="R55" t="str">
            <v>Atacama (III)</v>
          </cell>
          <cell r="S55">
            <v>2309.96</v>
          </cell>
          <cell r="T55">
            <v>2890.08</v>
          </cell>
          <cell r="U55">
            <v>2638.24</v>
          </cell>
          <cell r="V55">
            <v>1410.56</v>
          </cell>
          <cell r="W55">
            <v>1440.54</v>
          </cell>
          <cell r="X55">
            <v>583.11</v>
          </cell>
          <cell r="Y55">
            <v>1056.8</v>
          </cell>
          <cell r="Z55">
            <v>287.81</v>
          </cell>
          <cell r="AA55">
            <v>412.23</v>
          </cell>
          <cell r="AB55">
            <v>517.16</v>
          </cell>
          <cell r="AC55">
            <v>526.15</v>
          </cell>
          <cell r="AD55">
            <v>350.77</v>
          </cell>
          <cell r="AE55">
            <v>1929.22</v>
          </cell>
          <cell r="AF55">
            <v>3</v>
          </cell>
        </row>
        <row r="56">
          <cell r="A56" t="str">
            <v>Coquimbo (IV)</v>
          </cell>
          <cell r="B56">
            <v>24623</v>
          </cell>
          <cell r="C56">
            <v>18063</v>
          </cell>
          <cell r="D56">
            <v>17700</v>
          </cell>
          <cell r="E56">
            <v>6266</v>
          </cell>
          <cell r="F56">
            <v>7275</v>
          </cell>
          <cell r="G56">
            <v>3416</v>
          </cell>
          <cell r="H56">
            <v>4229</v>
          </cell>
          <cell r="I56">
            <v>636</v>
          </cell>
          <cell r="J56">
            <v>2543</v>
          </cell>
          <cell r="K56">
            <v>2224</v>
          </cell>
          <cell r="L56">
            <v>2708</v>
          </cell>
          <cell r="M56">
            <v>2390</v>
          </cell>
          <cell r="N56">
            <v>9175</v>
          </cell>
          <cell r="O56">
            <v>0</v>
          </cell>
          <cell r="R56" t="str">
            <v>Coquimbo (IV)</v>
          </cell>
          <cell r="S56">
            <v>3805.97</v>
          </cell>
          <cell r="T56">
            <v>2554.3000000000002</v>
          </cell>
          <cell r="U56">
            <v>2303.9699999999998</v>
          </cell>
          <cell r="V56">
            <v>1540.97</v>
          </cell>
          <cell r="W56">
            <v>1320.62</v>
          </cell>
          <cell r="X56">
            <v>842.44</v>
          </cell>
          <cell r="Y56">
            <v>1305.6300000000001</v>
          </cell>
          <cell r="Z56">
            <v>368.75</v>
          </cell>
          <cell r="AA56">
            <v>332.78</v>
          </cell>
          <cell r="AB56">
            <v>584.61</v>
          </cell>
          <cell r="AC56">
            <v>545.64</v>
          </cell>
          <cell r="AD56">
            <v>490.17</v>
          </cell>
          <cell r="AE56">
            <v>1561.96</v>
          </cell>
          <cell r="AF56">
            <v>3</v>
          </cell>
        </row>
        <row r="57">
          <cell r="A57" t="str">
            <v>Valparaíso (V)</v>
          </cell>
          <cell r="B57">
            <v>90292</v>
          </cell>
          <cell r="C57">
            <v>63290</v>
          </cell>
          <cell r="D57">
            <v>48574</v>
          </cell>
          <cell r="E57">
            <v>23171</v>
          </cell>
          <cell r="F57">
            <v>23769</v>
          </cell>
          <cell r="G57">
            <v>11072</v>
          </cell>
          <cell r="H57">
            <v>11990</v>
          </cell>
          <cell r="I57">
            <v>1438</v>
          </cell>
          <cell r="J57">
            <v>9490</v>
          </cell>
          <cell r="K57">
            <v>8115</v>
          </cell>
          <cell r="L57">
            <v>8526</v>
          </cell>
          <cell r="M57">
            <v>7302</v>
          </cell>
          <cell r="N57">
            <v>32878</v>
          </cell>
          <cell r="O57">
            <v>0</v>
          </cell>
          <cell r="R57" t="str">
            <v>Valparaíso (V)</v>
          </cell>
          <cell r="S57">
            <v>15661.57</v>
          </cell>
          <cell r="T57">
            <v>12981.36</v>
          </cell>
          <cell r="U57">
            <v>12810.47</v>
          </cell>
          <cell r="V57">
            <v>6943.38</v>
          </cell>
          <cell r="W57">
            <v>6724.52</v>
          </cell>
          <cell r="X57">
            <v>3909.4</v>
          </cell>
          <cell r="Y57">
            <v>4825.29</v>
          </cell>
          <cell r="Z57">
            <v>2411.89</v>
          </cell>
          <cell r="AA57">
            <v>2035.64</v>
          </cell>
          <cell r="AB57">
            <v>2678.72</v>
          </cell>
          <cell r="AC57">
            <v>2629.25</v>
          </cell>
          <cell r="AD57">
            <v>2086.61</v>
          </cell>
          <cell r="AE57">
            <v>8517.33</v>
          </cell>
          <cell r="AF57">
            <v>11.99</v>
          </cell>
        </row>
        <row r="58">
          <cell r="A58" t="str">
            <v>Metropolitana (RM)</v>
          </cell>
          <cell r="B58">
            <v>648550</v>
          </cell>
          <cell r="C58">
            <v>408538</v>
          </cell>
          <cell r="D58">
            <v>386436</v>
          </cell>
          <cell r="E58">
            <v>186686</v>
          </cell>
          <cell r="F58">
            <v>134349</v>
          </cell>
          <cell r="G58">
            <v>104569</v>
          </cell>
          <cell r="H58">
            <v>76211</v>
          </cell>
          <cell r="I58">
            <v>86216</v>
          </cell>
          <cell r="J58">
            <v>52107</v>
          </cell>
          <cell r="K58">
            <v>43169</v>
          </cell>
          <cell r="L58">
            <v>48733</v>
          </cell>
          <cell r="M58">
            <v>41391</v>
          </cell>
          <cell r="N58">
            <v>212482</v>
          </cell>
          <cell r="O58">
            <v>1</v>
          </cell>
          <cell r="R58" t="str">
            <v>Metropolitana (RM)</v>
          </cell>
          <cell r="S58">
            <v>206766.34</v>
          </cell>
          <cell r="T58">
            <v>142974.81</v>
          </cell>
          <cell r="U58">
            <v>188444.04</v>
          </cell>
          <cell r="V58">
            <v>90545.72</v>
          </cell>
          <cell r="W58">
            <v>74639.81</v>
          </cell>
          <cell r="X58">
            <v>57440.26</v>
          </cell>
          <cell r="Y58">
            <v>59402.45</v>
          </cell>
          <cell r="Z58">
            <v>29187.07</v>
          </cell>
          <cell r="AA58">
            <v>19397.09</v>
          </cell>
          <cell r="AB58">
            <v>32269.02</v>
          </cell>
          <cell r="AC58">
            <v>28308.65</v>
          </cell>
          <cell r="AD58">
            <v>24919.41</v>
          </cell>
          <cell r="AE58">
            <v>104751.76</v>
          </cell>
          <cell r="AF58">
            <v>131.91</v>
          </cell>
        </row>
        <row r="59">
          <cell r="A59" t="str">
            <v>O'Higgins (VI)</v>
          </cell>
          <cell r="B59">
            <v>45582</v>
          </cell>
          <cell r="C59">
            <v>43809</v>
          </cell>
          <cell r="D59">
            <v>32478</v>
          </cell>
          <cell r="E59">
            <v>9497</v>
          </cell>
          <cell r="F59">
            <v>15281</v>
          </cell>
          <cell r="G59">
            <v>5842</v>
          </cell>
          <cell r="H59">
            <v>6104</v>
          </cell>
          <cell r="I59">
            <v>901</v>
          </cell>
          <cell r="J59">
            <v>5677</v>
          </cell>
          <cell r="K59">
            <v>4414</v>
          </cell>
          <cell r="L59">
            <v>4664</v>
          </cell>
          <cell r="M59">
            <v>9262</v>
          </cell>
          <cell r="N59">
            <v>17299</v>
          </cell>
          <cell r="O59">
            <v>0</v>
          </cell>
          <cell r="R59" t="str">
            <v>O'Higgins (VI)</v>
          </cell>
          <cell r="S59">
            <v>8629.75</v>
          </cell>
          <cell r="T59">
            <v>7055.8</v>
          </cell>
          <cell r="U59">
            <v>11296.48</v>
          </cell>
          <cell r="V59">
            <v>2978.52</v>
          </cell>
          <cell r="W59">
            <v>3777.49</v>
          </cell>
          <cell r="X59">
            <v>2217.02</v>
          </cell>
          <cell r="Y59">
            <v>2399.9</v>
          </cell>
          <cell r="Z59">
            <v>1112.26</v>
          </cell>
          <cell r="AA59">
            <v>962.36</v>
          </cell>
          <cell r="AB59">
            <v>1702.87</v>
          </cell>
          <cell r="AC59">
            <v>1274.1500000000001</v>
          </cell>
          <cell r="AD59">
            <v>1561.96</v>
          </cell>
          <cell r="AE59">
            <v>4577.95</v>
          </cell>
          <cell r="AF59">
            <v>11.99</v>
          </cell>
        </row>
        <row r="60">
          <cell r="A60" t="str">
            <v>Maule (VII)</v>
          </cell>
          <cell r="B60">
            <v>54447</v>
          </cell>
          <cell r="C60">
            <v>39903</v>
          </cell>
          <cell r="D60">
            <v>25087</v>
          </cell>
          <cell r="E60">
            <v>9110</v>
          </cell>
          <cell r="F60">
            <v>15021</v>
          </cell>
          <cell r="G60">
            <v>4034</v>
          </cell>
          <cell r="H60">
            <v>7224</v>
          </cell>
          <cell r="I60">
            <v>972</v>
          </cell>
          <cell r="J60">
            <v>4852</v>
          </cell>
          <cell r="K60">
            <v>5660</v>
          </cell>
          <cell r="L60">
            <v>4368</v>
          </cell>
          <cell r="M60">
            <v>5706</v>
          </cell>
          <cell r="N60">
            <v>17423</v>
          </cell>
          <cell r="O60">
            <v>0</v>
          </cell>
          <cell r="R60" t="str">
            <v>Maule (VII)</v>
          </cell>
          <cell r="S60">
            <v>7775.32</v>
          </cell>
          <cell r="T60">
            <v>5882.08</v>
          </cell>
          <cell r="U60">
            <v>5264.5</v>
          </cell>
          <cell r="V60">
            <v>2614.2600000000002</v>
          </cell>
          <cell r="W60">
            <v>3087.94</v>
          </cell>
          <cell r="X60">
            <v>2005.66</v>
          </cell>
          <cell r="Y60">
            <v>2399.9</v>
          </cell>
          <cell r="Z60">
            <v>736.01</v>
          </cell>
          <cell r="AA60">
            <v>761.49</v>
          </cell>
          <cell r="AB60">
            <v>1283.1500000000001</v>
          </cell>
          <cell r="AC60">
            <v>986.34</v>
          </cell>
          <cell r="AD60">
            <v>1028.32</v>
          </cell>
          <cell r="AE60">
            <v>3951.37</v>
          </cell>
          <cell r="AF60">
            <v>6</v>
          </cell>
        </row>
        <row r="61">
          <cell r="A61" t="str">
            <v>Ñuble (XVI)</v>
          </cell>
          <cell r="B61">
            <v>18929</v>
          </cell>
          <cell r="C61">
            <v>13602</v>
          </cell>
          <cell r="D61">
            <v>13164</v>
          </cell>
          <cell r="E61">
            <v>3350</v>
          </cell>
          <cell r="F61">
            <v>5685</v>
          </cell>
          <cell r="G61">
            <v>1272</v>
          </cell>
          <cell r="H61">
            <v>3399</v>
          </cell>
          <cell r="I61">
            <v>421</v>
          </cell>
          <cell r="J61">
            <v>2198</v>
          </cell>
          <cell r="K61">
            <v>1629</v>
          </cell>
          <cell r="L61">
            <v>1543</v>
          </cell>
          <cell r="M61">
            <v>2208</v>
          </cell>
          <cell r="N61">
            <v>7352</v>
          </cell>
          <cell r="O61">
            <v>0</v>
          </cell>
          <cell r="R61" t="str">
            <v>Ñuble (XVI)</v>
          </cell>
          <cell r="S61">
            <v>3858.43</v>
          </cell>
          <cell r="T61">
            <v>2163.06</v>
          </cell>
          <cell r="U61">
            <v>2473.35</v>
          </cell>
          <cell r="V61">
            <v>1017.82</v>
          </cell>
          <cell r="W61">
            <v>1046.3</v>
          </cell>
          <cell r="X61">
            <v>734.51</v>
          </cell>
          <cell r="Y61">
            <v>1028.32</v>
          </cell>
          <cell r="Z61">
            <v>368.75</v>
          </cell>
          <cell r="AA61">
            <v>370.25</v>
          </cell>
          <cell r="AB61">
            <v>467.69</v>
          </cell>
          <cell r="AC61">
            <v>422.72</v>
          </cell>
          <cell r="AD61">
            <v>352.27</v>
          </cell>
          <cell r="AE61">
            <v>1659.4</v>
          </cell>
          <cell r="AF61">
            <v>4.5</v>
          </cell>
        </row>
        <row r="62">
          <cell r="A62" t="str">
            <v>Biobío (VIII)</v>
          </cell>
          <cell r="B62">
            <v>92545</v>
          </cell>
          <cell r="C62">
            <v>74530</v>
          </cell>
          <cell r="D62">
            <v>38632</v>
          </cell>
          <cell r="E62">
            <v>17988</v>
          </cell>
          <cell r="F62">
            <v>24997</v>
          </cell>
          <cell r="G62">
            <v>8702</v>
          </cell>
          <cell r="H62">
            <v>11553</v>
          </cell>
          <cell r="I62">
            <v>1240</v>
          </cell>
          <cell r="J62">
            <v>7639</v>
          </cell>
          <cell r="K62">
            <v>7570</v>
          </cell>
          <cell r="L62">
            <v>6377</v>
          </cell>
          <cell r="M62">
            <v>8874</v>
          </cell>
          <cell r="N62">
            <v>30473</v>
          </cell>
          <cell r="O62">
            <v>0</v>
          </cell>
          <cell r="R62" t="str">
            <v>Biobío (VIII)</v>
          </cell>
          <cell r="S62">
            <v>21041.49</v>
          </cell>
          <cell r="T62">
            <v>14167.07</v>
          </cell>
          <cell r="U62">
            <v>9356.77</v>
          </cell>
          <cell r="V62">
            <v>5676.72</v>
          </cell>
          <cell r="W62">
            <v>5957.03</v>
          </cell>
          <cell r="X62">
            <v>3829.95</v>
          </cell>
          <cell r="Y62">
            <v>4060.8</v>
          </cell>
          <cell r="Z62">
            <v>2092.61</v>
          </cell>
          <cell r="AA62">
            <v>1660.89</v>
          </cell>
          <cell r="AB62">
            <v>2777.65</v>
          </cell>
          <cell r="AC62">
            <v>2297.9699999999998</v>
          </cell>
          <cell r="AD62">
            <v>2284.48</v>
          </cell>
          <cell r="AE62">
            <v>8724.19</v>
          </cell>
          <cell r="AF62">
            <v>20.99</v>
          </cell>
        </row>
        <row r="63">
          <cell r="A63" t="str">
            <v>La Araucanía (IX)</v>
          </cell>
          <cell r="B63">
            <v>29329</v>
          </cell>
          <cell r="C63">
            <v>22040</v>
          </cell>
          <cell r="D63">
            <v>16458</v>
          </cell>
          <cell r="E63">
            <v>6404</v>
          </cell>
          <cell r="F63">
            <v>8956</v>
          </cell>
          <cell r="G63">
            <v>3485</v>
          </cell>
          <cell r="H63">
            <v>4814</v>
          </cell>
          <cell r="I63">
            <v>729</v>
          </cell>
          <cell r="J63">
            <v>2619</v>
          </cell>
          <cell r="K63">
            <v>3002</v>
          </cell>
          <cell r="L63">
            <v>2238</v>
          </cell>
          <cell r="M63">
            <v>2689</v>
          </cell>
          <cell r="N63">
            <v>11085</v>
          </cell>
          <cell r="O63">
            <v>0</v>
          </cell>
          <cell r="R63" t="str">
            <v>La Araucanía (IX)</v>
          </cell>
          <cell r="S63">
            <v>8433.39</v>
          </cell>
          <cell r="T63">
            <v>5324.46</v>
          </cell>
          <cell r="U63">
            <v>3558.63</v>
          </cell>
          <cell r="V63">
            <v>2618.7600000000002</v>
          </cell>
          <cell r="W63">
            <v>2443.37</v>
          </cell>
          <cell r="X63">
            <v>1771.82</v>
          </cell>
          <cell r="Y63">
            <v>2357.9299999999998</v>
          </cell>
          <cell r="Z63">
            <v>953.37</v>
          </cell>
          <cell r="AA63">
            <v>698.53</v>
          </cell>
          <cell r="AB63">
            <v>1344.6</v>
          </cell>
          <cell r="AC63">
            <v>1113.76</v>
          </cell>
          <cell r="AD63">
            <v>927.88</v>
          </cell>
          <cell r="AE63">
            <v>3486.68</v>
          </cell>
          <cell r="AF63">
            <v>19.489999999999998</v>
          </cell>
        </row>
        <row r="64">
          <cell r="A64" t="str">
            <v>Los Ríos (XIV)</v>
          </cell>
          <cell r="B64">
            <v>6544</v>
          </cell>
          <cell r="C64">
            <v>7615</v>
          </cell>
          <cell r="D64">
            <v>6758</v>
          </cell>
          <cell r="E64">
            <v>3251</v>
          </cell>
          <cell r="F64">
            <v>3676</v>
          </cell>
          <cell r="G64">
            <v>1536</v>
          </cell>
          <cell r="H64">
            <v>2398</v>
          </cell>
          <cell r="I64">
            <v>323</v>
          </cell>
          <cell r="J64">
            <v>1005</v>
          </cell>
          <cell r="K64">
            <v>1364</v>
          </cell>
          <cell r="L64">
            <v>1011</v>
          </cell>
          <cell r="M64">
            <v>568</v>
          </cell>
          <cell r="N64">
            <v>3947</v>
          </cell>
          <cell r="O64">
            <v>0</v>
          </cell>
          <cell r="R64" t="str">
            <v>Los Ríos (XIV)</v>
          </cell>
          <cell r="S64">
            <v>2602.27</v>
          </cell>
          <cell r="T64">
            <v>2070.12</v>
          </cell>
          <cell r="U64">
            <v>1854.27</v>
          </cell>
          <cell r="V64">
            <v>1245.67</v>
          </cell>
          <cell r="W64">
            <v>1038.81</v>
          </cell>
          <cell r="X64">
            <v>746.5</v>
          </cell>
          <cell r="Y64">
            <v>1067.29</v>
          </cell>
          <cell r="Z64">
            <v>281.81</v>
          </cell>
          <cell r="AA64">
            <v>226.35</v>
          </cell>
          <cell r="AB64">
            <v>719.52</v>
          </cell>
          <cell r="AC64">
            <v>352.27</v>
          </cell>
          <cell r="AD64">
            <v>212.86</v>
          </cell>
          <cell r="AE64">
            <v>1499</v>
          </cell>
          <cell r="AF64">
            <v>1.5</v>
          </cell>
        </row>
        <row r="65">
          <cell r="A65" t="str">
            <v>Los Lagos (X)</v>
          </cell>
          <cell r="B65">
            <v>37648</v>
          </cell>
          <cell r="C65">
            <v>33671</v>
          </cell>
          <cell r="D65">
            <v>25671</v>
          </cell>
          <cell r="E65">
            <v>10414</v>
          </cell>
          <cell r="F65">
            <v>12966</v>
          </cell>
          <cell r="G65">
            <v>5589</v>
          </cell>
          <cell r="H65">
            <v>7496</v>
          </cell>
          <cell r="I65">
            <v>739</v>
          </cell>
          <cell r="J65">
            <v>4074</v>
          </cell>
          <cell r="K65">
            <v>3138</v>
          </cell>
          <cell r="L65">
            <v>3162</v>
          </cell>
          <cell r="M65">
            <v>1891</v>
          </cell>
          <cell r="N65">
            <v>14077</v>
          </cell>
          <cell r="O65">
            <v>0</v>
          </cell>
          <cell r="R65" t="str">
            <v>Los Lagos (X)</v>
          </cell>
          <cell r="S65">
            <v>10242.68</v>
          </cell>
          <cell r="T65">
            <v>6844.44</v>
          </cell>
          <cell r="U65">
            <v>6112.93</v>
          </cell>
          <cell r="V65">
            <v>3576.62</v>
          </cell>
          <cell r="W65">
            <v>3686.05</v>
          </cell>
          <cell r="X65">
            <v>2149.5700000000002</v>
          </cell>
          <cell r="Y65">
            <v>2629.25</v>
          </cell>
          <cell r="Z65">
            <v>938.38</v>
          </cell>
          <cell r="AA65">
            <v>953.37</v>
          </cell>
          <cell r="AB65">
            <v>1519.99</v>
          </cell>
          <cell r="AC65">
            <v>1107.76</v>
          </cell>
          <cell r="AD65">
            <v>698.53</v>
          </cell>
          <cell r="AE65">
            <v>4488.01</v>
          </cell>
          <cell r="AF65">
            <v>26.98</v>
          </cell>
        </row>
        <row r="66">
          <cell r="A66" t="str">
            <v>Aysén (XI)</v>
          </cell>
          <cell r="B66">
            <v>4389</v>
          </cell>
          <cell r="C66">
            <v>2547</v>
          </cell>
          <cell r="D66">
            <v>1564</v>
          </cell>
          <cell r="E66">
            <v>1228</v>
          </cell>
          <cell r="F66">
            <v>1507</v>
          </cell>
          <cell r="G66">
            <v>570</v>
          </cell>
          <cell r="H66">
            <v>794</v>
          </cell>
          <cell r="I66">
            <v>111</v>
          </cell>
          <cell r="J66">
            <v>354</v>
          </cell>
          <cell r="K66">
            <v>439</v>
          </cell>
          <cell r="L66">
            <v>507</v>
          </cell>
          <cell r="M66">
            <v>304</v>
          </cell>
          <cell r="N66">
            <v>1718</v>
          </cell>
          <cell r="O66">
            <v>0</v>
          </cell>
          <cell r="R66" t="str">
            <v>Aysén (XI)</v>
          </cell>
          <cell r="S66">
            <v>1137.74</v>
          </cell>
          <cell r="T66">
            <v>500.67</v>
          </cell>
          <cell r="U66">
            <v>367.26</v>
          </cell>
          <cell r="V66">
            <v>331.28</v>
          </cell>
          <cell r="W66">
            <v>347.77</v>
          </cell>
          <cell r="X66">
            <v>166.39</v>
          </cell>
          <cell r="Y66">
            <v>232.35</v>
          </cell>
          <cell r="Z66">
            <v>128.91</v>
          </cell>
          <cell r="AA66">
            <v>112.43</v>
          </cell>
          <cell r="AB66">
            <v>145.4</v>
          </cell>
          <cell r="AC66">
            <v>146.9</v>
          </cell>
          <cell r="AD66">
            <v>76.45</v>
          </cell>
          <cell r="AE66">
            <v>332.78</v>
          </cell>
          <cell r="AF66">
            <v>3</v>
          </cell>
        </row>
        <row r="67">
          <cell r="A67" t="str">
            <v>Magallanes (XII)</v>
          </cell>
          <cell r="B67">
            <v>9223</v>
          </cell>
          <cell r="C67">
            <v>6856</v>
          </cell>
          <cell r="D67">
            <v>12034</v>
          </cell>
          <cell r="E67">
            <v>2481</v>
          </cell>
          <cell r="F67">
            <v>2521</v>
          </cell>
          <cell r="G67">
            <v>1028</v>
          </cell>
          <cell r="H67">
            <v>1781</v>
          </cell>
          <cell r="I67">
            <v>145</v>
          </cell>
          <cell r="J67">
            <v>862</v>
          </cell>
          <cell r="K67">
            <v>1059</v>
          </cell>
          <cell r="L67">
            <v>766</v>
          </cell>
          <cell r="M67">
            <v>647</v>
          </cell>
          <cell r="N67">
            <v>3105</v>
          </cell>
          <cell r="O67">
            <v>0</v>
          </cell>
          <cell r="R67" t="str">
            <v>Magallanes (XII)</v>
          </cell>
          <cell r="S67">
            <v>2761.16</v>
          </cell>
          <cell r="T67">
            <v>2404.4</v>
          </cell>
          <cell r="U67">
            <v>4583.95</v>
          </cell>
          <cell r="V67">
            <v>1107.76</v>
          </cell>
          <cell r="W67">
            <v>1134.74</v>
          </cell>
          <cell r="X67">
            <v>464.69</v>
          </cell>
          <cell r="Y67">
            <v>730.01</v>
          </cell>
          <cell r="Z67">
            <v>257.83</v>
          </cell>
          <cell r="AA67">
            <v>319.29000000000002</v>
          </cell>
          <cell r="AB67">
            <v>514.16</v>
          </cell>
          <cell r="AC67">
            <v>355.26</v>
          </cell>
          <cell r="AD67">
            <v>301.3</v>
          </cell>
          <cell r="AE67">
            <v>1427.05</v>
          </cell>
          <cell r="AF67">
            <v>3</v>
          </cell>
        </row>
        <row r="68">
          <cell r="A68" t="str">
            <v>Sin información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R68" t="str">
            <v>Sin información</v>
          </cell>
          <cell r="S68">
            <v>283.31</v>
          </cell>
          <cell r="T68">
            <v>199.37</v>
          </cell>
          <cell r="U68">
            <v>1044.8</v>
          </cell>
          <cell r="V68">
            <v>95.94</v>
          </cell>
          <cell r="W68">
            <v>119.92</v>
          </cell>
          <cell r="X68">
            <v>62.96</v>
          </cell>
          <cell r="Y68">
            <v>85.44</v>
          </cell>
          <cell r="Z68">
            <v>16432.060000000001</v>
          </cell>
          <cell r="AA68">
            <v>31.48</v>
          </cell>
          <cell r="AB68">
            <v>65.959999999999994</v>
          </cell>
          <cell r="AC68">
            <v>26.98</v>
          </cell>
          <cell r="AD68">
            <v>37.479999999999997</v>
          </cell>
          <cell r="AE68">
            <v>127.42</v>
          </cell>
          <cell r="AF68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7">
          <cell r="B27">
            <v>705255</v>
          </cell>
          <cell r="C27">
            <v>564235</v>
          </cell>
          <cell r="D27">
            <v>208224</v>
          </cell>
          <cell r="E27">
            <v>254393</v>
          </cell>
          <cell r="F27">
            <v>83041</v>
          </cell>
          <cell r="G27">
            <v>111727</v>
          </cell>
          <cell r="H27">
            <v>88</v>
          </cell>
          <cell r="I27">
            <v>45683</v>
          </cell>
          <cell r="J27">
            <v>50036</v>
          </cell>
          <cell r="K27">
            <v>81399</v>
          </cell>
          <cell r="L27">
            <v>551843</v>
          </cell>
          <cell r="M27">
            <v>0</v>
          </cell>
          <cell r="N27">
            <v>237982</v>
          </cell>
          <cell r="O27"/>
          <cell r="T27">
            <v>166535</v>
          </cell>
          <cell r="U27">
            <v>132791</v>
          </cell>
          <cell r="V27">
            <v>99080</v>
          </cell>
          <cell r="W27">
            <v>76859</v>
          </cell>
          <cell r="X27">
            <v>36313</v>
          </cell>
          <cell r="Y27">
            <v>51686</v>
          </cell>
          <cell r="Z27">
            <v>16</v>
          </cell>
          <cell r="AA27">
            <v>15552</v>
          </cell>
          <cell r="AB27">
            <v>18522</v>
          </cell>
          <cell r="AC27">
            <v>17564</v>
          </cell>
          <cell r="AD27">
            <v>218468</v>
          </cell>
          <cell r="AE27">
            <v>0</v>
          </cell>
          <cell r="AF27">
            <v>72892</v>
          </cell>
          <cell r="AG27">
            <v>229</v>
          </cell>
        </row>
        <row r="28">
          <cell r="B28">
            <v>1346922</v>
          </cell>
          <cell r="C28">
            <v>668670</v>
          </cell>
          <cell r="D28">
            <v>404205</v>
          </cell>
          <cell r="E28">
            <v>170827</v>
          </cell>
          <cell r="F28">
            <v>135445</v>
          </cell>
          <cell r="G28">
            <v>142188</v>
          </cell>
          <cell r="H28">
            <v>106216</v>
          </cell>
          <cell r="I28">
            <v>89653</v>
          </cell>
          <cell r="J28">
            <v>60828</v>
          </cell>
          <cell r="K28">
            <v>41643</v>
          </cell>
          <cell r="L28">
            <v>658883</v>
          </cell>
          <cell r="M28">
            <v>0</v>
          </cell>
          <cell r="N28">
            <v>330530</v>
          </cell>
          <cell r="O28"/>
          <cell r="T28">
            <v>237408</v>
          </cell>
          <cell r="U28">
            <v>101389</v>
          </cell>
          <cell r="V28">
            <v>135497</v>
          </cell>
          <cell r="W28">
            <v>39812</v>
          </cell>
          <cell r="X28">
            <v>41492</v>
          </cell>
          <cell r="Y28">
            <v>51130</v>
          </cell>
          <cell r="Z28">
            <v>32490</v>
          </cell>
          <cell r="AA28">
            <v>30428</v>
          </cell>
          <cell r="AB28">
            <v>22562</v>
          </cell>
          <cell r="AC28">
            <v>8694</v>
          </cell>
          <cell r="AD28">
            <v>197224</v>
          </cell>
          <cell r="AE28">
            <v>0</v>
          </cell>
          <cell r="AF28">
            <v>91936</v>
          </cell>
          <cell r="AG28">
            <v>237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0</v>
          </cell>
        </row>
        <row r="37">
          <cell r="B37">
            <v>11346</v>
          </cell>
          <cell r="C37">
            <v>7538</v>
          </cell>
          <cell r="D37">
            <v>7361</v>
          </cell>
          <cell r="E37">
            <v>5478</v>
          </cell>
          <cell r="F37">
            <v>2648</v>
          </cell>
          <cell r="G37">
            <v>2556</v>
          </cell>
          <cell r="H37">
            <v>860</v>
          </cell>
          <cell r="I37">
            <v>983</v>
          </cell>
          <cell r="J37">
            <v>149</v>
          </cell>
          <cell r="K37">
            <v>171</v>
          </cell>
          <cell r="L37">
            <v>19406</v>
          </cell>
          <cell r="M37">
            <v>0</v>
          </cell>
          <cell r="N37">
            <v>4090</v>
          </cell>
          <cell r="O37"/>
          <cell r="T37">
            <v>147</v>
          </cell>
          <cell r="U37">
            <v>58</v>
          </cell>
          <cell r="V37">
            <v>80</v>
          </cell>
          <cell r="W37">
            <v>51</v>
          </cell>
          <cell r="X37">
            <v>26</v>
          </cell>
          <cell r="Y37">
            <v>24</v>
          </cell>
          <cell r="Z37">
            <v>2</v>
          </cell>
          <cell r="AA37">
            <v>11</v>
          </cell>
          <cell r="AB37">
            <v>0</v>
          </cell>
          <cell r="AC37">
            <v>1</v>
          </cell>
          <cell r="AD37">
            <v>115</v>
          </cell>
          <cell r="AE37">
            <v>0</v>
          </cell>
          <cell r="AF37">
            <v>57</v>
          </cell>
          <cell r="AG37">
            <v>0</v>
          </cell>
        </row>
        <row r="38">
          <cell r="B38">
            <v>155813</v>
          </cell>
          <cell r="C38">
            <v>68461</v>
          </cell>
          <cell r="D38">
            <v>54619</v>
          </cell>
          <cell r="E38">
            <v>38304</v>
          </cell>
          <cell r="F38">
            <v>23923</v>
          </cell>
          <cell r="G38">
            <v>20548</v>
          </cell>
          <cell r="H38">
            <v>14135</v>
          </cell>
          <cell r="I38">
            <v>8213</v>
          </cell>
          <cell r="J38">
            <v>1420</v>
          </cell>
          <cell r="K38">
            <v>1636</v>
          </cell>
          <cell r="L38">
            <v>123347</v>
          </cell>
          <cell r="M38">
            <v>0</v>
          </cell>
          <cell r="N38">
            <v>34546</v>
          </cell>
          <cell r="O38"/>
          <cell r="T38">
            <v>6149</v>
          </cell>
          <cell r="U38">
            <v>3045</v>
          </cell>
          <cell r="V38">
            <v>3466</v>
          </cell>
          <cell r="W38">
            <v>2277</v>
          </cell>
          <cell r="X38">
            <v>1410</v>
          </cell>
          <cell r="Y38">
            <v>1512</v>
          </cell>
          <cell r="Z38">
            <v>629</v>
          </cell>
          <cell r="AA38">
            <v>470</v>
          </cell>
          <cell r="AB38">
            <v>111</v>
          </cell>
          <cell r="AC38">
            <v>99</v>
          </cell>
          <cell r="AD38">
            <v>6064</v>
          </cell>
          <cell r="AE38">
            <v>0</v>
          </cell>
          <cell r="AF38">
            <v>2011</v>
          </cell>
          <cell r="AG38">
            <v>5</v>
          </cell>
        </row>
        <row r="39">
          <cell r="B39">
            <v>756871</v>
          </cell>
          <cell r="C39">
            <v>273252</v>
          </cell>
          <cell r="D39">
            <v>203032</v>
          </cell>
          <cell r="E39">
            <v>112536</v>
          </cell>
          <cell r="F39">
            <v>86579</v>
          </cell>
          <cell r="G39">
            <v>74879</v>
          </cell>
          <cell r="H39">
            <v>65518</v>
          </cell>
          <cell r="I39">
            <v>35386</v>
          </cell>
          <cell r="J39">
            <v>10144</v>
          </cell>
          <cell r="K39">
            <v>9668</v>
          </cell>
          <cell r="L39">
            <v>400168</v>
          </cell>
          <cell r="M39">
            <v>0</v>
          </cell>
          <cell r="N39">
            <v>140482</v>
          </cell>
          <cell r="O39"/>
          <cell r="T39">
            <v>137887</v>
          </cell>
          <cell r="U39">
            <v>58480</v>
          </cell>
          <cell r="V39">
            <v>76099</v>
          </cell>
          <cell r="W39">
            <v>35884</v>
          </cell>
          <cell r="X39">
            <v>31656</v>
          </cell>
          <cell r="Y39">
            <v>34198</v>
          </cell>
          <cell r="Z39">
            <v>18482</v>
          </cell>
          <cell r="AA39">
            <v>12628</v>
          </cell>
          <cell r="AB39">
            <v>4548</v>
          </cell>
          <cell r="AC39">
            <v>3182</v>
          </cell>
          <cell r="AD39">
            <v>132906</v>
          </cell>
          <cell r="AE39">
            <v>0</v>
          </cell>
          <cell r="AF39">
            <v>48303</v>
          </cell>
          <cell r="AG39">
            <v>160</v>
          </cell>
        </row>
        <row r="40">
          <cell r="B40">
            <v>556878</v>
          </cell>
          <cell r="C40">
            <v>272761</v>
          </cell>
          <cell r="D40">
            <v>146227</v>
          </cell>
          <cell r="E40">
            <v>87901</v>
          </cell>
          <cell r="F40">
            <v>51260</v>
          </cell>
          <cell r="G40">
            <v>59354</v>
          </cell>
          <cell r="H40">
            <v>25183</v>
          </cell>
          <cell r="I40">
            <v>33382</v>
          </cell>
          <cell r="J40">
            <v>19754</v>
          </cell>
          <cell r="K40">
            <v>17295</v>
          </cell>
          <cell r="L40">
            <v>287670</v>
          </cell>
          <cell r="M40">
            <v>0</v>
          </cell>
          <cell r="N40">
            <v>129491</v>
          </cell>
          <cell r="O40"/>
          <cell r="T40">
            <v>141571</v>
          </cell>
          <cell r="U40">
            <v>68957</v>
          </cell>
          <cell r="V40">
            <v>77631</v>
          </cell>
          <cell r="W40">
            <v>34557</v>
          </cell>
          <cell r="X40">
            <v>26122</v>
          </cell>
          <cell r="Y40">
            <v>32655</v>
          </cell>
          <cell r="Z40">
            <v>13030</v>
          </cell>
          <cell r="AA40">
            <v>16020</v>
          </cell>
          <cell r="AB40">
            <v>9664</v>
          </cell>
          <cell r="AC40">
            <v>5956</v>
          </cell>
          <cell r="AD40">
            <v>135535</v>
          </cell>
          <cell r="AE40">
            <v>0</v>
          </cell>
          <cell r="AF40">
            <v>50458</v>
          </cell>
          <cell r="AG40">
            <v>139</v>
          </cell>
        </row>
        <row r="41">
          <cell r="B41">
            <v>323904</v>
          </cell>
          <cell r="C41">
            <v>292390</v>
          </cell>
          <cell r="D41">
            <v>104875</v>
          </cell>
          <cell r="E41">
            <v>86448</v>
          </cell>
          <cell r="F41">
            <v>29915</v>
          </cell>
          <cell r="G41">
            <v>47214</v>
          </cell>
          <cell r="H41">
            <v>543</v>
          </cell>
          <cell r="I41">
            <v>27026</v>
          </cell>
          <cell r="J41">
            <v>29060</v>
          </cell>
          <cell r="K41">
            <v>29492</v>
          </cell>
          <cell r="L41">
            <v>214102</v>
          </cell>
          <cell r="M41">
            <v>0</v>
          </cell>
          <cell r="N41">
            <v>122803</v>
          </cell>
          <cell r="O41"/>
          <cell r="T41">
            <v>69456</v>
          </cell>
          <cell r="U41">
            <v>53464</v>
          </cell>
          <cell r="V41">
            <v>43440</v>
          </cell>
          <cell r="W41">
            <v>24339</v>
          </cell>
          <cell r="X41">
            <v>11312</v>
          </cell>
          <cell r="Y41">
            <v>19017</v>
          </cell>
          <cell r="Z41">
            <v>345</v>
          </cell>
          <cell r="AA41">
            <v>9340</v>
          </cell>
          <cell r="AB41">
            <v>11100</v>
          </cell>
          <cell r="AC41">
            <v>6641</v>
          </cell>
          <cell r="AD41">
            <v>83492</v>
          </cell>
          <cell r="AE41">
            <v>0</v>
          </cell>
          <cell r="AF41">
            <v>33756</v>
          </cell>
          <cell r="AG41">
            <v>80</v>
          </cell>
        </row>
        <row r="42">
          <cell r="B42">
            <v>200968</v>
          </cell>
          <cell r="C42">
            <v>252114</v>
          </cell>
          <cell r="D42">
            <v>75492</v>
          </cell>
          <cell r="E42">
            <v>75546</v>
          </cell>
          <cell r="F42">
            <v>19715</v>
          </cell>
          <cell r="G42">
            <v>38161</v>
          </cell>
          <cell r="H42">
            <v>55</v>
          </cell>
          <cell r="I42">
            <v>21893</v>
          </cell>
          <cell r="J42">
            <v>33313</v>
          </cell>
          <cell r="K42">
            <v>43149</v>
          </cell>
          <cell r="L42">
            <v>137461</v>
          </cell>
          <cell r="M42">
            <v>0</v>
          </cell>
          <cell r="N42">
            <v>104519</v>
          </cell>
          <cell r="O42"/>
          <cell r="T42">
            <v>40674</v>
          </cell>
          <cell r="U42">
            <v>41572</v>
          </cell>
          <cell r="V42">
            <v>27727</v>
          </cell>
          <cell r="W42">
            <v>16192</v>
          </cell>
          <cell r="X42">
            <v>6123</v>
          </cell>
          <cell r="Y42">
            <v>12641</v>
          </cell>
          <cell r="Z42">
            <v>16</v>
          </cell>
          <cell r="AA42">
            <v>5954</v>
          </cell>
          <cell r="AB42">
            <v>11139</v>
          </cell>
          <cell r="AC42">
            <v>7727</v>
          </cell>
          <cell r="AD42">
            <v>48817</v>
          </cell>
          <cell r="AE42">
            <v>0</v>
          </cell>
          <cell r="AF42">
            <v>24508</v>
          </cell>
          <cell r="AG42">
            <v>63</v>
          </cell>
        </row>
        <row r="43">
          <cell r="B43">
            <v>46397</v>
          </cell>
          <cell r="C43">
            <v>66389</v>
          </cell>
          <cell r="D43">
            <v>20823</v>
          </cell>
          <cell r="E43">
            <v>19007</v>
          </cell>
          <cell r="F43">
            <v>4446</v>
          </cell>
          <cell r="G43">
            <v>11203</v>
          </cell>
          <cell r="H43">
            <v>10</v>
          </cell>
          <cell r="I43">
            <v>8453</v>
          </cell>
          <cell r="J43">
            <v>17024</v>
          </cell>
          <cell r="K43">
            <v>21631</v>
          </cell>
          <cell r="L43">
            <v>28572</v>
          </cell>
          <cell r="M43">
            <v>0</v>
          </cell>
          <cell r="N43">
            <v>32581</v>
          </cell>
          <cell r="O43"/>
          <cell r="T43">
            <v>8059</v>
          </cell>
          <cell r="U43">
            <v>8604</v>
          </cell>
          <cell r="V43">
            <v>6134</v>
          </cell>
          <cell r="W43">
            <v>3372</v>
          </cell>
          <cell r="X43">
            <v>1155</v>
          </cell>
          <cell r="Y43">
            <v>2768</v>
          </cell>
          <cell r="Z43">
            <v>2</v>
          </cell>
          <cell r="AA43">
            <v>1557</v>
          </cell>
          <cell r="AB43">
            <v>4522</v>
          </cell>
          <cell r="AC43">
            <v>2652</v>
          </cell>
          <cell r="AD43">
            <v>8764</v>
          </cell>
          <cell r="AE43">
            <v>0</v>
          </cell>
          <cell r="AF43">
            <v>5736</v>
          </cell>
          <cell r="AG43">
            <v>19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1</v>
          </cell>
          <cell r="Y44">
            <v>1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52">
          <cell r="B52">
            <v>5034</v>
          </cell>
          <cell r="C52">
            <v>6254</v>
          </cell>
          <cell r="D52">
            <v>6230</v>
          </cell>
          <cell r="E52">
            <v>3041</v>
          </cell>
          <cell r="F52">
            <v>2049</v>
          </cell>
          <cell r="G52">
            <v>2877</v>
          </cell>
          <cell r="H52">
            <v>1443</v>
          </cell>
          <cell r="I52">
            <v>1382</v>
          </cell>
          <cell r="J52">
            <v>1009</v>
          </cell>
          <cell r="K52">
            <v>704</v>
          </cell>
          <cell r="L52">
            <v>13085</v>
          </cell>
          <cell r="M52">
            <v>0</v>
          </cell>
          <cell r="N52">
            <v>3702</v>
          </cell>
          <cell r="O52"/>
          <cell r="T52">
            <v>1701</v>
          </cell>
          <cell r="U52">
            <v>1199</v>
          </cell>
          <cell r="V52">
            <v>1681</v>
          </cell>
          <cell r="W52">
            <v>768</v>
          </cell>
          <cell r="X52">
            <v>622</v>
          </cell>
          <cell r="Y52">
            <v>951</v>
          </cell>
          <cell r="Z52">
            <v>188</v>
          </cell>
          <cell r="AA52">
            <v>376</v>
          </cell>
          <cell r="AB52">
            <v>329</v>
          </cell>
          <cell r="AC52">
            <v>170</v>
          </cell>
          <cell r="AD52">
            <v>2772</v>
          </cell>
          <cell r="AE52">
            <v>0</v>
          </cell>
          <cell r="AF52">
            <v>1129</v>
          </cell>
          <cell r="AG52">
            <v>1</v>
          </cell>
        </row>
        <row r="53">
          <cell r="B53">
            <v>40992</v>
          </cell>
          <cell r="C53">
            <v>19689</v>
          </cell>
          <cell r="D53">
            <v>8958</v>
          </cell>
          <cell r="E53">
            <v>7279</v>
          </cell>
          <cell r="F53">
            <v>3416</v>
          </cell>
          <cell r="G53">
            <v>4688</v>
          </cell>
          <cell r="H53">
            <v>1191</v>
          </cell>
          <cell r="I53">
            <v>2452</v>
          </cell>
          <cell r="J53">
            <v>1485</v>
          </cell>
          <cell r="K53">
            <v>1913</v>
          </cell>
          <cell r="L53">
            <v>25945</v>
          </cell>
          <cell r="M53">
            <v>0</v>
          </cell>
          <cell r="N53">
            <v>9320</v>
          </cell>
          <cell r="O53"/>
          <cell r="T53">
            <v>8499</v>
          </cell>
          <cell r="U53">
            <v>5601</v>
          </cell>
          <cell r="V53">
            <v>3888</v>
          </cell>
          <cell r="W53">
            <v>2523</v>
          </cell>
          <cell r="X53">
            <v>1244</v>
          </cell>
          <cell r="Y53">
            <v>1819</v>
          </cell>
          <cell r="Z53">
            <v>230</v>
          </cell>
          <cell r="AA53">
            <v>799</v>
          </cell>
          <cell r="AB53">
            <v>765</v>
          </cell>
          <cell r="AC53">
            <v>562</v>
          </cell>
          <cell r="AD53">
            <v>7936</v>
          </cell>
          <cell r="AE53">
            <v>0</v>
          </cell>
          <cell r="AF53">
            <v>3142</v>
          </cell>
          <cell r="AG53">
            <v>18</v>
          </cell>
        </row>
        <row r="54">
          <cell r="B54">
            <v>67940</v>
          </cell>
          <cell r="C54">
            <v>43913</v>
          </cell>
          <cell r="D54">
            <v>22186</v>
          </cell>
          <cell r="E54">
            <v>14656</v>
          </cell>
          <cell r="F54">
            <v>6566</v>
          </cell>
          <cell r="G54">
            <v>7828</v>
          </cell>
          <cell r="H54">
            <v>3581</v>
          </cell>
          <cell r="I54">
            <v>5133</v>
          </cell>
          <cell r="J54">
            <v>4209</v>
          </cell>
          <cell r="K54">
            <v>4358</v>
          </cell>
          <cell r="L54">
            <v>35197</v>
          </cell>
          <cell r="M54">
            <v>0</v>
          </cell>
          <cell r="N54">
            <v>18669</v>
          </cell>
          <cell r="O54"/>
          <cell r="T54">
            <v>16851</v>
          </cell>
          <cell r="U54">
            <v>14357</v>
          </cell>
          <cell r="V54">
            <v>10461</v>
          </cell>
          <cell r="W54">
            <v>7014</v>
          </cell>
          <cell r="X54">
            <v>2852</v>
          </cell>
          <cell r="Y54">
            <v>3832</v>
          </cell>
          <cell r="Z54">
            <v>1236</v>
          </cell>
          <cell r="AA54">
            <v>2253</v>
          </cell>
          <cell r="AB54">
            <v>1667</v>
          </cell>
          <cell r="AC54">
            <v>1481</v>
          </cell>
          <cell r="AD54">
            <v>19037</v>
          </cell>
          <cell r="AE54">
            <v>0</v>
          </cell>
          <cell r="AF54">
            <v>6971</v>
          </cell>
          <cell r="AG54">
            <v>25</v>
          </cell>
        </row>
        <row r="55">
          <cell r="B55">
            <v>30391</v>
          </cell>
          <cell r="C55">
            <v>20628</v>
          </cell>
          <cell r="D55">
            <v>9569</v>
          </cell>
          <cell r="E55">
            <v>7322</v>
          </cell>
          <cell r="F55">
            <v>2512</v>
          </cell>
          <cell r="G55">
            <v>4695</v>
          </cell>
          <cell r="H55">
            <v>1575</v>
          </cell>
          <cell r="I55">
            <v>2649</v>
          </cell>
          <cell r="J55">
            <v>2159</v>
          </cell>
          <cell r="K55">
            <v>2404</v>
          </cell>
          <cell r="L55">
            <v>23141</v>
          </cell>
          <cell r="M55">
            <v>0</v>
          </cell>
          <cell r="N55">
            <v>10790</v>
          </cell>
          <cell r="O55"/>
          <cell r="T55">
            <v>4095</v>
          </cell>
          <cell r="U55">
            <v>3341</v>
          </cell>
          <cell r="V55">
            <v>2800</v>
          </cell>
          <cell r="W55">
            <v>1708</v>
          </cell>
          <cell r="X55">
            <v>752</v>
          </cell>
          <cell r="Y55">
            <v>1251</v>
          </cell>
          <cell r="Z55">
            <v>314</v>
          </cell>
          <cell r="AA55">
            <v>628</v>
          </cell>
          <cell r="AB55">
            <v>480</v>
          </cell>
          <cell r="AC55">
            <v>403</v>
          </cell>
          <cell r="AD55">
            <v>6115</v>
          </cell>
          <cell r="AE55">
            <v>0</v>
          </cell>
          <cell r="AF55">
            <v>2143</v>
          </cell>
          <cell r="AG55">
            <v>9</v>
          </cell>
        </row>
        <row r="56">
          <cell r="B56">
            <v>63178</v>
          </cell>
          <cell r="C56">
            <v>37070</v>
          </cell>
          <cell r="D56">
            <v>19866</v>
          </cell>
          <cell r="E56">
            <v>12884</v>
          </cell>
          <cell r="F56">
            <v>6579</v>
          </cell>
          <cell r="G56">
            <v>9204</v>
          </cell>
          <cell r="H56">
            <v>3371</v>
          </cell>
          <cell r="I56">
            <v>4992</v>
          </cell>
          <cell r="J56">
            <v>3713</v>
          </cell>
          <cell r="K56">
            <v>3717</v>
          </cell>
          <cell r="L56">
            <v>50428</v>
          </cell>
          <cell r="M56">
            <v>0</v>
          </cell>
          <cell r="N56">
            <v>17500</v>
          </cell>
          <cell r="O56"/>
          <cell r="T56">
            <v>6611</v>
          </cell>
          <cell r="U56">
            <v>3533</v>
          </cell>
          <cell r="V56">
            <v>3689</v>
          </cell>
          <cell r="W56">
            <v>1725</v>
          </cell>
          <cell r="X56">
            <v>1053</v>
          </cell>
          <cell r="Y56">
            <v>1776</v>
          </cell>
          <cell r="Z56">
            <v>490</v>
          </cell>
          <cell r="AA56">
            <v>806</v>
          </cell>
          <cell r="AB56">
            <v>626</v>
          </cell>
          <cell r="AC56">
            <v>484</v>
          </cell>
          <cell r="AD56">
            <v>6247</v>
          </cell>
          <cell r="AE56">
            <v>0</v>
          </cell>
          <cell r="AF56">
            <v>2404</v>
          </cell>
          <cell r="AG56">
            <v>7</v>
          </cell>
        </row>
        <row r="57">
          <cell r="B57">
            <v>198137</v>
          </cell>
          <cell r="C57">
            <v>110390</v>
          </cell>
          <cell r="D57">
            <v>59974</v>
          </cell>
          <cell r="E57">
            <v>39554</v>
          </cell>
          <cell r="F57">
            <v>20428</v>
          </cell>
          <cell r="G57">
            <v>22197</v>
          </cell>
          <cell r="H57">
            <v>10492</v>
          </cell>
          <cell r="I57">
            <v>13860</v>
          </cell>
          <cell r="J57">
            <v>10516</v>
          </cell>
          <cell r="K57">
            <v>11890</v>
          </cell>
          <cell r="L57">
            <v>120710</v>
          </cell>
          <cell r="M57">
            <v>0</v>
          </cell>
          <cell r="N57">
            <v>52832</v>
          </cell>
          <cell r="O57"/>
          <cell r="T57">
            <v>27895</v>
          </cell>
          <cell r="U57">
            <v>14354</v>
          </cell>
          <cell r="V57">
            <v>14413</v>
          </cell>
          <cell r="W57">
            <v>7235</v>
          </cell>
          <cell r="X57">
            <v>4409</v>
          </cell>
          <cell r="Y57">
            <v>5960</v>
          </cell>
          <cell r="Z57">
            <v>1854</v>
          </cell>
          <cell r="AA57">
            <v>2895</v>
          </cell>
          <cell r="AB57">
            <v>2433</v>
          </cell>
          <cell r="AC57">
            <v>1677</v>
          </cell>
          <cell r="AD57">
            <v>25575</v>
          </cell>
          <cell r="AE57">
            <v>0</v>
          </cell>
          <cell r="AF57">
            <v>9432</v>
          </cell>
          <cell r="AG57">
            <v>16</v>
          </cell>
        </row>
        <row r="58">
          <cell r="B58">
            <v>1032654</v>
          </cell>
          <cell r="C58">
            <v>536415</v>
          </cell>
          <cell r="D58">
            <v>272630</v>
          </cell>
          <cell r="E58">
            <v>183113</v>
          </cell>
          <cell r="F58">
            <v>113258</v>
          </cell>
          <cell r="G58">
            <v>111172</v>
          </cell>
          <cell r="H58">
            <v>39374</v>
          </cell>
          <cell r="I58">
            <v>61375</v>
          </cell>
          <cell r="J58">
            <v>48739</v>
          </cell>
          <cell r="K58">
            <v>56668</v>
          </cell>
          <cell r="L58">
            <v>521284</v>
          </cell>
          <cell r="M58">
            <v>0</v>
          </cell>
          <cell r="N58">
            <v>259845</v>
          </cell>
          <cell r="O58"/>
          <cell r="T58">
            <v>239115</v>
          </cell>
          <cell r="U58">
            <v>133734</v>
          </cell>
          <cell r="V58">
            <v>140199</v>
          </cell>
          <cell r="W58">
            <v>69652</v>
          </cell>
          <cell r="X58">
            <v>48813</v>
          </cell>
          <cell r="Y58">
            <v>63396</v>
          </cell>
          <cell r="Z58">
            <v>20299</v>
          </cell>
          <cell r="AA58">
            <v>28487</v>
          </cell>
          <cell r="AB58">
            <v>25689</v>
          </cell>
          <cell r="AC58">
            <v>15604</v>
          </cell>
          <cell r="AD58">
            <v>257579</v>
          </cell>
          <cell r="AE58">
            <v>0</v>
          </cell>
          <cell r="AF58">
            <v>101443</v>
          </cell>
          <cell r="AG58">
            <v>280</v>
          </cell>
        </row>
        <row r="59">
          <cell r="B59">
            <v>81285</v>
          </cell>
          <cell r="C59">
            <v>68784</v>
          </cell>
          <cell r="D59">
            <v>22552</v>
          </cell>
          <cell r="E59">
            <v>23086</v>
          </cell>
          <cell r="F59">
            <v>8884</v>
          </cell>
          <cell r="G59">
            <v>10964</v>
          </cell>
          <cell r="H59">
            <v>10864</v>
          </cell>
          <cell r="I59">
            <v>6537</v>
          </cell>
          <cell r="J59">
            <v>5281</v>
          </cell>
          <cell r="K59">
            <v>6623</v>
          </cell>
          <cell r="L59">
            <v>57011</v>
          </cell>
          <cell r="M59">
            <v>0</v>
          </cell>
          <cell r="N59">
            <v>26142</v>
          </cell>
          <cell r="O59"/>
          <cell r="T59">
            <v>13145</v>
          </cell>
          <cell r="U59">
            <v>8459</v>
          </cell>
          <cell r="V59">
            <v>6073</v>
          </cell>
          <cell r="W59">
            <v>4057</v>
          </cell>
          <cell r="X59">
            <v>2681</v>
          </cell>
          <cell r="Y59">
            <v>3011</v>
          </cell>
          <cell r="Z59">
            <v>1422</v>
          </cell>
          <cell r="AA59">
            <v>1487</v>
          </cell>
          <cell r="AB59">
            <v>1271</v>
          </cell>
          <cell r="AC59">
            <v>926</v>
          </cell>
          <cell r="AD59">
            <v>13778</v>
          </cell>
          <cell r="AE59">
            <v>0</v>
          </cell>
          <cell r="AF59">
            <v>4898</v>
          </cell>
          <cell r="AG59">
            <v>3</v>
          </cell>
        </row>
        <row r="60">
          <cell r="B60">
            <v>100962</v>
          </cell>
          <cell r="C60">
            <v>72210</v>
          </cell>
          <cell r="D60">
            <v>27770</v>
          </cell>
          <cell r="E60">
            <v>23400</v>
          </cell>
          <cell r="F60">
            <v>7548</v>
          </cell>
          <cell r="G60">
            <v>13405</v>
          </cell>
          <cell r="H60">
            <v>8146</v>
          </cell>
          <cell r="I60">
            <v>7176</v>
          </cell>
          <cell r="J60">
            <v>7094</v>
          </cell>
          <cell r="K60">
            <v>6906</v>
          </cell>
          <cell r="L60">
            <v>58555</v>
          </cell>
          <cell r="M60">
            <v>0</v>
          </cell>
          <cell r="N60">
            <v>31563</v>
          </cell>
          <cell r="O60"/>
          <cell r="T60">
            <v>14752</v>
          </cell>
          <cell r="U60">
            <v>7932</v>
          </cell>
          <cell r="V60">
            <v>7426</v>
          </cell>
          <cell r="W60">
            <v>3396</v>
          </cell>
          <cell r="X60">
            <v>2281</v>
          </cell>
          <cell r="Y60">
            <v>3422</v>
          </cell>
          <cell r="Z60">
            <v>1178</v>
          </cell>
          <cell r="AA60">
            <v>1224</v>
          </cell>
          <cell r="AB60">
            <v>1205</v>
          </cell>
          <cell r="AC60">
            <v>841</v>
          </cell>
          <cell r="AD60">
            <v>11214</v>
          </cell>
          <cell r="AE60">
            <v>0</v>
          </cell>
          <cell r="AF60">
            <v>5705</v>
          </cell>
          <cell r="AG60">
            <v>17</v>
          </cell>
        </row>
        <row r="61">
          <cell r="B61">
            <v>41014</v>
          </cell>
          <cell r="C61">
            <v>30935</v>
          </cell>
          <cell r="D61">
            <v>13186</v>
          </cell>
          <cell r="E61">
            <v>10971</v>
          </cell>
          <cell r="F61">
            <v>3027</v>
          </cell>
          <cell r="G61">
            <v>6934</v>
          </cell>
          <cell r="H61">
            <v>2824</v>
          </cell>
          <cell r="I61">
            <v>2953</v>
          </cell>
          <cell r="J61">
            <v>2592</v>
          </cell>
          <cell r="K61">
            <v>3464</v>
          </cell>
          <cell r="L61">
            <v>34353</v>
          </cell>
          <cell r="M61">
            <v>0</v>
          </cell>
          <cell r="N61">
            <v>13388</v>
          </cell>
          <cell r="O61"/>
          <cell r="T61">
            <v>7520</v>
          </cell>
          <cell r="U61">
            <v>3486</v>
          </cell>
          <cell r="V61">
            <v>3481</v>
          </cell>
          <cell r="W61">
            <v>1596</v>
          </cell>
          <cell r="X61">
            <v>946</v>
          </cell>
          <cell r="Y61">
            <v>1736</v>
          </cell>
          <cell r="Z61">
            <v>321</v>
          </cell>
          <cell r="AA61">
            <v>658</v>
          </cell>
          <cell r="AB61">
            <v>467</v>
          </cell>
          <cell r="AC61">
            <v>347</v>
          </cell>
          <cell r="AD61">
            <v>5536</v>
          </cell>
          <cell r="AE61">
            <v>0</v>
          </cell>
          <cell r="AF61">
            <v>2779</v>
          </cell>
          <cell r="AG61">
            <v>9</v>
          </cell>
        </row>
        <row r="62">
          <cell r="B62">
            <v>197452</v>
          </cell>
          <cell r="C62">
            <v>136921</v>
          </cell>
          <cell r="D62">
            <v>51424</v>
          </cell>
          <cell r="E62">
            <v>43143</v>
          </cell>
          <cell r="F62">
            <v>15039</v>
          </cell>
          <cell r="G62">
            <v>22218</v>
          </cell>
          <cell r="H62">
            <v>13118</v>
          </cell>
          <cell r="I62">
            <v>11658</v>
          </cell>
          <cell r="J62">
            <v>10849</v>
          </cell>
          <cell r="K62">
            <v>11242</v>
          </cell>
          <cell r="L62">
            <v>99263</v>
          </cell>
          <cell r="M62">
            <v>0</v>
          </cell>
          <cell r="N62">
            <v>57187</v>
          </cell>
          <cell r="O62"/>
          <cell r="T62">
            <v>25293</v>
          </cell>
          <cell r="U62">
            <v>16731</v>
          </cell>
          <cell r="V62">
            <v>14785</v>
          </cell>
          <cell r="W62">
            <v>6384</v>
          </cell>
          <cell r="X62">
            <v>4776</v>
          </cell>
          <cell r="Y62">
            <v>5753</v>
          </cell>
          <cell r="Z62">
            <v>2692</v>
          </cell>
          <cell r="AA62">
            <v>2604</v>
          </cell>
          <cell r="AB62">
            <v>2513</v>
          </cell>
          <cell r="AC62">
            <v>1376</v>
          </cell>
          <cell r="AD62">
            <v>22099</v>
          </cell>
          <cell r="AE62">
            <v>0</v>
          </cell>
          <cell r="AF62">
            <v>10711</v>
          </cell>
          <cell r="AG62">
            <v>19</v>
          </cell>
        </row>
        <row r="63">
          <cell r="B63">
            <v>70656</v>
          </cell>
          <cell r="C63">
            <v>49725</v>
          </cell>
          <cell r="D63">
            <v>27968</v>
          </cell>
          <cell r="E63">
            <v>18259</v>
          </cell>
          <cell r="F63">
            <v>8457</v>
          </cell>
          <cell r="G63">
            <v>11592</v>
          </cell>
          <cell r="H63">
            <v>4587</v>
          </cell>
          <cell r="I63">
            <v>5227</v>
          </cell>
          <cell r="J63">
            <v>5157</v>
          </cell>
          <cell r="K63">
            <v>4188</v>
          </cell>
          <cell r="L63">
            <v>56724</v>
          </cell>
          <cell r="M63">
            <v>0</v>
          </cell>
          <cell r="N63">
            <v>21965</v>
          </cell>
          <cell r="O63"/>
          <cell r="T63">
            <v>12648</v>
          </cell>
          <cell r="U63">
            <v>6524</v>
          </cell>
          <cell r="V63">
            <v>7282</v>
          </cell>
          <cell r="W63">
            <v>2941</v>
          </cell>
          <cell r="X63">
            <v>2357</v>
          </cell>
          <cell r="Y63">
            <v>3153</v>
          </cell>
          <cell r="Z63">
            <v>972</v>
          </cell>
          <cell r="AA63">
            <v>1287</v>
          </cell>
          <cell r="AB63">
            <v>1182</v>
          </cell>
          <cell r="AC63">
            <v>698</v>
          </cell>
          <cell r="AD63">
            <v>12634</v>
          </cell>
          <cell r="AE63">
            <v>0</v>
          </cell>
          <cell r="AF63">
            <v>4478</v>
          </cell>
          <cell r="AG63">
            <v>14</v>
          </cell>
        </row>
        <row r="64">
          <cell r="B64">
            <v>19429</v>
          </cell>
          <cell r="C64">
            <v>17343</v>
          </cell>
          <cell r="D64">
            <v>14694</v>
          </cell>
          <cell r="E64">
            <v>6832</v>
          </cell>
          <cell r="F64">
            <v>4912</v>
          </cell>
          <cell r="G64">
            <v>5037</v>
          </cell>
          <cell r="H64">
            <v>1030</v>
          </cell>
          <cell r="I64">
            <v>2092</v>
          </cell>
          <cell r="J64">
            <v>1812</v>
          </cell>
          <cell r="K64">
            <v>1817</v>
          </cell>
          <cell r="L64">
            <v>29745</v>
          </cell>
          <cell r="M64">
            <v>0</v>
          </cell>
          <cell r="N64">
            <v>8982</v>
          </cell>
          <cell r="O64"/>
          <cell r="T64">
            <v>4106</v>
          </cell>
          <cell r="U64">
            <v>2464</v>
          </cell>
          <cell r="V64">
            <v>3283</v>
          </cell>
          <cell r="W64">
            <v>1166</v>
          </cell>
          <cell r="X64">
            <v>1003</v>
          </cell>
          <cell r="Y64">
            <v>1258</v>
          </cell>
          <cell r="Z64">
            <v>232</v>
          </cell>
          <cell r="AA64">
            <v>461</v>
          </cell>
          <cell r="AB64">
            <v>464</v>
          </cell>
          <cell r="AC64">
            <v>244</v>
          </cell>
          <cell r="AD64">
            <v>6009</v>
          </cell>
          <cell r="AE64">
            <v>0</v>
          </cell>
          <cell r="AF64">
            <v>1720</v>
          </cell>
          <cell r="AG64">
            <v>4</v>
          </cell>
        </row>
        <row r="65">
          <cell r="B65">
            <v>77283</v>
          </cell>
          <cell r="C65">
            <v>64218</v>
          </cell>
          <cell r="D65">
            <v>43199</v>
          </cell>
          <cell r="E65">
            <v>24022</v>
          </cell>
          <cell r="F65">
            <v>11910</v>
          </cell>
          <cell r="G65">
            <v>16101</v>
          </cell>
          <cell r="H65">
            <v>3216</v>
          </cell>
          <cell r="I65">
            <v>5893</v>
          </cell>
          <cell r="J65">
            <v>4397</v>
          </cell>
          <cell r="K65">
            <v>5663</v>
          </cell>
          <cell r="L65">
            <v>57987</v>
          </cell>
          <cell r="M65">
            <v>0</v>
          </cell>
          <cell r="N65">
            <v>27787</v>
          </cell>
          <cell r="O65"/>
          <cell r="T65">
            <v>16125</v>
          </cell>
          <cell r="U65">
            <v>8810</v>
          </cell>
          <cell r="V65">
            <v>11333</v>
          </cell>
          <cell r="W65">
            <v>4634</v>
          </cell>
          <cell r="X65">
            <v>3028</v>
          </cell>
          <cell r="Y65">
            <v>4151</v>
          </cell>
          <cell r="Z65">
            <v>797</v>
          </cell>
          <cell r="AA65">
            <v>1462</v>
          </cell>
          <cell r="AB65">
            <v>1300</v>
          </cell>
          <cell r="AC65">
            <v>1060</v>
          </cell>
          <cell r="AD65">
            <v>12807</v>
          </cell>
          <cell r="AE65">
            <v>0</v>
          </cell>
          <cell r="AF65">
            <v>5658</v>
          </cell>
          <cell r="AG65">
            <v>17</v>
          </cell>
        </row>
        <row r="66">
          <cell r="B66">
            <v>10713</v>
          </cell>
          <cell r="C66">
            <v>6102</v>
          </cell>
          <cell r="D66">
            <v>5731</v>
          </cell>
          <cell r="E66">
            <v>2678</v>
          </cell>
          <cell r="F66">
            <v>1699</v>
          </cell>
          <cell r="G66">
            <v>1827</v>
          </cell>
          <cell r="H66">
            <v>731</v>
          </cell>
          <cell r="I66">
            <v>868</v>
          </cell>
          <cell r="J66">
            <v>638</v>
          </cell>
          <cell r="K66">
            <v>583</v>
          </cell>
          <cell r="L66">
            <v>9607</v>
          </cell>
          <cell r="M66">
            <v>0</v>
          </cell>
          <cell r="N66">
            <v>3333</v>
          </cell>
          <cell r="O66"/>
          <cell r="T66">
            <v>1701</v>
          </cell>
          <cell r="U66">
            <v>682</v>
          </cell>
          <cell r="V66">
            <v>1217</v>
          </cell>
          <cell r="W66">
            <v>372</v>
          </cell>
          <cell r="X66">
            <v>333</v>
          </cell>
          <cell r="Y66">
            <v>372</v>
          </cell>
          <cell r="Z66">
            <v>78</v>
          </cell>
          <cell r="AA66">
            <v>171</v>
          </cell>
          <cell r="AB66">
            <v>157</v>
          </cell>
          <cell r="AC66">
            <v>100</v>
          </cell>
          <cell r="AD66">
            <v>1482</v>
          </cell>
          <cell r="AE66">
            <v>0</v>
          </cell>
          <cell r="AF66">
            <v>457</v>
          </cell>
          <cell r="AG66">
            <v>4</v>
          </cell>
        </row>
        <row r="67">
          <cell r="B67">
            <v>15057</v>
          </cell>
          <cell r="C67">
            <v>12308</v>
          </cell>
          <cell r="D67">
            <v>6492</v>
          </cell>
          <cell r="E67">
            <v>4980</v>
          </cell>
          <cell r="F67">
            <v>2202</v>
          </cell>
          <cell r="G67">
            <v>3176</v>
          </cell>
          <cell r="H67">
            <v>761</v>
          </cell>
          <cell r="I67">
            <v>1089</v>
          </cell>
          <cell r="J67">
            <v>1214</v>
          </cell>
          <cell r="K67">
            <v>902</v>
          </cell>
          <cell r="L67">
            <v>17691</v>
          </cell>
          <cell r="M67">
            <v>0</v>
          </cell>
          <cell r="N67">
            <v>5507</v>
          </cell>
          <cell r="O67"/>
          <cell r="T67">
            <v>3483</v>
          </cell>
          <cell r="U67">
            <v>2797</v>
          </cell>
          <cell r="V67">
            <v>2423</v>
          </cell>
          <cell r="W67">
            <v>1369</v>
          </cell>
          <cell r="X67">
            <v>628</v>
          </cell>
          <cell r="Y67">
            <v>904</v>
          </cell>
          <cell r="Z67">
            <v>189</v>
          </cell>
          <cell r="AA67">
            <v>353</v>
          </cell>
          <cell r="AB67">
            <v>505</v>
          </cell>
          <cell r="AC67">
            <v>249</v>
          </cell>
          <cell r="AD67">
            <v>4466</v>
          </cell>
          <cell r="AE67">
            <v>0</v>
          </cell>
          <cell r="AF67">
            <v>1654</v>
          </cell>
          <cell r="AG67">
            <v>23</v>
          </cell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T68">
            <v>403</v>
          </cell>
          <cell r="U68">
            <v>176</v>
          </cell>
          <cell r="V68">
            <v>143</v>
          </cell>
          <cell r="W68">
            <v>132</v>
          </cell>
          <cell r="X68">
            <v>27</v>
          </cell>
          <cell r="Y68">
            <v>71</v>
          </cell>
          <cell r="Z68">
            <v>14</v>
          </cell>
          <cell r="AA68">
            <v>29</v>
          </cell>
          <cell r="AB68">
            <v>31</v>
          </cell>
          <cell r="AC68">
            <v>36</v>
          </cell>
          <cell r="AD68">
            <v>407</v>
          </cell>
          <cell r="AE68">
            <v>0</v>
          </cell>
          <cell r="AF68">
            <v>105</v>
          </cell>
          <cell r="AG68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Q1027"/>
  <sheetViews>
    <sheetView tabSelected="1" workbookViewId="0">
      <pane ySplit="1" topLeftCell="A203" activePane="bottomLeft" state="frozen"/>
      <selection pane="bottomLeft" activeCell="K216" sqref="K216"/>
    </sheetView>
  </sheetViews>
  <sheetFormatPr baseColWidth="10" defaultRowHeight="14.4" x14ac:dyDescent="0.3"/>
  <cols>
    <col min="1" max="1" width="51.33203125" customWidth="1"/>
    <col min="2" max="2" width="41.109375" customWidth="1"/>
    <col min="3" max="5" width="32.33203125" customWidth="1"/>
    <col min="6" max="6" width="17.6640625" customWidth="1"/>
    <col min="8" max="12" width="11.5546875" style="3"/>
    <col min="13" max="16" width="20" style="3" bestFit="1" customWidth="1"/>
  </cols>
  <sheetData>
    <row r="1" spans="1:17" x14ac:dyDescent="0.3">
      <c r="A1" s="1"/>
      <c r="B1" s="1" t="s">
        <v>53</v>
      </c>
      <c r="C1" s="1" t="s">
        <v>21</v>
      </c>
      <c r="D1" s="1" t="s">
        <v>50</v>
      </c>
      <c r="E1" s="1" t="s">
        <v>10</v>
      </c>
      <c r="F1" s="1" t="s">
        <v>5</v>
      </c>
      <c r="G1" s="1" t="s">
        <v>4</v>
      </c>
      <c r="H1" s="2">
        <v>2014</v>
      </c>
      <c r="I1" s="2">
        <v>2015</v>
      </c>
      <c r="J1" s="2">
        <v>2016</v>
      </c>
      <c r="K1" s="2">
        <v>2017</v>
      </c>
      <c r="L1" s="2">
        <v>2018</v>
      </c>
      <c r="M1" s="2">
        <v>2019</v>
      </c>
      <c r="N1" s="2">
        <v>2020</v>
      </c>
      <c r="O1" s="2">
        <v>2021</v>
      </c>
      <c r="P1" s="2">
        <v>2022</v>
      </c>
      <c r="Q1" t="s">
        <v>73</v>
      </c>
    </row>
    <row r="2" spans="1:17" x14ac:dyDescent="0.3">
      <c r="A2" s="4" t="s">
        <v>0</v>
      </c>
      <c r="B2" s="4"/>
      <c r="C2" s="4" t="s">
        <v>51</v>
      </c>
      <c r="D2" s="4" t="s">
        <v>52</v>
      </c>
      <c r="E2" s="4" t="s">
        <v>40</v>
      </c>
      <c r="F2" s="4" t="s">
        <v>20</v>
      </c>
      <c r="G2" s="4" t="s">
        <v>1</v>
      </c>
      <c r="H2" s="5">
        <v>2847159</v>
      </c>
      <c r="I2" s="5">
        <v>3159058</v>
      </c>
      <c r="J2" s="5">
        <v>3348560</v>
      </c>
      <c r="K2" s="5" cm="1">
        <f t="array" ref="K2:K3">TRANSPOSE([1]C3_LMA!$B$7:$C$7)</f>
        <v>3664072</v>
      </c>
      <c r="L2" s="5" cm="1">
        <f t="array" ref="L2:P2">TRANSPOSE([2]C3_LMA!$B$6:$B$10)</f>
        <v>4005604</v>
      </c>
      <c r="M2" s="5">
        <v>4311164</v>
      </c>
      <c r="N2" s="5">
        <v>4310302</v>
      </c>
      <c r="O2" s="5">
        <v>6368309</v>
      </c>
      <c r="P2" s="5">
        <v>7049916</v>
      </c>
    </row>
    <row r="3" spans="1:17" x14ac:dyDescent="0.3">
      <c r="A3" s="4" t="s">
        <v>0</v>
      </c>
      <c r="B3" s="4"/>
      <c r="C3" s="4" t="s">
        <v>51</v>
      </c>
      <c r="D3" s="4" t="s">
        <v>52</v>
      </c>
      <c r="E3" s="4" t="s">
        <v>40</v>
      </c>
      <c r="F3" s="4" t="s">
        <v>20</v>
      </c>
      <c r="G3" s="4" t="s">
        <v>2</v>
      </c>
      <c r="H3" s="5">
        <v>1565075</v>
      </c>
      <c r="I3" s="5">
        <v>1696620</v>
      </c>
      <c r="J3" s="5">
        <v>1685906</v>
      </c>
      <c r="K3" s="5">
        <v>1816124</v>
      </c>
      <c r="L3" s="5" cm="1">
        <f t="array" ref="L3:P3">TRANSPOSE([2]C3_LMA!$C$6:$C$10)</f>
        <v>1885351</v>
      </c>
      <c r="M3" s="5">
        <v>2016708</v>
      </c>
      <c r="N3" s="5">
        <v>1280192</v>
      </c>
      <c r="O3" s="5">
        <v>1620894</v>
      </c>
      <c r="P3" s="5">
        <v>1896809</v>
      </c>
      <c r="Q3" t="s">
        <v>74</v>
      </c>
    </row>
    <row r="4" spans="1:17" x14ac:dyDescent="0.3">
      <c r="A4" s="8" t="s">
        <v>3</v>
      </c>
      <c r="B4" s="8"/>
      <c r="C4" s="8" t="s">
        <v>51</v>
      </c>
      <c r="D4" s="8" t="s">
        <v>52</v>
      </c>
      <c r="E4" s="8" t="s">
        <v>40</v>
      </c>
      <c r="F4" s="8" t="s">
        <v>6</v>
      </c>
      <c r="G4" s="8" t="s">
        <v>1</v>
      </c>
      <c r="H4" s="9"/>
      <c r="I4" s="9"/>
      <c r="J4" s="9"/>
      <c r="K4" s="9">
        <v>1321216</v>
      </c>
      <c r="L4" s="9">
        <v>1398039</v>
      </c>
      <c r="M4" s="9">
        <v>1550635</v>
      </c>
      <c r="N4" s="9">
        <v>1856127</v>
      </c>
      <c r="O4" s="9">
        <v>2846848</v>
      </c>
      <c r="P4" s="9">
        <v>2893906</v>
      </c>
    </row>
    <row r="5" spans="1:17" x14ac:dyDescent="0.3">
      <c r="A5" s="8" t="s">
        <v>3</v>
      </c>
      <c r="B5" s="8"/>
      <c r="C5" s="8" t="s">
        <v>51</v>
      </c>
      <c r="D5" s="8" t="s">
        <v>52</v>
      </c>
      <c r="E5" s="8" t="s">
        <v>40</v>
      </c>
      <c r="F5" s="8" t="s">
        <v>7</v>
      </c>
      <c r="G5" s="8" t="s">
        <v>1</v>
      </c>
      <c r="H5" s="9"/>
      <c r="I5" s="9"/>
      <c r="J5" s="9"/>
      <c r="K5" s="9">
        <v>2342856</v>
      </c>
      <c r="L5" s="9">
        <v>2607556</v>
      </c>
      <c r="M5" s="9">
        <v>2760529</v>
      </c>
      <c r="N5" s="9">
        <v>2454175</v>
      </c>
      <c r="O5" s="9">
        <v>3521461</v>
      </c>
      <c r="P5" s="9">
        <v>4156010</v>
      </c>
    </row>
    <row r="6" spans="1:17" x14ac:dyDescent="0.3">
      <c r="A6" s="8" t="s">
        <v>3</v>
      </c>
      <c r="B6" s="8"/>
      <c r="C6" s="8" t="s">
        <v>51</v>
      </c>
      <c r="D6" s="8" t="s">
        <v>52</v>
      </c>
      <c r="E6" s="8" t="s">
        <v>40</v>
      </c>
      <c r="F6" s="8" t="s">
        <v>8</v>
      </c>
      <c r="G6" s="8" t="s">
        <v>1</v>
      </c>
      <c r="H6" s="9"/>
      <c r="I6" s="9"/>
      <c r="J6" s="9"/>
      <c r="K6" s="9">
        <v>0</v>
      </c>
      <c r="L6" s="9">
        <v>9</v>
      </c>
      <c r="M6" s="9">
        <v>0</v>
      </c>
      <c r="N6" s="9">
        <v>0</v>
      </c>
      <c r="O6" s="9">
        <v>0</v>
      </c>
      <c r="P6" s="9">
        <v>0</v>
      </c>
      <c r="Q6" t="s">
        <v>75</v>
      </c>
    </row>
    <row r="7" spans="1:17" x14ac:dyDescent="0.3">
      <c r="A7" s="6" t="s">
        <v>3</v>
      </c>
      <c r="B7" s="6"/>
      <c r="C7" s="8" t="s">
        <v>51</v>
      </c>
      <c r="D7" s="8" t="s">
        <v>52</v>
      </c>
      <c r="E7" s="8" t="s">
        <v>40</v>
      </c>
      <c r="F7" s="8" t="s">
        <v>6</v>
      </c>
      <c r="G7" s="8" t="s">
        <v>9</v>
      </c>
      <c r="H7" s="9"/>
      <c r="I7" s="9"/>
      <c r="J7" s="9"/>
      <c r="K7" s="9">
        <v>866723.55166773382</v>
      </c>
      <c r="L7" s="9">
        <v>903365.22071381425</v>
      </c>
      <c r="M7" s="9">
        <v>969402.56101592479</v>
      </c>
      <c r="N7" s="9">
        <v>860491.60708119196</v>
      </c>
      <c r="O7" s="9">
        <v>841101</v>
      </c>
      <c r="P7" s="10">
        <v>906507</v>
      </c>
    </row>
    <row r="8" spans="1:17" x14ac:dyDescent="0.3">
      <c r="A8" s="6" t="s">
        <v>3</v>
      </c>
      <c r="B8" s="6"/>
      <c r="C8" s="8" t="s">
        <v>51</v>
      </c>
      <c r="D8" s="8" t="s">
        <v>52</v>
      </c>
      <c r="E8" s="8" t="s">
        <v>40</v>
      </c>
      <c r="F8" s="8" t="s">
        <v>7</v>
      </c>
      <c r="G8" s="8" t="s">
        <v>9</v>
      </c>
      <c r="H8" s="9"/>
      <c r="I8" s="9"/>
      <c r="J8" s="9"/>
      <c r="K8" s="9">
        <v>942173.44833226618</v>
      </c>
      <c r="L8" s="9">
        <v>981985.77928618575</v>
      </c>
      <c r="M8" s="9">
        <v>1047305.4389840752</v>
      </c>
      <c r="N8" s="9">
        <v>742118.41687072394</v>
      </c>
      <c r="O8" s="9">
        <v>779750</v>
      </c>
      <c r="P8" s="10">
        <v>990299</v>
      </c>
    </row>
    <row r="9" spans="1:17" x14ac:dyDescent="0.3">
      <c r="A9" s="6" t="s">
        <v>3</v>
      </c>
      <c r="B9" s="6"/>
      <c r="C9" s="8" t="s">
        <v>51</v>
      </c>
      <c r="D9" s="8" t="s">
        <v>52</v>
      </c>
      <c r="E9" s="8" t="s">
        <v>40</v>
      </c>
      <c r="F9" s="8" t="s">
        <v>8</v>
      </c>
      <c r="G9" s="8" t="s">
        <v>9</v>
      </c>
      <c r="H9" s="9"/>
      <c r="I9" s="9"/>
      <c r="J9" s="9"/>
      <c r="K9" s="9">
        <v>0</v>
      </c>
      <c r="L9" s="9">
        <v>0</v>
      </c>
      <c r="M9" s="9">
        <v>0</v>
      </c>
      <c r="N9" s="9">
        <v>35.976048083416401</v>
      </c>
      <c r="O9" s="9">
        <v>43</v>
      </c>
      <c r="P9" s="10">
        <v>3</v>
      </c>
      <c r="Q9" t="s">
        <v>75</v>
      </c>
    </row>
    <row r="10" spans="1:17" x14ac:dyDescent="0.3">
      <c r="A10" s="11" t="s">
        <v>11</v>
      </c>
      <c r="B10" s="11"/>
      <c r="C10" s="11" t="s">
        <v>51</v>
      </c>
      <c r="D10" s="11" t="s">
        <v>52</v>
      </c>
      <c r="E10" s="11" t="s">
        <v>12</v>
      </c>
      <c r="F10" s="11" t="s">
        <v>20</v>
      </c>
      <c r="G10" s="11" t="s">
        <v>1</v>
      </c>
      <c r="H10" s="12"/>
      <c r="I10" s="12"/>
      <c r="J10" s="12"/>
      <c r="K10" s="12" cm="1">
        <f t="array" ref="K10">_xlfn.XLOOKUP(E10,[3]C3_LMA!$A$24:$A$32,_xlfn.XLOOKUP(G10,[3]C3_LMA!$A$24:$C$24,[3]C3_LMA!$A$24:$C$32))</f>
        <v>25193</v>
      </c>
      <c r="L10" s="12">
        <v>27171</v>
      </c>
      <c r="M10" s="12">
        <v>26826</v>
      </c>
      <c r="N10" s="12">
        <v>27217</v>
      </c>
      <c r="O10" s="12">
        <v>56144</v>
      </c>
      <c r="P10" s="12">
        <v>62586</v>
      </c>
    </row>
    <row r="11" spans="1:17" x14ac:dyDescent="0.3">
      <c r="A11" s="11" t="s">
        <v>11</v>
      </c>
      <c r="B11" s="11"/>
      <c r="C11" s="11" t="s">
        <v>51</v>
      </c>
      <c r="D11" s="11" t="s">
        <v>52</v>
      </c>
      <c r="E11" s="11" t="s">
        <v>13</v>
      </c>
      <c r="F11" s="11" t="s">
        <v>20</v>
      </c>
      <c r="G11" s="11" t="s">
        <v>1</v>
      </c>
      <c r="H11" s="12"/>
      <c r="I11" s="12"/>
      <c r="J11" s="12"/>
      <c r="K11" s="12" cm="1">
        <f t="array" ref="K11">_xlfn.XLOOKUP(E11,[3]C3_LMA!$A$24:$A$32,_xlfn.XLOOKUP(G11,[3]C3_LMA!$A$24:$C$24,[3]C3_LMA!$A$24:$C$32))</f>
        <v>282168</v>
      </c>
      <c r="L11" s="12">
        <v>306097</v>
      </c>
      <c r="M11" s="12">
        <v>324874</v>
      </c>
      <c r="N11" s="12">
        <v>321239</v>
      </c>
      <c r="O11" s="12">
        <v>509894</v>
      </c>
      <c r="P11" s="12">
        <v>544965</v>
      </c>
    </row>
    <row r="12" spans="1:17" x14ac:dyDescent="0.3">
      <c r="A12" s="11" t="s">
        <v>11</v>
      </c>
      <c r="B12" s="11"/>
      <c r="C12" s="11" t="s">
        <v>51</v>
      </c>
      <c r="D12" s="11" t="s">
        <v>52</v>
      </c>
      <c r="E12" s="11" t="s">
        <v>14</v>
      </c>
      <c r="F12" s="11" t="s">
        <v>20</v>
      </c>
      <c r="G12" s="11" t="s">
        <v>1</v>
      </c>
      <c r="H12" s="12"/>
      <c r="I12" s="12"/>
      <c r="J12" s="12"/>
      <c r="K12" s="12" cm="1">
        <f t="array" ref="K12">_xlfn.XLOOKUP(E12,[3]C3_LMA!$A$24:$A$32,_xlfn.XLOOKUP(G12,[3]C3_LMA!$A$24:$C$24,[3]C3_LMA!$A$24:$C$32))</f>
        <v>1056613</v>
      </c>
      <c r="L12" s="12">
        <v>1174962</v>
      </c>
      <c r="M12" s="12">
        <v>1280677</v>
      </c>
      <c r="N12" s="12">
        <v>1267677</v>
      </c>
      <c r="O12" s="12">
        <v>1937880</v>
      </c>
      <c r="P12" s="12">
        <v>2168515</v>
      </c>
    </row>
    <row r="13" spans="1:17" x14ac:dyDescent="0.3">
      <c r="A13" s="11" t="s">
        <v>11</v>
      </c>
      <c r="B13" s="11"/>
      <c r="C13" s="11" t="s">
        <v>51</v>
      </c>
      <c r="D13" s="11" t="s">
        <v>52</v>
      </c>
      <c r="E13" s="11" t="s">
        <v>15</v>
      </c>
      <c r="F13" s="11" t="s">
        <v>20</v>
      </c>
      <c r="G13" s="11" t="s">
        <v>1</v>
      </c>
      <c r="H13" s="12"/>
      <c r="I13" s="12"/>
      <c r="J13" s="12"/>
      <c r="K13" s="12" cm="1">
        <f t="array" ref="K13">_xlfn.XLOOKUP(E13,[3]C3_LMA!$A$24:$A$32,_xlfn.XLOOKUP(G13,[3]C3_LMA!$A$24:$C$24,[3]C3_LMA!$A$24:$C$32))</f>
        <v>860879</v>
      </c>
      <c r="L13" s="12">
        <v>935373</v>
      </c>
      <c r="M13" s="12">
        <v>1002073</v>
      </c>
      <c r="N13" s="12">
        <v>986607</v>
      </c>
      <c r="O13" s="12">
        <v>1500893</v>
      </c>
      <c r="P13" s="12">
        <v>1687156</v>
      </c>
    </row>
    <row r="14" spans="1:17" x14ac:dyDescent="0.3">
      <c r="A14" s="11" t="s">
        <v>11</v>
      </c>
      <c r="B14" s="11"/>
      <c r="C14" s="11" t="s">
        <v>51</v>
      </c>
      <c r="D14" s="11" t="s">
        <v>52</v>
      </c>
      <c r="E14" s="11" t="s">
        <v>16</v>
      </c>
      <c r="F14" s="11" t="s">
        <v>20</v>
      </c>
      <c r="G14" s="11" t="s">
        <v>1</v>
      </c>
      <c r="H14" s="12"/>
      <c r="I14" s="12"/>
      <c r="J14" s="12"/>
      <c r="K14" s="12" cm="1">
        <f t="array" ref="K14">_xlfn.XLOOKUP(E14,[3]C3_LMA!$A$24:$A$32,_xlfn.XLOOKUP(G14,[3]C3_LMA!$A$24:$C$24,[3]C3_LMA!$A$24:$C$32))</f>
        <v>750656</v>
      </c>
      <c r="L14" s="12">
        <v>797020</v>
      </c>
      <c r="M14" s="12">
        <v>841525</v>
      </c>
      <c r="N14" s="12">
        <v>845457</v>
      </c>
      <c r="O14" s="12">
        <v>1232912</v>
      </c>
      <c r="P14" s="12">
        <v>1307772</v>
      </c>
    </row>
    <row r="15" spans="1:17" x14ac:dyDescent="0.3">
      <c r="A15" s="11" t="s">
        <v>11</v>
      </c>
      <c r="B15" s="11"/>
      <c r="C15" s="11" t="s">
        <v>51</v>
      </c>
      <c r="D15" s="11" t="s">
        <v>52</v>
      </c>
      <c r="E15" s="11" t="s">
        <v>17</v>
      </c>
      <c r="F15" s="11" t="s">
        <v>20</v>
      </c>
      <c r="G15" s="11" t="s">
        <v>1</v>
      </c>
      <c r="H15" s="12"/>
      <c r="I15" s="12"/>
      <c r="J15" s="12"/>
      <c r="K15" s="12" cm="1">
        <f t="array" ref="K15">_xlfn.XLOOKUP(E15,[3]C3_LMA!$A$24:$A$32,_xlfn.XLOOKUP(G15,[3]C3_LMA!$A$24:$C$24,[3]C3_LMA!$A$24:$C$32))</f>
        <v>535409</v>
      </c>
      <c r="L15" s="12">
        <v>595356</v>
      </c>
      <c r="M15" s="12">
        <v>642889</v>
      </c>
      <c r="N15" s="12">
        <v>658956</v>
      </c>
      <c r="O15" s="12">
        <v>901229</v>
      </c>
      <c r="P15" s="12">
        <v>1002386</v>
      </c>
    </row>
    <row r="16" spans="1:17" x14ac:dyDescent="0.3">
      <c r="A16" s="11" t="s">
        <v>11</v>
      </c>
      <c r="B16" s="11"/>
      <c r="C16" s="11" t="s">
        <v>51</v>
      </c>
      <c r="D16" s="11" t="s">
        <v>52</v>
      </c>
      <c r="E16" s="11" t="s">
        <v>18</v>
      </c>
      <c r="F16" s="11" t="s">
        <v>20</v>
      </c>
      <c r="G16" s="11" t="s">
        <v>1</v>
      </c>
      <c r="H16" s="12"/>
      <c r="I16" s="12"/>
      <c r="J16" s="12"/>
      <c r="K16" s="12" cm="1">
        <f t="array" ref="K16">_xlfn.XLOOKUP(E16,[3]C3_LMA!$A$24:$A$32,_xlfn.XLOOKUP(G16,[3]C3_LMA!$A$24:$C$24,[3]C3_LMA!$A$24:$C$32))</f>
        <v>153154</v>
      </c>
      <c r="L16" s="12">
        <v>169625</v>
      </c>
      <c r="M16" s="12">
        <v>192300</v>
      </c>
      <c r="N16" s="12">
        <v>203149</v>
      </c>
      <c r="O16" s="12">
        <v>229357</v>
      </c>
      <c r="P16" s="12">
        <v>276536</v>
      </c>
    </row>
    <row r="17" spans="1:16" x14ac:dyDescent="0.3">
      <c r="A17" s="11" t="s">
        <v>11</v>
      </c>
      <c r="B17" s="11"/>
      <c r="C17" s="11" t="s">
        <v>51</v>
      </c>
      <c r="D17" s="11" t="s">
        <v>52</v>
      </c>
      <c r="E17" s="11" t="s">
        <v>19</v>
      </c>
      <c r="F17" s="11" t="s">
        <v>20</v>
      </c>
      <c r="G17" s="11" t="s">
        <v>1</v>
      </c>
      <c r="H17" s="12"/>
      <c r="I17" s="12"/>
      <c r="J17" s="12"/>
      <c r="K17" s="12" cm="1">
        <f t="array" ref="K17">_xlfn.XLOOKUP(E17,[3]C3_LMA!$A$24:$A$32,_xlfn.XLOOKUP(G17,[3]C3_LMA!$A$24:$C$24,[3]C3_LMA!$A$24:$C$32))</f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</row>
    <row r="18" spans="1:16" x14ac:dyDescent="0.3">
      <c r="A18" s="11" t="s">
        <v>11</v>
      </c>
      <c r="B18" s="11"/>
      <c r="C18" s="13" t="s">
        <v>51</v>
      </c>
      <c r="D18" s="13" t="s">
        <v>52</v>
      </c>
      <c r="E18" s="13" t="s">
        <v>12</v>
      </c>
      <c r="F18" s="13" t="s">
        <v>20</v>
      </c>
      <c r="G18" s="13" t="s">
        <v>9</v>
      </c>
      <c r="H18" s="14"/>
      <c r="I18" s="14"/>
      <c r="J18" s="14"/>
      <c r="K18" s="12" cm="1">
        <f t="array" ref="K18">_xlfn.XLOOKUP(E18,[3]C3_LMA!$A$24:$A$32,_xlfn.XLOOKUP(G18,[3]C3_LMA!$A$24:$C$24,[3]C3_LMA!$A$24:$C$32))</f>
        <v>2402.8534568075197</v>
      </c>
      <c r="L18" s="14">
        <v>1828.3150930279519</v>
      </c>
      <c r="M18" s="14">
        <v>1712.2479870096772</v>
      </c>
      <c r="N18" s="14">
        <v>1184.2115827457901</v>
      </c>
      <c r="O18" s="14">
        <v>643</v>
      </c>
      <c r="P18" s="14">
        <v>572</v>
      </c>
    </row>
    <row r="19" spans="1:16" x14ac:dyDescent="0.3">
      <c r="A19" s="11" t="s">
        <v>11</v>
      </c>
      <c r="B19" s="11"/>
      <c r="C19" s="13" t="s">
        <v>51</v>
      </c>
      <c r="D19" s="13" t="s">
        <v>52</v>
      </c>
      <c r="E19" s="13" t="s">
        <v>13</v>
      </c>
      <c r="F19" s="13" t="s">
        <v>20</v>
      </c>
      <c r="G19" s="13" t="s">
        <v>9</v>
      </c>
      <c r="H19" s="14"/>
      <c r="I19" s="14"/>
      <c r="J19" s="14"/>
      <c r="K19" s="12" cm="1">
        <f t="array" ref="K19">_xlfn.XLOOKUP(E19,[3]C3_LMA!$A$24:$A$32,_xlfn.XLOOKUP(G19,[3]C3_LMA!$A$24:$C$24,[3]C3_LMA!$A$24:$C$32))</f>
        <v>69399.535509953173</v>
      </c>
      <c r="L19" s="14">
        <v>62325.230060108406</v>
      </c>
      <c r="M19" s="14">
        <v>60122.518940094516</v>
      </c>
      <c r="N19" s="14">
        <v>44743.710801745699</v>
      </c>
      <c r="O19" s="14">
        <v>34699</v>
      </c>
      <c r="P19" s="14">
        <v>27248</v>
      </c>
    </row>
    <row r="20" spans="1:16" x14ac:dyDescent="0.3">
      <c r="A20" s="11" t="s">
        <v>11</v>
      </c>
      <c r="B20" s="11"/>
      <c r="C20" s="13" t="s">
        <v>51</v>
      </c>
      <c r="D20" s="13" t="s">
        <v>52</v>
      </c>
      <c r="E20" s="13" t="s">
        <v>14</v>
      </c>
      <c r="F20" s="13" t="s">
        <v>20</v>
      </c>
      <c r="G20" s="13" t="s">
        <v>9</v>
      </c>
      <c r="H20" s="14"/>
      <c r="I20" s="14"/>
      <c r="J20" s="14"/>
      <c r="K20" s="12" cm="1">
        <f t="array" ref="K20">_xlfn.XLOOKUP(E20,[3]C3_LMA!$A$24:$A$32,_xlfn.XLOOKUP(G20,[3]C3_LMA!$A$24:$C$24,[3]C3_LMA!$A$24:$C$32))</f>
        <v>629994.78684798849</v>
      </c>
      <c r="L20" s="14">
        <v>648492.07760137855</v>
      </c>
      <c r="M20" s="14">
        <v>693409.03792970371</v>
      </c>
      <c r="N20" s="14">
        <v>551245.99476215499</v>
      </c>
      <c r="O20" s="14">
        <v>546139</v>
      </c>
      <c r="P20" s="14">
        <v>594413</v>
      </c>
    </row>
    <row r="21" spans="1:16" x14ac:dyDescent="0.3">
      <c r="A21" s="11" t="s">
        <v>11</v>
      </c>
      <c r="B21" s="11"/>
      <c r="C21" s="13" t="s">
        <v>51</v>
      </c>
      <c r="D21" s="13" t="s">
        <v>52</v>
      </c>
      <c r="E21" s="13" t="s">
        <v>15</v>
      </c>
      <c r="F21" s="13" t="s">
        <v>20</v>
      </c>
      <c r="G21" s="13" t="s">
        <v>9</v>
      </c>
      <c r="H21" s="14"/>
      <c r="I21" s="14"/>
      <c r="J21" s="14"/>
      <c r="K21" s="12" cm="1">
        <f t="array" ref="K21">_xlfn.XLOOKUP(E21,[3]C3_LMA!$A$24:$A$32,_xlfn.XLOOKUP(G21,[3]C3_LMA!$A$24:$C$24,[3]C3_LMA!$A$24:$C$32))</f>
        <v>520155.16803580947</v>
      </c>
      <c r="L21" s="14">
        <v>551207.65721927397</v>
      </c>
      <c r="M21" s="14">
        <v>597576.01594664063</v>
      </c>
      <c r="N21" s="14">
        <v>479394.33172955498</v>
      </c>
      <c r="O21" s="14">
        <v>508459</v>
      </c>
      <c r="P21" s="14">
        <v>612295</v>
      </c>
    </row>
    <row r="22" spans="1:16" x14ac:dyDescent="0.3">
      <c r="A22" s="11" t="s">
        <v>11</v>
      </c>
      <c r="B22" s="11"/>
      <c r="C22" s="13" t="s">
        <v>51</v>
      </c>
      <c r="D22" s="13" t="s">
        <v>52</v>
      </c>
      <c r="E22" s="13" t="s">
        <v>16</v>
      </c>
      <c r="F22" s="13" t="s">
        <v>20</v>
      </c>
      <c r="G22" s="13" t="s">
        <v>9</v>
      </c>
      <c r="H22" s="14"/>
      <c r="I22" s="14"/>
      <c r="J22" s="14"/>
      <c r="K22" s="12" cm="1">
        <f t="array" ref="K22">_xlfn.XLOOKUP(E22,[3]C3_LMA!$A$24:$A$32,_xlfn.XLOOKUP(G22,[3]C3_LMA!$A$24:$C$24,[3]C3_LMA!$A$24:$C$32))</f>
        <v>321870.56792110309</v>
      </c>
      <c r="L22" s="14">
        <v>337828.99039510643</v>
      </c>
      <c r="M22" s="14">
        <v>359799.69171284395</v>
      </c>
      <c r="N22" s="14">
        <v>293648.49647287303</v>
      </c>
      <c r="O22" s="14">
        <v>300280</v>
      </c>
      <c r="P22" s="14">
        <v>365782</v>
      </c>
    </row>
    <row r="23" spans="1:16" x14ac:dyDescent="0.3">
      <c r="A23" s="11" t="s">
        <v>11</v>
      </c>
      <c r="B23" s="11"/>
      <c r="C23" s="13" t="s">
        <v>51</v>
      </c>
      <c r="D23" s="13" t="s">
        <v>52</v>
      </c>
      <c r="E23" s="13" t="s">
        <v>17</v>
      </c>
      <c r="F23" s="13" t="s">
        <v>20</v>
      </c>
      <c r="G23" s="13" t="s">
        <v>9</v>
      </c>
      <c r="H23" s="14"/>
      <c r="I23" s="14"/>
      <c r="J23" s="14"/>
      <c r="K23" s="12" cm="1">
        <f t="array" ref="K23">_xlfn.XLOOKUP(E23,[3]C3_LMA!$A$24:$A$32,_xlfn.XLOOKUP(G23,[3]C3_LMA!$A$24:$C$24,[3]C3_LMA!$A$24:$C$32))</f>
        <v>220028.03893260422</v>
      </c>
      <c r="L23" s="14">
        <v>234827.88767685927</v>
      </c>
      <c r="M23" s="14">
        <v>249519.76089941966</v>
      </c>
      <c r="N23" s="14">
        <v>192431.38419218399</v>
      </c>
      <c r="O23" s="14">
        <v>192701</v>
      </c>
      <c r="P23" s="14">
        <v>243153</v>
      </c>
    </row>
    <row r="24" spans="1:16" x14ac:dyDescent="0.3">
      <c r="A24" s="11" t="s">
        <v>11</v>
      </c>
      <c r="B24" s="11"/>
      <c r="C24" s="13" t="s">
        <v>51</v>
      </c>
      <c r="D24" s="13" t="s">
        <v>52</v>
      </c>
      <c r="E24" s="13" t="s">
        <v>18</v>
      </c>
      <c r="F24" s="13" t="s">
        <v>20</v>
      </c>
      <c r="G24" s="13" t="s">
        <v>9</v>
      </c>
      <c r="H24" s="14"/>
      <c r="I24" s="14"/>
      <c r="J24" s="14"/>
      <c r="K24" s="12" cm="1">
        <f t="array" ref="K24">_xlfn.XLOOKUP(E24,[3]C3_LMA!$A$24:$A$32,_xlfn.XLOOKUP(G24,[3]C3_LMA!$A$24:$C$24,[3]C3_LMA!$A$24:$C$32))</f>
        <v>45037.105672445658</v>
      </c>
      <c r="L24" s="14">
        <v>48822.784521227899</v>
      </c>
      <c r="M24" s="14">
        <v>54561.38418297132</v>
      </c>
      <c r="N24" s="14">
        <v>39990.375448724299</v>
      </c>
      <c r="O24" s="14">
        <v>37970</v>
      </c>
      <c r="P24" s="14">
        <v>53344</v>
      </c>
    </row>
    <row r="25" spans="1:16" x14ac:dyDescent="0.3">
      <c r="A25" s="11" t="s">
        <v>11</v>
      </c>
      <c r="B25" s="11"/>
      <c r="C25" s="13" t="s">
        <v>51</v>
      </c>
      <c r="D25" s="13" t="s">
        <v>52</v>
      </c>
      <c r="E25" s="13" t="s">
        <v>19</v>
      </c>
      <c r="F25" s="13" t="s">
        <v>20</v>
      </c>
      <c r="G25" s="13" t="s">
        <v>9</v>
      </c>
      <c r="H25" s="14"/>
      <c r="I25" s="14"/>
      <c r="J25" s="14"/>
      <c r="K25" s="12" cm="1">
        <f t="array" ref="K25">_xlfn.XLOOKUP(E25,[3]C3_LMA!$A$24:$A$32,_xlfn.XLOOKUP(G25,[3]C3_LMA!$A$24:$C$24,[3]C3_LMA!$A$24:$C$32))</f>
        <v>8.9436232883654583</v>
      </c>
      <c r="L25" s="14">
        <v>18.057433017560019</v>
      </c>
      <c r="M25" s="14">
        <v>7.3424013165080497</v>
      </c>
      <c r="N25" s="14">
        <v>7.4950100173784202</v>
      </c>
      <c r="O25" s="14">
        <v>3</v>
      </c>
      <c r="P25" s="14">
        <v>2</v>
      </c>
    </row>
    <row r="26" spans="1:16" x14ac:dyDescent="0.3">
      <c r="A26" s="4" t="s">
        <v>38</v>
      </c>
      <c r="B26" s="4"/>
      <c r="C26" s="4" t="s">
        <v>22</v>
      </c>
      <c r="D26" s="4" t="s">
        <v>52</v>
      </c>
      <c r="E26" s="4" t="s">
        <v>40</v>
      </c>
      <c r="F26" s="4" t="s">
        <v>20</v>
      </c>
      <c r="G26" s="4" t="s">
        <v>1</v>
      </c>
      <c r="H26" s="5"/>
      <c r="I26" s="5"/>
      <c r="J26" s="5"/>
      <c r="K26" s="5" cm="1">
        <f t="array" ref="K26">_xlfn.XLOOKUP(C26,[3]C3_LMA!$A$48:$A$64,_xlfn.XLOOKUP(G26,[3]C3_LMA!$A$48:$C$48,[3]C3_LMA!$A$48:$C$64))</f>
        <v>31481</v>
      </c>
      <c r="L26" s="5">
        <v>31234</v>
      </c>
      <c r="M26" s="5">
        <v>28262</v>
      </c>
      <c r="N26" s="5">
        <v>21733</v>
      </c>
      <c r="O26" s="5">
        <v>36184</v>
      </c>
      <c r="P26" s="5">
        <v>46810</v>
      </c>
    </row>
    <row r="27" spans="1:16" x14ac:dyDescent="0.3">
      <c r="A27" s="4" t="s">
        <v>38</v>
      </c>
      <c r="B27" s="4"/>
      <c r="C27" s="4" t="s">
        <v>23</v>
      </c>
      <c r="D27" s="4" t="s">
        <v>52</v>
      </c>
      <c r="E27" s="4" t="s">
        <v>40</v>
      </c>
      <c r="F27" s="4" t="s">
        <v>20</v>
      </c>
      <c r="G27" s="4" t="s">
        <v>1</v>
      </c>
      <c r="H27" s="5"/>
      <c r="I27" s="5"/>
      <c r="J27" s="5"/>
      <c r="K27" s="5" cm="1">
        <f t="array" ref="K27">_xlfn.XLOOKUP(C27,[3]C3_LMA!$A$48:$A$64,_xlfn.XLOOKUP(G27,[3]C3_LMA!$A$48:$C$48,[3]C3_LMA!$A$48:$C$64))</f>
        <v>56098</v>
      </c>
      <c r="L27" s="5">
        <v>64586</v>
      </c>
      <c r="M27" s="5">
        <v>77285</v>
      </c>
      <c r="N27" s="5">
        <v>65239</v>
      </c>
      <c r="O27" s="5">
        <v>106122</v>
      </c>
      <c r="P27" s="5">
        <v>127328</v>
      </c>
    </row>
    <row r="28" spans="1:16" x14ac:dyDescent="0.3">
      <c r="A28" s="4" t="s">
        <v>38</v>
      </c>
      <c r="B28" s="4"/>
      <c r="C28" s="4" t="s">
        <v>24</v>
      </c>
      <c r="D28" s="4" t="s">
        <v>52</v>
      </c>
      <c r="E28" s="4" t="s">
        <v>40</v>
      </c>
      <c r="F28" s="4" t="s">
        <v>20</v>
      </c>
      <c r="G28" s="4" t="s">
        <v>1</v>
      </c>
      <c r="H28" s="5"/>
      <c r="I28" s="5"/>
      <c r="J28" s="5"/>
      <c r="K28" s="5" cm="1">
        <f t="array" ref="K28">_xlfn.XLOOKUP(C28,[3]C3_LMA!$A$48:$A$64,_xlfn.XLOOKUP(G28,[3]C3_LMA!$A$48:$C$48,[3]C3_LMA!$A$48:$C$64))</f>
        <v>96402</v>
      </c>
      <c r="L28" s="5">
        <v>98814</v>
      </c>
      <c r="M28" s="5">
        <v>118289</v>
      </c>
      <c r="N28" s="5">
        <v>126247</v>
      </c>
      <c r="O28" s="5">
        <v>203365</v>
      </c>
      <c r="P28" s="5">
        <v>234236</v>
      </c>
    </row>
    <row r="29" spans="1:16" x14ac:dyDescent="0.3">
      <c r="A29" s="4" t="s">
        <v>38</v>
      </c>
      <c r="B29" s="4"/>
      <c r="C29" s="4" t="s">
        <v>25</v>
      </c>
      <c r="D29" s="4" t="s">
        <v>52</v>
      </c>
      <c r="E29" s="4" t="s">
        <v>40</v>
      </c>
      <c r="F29" s="4" t="s">
        <v>20</v>
      </c>
      <c r="G29" s="4" t="s">
        <v>1</v>
      </c>
      <c r="H29" s="5"/>
      <c r="I29" s="5"/>
      <c r="J29" s="5"/>
      <c r="K29" s="5" cm="1">
        <f t="array" ref="K29">_xlfn.XLOOKUP(C29,[3]C3_LMA!$A$48:$A$64,_xlfn.XLOOKUP(G29,[3]C3_LMA!$A$48:$C$48,[3]C3_LMA!$A$48:$C$64))</f>
        <v>53630</v>
      </c>
      <c r="L29" s="5">
        <v>52812</v>
      </c>
      <c r="M29" s="5">
        <v>65319</v>
      </c>
      <c r="N29" s="5">
        <v>53081</v>
      </c>
      <c r="O29" s="5">
        <v>84539</v>
      </c>
      <c r="P29" s="5">
        <v>117835</v>
      </c>
    </row>
    <row r="30" spans="1:16" x14ac:dyDescent="0.3">
      <c r="A30" s="4" t="s">
        <v>38</v>
      </c>
      <c r="B30" s="4"/>
      <c r="C30" s="4" t="s">
        <v>26</v>
      </c>
      <c r="D30" s="4" t="s">
        <v>52</v>
      </c>
      <c r="E30" s="4" t="s">
        <v>40</v>
      </c>
      <c r="F30" s="4" t="s">
        <v>20</v>
      </c>
      <c r="G30" s="4" t="s">
        <v>1</v>
      </c>
      <c r="H30" s="5"/>
      <c r="I30" s="5"/>
      <c r="J30" s="5"/>
      <c r="K30" s="5" cm="1">
        <f t="array" ref="K30">_xlfn.XLOOKUP(C30,[3]C3_LMA!$A$48:$A$64,_xlfn.XLOOKUP(G30,[3]C3_LMA!$A$48:$C$48,[3]C3_LMA!$A$48:$C$64))</f>
        <v>91448</v>
      </c>
      <c r="L30" s="5">
        <v>107838</v>
      </c>
      <c r="M30" s="5">
        <v>118263</v>
      </c>
      <c r="N30" s="5">
        <v>101248</v>
      </c>
      <c r="O30" s="5">
        <v>170984</v>
      </c>
      <c r="P30" s="5">
        <v>232502</v>
      </c>
    </row>
    <row r="31" spans="1:16" x14ac:dyDescent="0.3">
      <c r="A31" s="4" t="s">
        <v>38</v>
      </c>
      <c r="B31" s="4"/>
      <c r="C31" s="4" t="s">
        <v>27</v>
      </c>
      <c r="D31" s="4" t="s">
        <v>52</v>
      </c>
      <c r="E31" s="4" t="s">
        <v>40</v>
      </c>
      <c r="F31" s="4" t="s">
        <v>20</v>
      </c>
      <c r="G31" s="4" t="s">
        <v>1</v>
      </c>
      <c r="H31" s="5"/>
      <c r="I31" s="5"/>
      <c r="J31" s="5"/>
      <c r="K31" s="5" cm="1">
        <f t="array" ref="K31">_xlfn.XLOOKUP(C31,[3]C3_LMA!$A$48:$A$64,_xlfn.XLOOKUP(G31,[3]C3_LMA!$A$48:$C$48,[3]C3_LMA!$A$48:$C$64))</f>
        <v>237764</v>
      </c>
      <c r="L31" s="5">
        <v>235875</v>
      </c>
      <c r="M31" s="5">
        <v>352748</v>
      </c>
      <c r="N31" s="5">
        <v>339907</v>
      </c>
      <c r="O31" s="5">
        <v>560518</v>
      </c>
      <c r="P31" s="5">
        <v>670980</v>
      </c>
    </row>
    <row r="32" spans="1:16" x14ac:dyDescent="0.3">
      <c r="A32" s="4" t="s">
        <v>38</v>
      </c>
      <c r="B32" s="4"/>
      <c r="C32" s="4" t="s">
        <v>28</v>
      </c>
      <c r="D32" s="4" t="s">
        <v>52</v>
      </c>
      <c r="E32" s="4" t="s">
        <v>40</v>
      </c>
      <c r="F32" s="4" t="s">
        <v>20</v>
      </c>
      <c r="G32" s="4" t="s">
        <v>1</v>
      </c>
      <c r="H32" s="5"/>
      <c r="I32" s="5"/>
      <c r="J32" s="5"/>
      <c r="K32" s="5" cm="1">
        <f t="array" ref="K32">_xlfn.XLOOKUP(C32,[3]C3_LMA!$A$48:$A$64,_xlfn.XLOOKUP(G32,[3]C3_LMA!$A$48:$C$48,[3]C3_LMA!$A$48:$C$64))</f>
        <v>2079224</v>
      </c>
      <c r="L32" s="5">
        <v>2256692</v>
      </c>
      <c r="M32" s="5">
        <v>2276027</v>
      </c>
      <c r="N32" s="5">
        <v>2429438</v>
      </c>
      <c r="O32" s="5">
        <v>3211895</v>
      </c>
      <c r="P32" s="5">
        <v>3236527</v>
      </c>
    </row>
    <row r="33" spans="1:16" x14ac:dyDescent="0.3">
      <c r="A33" s="4" t="s">
        <v>38</v>
      </c>
      <c r="B33" s="4"/>
      <c r="C33" s="4" t="s">
        <v>29</v>
      </c>
      <c r="D33" s="4" t="s">
        <v>52</v>
      </c>
      <c r="E33" s="4" t="s">
        <v>40</v>
      </c>
      <c r="F33" s="4" t="s">
        <v>20</v>
      </c>
      <c r="G33" s="4" t="s">
        <v>1</v>
      </c>
      <c r="H33" s="5"/>
      <c r="I33" s="5"/>
      <c r="J33" s="5"/>
      <c r="K33" s="5" cm="1">
        <f t="array" ref="K33">_xlfn.XLOOKUP(C33,[3]C3_LMA!$A$48:$A$64,_xlfn.XLOOKUP(G33,[3]C3_LMA!$A$48:$C$48,[3]C3_LMA!$A$48:$C$64))</f>
        <v>156040</v>
      </c>
      <c r="L33" s="5">
        <v>174357</v>
      </c>
      <c r="M33" s="5">
        <v>192545</v>
      </c>
      <c r="N33" s="5">
        <v>200810</v>
      </c>
      <c r="O33" s="5">
        <v>296116</v>
      </c>
      <c r="P33" s="5">
        <v>328013</v>
      </c>
    </row>
    <row r="34" spans="1:16" x14ac:dyDescent="0.3">
      <c r="A34" s="4" t="s">
        <v>38</v>
      </c>
      <c r="B34" s="4"/>
      <c r="C34" s="4" t="s">
        <v>30</v>
      </c>
      <c r="D34" s="4" t="s">
        <v>52</v>
      </c>
      <c r="E34" s="4" t="s">
        <v>40</v>
      </c>
      <c r="F34" s="4" t="s">
        <v>20</v>
      </c>
      <c r="G34" s="4" t="s">
        <v>1</v>
      </c>
      <c r="H34" s="5"/>
      <c r="I34" s="5"/>
      <c r="J34" s="5"/>
      <c r="K34" s="5" cm="1">
        <f t="array" ref="K34">_xlfn.XLOOKUP(C34,[3]C3_LMA!$A$48:$A$64,_xlfn.XLOOKUP(G34,[3]C3_LMA!$A$48:$C$48,[3]C3_LMA!$A$48:$C$64))</f>
        <v>145314</v>
      </c>
      <c r="L34" s="5">
        <v>168259</v>
      </c>
      <c r="M34" s="5">
        <v>206237</v>
      </c>
      <c r="N34" s="5">
        <v>193807</v>
      </c>
      <c r="O34" s="5">
        <v>318030</v>
      </c>
      <c r="P34" s="5">
        <v>364735</v>
      </c>
    </row>
    <row r="35" spans="1:16" x14ac:dyDescent="0.3">
      <c r="A35" s="4" t="s">
        <v>38</v>
      </c>
      <c r="B35" s="4"/>
      <c r="C35" s="4" t="s">
        <v>31</v>
      </c>
      <c r="D35" s="4" t="s">
        <v>52</v>
      </c>
      <c r="E35" s="4" t="s">
        <v>40</v>
      </c>
      <c r="F35" s="4" t="s">
        <v>20</v>
      </c>
      <c r="G35" s="4" t="s">
        <v>1</v>
      </c>
      <c r="H35" s="5"/>
      <c r="I35" s="5"/>
      <c r="J35" s="5"/>
      <c r="K35" s="5">
        <v>0</v>
      </c>
      <c r="L35" s="5">
        <v>67178</v>
      </c>
      <c r="M35" s="5">
        <v>74989</v>
      </c>
      <c r="N35" s="5">
        <v>74752</v>
      </c>
      <c r="O35" s="5">
        <v>130377</v>
      </c>
      <c r="P35" s="5">
        <v>165641</v>
      </c>
    </row>
    <row r="36" spans="1:16" x14ac:dyDescent="0.3">
      <c r="A36" s="4" t="s">
        <v>38</v>
      </c>
      <c r="B36" s="4"/>
      <c r="C36" s="4" t="s">
        <v>32</v>
      </c>
      <c r="D36" s="4" t="s">
        <v>52</v>
      </c>
      <c r="E36" s="4" t="s">
        <v>40</v>
      </c>
      <c r="F36" s="4" t="s">
        <v>20</v>
      </c>
      <c r="G36" s="4" t="s">
        <v>1</v>
      </c>
      <c r="H36" s="5"/>
      <c r="I36" s="5"/>
      <c r="J36" s="5"/>
      <c r="K36" s="5" cm="1">
        <f t="array" ref="K36">_xlfn.XLOOKUP(C36,[3]C3_LMA!$A$48:$A$64,_xlfn.XLOOKUP(G36,[3]C3_LMA!$A$48:$C$48,[3]C3_LMA!$A$48:$C$64))</f>
        <v>377626</v>
      </c>
      <c r="L36" s="5">
        <v>341562</v>
      </c>
      <c r="M36" s="5">
        <v>336679</v>
      </c>
      <c r="N36" s="5">
        <v>331120</v>
      </c>
      <c r="O36" s="5">
        <v>541184</v>
      </c>
      <c r="P36" s="5">
        <v>669514</v>
      </c>
    </row>
    <row r="37" spans="1:16" x14ac:dyDescent="0.3">
      <c r="A37" s="4" t="s">
        <v>38</v>
      </c>
      <c r="B37" s="4"/>
      <c r="C37" s="4" t="s">
        <v>33</v>
      </c>
      <c r="D37" s="4" t="s">
        <v>52</v>
      </c>
      <c r="E37" s="4" t="s">
        <v>40</v>
      </c>
      <c r="F37" s="4" t="s">
        <v>20</v>
      </c>
      <c r="G37" s="4" t="s">
        <v>1</v>
      </c>
      <c r="H37" s="5"/>
      <c r="I37" s="5"/>
      <c r="J37" s="5"/>
      <c r="K37" s="5" cm="1">
        <f t="array" ref="K37">_xlfn.XLOOKUP(C37,[3]C3_LMA!$A$48:$A$64,_xlfn.XLOOKUP(G37,[3]C3_LMA!$A$48:$C$48,[3]C3_LMA!$A$48:$C$64))</f>
        <v>126046</v>
      </c>
      <c r="L37" s="5">
        <v>144291</v>
      </c>
      <c r="M37" s="5">
        <v>167439</v>
      </c>
      <c r="N37" s="5">
        <v>113848</v>
      </c>
      <c r="O37" s="5">
        <v>244345</v>
      </c>
      <c r="P37" s="5">
        <v>284505</v>
      </c>
    </row>
    <row r="38" spans="1:16" x14ac:dyDescent="0.3">
      <c r="A38" s="4" t="s">
        <v>38</v>
      </c>
      <c r="B38" s="4"/>
      <c r="C38" s="4" t="s">
        <v>34</v>
      </c>
      <c r="D38" s="4" t="s">
        <v>52</v>
      </c>
      <c r="E38" s="4" t="s">
        <v>40</v>
      </c>
      <c r="F38" s="4" t="s">
        <v>20</v>
      </c>
      <c r="G38" s="4" t="s">
        <v>1</v>
      </c>
      <c r="H38" s="5"/>
      <c r="I38" s="5"/>
      <c r="J38" s="5"/>
      <c r="K38" s="5" cm="1">
        <f t="array" ref="K38">_xlfn.XLOOKUP(C38,[3]C3_LMA!$A$48:$A$64,_xlfn.XLOOKUP(G38,[3]C3_LMA!$A$48:$C$48,[3]C3_LMA!$A$48:$C$64))</f>
        <v>32517</v>
      </c>
      <c r="L38" s="5">
        <v>43557</v>
      </c>
      <c r="M38" s="5">
        <v>54828</v>
      </c>
      <c r="N38" s="5">
        <v>39996</v>
      </c>
      <c r="O38" s="5">
        <v>82155</v>
      </c>
      <c r="P38" s="5">
        <v>113725</v>
      </c>
    </row>
    <row r="39" spans="1:16" x14ac:dyDescent="0.3">
      <c r="A39" s="4" t="s">
        <v>38</v>
      </c>
      <c r="B39" s="4"/>
      <c r="C39" s="4" t="s">
        <v>35</v>
      </c>
      <c r="D39" s="4" t="s">
        <v>52</v>
      </c>
      <c r="E39" s="4" t="s">
        <v>40</v>
      </c>
      <c r="F39" s="4" t="s">
        <v>20</v>
      </c>
      <c r="G39" s="4" t="s">
        <v>1</v>
      </c>
      <c r="H39" s="5"/>
      <c r="I39" s="5"/>
      <c r="J39" s="5"/>
      <c r="K39" s="5" cm="1">
        <f t="array" ref="K39">_xlfn.XLOOKUP(C39,[3]C3_LMA!$A$48:$A$64,_xlfn.XLOOKUP(G39,[3]C3_LMA!$A$48:$C$48,[3]C3_LMA!$A$48:$C$64))</f>
        <v>136137</v>
      </c>
      <c r="L39" s="5">
        <v>161327</v>
      </c>
      <c r="M39" s="5">
        <v>174857</v>
      </c>
      <c r="N39" s="5">
        <v>160536</v>
      </c>
      <c r="O39" s="5">
        <v>289530</v>
      </c>
      <c r="P39" s="5">
        <v>341676</v>
      </c>
    </row>
    <row r="40" spans="1:16" x14ac:dyDescent="0.3">
      <c r="A40" s="4" t="s">
        <v>38</v>
      </c>
      <c r="B40" s="4"/>
      <c r="C40" s="4" t="s">
        <v>36</v>
      </c>
      <c r="D40" s="4" t="s">
        <v>52</v>
      </c>
      <c r="E40" s="4" t="s">
        <v>40</v>
      </c>
      <c r="F40" s="4" t="s">
        <v>20</v>
      </c>
      <c r="G40" s="4" t="s">
        <v>1</v>
      </c>
      <c r="H40" s="5"/>
      <c r="I40" s="5"/>
      <c r="J40" s="5"/>
      <c r="K40" s="5" cm="1">
        <f t="array" ref="K40">_xlfn.XLOOKUP(C40,[3]C3_LMA!$A$48:$A$64,_xlfn.XLOOKUP(G40,[3]C3_LMA!$A$48:$C$48,[3]C3_LMA!$A$48:$C$64))</f>
        <v>16638</v>
      </c>
      <c r="L40" s="5">
        <v>21414</v>
      </c>
      <c r="M40" s="5">
        <v>23497</v>
      </c>
      <c r="N40" s="5">
        <v>16032</v>
      </c>
      <c r="O40" s="5">
        <v>31630</v>
      </c>
      <c r="P40" s="5">
        <v>44510</v>
      </c>
    </row>
    <row r="41" spans="1:16" x14ac:dyDescent="0.3">
      <c r="A41" s="4" t="s">
        <v>38</v>
      </c>
      <c r="B41" s="4"/>
      <c r="C41" s="4" t="s">
        <v>37</v>
      </c>
      <c r="D41" s="4" t="s">
        <v>52</v>
      </c>
      <c r="E41" s="4" t="s">
        <v>40</v>
      </c>
      <c r="F41" s="4" t="s">
        <v>20</v>
      </c>
      <c r="G41" s="4" t="s">
        <v>1</v>
      </c>
      <c r="H41" s="5"/>
      <c r="I41" s="5"/>
      <c r="J41" s="5"/>
      <c r="K41" s="5" cm="1">
        <f t="array" ref="K41">_xlfn.XLOOKUP(C41,[3]C3_LMA!$A$48:$A$64,_xlfn.XLOOKUP(G41,[3]C3_LMA!$A$48:$C$48,[3]C3_LMA!$A$48:$C$64))</f>
        <v>27707</v>
      </c>
      <c r="L41" s="5">
        <v>35808</v>
      </c>
      <c r="M41" s="5">
        <v>43900</v>
      </c>
      <c r="N41" s="5">
        <v>42508</v>
      </c>
      <c r="O41" s="5">
        <v>61335</v>
      </c>
      <c r="P41" s="5">
        <v>71379</v>
      </c>
    </row>
    <row r="42" spans="1:16" x14ac:dyDescent="0.3">
      <c r="A42" s="4" t="s">
        <v>38</v>
      </c>
      <c r="B42" s="4"/>
      <c r="C42" s="4" t="s">
        <v>19</v>
      </c>
      <c r="D42" s="4" t="s">
        <v>52</v>
      </c>
      <c r="E42" s="4" t="s">
        <v>40</v>
      </c>
      <c r="F42" s="4" t="s">
        <v>20</v>
      </c>
      <c r="G42" s="4" t="s">
        <v>1</v>
      </c>
      <c r="H42" s="5"/>
      <c r="I42" s="5"/>
      <c r="J42" s="5"/>
      <c r="K42" s="5" cm="1">
        <f t="array" ref="K42">_xlfn.XLOOKUP(C42,[3]C3_LMA!$A$48:$A$64,_xlfn.XLOOKUP(G42,[3]C3_LMA!$A$48:$C$48,[3]C3_LMA!$A$48:$C$64))</f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</row>
    <row r="43" spans="1:16" x14ac:dyDescent="0.3">
      <c r="A43" s="4" t="s">
        <v>38</v>
      </c>
      <c r="B43" s="4"/>
      <c r="C43" s="15" t="s">
        <v>22</v>
      </c>
      <c r="D43" s="15" t="s">
        <v>52</v>
      </c>
      <c r="E43" s="4" t="s">
        <v>40</v>
      </c>
      <c r="F43" s="4" t="s">
        <v>20</v>
      </c>
      <c r="G43" s="15" t="s">
        <v>9</v>
      </c>
      <c r="H43" s="16"/>
      <c r="I43" s="16"/>
      <c r="J43" s="16"/>
      <c r="K43" s="5" cm="1">
        <f t="array" ref="K43">_xlfn.XLOOKUP(C43,[3]C3_LMA!$A$48:$A$64,_xlfn.XLOOKUP(G43,[3]C3_LMA!$A$48:$C$48,[3]C3_LMA!$A$48:$C$64))</f>
        <v>12792.362510125395</v>
      </c>
      <c r="L43" s="16">
        <v>12727.480705210219</v>
      </c>
      <c r="M43" s="16">
        <v>13010.735132852264</v>
      </c>
      <c r="N43" s="16">
        <v>8500.8403617106105</v>
      </c>
      <c r="O43" s="16">
        <v>8672</v>
      </c>
      <c r="P43" s="16">
        <v>11887</v>
      </c>
    </row>
    <row r="44" spans="1:16" x14ac:dyDescent="0.3">
      <c r="A44" s="4" t="s">
        <v>38</v>
      </c>
      <c r="B44" s="4"/>
      <c r="C44" s="15" t="s">
        <v>23</v>
      </c>
      <c r="D44" s="15" t="s">
        <v>52</v>
      </c>
      <c r="E44" s="4" t="s">
        <v>40</v>
      </c>
      <c r="F44" s="4" t="s">
        <v>20</v>
      </c>
      <c r="G44" s="15" t="s">
        <v>9</v>
      </c>
      <c r="H44" s="16"/>
      <c r="I44" s="16"/>
      <c r="J44" s="16"/>
      <c r="K44" s="5" cm="1">
        <f t="array" ref="K44">_xlfn.XLOOKUP(C44,[3]C3_LMA!$A$48:$A$64,_xlfn.XLOOKUP(G44,[3]C3_LMA!$A$48:$C$48,[3]C3_LMA!$A$48:$C$64))</f>
        <v>27005.270519219503</v>
      </c>
      <c r="L44" s="16">
        <v>27247.161637413272</v>
      </c>
      <c r="M44" s="16">
        <v>28802.771884397778</v>
      </c>
      <c r="N44" s="16">
        <v>25619.4432414029</v>
      </c>
      <c r="O44" s="16">
        <v>30553</v>
      </c>
      <c r="P44" s="16">
        <v>37026</v>
      </c>
    </row>
    <row r="45" spans="1:16" x14ac:dyDescent="0.3">
      <c r="A45" s="4" t="s">
        <v>38</v>
      </c>
      <c r="B45" s="4"/>
      <c r="C45" s="15" t="s">
        <v>24</v>
      </c>
      <c r="D45" s="15" t="s">
        <v>52</v>
      </c>
      <c r="E45" s="4" t="s">
        <v>40</v>
      </c>
      <c r="F45" s="4" t="s">
        <v>20</v>
      </c>
      <c r="G45" s="15" t="s">
        <v>9</v>
      </c>
      <c r="H45" s="16"/>
      <c r="I45" s="16"/>
      <c r="J45" s="16"/>
      <c r="K45" s="5" cm="1">
        <f t="array" ref="K45">_xlfn.XLOOKUP(C45,[3]C3_LMA!$A$48:$A$64,_xlfn.XLOOKUP(G45,[3]C3_LMA!$A$48:$C$48,[3]C3_LMA!$A$48:$C$64))</f>
        <v>70636.736731510391</v>
      </c>
      <c r="L45" s="16">
        <v>72392.248967398118</v>
      </c>
      <c r="M45" s="16">
        <v>80302.374718385239</v>
      </c>
      <c r="N45" s="16">
        <v>70994.233886611895</v>
      </c>
      <c r="O45" s="16">
        <v>74994</v>
      </c>
      <c r="P45" s="16">
        <v>88037</v>
      </c>
    </row>
    <row r="46" spans="1:16" x14ac:dyDescent="0.3">
      <c r="A46" s="4" t="s">
        <v>38</v>
      </c>
      <c r="B46" s="4"/>
      <c r="C46" s="15" t="s">
        <v>25</v>
      </c>
      <c r="D46" s="15" t="s">
        <v>52</v>
      </c>
      <c r="E46" s="4" t="s">
        <v>40</v>
      </c>
      <c r="F46" s="4" t="s">
        <v>20</v>
      </c>
      <c r="G46" s="15" t="s">
        <v>9</v>
      </c>
      <c r="H46" s="16"/>
      <c r="I46" s="16"/>
      <c r="J46" s="16"/>
      <c r="K46" s="5" cm="1">
        <f t="array" ref="K46">_xlfn.XLOOKUP(C46,[3]C3_LMA!$A$48:$A$64,_xlfn.XLOOKUP(G46,[3]C3_LMA!$A$48:$C$48,[3]C3_LMA!$A$48:$C$64))</f>
        <v>20504.746992459208</v>
      </c>
      <c r="L46" s="16">
        <v>20568.92099308566</v>
      </c>
      <c r="M46" s="16">
        <v>20570.471528328952</v>
      </c>
      <c r="N46" s="16">
        <v>16355.610859923199</v>
      </c>
      <c r="O46" s="16">
        <v>18219</v>
      </c>
      <c r="P46" s="16">
        <v>24039</v>
      </c>
    </row>
    <row r="47" spans="1:16" x14ac:dyDescent="0.3">
      <c r="A47" s="4" t="s">
        <v>38</v>
      </c>
      <c r="B47" s="4"/>
      <c r="C47" s="15" t="s">
        <v>26</v>
      </c>
      <c r="D47" s="15" t="s">
        <v>52</v>
      </c>
      <c r="E47" s="4" t="s">
        <v>40</v>
      </c>
      <c r="F47" s="4" t="s">
        <v>20</v>
      </c>
      <c r="G47" s="15" t="s">
        <v>9</v>
      </c>
      <c r="H47" s="16"/>
      <c r="I47" s="16"/>
      <c r="J47" s="16"/>
      <c r="K47" s="5" cm="1">
        <f t="array" ref="K47">_xlfn.XLOOKUP(C47,[3]C3_LMA!$A$48:$A$64,_xlfn.XLOOKUP(G47,[3]C3_LMA!$A$48:$C$48,[3]C3_LMA!$A$48:$C$64))</f>
        <v>21826.912635255903</v>
      </c>
      <c r="L47" s="16">
        <v>23289.574234398035</v>
      </c>
      <c r="M47" s="16">
        <v>24798.226206374289</v>
      </c>
      <c r="N47" s="16">
        <v>17560.808470717599</v>
      </c>
      <c r="O47" s="16">
        <v>19662</v>
      </c>
      <c r="P47" s="16">
        <v>29451</v>
      </c>
    </row>
    <row r="48" spans="1:16" x14ac:dyDescent="0.3">
      <c r="A48" s="4" t="s">
        <v>38</v>
      </c>
      <c r="B48" s="4"/>
      <c r="C48" s="15" t="s">
        <v>27</v>
      </c>
      <c r="D48" s="15" t="s">
        <v>52</v>
      </c>
      <c r="E48" s="4" t="s">
        <v>40</v>
      </c>
      <c r="F48" s="4" t="s">
        <v>20</v>
      </c>
      <c r="G48" s="15" t="s">
        <v>9</v>
      </c>
      <c r="H48" s="16"/>
      <c r="I48" s="16"/>
      <c r="J48" s="16"/>
      <c r="K48" s="5" cm="1">
        <f t="array" ref="K48">_xlfn.XLOOKUP(C48,[3]C3_LMA!$A$48:$A$64,_xlfn.XLOOKUP(G48,[3]C3_LMA!$A$48:$C$48,[3]C3_LMA!$A$48:$C$64))</f>
        <v>99351.729902689083</v>
      </c>
      <c r="L48" s="16">
        <v>103113.96167460689</v>
      </c>
      <c r="M48" s="16">
        <v>106000.77932616341</v>
      </c>
      <c r="N48" s="16">
        <v>84227.423573295193</v>
      </c>
      <c r="O48" s="16">
        <v>92514</v>
      </c>
      <c r="P48" s="16">
        <v>118148</v>
      </c>
    </row>
    <row r="49" spans="1:16" x14ac:dyDescent="0.3">
      <c r="A49" s="4" t="s">
        <v>38</v>
      </c>
      <c r="B49" s="4"/>
      <c r="C49" s="15" t="s">
        <v>28</v>
      </c>
      <c r="D49" s="15" t="s">
        <v>52</v>
      </c>
      <c r="E49" s="4" t="s">
        <v>40</v>
      </c>
      <c r="F49" s="4" t="s">
        <v>20</v>
      </c>
      <c r="G49" s="15" t="s">
        <v>9</v>
      </c>
      <c r="H49" s="16"/>
      <c r="I49" s="16"/>
      <c r="J49" s="16"/>
      <c r="K49" s="5" cm="1">
        <f t="array" ref="K49">_xlfn.XLOOKUP(C49,[3]C3_LMA!$A$48:$A$64,_xlfn.XLOOKUP(G49,[3]C3_LMA!$A$48:$C$48,[3]C3_LMA!$A$48:$C$64))</f>
        <v>1170237.3327894667</v>
      </c>
      <c r="L49" s="16">
        <v>1213587.4055972409</v>
      </c>
      <c r="M49" s="16">
        <v>1321052.1872674448</v>
      </c>
      <c r="N49" s="16">
        <v>1059178.3266338799</v>
      </c>
      <c r="O49" s="16">
        <v>1028986</v>
      </c>
      <c r="P49" s="16">
        <v>1144290</v>
      </c>
    </row>
    <row r="50" spans="1:16" x14ac:dyDescent="0.3">
      <c r="A50" s="4" t="s">
        <v>38</v>
      </c>
      <c r="B50" s="4"/>
      <c r="C50" s="15" t="s">
        <v>29</v>
      </c>
      <c r="D50" s="15" t="s">
        <v>52</v>
      </c>
      <c r="E50" s="4" t="s">
        <v>40</v>
      </c>
      <c r="F50" s="4" t="s">
        <v>20</v>
      </c>
      <c r="G50" s="15" t="s">
        <v>9</v>
      </c>
      <c r="H50" s="16"/>
      <c r="I50" s="16"/>
      <c r="J50" s="16"/>
      <c r="K50" s="5" cm="1">
        <f t="array" ref="K50">_xlfn.XLOOKUP(C50,[3]C3_LMA!$A$48:$A$64,_xlfn.XLOOKUP(G50,[3]C3_LMA!$A$48:$C$48,[3]C3_LMA!$A$48:$C$64))</f>
        <v>51630.0466398524</v>
      </c>
      <c r="L50" s="16">
        <v>52289.811660599429</v>
      </c>
      <c r="M50" s="16">
        <v>54167.831472406484</v>
      </c>
      <c r="N50" s="16">
        <v>49558.505236909601</v>
      </c>
      <c r="O50" s="16">
        <v>49763</v>
      </c>
      <c r="P50" s="16">
        <v>61211</v>
      </c>
    </row>
    <row r="51" spans="1:16" x14ac:dyDescent="0.3">
      <c r="A51" s="4" t="s">
        <v>38</v>
      </c>
      <c r="B51" s="4"/>
      <c r="C51" s="15" t="s">
        <v>30</v>
      </c>
      <c r="D51" s="15" t="s">
        <v>52</v>
      </c>
      <c r="E51" s="4" t="s">
        <v>40</v>
      </c>
      <c r="F51" s="4" t="s">
        <v>20</v>
      </c>
      <c r="G51" s="15" t="s">
        <v>9</v>
      </c>
      <c r="H51" s="16"/>
      <c r="I51" s="16"/>
      <c r="J51" s="16"/>
      <c r="K51" s="5" cm="1">
        <f t="array" ref="K51">_xlfn.XLOOKUP(C51,[3]C3_LMA!$A$48:$A$64,_xlfn.XLOOKUP(G51,[3]C3_LMA!$A$48:$C$48,[3]C3_LMA!$A$48:$C$64))</f>
        <v>44573.527865332057</v>
      </c>
      <c r="L51" s="16">
        <v>49257.667699734142</v>
      </c>
      <c r="M51" s="16">
        <v>53511.420794710662</v>
      </c>
      <c r="N51" s="16">
        <v>37782.345497604598</v>
      </c>
      <c r="O51" s="16">
        <v>45873</v>
      </c>
      <c r="P51" s="16">
        <v>60593</v>
      </c>
    </row>
    <row r="52" spans="1:16" x14ac:dyDescent="0.3">
      <c r="A52" s="4" t="s">
        <v>38</v>
      </c>
      <c r="B52" s="4"/>
      <c r="C52" s="15" t="s">
        <v>31</v>
      </c>
      <c r="D52" s="15" t="s">
        <v>52</v>
      </c>
      <c r="E52" s="4" t="s">
        <v>40</v>
      </c>
      <c r="F52" s="4" t="s">
        <v>20</v>
      </c>
      <c r="G52" s="15" t="s">
        <v>9</v>
      </c>
      <c r="H52" s="16"/>
      <c r="I52" s="16"/>
      <c r="J52" s="16"/>
      <c r="K52" s="5">
        <v>0</v>
      </c>
      <c r="L52" s="16">
        <v>6199.7186693622734</v>
      </c>
      <c r="M52" s="16">
        <v>23780.569383906273</v>
      </c>
      <c r="N52" s="16">
        <v>15967.369341023001</v>
      </c>
      <c r="O52" s="16">
        <v>21612</v>
      </c>
      <c r="P52" s="16">
        <v>28882</v>
      </c>
    </row>
    <row r="53" spans="1:16" x14ac:dyDescent="0.3">
      <c r="A53" s="4" t="s">
        <v>38</v>
      </c>
      <c r="B53" s="4"/>
      <c r="C53" s="15" t="s">
        <v>32</v>
      </c>
      <c r="D53" s="15" t="s">
        <v>52</v>
      </c>
      <c r="E53" s="4" t="s">
        <v>40</v>
      </c>
      <c r="F53" s="4" t="s">
        <v>20</v>
      </c>
      <c r="G53" s="15" t="s">
        <v>9</v>
      </c>
      <c r="H53" s="16"/>
      <c r="I53" s="16"/>
      <c r="J53" s="16"/>
      <c r="K53" s="5" cm="1">
        <f t="array" ref="K53">_xlfn.XLOOKUP(C53,[3]C3_LMA!$A$48:$A$64,_xlfn.XLOOKUP(G53,[3]C3_LMA!$A$48:$C$48,[3]C3_LMA!$A$48:$C$64))</f>
        <v>123541.24968995486</v>
      </c>
      <c r="L53" s="16">
        <v>126463.72735239679</v>
      </c>
      <c r="M53" s="16">
        <v>115557.64887973029</v>
      </c>
      <c r="N53" s="16">
        <v>83948.609200648702</v>
      </c>
      <c r="O53" s="16">
        <v>90788</v>
      </c>
      <c r="P53" s="16">
        <v>115736</v>
      </c>
    </row>
    <row r="54" spans="1:16" x14ac:dyDescent="0.3">
      <c r="A54" s="4" t="s">
        <v>38</v>
      </c>
      <c r="B54" s="4"/>
      <c r="C54" s="15" t="s">
        <v>33</v>
      </c>
      <c r="D54" s="15" t="s">
        <v>52</v>
      </c>
      <c r="E54" s="4" t="s">
        <v>40</v>
      </c>
      <c r="F54" s="4" t="s">
        <v>20</v>
      </c>
      <c r="G54" s="15" t="s">
        <v>9</v>
      </c>
      <c r="H54" s="16"/>
      <c r="I54" s="16"/>
      <c r="J54" s="16"/>
      <c r="K54" s="5" cm="1">
        <f t="array" ref="K54">_xlfn.XLOOKUP(C54,[3]C3_LMA!$A$48:$A$64,_xlfn.XLOOKUP(G54,[3]C3_LMA!$A$48:$C$48,[3]C3_LMA!$A$48:$C$64))</f>
        <v>48447.607353075691</v>
      </c>
      <c r="L54" s="16">
        <v>52464.366846435834</v>
      </c>
      <c r="M54" s="16">
        <v>56543.832538428491</v>
      </c>
      <c r="N54" s="16">
        <v>35052.662849275403</v>
      </c>
      <c r="O54" s="16">
        <v>39672</v>
      </c>
      <c r="P54" s="16">
        <v>56170</v>
      </c>
    </row>
    <row r="55" spans="1:16" x14ac:dyDescent="0.3">
      <c r="A55" s="4" t="s">
        <v>38</v>
      </c>
      <c r="B55" s="4"/>
      <c r="C55" s="15" t="s">
        <v>34</v>
      </c>
      <c r="D55" s="15" t="s">
        <v>52</v>
      </c>
      <c r="E55" s="4" t="s">
        <v>40</v>
      </c>
      <c r="F55" s="4" t="s">
        <v>20</v>
      </c>
      <c r="G55" s="15" t="s">
        <v>9</v>
      </c>
      <c r="H55" s="16"/>
      <c r="I55" s="16"/>
      <c r="J55" s="16"/>
      <c r="K55" s="5" cm="1">
        <f t="array" ref="K55">_xlfn.XLOOKUP(C55,[3]C3_LMA!$A$48:$A$64,_xlfn.XLOOKUP(G55,[3]C3_LMA!$A$48:$C$48,[3]C3_LMA!$A$48:$C$64))</f>
        <v>19878.693362273625</v>
      </c>
      <c r="L55" s="16">
        <v>21638.82389937609</v>
      </c>
      <c r="M55" s="16">
        <v>22060.978995580088</v>
      </c>
      <c r="N55" s="16">
        <v>13918.233602271701</v>
      </c>
      <c r="O55" s="16">
        <v>15222</v>
      </c>
      <c r="P55" s="16">
        <v>22414</v>
      </c>
    </row>
    <row r="56" spans="1:16" x14ac:dyDescent="0.3">
      <c r="A56" s="4" t="s">
        <v>38</v>
      </c>
      <c r="B56" s="4"/>
      <c r="C56" s="15" t="s">
        <v>35</v>
      </c>
      <c r="D56" s="15" t="s">
        <v>52</v>
      </c>
      <c r="E56" s="4" t="s">
        <v>40</v>
      </c>
      <c r="F56" s="4" t="s">
        <v>20</v>
      </c>
      <c r="G56" s="15" t="s">
        <v>9</v>
      </c>
      <c r="H56" s="16"/>
      <c r="I56" s="16"/>
      <c r="J56" s="16"/>
      <c r="K56" s="5" cm="1">
        <f t="array" ref="K56">_xlfn.XLOOKUP(C56,[3]C3_LMA!$A$48:$A$64,_xlfn.XLOOKUP(G56,[3]C3_LMA!$A$48:$C$48,[3]C3_LMA!$A$48:$C$64))</f>
        <v>59864.1424806742</v>
      </c>
      <c r="L56" s="16">
        <v>63849.57836400743</v>
      </c>
      <c r="M56" s="16">
        <v>66297.478447277783</v>
      </c>
      <c r="N56" s="16">
        <v>44974.557110280999</v>
      </c>
      <c r="O56" s="16">
        <v>57456</v>
      </c>
      <c r="P56" s="16">
        <v>71182</v>
      </c>
    </row>
    <row r="57" spans="1:16" x14ac:dyDescent="0.3">
      <c r="A57" s="4" t="s">
        <v>38</v>
      </c>
      <c r="B57" s="4"/>
      <c r="C57" s="15" t="s">
        <v>36</v>
      </c>
      <c r="D57" s="15" t="s">
        <v>52</v>
      </c>
      <c r="E57" s="4" t="s">
        <v>40</v>
      </c>
      <c r="F57" s="4" t="s">
        <v>20</v>
      </c>
      <c r="G57" s="15" t="s">
        <v>9</v>
      </c>
      <c r="H57" s="16"/>
      <c r="I57" s="16"/>
      <c r="J57" s="16"/>
      <c r="K57" s="5" cm="1">
        <f t="array" ref="K57">_xlfn.XLOOKUP(C57,[3]C3_LMA!$A$48:$A$64,_xlfn.XLOOKUP(G57,[3]C3_LMA!$A$48:$C$48,[3]C3_LMA!$A$48:$C$64))</f>
        <v>6897.0241592111634</v>
      </c>
      <c r="L57" s="16">
        <v>6810.6618197897205</v>
      </c>
      <c r="M57" s="16">
        <v>6589.0709414343237</v>
      </c>
      <c r="N57" s="16">
        <v>4029.3173853426401</v>
      </c>
      <c r="O57" s="16">
        <v>4977</v>
      </c>
      <c r="P57" s="16">
        <v>7126</v>
      </c>
    </row>
    <row r="58" spans="1:16" x14ac:dyDescent="0.3">
      <c r="A58" s="4" t="s">
        <v>38</v>
      </c>
      <c r="B58" s="4"/>
      <c r="C58" s="15" t="s">
        <v>37</v>
      </c>
      <c r="D58" s="15" t="s">
        <v>52</v>
      </c>
      <c r="E58" s="4" t="s">
        <v>40</v>
      </c>
      <c r="F58" s="4" t="s">
        <v>20</v>
      </c>
      <c r="G58" s="15" t="s">
        <v>9</v>
      </c>
      <c r="H58" s="16"/>
      <c r="I58" s="16"/>
      <c r="J58" s="16"/>
      <c r="K58" s="5" cm="1">
        <f t="array" ref="K58">_xlfn.XLOOKUP(C58,[3]C3_LMA!$A$48:$A$64,_xlfn.XLOOKUP(G58,[3]C3_LMA!$A$48:$C$48,[3]C3_LMA!$A$48:$C$64))</f>
        <v>17410.253334684759</v>
      </c>
      <c r="L58" s="16">
        <v>19208.59437242947</v>
      </c>
      <c r="M58" s="16">
        <v>21959.653857412275</v>
      </c>
      <c r="N58" s="16">
        <v>16364.604871944</v>
      </c>
      <c r="O58" s="16">
        <v>15967</v>
      </c>
      <c r="P58" s="16">
        <v>19043</v>
      </c>
    </row>
    <row r="59" spans="1:16" x14ac:dyDescent="0.3">
      <c r="A59" s="4" t="s">
        <v>38</v>
      </c>
      <c r="B59" s="4"/>
      <c r="C59" s="15" t="s">
        <v>19</v>
      </c>
      <c r="D59" s="15" t="s">
        <v>52</v>
      </c>
      <c r="E59" s="4" t="s">
        <v>40</v>
      </c>
      <c r="F59" s="4" t="s">
        <v>20</v>
      </c>
      <c r="G59" s="15" t="s">
        <v>9</v>
      </c>
      <c r="H59" s="16"/>
      <c r="I59" s="16"/>
      <c r="J59" s="16"/>
      <c r="K59" s="5" cm="1">
        <f t="array" ref="K59">_xlfn.XLOOKUP(C59,[3]C3_LMA!$A$48:$A$64,_xlfn.XLOOKUP(G59,[3]C3_LMA!$A$48:$C$48,[3]C3_LMA!$A$48:$C$64))</f>
        <v>14299.363034214974</v>
      </c>
      <c r="L59" s="16">
        <v>14241.295506515668</v>
      </c>
      <c r="M59" s="16">
        <v>1701.9686251665657</v>
      </c>
      <c r="N59" s="16">
        <v>18613.107877157599</v>
      </c>
      <c r="O59" s="16">
        <v>5964</v>
      </c>
      <c r="P59" s="16">
        <v>1574</v>
      </c>
    </row>
    <row r="60" spans="1:16" x14ac:dyDescent="0.3">
      <c r="A60" s="17" t="s">
        <v>39</v>
      </c>
      <c r="B60" s="17"/>
      <c r="C60" s="17" t="s">
        <v>22</v>
      </c>
      <c r="D60" s="17" t="s">
        <v>52</v>
      </c>
      <c r="E60" s="17" t="s">
        <v>40</v>
      </c>
      <c r="F60" s="17" t="s">
        <v>6</v>
      </c>
      <c r="G60" s="17" t="s">
        <v>1</v>
      </c>
      <c r="H60" s="19"/>
      <c r="I60" s="19"/>
      <c r="J60" s="19"/>
      <c r="K60" s="19">
        <v>0</v>
      </c>
      <c r="L60" s="19">
        <v>10528</v>
      </c>
      <c r="M60" s="19">
        <v>9764</v>
      </c>
      <c r="N60" s="19">
        <v>10339</v>
      </c>
      <c r="O60" s="19">
        <f>VLOOKUP(C60,[1]C3_LMA!$A$98:$C$114,2,FALSE)</f>
        <v>14802</v>
      </c>
      <c r="P60" s="19">
        <v>16844</v>
      </c>
    </row>
    <row r="61" spans="1:16" x14ac:dyDescent="0.3">
      <c r="A61" s="17" t="s">
        <v>39</v>
      </c>
      <c r="B61" s="17"/>
      <c r="C61" s="17" t="s">
        <v>23</v>
      </c>
      <c r="D61" s="17" t="s">
        <v>52</v>
      </c>
      <c r="E61" s="17" t="s">
        <v>40</v>
      </c>
      <c r="F61" s="17" t="s">
        <v>6</v>
      </c>
      <c r="G61" s="17" t="s">
        <v>1</v>
      </c>
      <c r="H61" s="19"/>
      <c r="I61" s="19"/>
      <c r="J61" s="19"/>
      <c r="K61" s="19">
        <v>0</v>
      </c>
      <c r="L61" s="19">
        <v>24032</v>
      </c>
      <c r="M61" s="19">
        <v>28648</v>
      </c>
      <c r="N61" s="19">
        <v>31432</v>
      </c>
      <c r="O61" s="19">
        <f>VLOOKUP(C61,[1]C3_LMA!$A$98:$C$114,2,FALSE)</f>
        <v>55054</v>
      </c>
      <c r="P61" s="19">
        <v>64442</v>
      </c>
    </row>
    <row r="62" spans="1:16" x14ac:dyDescent="0.3">
      <c r="A62" s="17" t="s">
        <v>39</v>
      </c>
      <c r="B62" s="17"/>
      <c r="C62" s="17" t="s">
        <v>24</v>
      </c>
      <c r="D62" s="17" t="s">
        <v>52</v>
      </c>
      <c r="E62" s="17" t="s">
        <v>40</v>
      </c>
      <c r="F62" s="17" t="s">
        <v>6</v>
      </c>
      <c r="G62" s="17" t="s">
        <v>1</v>
      </c>
      <c r="H62" s="19"/>
      <c r="I62" s="19"/>
      <c r="J62" s="19"/>
      <c r="K62" s="19">
        <v>0</v>
      </c>
      <c r="L62" s="19">
        <v>42845</v>
      </c>
      <c r="M62" s="19">
        <v>53719</v>
      </c>
      <c r="N62" s="19">
        <v>67717</v>
      </c>
      <c r="O62" s="19">
        <f>VLOOKUP(C62,[1]C3_LMA!$A$98:$C$114,2,FALSE)</f>
        <v>103864</v>
      </c>
      <c r="P62" s="19">
        <v>113821</v>
      </c>
    </row>
    <row r="63" spans="1:16" x14ac:dyDescent="0.3">
      <c r="A63" s="17" t="s">
        <v>39</v>
      </c>
      <c r="B63" s="17"/>
      <c r="C63" s="17" t="s">
        <v>25</v>
      </c>
      <c r="D63" s="17" t="s">
        <v>52</v>
      </c>
      <c r="E63" s="17" t="s">
        <v>40</v>
      </c>
      <c r="F63" s="17" t="s">
        <v>6</v>
      </c>
      <c r="G63" s="17" t="s">
        <v>1</v>
      </c>
      <c r="H63" s="19"/>
      <c r="I63" s="19"/>
      <c r="J63" s="19"/>
      <c r="K63" s="19">
        <v>0</v>
      </c>
      <c r="L63" s="19">
        <v>20674</v>
      </c>
      <c r="M63" s="19">
        <v>26122</v>
      </c>
      <c r="N63" s="19">
        <v>26313</v>
      </c>
      <c r="O63" s="19">
        <f>VLOOKUP(C63,[1]C3_LMA!$A$98:$C$114,2,FALSE)</f>
        <v>42868</v>
      </c>
      <c r="P63" s="19">
        <v>54710</v>
      </c>
    </row>
    <row r="64" spans="1:16" x14ac:dyDescent="0.3">
      <c r="A64" s="17" t="s">
        <v>39</v>
      </c>
      <c r="B64" s="17"/>
      <c r="C64" s="17" t="s">
        <v>26</v>
      </c>
      <c r="D64" s="17" t="s">
        <v>52</v>
      </c>
      <c r="E64" s="17" t="s">
        <v>40</v>
      </c>
      <c r="F64" s="17" t="s">
        <v>6</v>
      </c>
      <c r="G64" s="17" t="s">
        <v>1</v>
      </c>
      <c r="H64" s="19"/>
      <c r="I64" s="19"/>
      <c r="J64" s="19"/>
      <c r="K64" s="19">
        <v>0</v>
      </c>
      <c r="L64" s="19">
        <v>34206</v>
      </c>
      <c r="M64" s="19">
        <v>37833</v>
      </c>
      <c r="N64" s="19">
        <v>42776</v>
      </c>
      <c r="O64" s="19">
        <f>VLOOKUP(C64,[1]C3_LMA!$A$98:$C$114,2,FALSE)</f>
        <v>71238</v>
      </c>
      <c r="P64" s="19">
        <v>85053</v>
      </c>
    </row>
    <row r="65" spans="1:16" x14ac:dyDescent="0.3">
      <c r="A65" s="17" t="s">
        <v>39</v>
      </c>
      <c r="B65" s="17"/>
      <c r="C65" s="17" t="s">
        <v>27</v>
      </c>
      <c r="D65" s="17" t="s">
        <v>52</v>
      </c>
      <c r="E65" s="17" t="s">
        <v>40</v>
      </c>
      <c r="F65" s="17" t="s">
        <v>6</v>
      </c>
      <c r="G65" s="17" t="s">
        <v>1</v>
      </c>
      <c r="H65" s="19"/>
      <c r="I65" s="19"/>
      <c r="J65" s="19"/>
      <c r="K65" s="19">
        <v>0</v>
      </c>
      <c r="L65" s="19">
        <v>82969</v>
      </c>
      <c r="M65" s="19">
        <v>127042</v>
      </c>
      <c r="N65" s="19">
        <v>149551</v>
      </c>
      <c r="O65" s="19">
        <f>VLOOKUP(C65,[1]C3_LMA!$A$98:$C$114,2,FALSE)</f>
        <v>246974</v>
      </c>
      <c r="P65" s="19">
        <v>262446</v>
      </c>
    </row>
    <row r="66" spans="1:16" x14ac:dyDescent="0.3">
      <c r="A66" s="17" t="s">
        <v>39</v>
      </c>
      <c r="B66" s="17"/>
      <c r="C66" s="17" t="s">
        <v>28</v>
      </c>
      <c r="D66" s="17" t="s">
        <v>52</v>
      </c>
      <c r="E66" s="17" t="s">
        <v>40</v>
      </c>
      <c r="F66" s="17" t="s">
        <v>6</v>
      </c>
      <c r="G66" s="17" t="s">
        <v>1</v>
      </c>
      <c r="H66" s="19"/>
      <c r="I66" s="19"/>
      <c r="J66" s="19"/>
      <c r="K66" s="19">
        <v>0</v>
      </c>
      <c r="L66" s="19">
        <v>775167</v>
      </c>
      <c r="M66" s="19">
        <v>806499</v>
      </c>
      <c r="N66" s="19">
        <v>996436</v>
      </c>
      <c r="O66" s="19">
        <f>VLOOKUP(C66,[1]C3_LMA!$A$98:$C$114,2,FALSE)</f>
        <v>1397671</v>
      </c>
      <c r="P66" s="19">
        <v>1352144</v>
      </c>
    </row>
    <row r="67" spans="1:16" x14ac:dyDescent="0.3">
      <c r="A67" s="17" t="s">
        <v>39</v>
      </c>
      <c r="B67" s="17"/>
      <c r="C67" s="17" t="s">
        <v>29</v>
      </c>
      <c r="D67" s="17" t="s">
        <v>52</v>
      </c>
      <c r="E67" s="17" t="s">
        <v>40</v>
      </c>
      <c r="F67" s="17" t="s">
        <v>6</v>
      </c>
      <c r="G67" s="17" t="s">
        <v>1</v>
      </c>
      <c r="H67" s="19"/>
      <c r="I67" s="19"/>
      <c r="J67" s="19"/>
      <c r="K67" s="19">
        <v>0</v>
      </c>
      <c r="L67" s="19">
        <v>66417</v>
      </c>
      <c r="M67" s="19">
        <v>76866</v>
      </c>
      <c r="N67" s="19">
        <v>94963</v>
      </c>
      <c r="O67" s="19">
        <f>VLOOKUP(C67,[1]C3_LMA!$A$98:$C$114,2,FALSE)</f>
        <v>142619</v>
      </c>
      <c r="P67" s="19">
        <v>139923</v>
      </c>
    </row>
    <row r="68" spans="1:16" x14ac:dyDescent="0.3">
      <c r="A68" s="17" t="s">
        <v>39</v>
      </c>
      <c r="B68" s="17"/>
      <c r="C68" s="17" t="s">
        <v>30</v>
      </c>
      <c r="D68" s="17" t="s">
        <v>52</v>
      </c>
      <c r="E68" s="17" t="s">
        <v>40</v>
      </c>
      <c r="F68" s="17" t="s">
        <v>6</v>
      </c>
      <c r="G68" s="17" t="s">
        <v>1</v>
      </c>
      <c r="H68" s="19"/>
      <c r="I68" s="19"/>
      <c r="J68" s="19"/>
      <c r="K68" s="19">
        <v>0</v>
      </c>
      <c r="L68" s="19">
        <v>56463</v>
      </c>
      <c r="M68" s="19">
        <v>69791</v>
      </c>
      <c r="N68" s="19">
        <v>82697</v>
      </c>
      <c r="O68" s="19">
        <f>VLOOKUP(C68,[1]C3_LMA!$A$98:$C$114,2,FALSE)</f>
        <v>134135</v>
      </c>
      <c r="P68" s="19">
        <v>139631</v>
      </c>
    </row>
    <row r="69" spans="1:16" x14ac:dyDescent="0.3">
      <c r="A69" s="17" t="s">
        <v>39</v>
      </c>
      <c r="B69" s="17"/>
      <c r="C69" s="17" t="s">
        <v>31</v>
      </c>
      <c r="D69" s="17" t="s">
        <v>52</v>
      </c>
      <c r="E69" s="17" t="s">
        <v>40</v>
      </c>
      <c r="F69" s="17" t="s">
        <v>6</v>
      </c>
      <c r="G69" s="17" t="s">
        <v>1</v>
      </c>
      <c r="H69" s="19"/>
      <c r="I69" s="19"/>
      <c r="J69" s="19"/>
      <c r="K69" s="19">
        <v>0</v>
      </c>
      <c r="L69" s="19">
        <v>22415</v>
      </c>
      <c r="M69" s="19">
        <v>25214</v>
      </c>
      <c r="N69" s="19">
        <v>32570</v>
      </c>
      <c r="O69" s="19">
        <f>VLOOKUP(C69,[1]C3_LMA!$A$98:$C$114,2,FALSE)</f>
        <v>58761</v>
      </c>
      <c r="P69" s="19">
        <v>65506</v>
      </c>
    </row>
    <row r="70" spans="1:16" x14ac:dyDescent="0.3">
      <c r="A70" s="17" t="s">
        <v>39</v>
      </c>
      <c r="B70" s="17"/>
      <c r="C70" s="17" t="s">
        <v>32</v>
      </c>
      <c r="D70" s="17" t="s">
        <v>52</v>
      </c>
      <c r="E70" s="17" t="s">
        <v>40</v>
      </c>
      <c r="F70" s="17" t="s">
        <v>6</v>
      </c>
      <c r="G70" s="17" t="s">
        <v>1</v>
      </c>
      <c r="H70" s="19"/>
      <c r="I70" s="19"/>
      <c r="J70" s="19"/>
      <c r="K70" s="19">
        <v>0</v>
      </c>
      <c r="L70" s="19">
        <v>127338</v>
      </c>
      <c r="M70" s="19">
        <v>131766</v>
      </c>
      <c r="N70" s="19">
        <v>160183</v>
      </c>
      <c r="O70" s="19">
        <f>VLOOKUP(C70,[1]C3_LMA!$A$98:$C$114,2,FALSE)</f>
        <v>275750</v>
      </c>
      <c r="P70" s="19">
        <v>289372</v>
      </c>
    </row>
    <row r="71" spans="1:16" x14ac:dyDescent="0.3">
      <c r="A71" s="17" t="s">
        <v>39</v>
      </c>
      <c r="B71" s="17"/>
      <c r="C71" s="17" t="s">
        <v>33</v>
      </c>
      <c r="D71" s="17" t="s">
        <v>52</v>
      </c>
      <c r="E71" s="17" t="s">
        <v>40</v>
      </c>
      <c r="F71" s="17" t="s">
        <v>6</v>
      </c>
      <c r="G71" s="17" t="s">
        <v>1</v>
      </c>
      <c r="H71" s="19"/>
      <c r="I71" s="19"/>
      <c r="J71" s="19"/>
      <c r="K71" s="19">
        <v>0</v>
      </c>
      <c r="L71" s="19">
        <v>46667</v>
      </c>
      <c r="M71" s="19">
        <v>55233</v>
      </c>
      <c r="N71" s="19">
        <v>49853</v>
      </c>
      <c r="O71" s="19">
        <f>VLOOKUP(C71,[1]C3_LMA!$A$98:$C$114,2,FALSE)</f>
        <v>102638</v>
      </c>
      <c r="P71" s="19">
        <v>101925</v>
      </c>
    </row>
    <row r="72" spans="1:16" x14ac:dyDescent="0.3">
      <c r="A72" s="17" t="s">
        <v>39</v>
      </c>
      <c r="B72" s="17"/>
      <c r="C72" s="17" t="s">
        <v>34</v>
      </c>
      <c r="D72" s="17" t="s">
        <v>52</v>
      </c>
      <c r="E72" s="17" t="s">
        <v>40</v>
      </c>
      <c r="F72" s="17" t="s">
        <v>6</v>
      </c>
      <c r="G72" s="17" t="s">
        <v>1</v>
      </c>
      <c r="H72" s="19"/>
      <c r="I72" s="19"/>
      <c r="J72" s="19"/>
      <c r="K72" s="19">
        <v>0</v>
      </c>
      <c r="L72" s="19">
        <v>14837</v>
      </c>
      <c r="M72" s="19">
        <v>19712</v>
      </c>
      <c r="N72" s="19">
        <v>17966</v>
      </c>
      <c r="O72" s="19">
        <f>VLOOKUP(C72,[1]C3_LMA!$A$98:$C$114,2,FALSE)</f>
        <v>36991</v>
      </c>
      <c r="P72" s="19">
        <v>40718</v>
      </c>
    </row>
    <row r="73" spans="1:16" x14ac:dyDescent="0.3">
      <c r="A73" s="17" t="s">
        <v>39</v>
      </c>
      <c r="B73" s="17"/>
      <c r="C73" s="17" t="s">
        <v>35</v>
      </c>
      <c r="D73" s="17" t="s">
        <v>52</v>
      </c>
      <c r="E73" s="17" t="s">
        <v>40</v>
      </c>
      <c r="F73" s="17" t="s">
        <v>6</v>
      </c>
      <c r="G73" s="17" t="s">
        <v>1</v>
      </c>
      <c r="H73" s="19"/>
      <c r="I73" s="19"/>
      <c r="J73" s="19"/>
      <c r="K73" s="19">
        <v>0</v>
      </c>
      <c r="L73" s="19">
        <v>54931</v>
      </c>
      <c r="M73" s="19">
        <v>60362</v>
      </c>
      <c r="N73" s="19">
        <v>70273</v>
      </c>
      <c r="O73" s="19">
        <f>VLOOKUP(C73,[1]C3_LMA!$A$98:$C$114,2,FALSE)</f>
        <v>127466</v>
      </c>
      <c r="P73" s="19">
        <v>126974</v>
      </c>
    </row>
    <row r="74" spans="1:16" x14ac:dyDescent="0.3">
      <c r="A74" s="17" t="s">
        <v>39</v>
      </c>
      <c r="B74" s="17"/>
      <c r="C74" s="17" t="s">
        <v>36</v>
      </c>
      <c r="D74" s="17" t="s">
        <v>52</v>
      </c>
      <c r="E74" s="17" t="s">
        <v>40</v>
      </c>
      <c r="F74" s="17" t="s">
        <v>6</v>
      </c>
      <c r="G74" s="17" t="s">
        <v>1</v>
      </c>
      <c r="H74" s="19"/>
      <c r="I74" s="19"/>
      <c r="J74" s="19"/>
      <c r="K74" s="19">
        <v>0</v>
      </c>
      <c r="L74" s="19">
        <v>6563</v>
      </c>
      <c r="M74" s="19">
        <v>6901</v>
      </c>
      <c r="N74" s="19">
        <v>5901</v>
      </c>
      <c r="O74" s="19">
        <f>VLOOKUP(C74,[1]C3_LMA!$A$98:$C$114,2,FALSE)</f>
        <v>11530</v>
      </c>
      <c r="P74" s="19">
        <v>13619</v>
      </c>
    </row>
    <row r="75" spans="1:16" x14ac:dyDescent="0.3">
      <c r="A75" s="17" t="s">
        <v>39</v>
      </c>
      <c r="B75" s="17"/>
      <c r="C75" s="17" t="s">
        <v>37</v>
      </c>
      <c r="D75" s="17" t="s">
        <v>52</v>
      </c>
      <c r="E75" s="17" t="s">
        <v>40</v>
      </c>
      <c r="F75" s="17" t="s">
        <v>6</v>
      </c>
      <c r="G75" s="17" t="s">
        <v>1</v>
      </c>
      <c r="H75" s="19"/>
      <c r="I75" s="19"/>
      <c r="J75" s="19"/>
      <c r="K75" s="19">
        <v>0</v>
      </c>
      <c r="L75" s="19">
        <v>11987</v>
      </c>
      <c r="M75" s="19">
        <v>15163</v>
      </c>
      <c r="N75" s="19">
        <v>17157</v>
      </c>
      <c r="O75" s="19">
        <f>VLOOKUP(C75,[1]C3_LMA!$A$98:$C$114,2,FALSE)</f>
        <v>24487</v>
      </c>
      <c r="P75" s="19">
        <v>26778</v>
      </c>
    </row>
    <row r="76" spans="1:16" x14ac:dyDescent="0.3">
      <c r="A76" s="17" t="s">
        <v>39</v>
      </c>
      <c r="B76" s="17"/>
      <c r="C76" s="17" t="s">
        <v>19</v>
      </c>
      <c r="D76" s="17" t="s">
        <v>52</v>
      </c>
      <c r="E76" s="17" t="s">
        <v>40</v>
      </c>
      <c r="F76" s="17" t="s">
        <v>6</v>
      </c>
      <c r="G76" s="17" t="s">
        <v>1</v>
      </c>
      <c r="H76" s="19"/>
      <c r="I76" s="19"/>
      <c r="J76" s="19"/>
      <c r="K76" s="19">
        <v>0</v>
      </c>
      <c r="L76" s="19">
        <v>0</v>
      </c>
      <c r="M76" s="19">
        <v>0</v>
      </c>
      <c r="N76" s="19">
        <v>0</v>
      </c>
      <c r="O76" s="19">
        <f>VLOOKUP(C76,[1]C3_LMA!$A$98:$C$114,2,FALSE)</f>
        <v>0</v>
      </c>
      <c r="P76" s="19">
        <v>0</v>
      </c>
    </row>
    <row r="77" spans="1:16" x14ac:dyDescent="0.3">
      <c r="A77" s="17" t="s">
        <v>39</v>
      </c>
      <c r="B77" s="17"/>
      <c r="C77" s="18" t="s">
        <v>22</v>
      </c>
      <c r="D77" s="18" t="s">
        <v>52</v>
      </c>
      <c r="E77" s="18" t="s">
        <v>40</v>
      </c>
      <c r="F77" s="18" t="s">
        <v>6</v>
      </c>
      <c r="G77" s="18" t="s">
        <v>9</v>
      </c>
      <c r="H77" s="20"/>
      <c r="I77" s="20"/>
      <c r="J77" s="20"/>
      <c r="K77" s="19">
        <v>0</v>
      </c>
      <c r="L77" s="20">
        <v>5612.8520962915727</v>
      </c>
      <c r="M77" s="20">
        <v>5797.5600795147566</v>
      </c>
      <c r="N77" s="20">
        <v>4483.5149923957697</v>
      </c>
      <c r="O77" s="20">
        <f>VLOOKUP(C77,[1]C3_LMA!$A$98:$C$114,3,FALSE)</f>
        <v>4086</v>
      </c>
      <c r="P77" s="20">
        <v>5354</v>
      </c>
    </row>
    <row r="78" spans="1:16" x14ac:dyDescent="0.3">
      <c r="A78" s="17" t="s">
        <v>39</v>
      </c>
      <c r="B78" s="17"/>
      <c r="C78" s="18" t="s">
        <v>23</v>
      </c>
      <c r="D78" s="18" t="s">
        <v>52</v>
      </c>
      <c r="E78" s="18" t="s">
        <v>40</v>
      </c>
      <c r="F78" s="18" t="s">
        <v>6</v>
      </c>
      <c r="G78" s="18" t="s">
        <v>9</v>
      </c>
      <c r="H78" s="20"/>
      <c r="I78" s="20"/>
      <c r="J78" s="20"/>
      <c r="K78" s="19">
        <v>0</v>
      </c>
      <c r="L78" s="20">
        <v>15201.349028615943</v>
      </c>
      <c r="M78" s="20">
        <v>16306.004843701077</v>
      </c>
      <c r="N78" s="20">
        <v>16935.7246352683</v>
      </c>
      <c r="O78" s="20">
        <f>VLOOKUP(C78,[1]C3_LMA!$A$98:$C$114,3,FALSE)</f>
        <v>19869</v>
      </c>
      <c r="P78" s="20">
        <v>22931</v>
      </c>
    </row>
    <row r="79" spans="1:16" x14ac:dyDescent="0.3">
      <c r="A79" s="17" t="s">
        <v>39</v>
      </c>
      <c r="B79" s="17"/>
      <c r="C79" s="18" t="s">
        <v>24</v>
      </c>
      <c r="D79" s="18" t="s">
        <v>52</v>
      </c>
      <c r="E79" s="18" t="s">
        <v>40</v>
      </c>
      <c r="F79" s="18" t="s">
        <v>6</v>
      </c>
      <c r="G79" s="18" t="s">
        <v>9</v>
      </c>
      <c r="H79" s="20"/>
      <c r="I79" s="20"/>
      <c r="J79" s="20"/>
      <c r="K79" s="19">
        <v>0</v>
      </c>
      <c r="L79" s="20">
        <v>45781.611843853832</v>
      </c>
      <c r="M79" s="20">
        <v>50681.659327328467</v>
      </c>
      <c r="N79" s="20">
        <v>49228.724796144903</v>
      </c>
      <c r="O79" s="20">
        <f>VLOOKUP(C79,[1]C3_LMA!$A$98:$C$114,3,FALSE)</f>
        <v>50554</v>
      </c>
      <c r="P79" s="20">
        <v>56568</v>
      </c>
    </row>
    <row r="80" spans="1:16" x14ac:dyDescent="0.3">
      <c r="A80" s="17" t="s">
        <v>39</v>
      </c>
      <c r="B80" s="17"/>
      <c r="C80" s="18" t="s">
        <v>25</v>
      </c>
      <c r="D80" s="18" t="s">
        <v>52</v>
      </c>
      <c r="E80" s="18" t="s">
        <v>40</v>
      </c>
      <c r="F80" s="18" t="s">
        <v>6</v>
      </c>
      <c r="G80" s="18" t="s">
        <v>9</v>
      </c>
      <c r="H80" s="20"/>
      <c r="I80" s="20"/>
      <c r="J80" s="20"/>
      <c r="K80" s="19">
        <v>0</v>
      </c>
      <c r="L80" s="20">
        <v>11543.214056475243</v>
      </c>
      <c r="M80" s="20">
        <v>11368.974198481064</v>
      </c>
      <c r="N80" s="20">
        <v>10648.9102326913</v>
      </c>
      <c r="O80" s="20">
        <f>VLOOKUP(C80,[1]C3_LMA!$A$98:$C$114,3,FALSE)</f>
        <v>11866</v>
      </c>
      <c r="P80" s="20">
        <v>14661</v>
      </c>
    </row>
    <row r="81" spans="1:16" x14ac:dyDescent="0.3">
      <c r="A81" s="17" t="s">
        <v>39</v>
      </c>
      <c r="B81" s="17"/>
      <c r="C81" s="18" t="s">
        <v>26</v>
      </c>
      <c r="D81" s="18" t="s">
        <v>52</v>
      </c>
      <c r="E81" s="18" t="s">
        <v>40</v>
      </c>
      <c r="F81" s="18" t="s">
        <v>6</v>
      </c>
      <c r="G81" s="18" t="s">
        <v>9</v>
      </c>
      <c r="H81" s="20"/>
      <c r="I81" s="20"/>
      <c r="J81" s="20"/>
      <c r="K81" s="19">
        <v>0</v>
      </c>
      <c r="L81" s="20">
        <v>10852.517243553571</v>
      </c>
      <c r="M81" s="20">
        <v>11473.236297175477</v>
      </c>
      <c r="N81" s="20">
        <v>9187.3832793024703</v>
      </c>
      <c r="O81" s="20">
        <f>VLOOKUP(C81,[1]C3_LMA!$A$98:$C$114,3,FALSE)</f>
        <v>9478</v>
      </c>
      <c r="P81" s="20">
        <v>13453</v>
      </c>
    </row>
    <row r="82" spans="1:16" x14ac:dyDescent="0.3">
      <c r="A82" s="17" t="s">
        <v>39</v>
      </c>
      <c r="B82" s="17"/>
      <c r="C82" s="18" t="s">
        <v>27</v>
      </c>
      <c r="D82" s="18" t="s">
        <v>52</v>
      </c>
      <c r="E82" s="18" t="s">
        <v>40</v>
      </c>
      <c r="F82" s="18" t="s">
        <v>6</v>
      </c>
      <c r="G82" s="18" t="s">
        <v>9</v>
      </c>
      <c r="H82" s="20"/>
      <c r="I82" s="20"/>
      <c r="J82" s="20"/>
      <c r="K82" s="19">
        <v>0</v>
      </c>
      <c r="L82" s="20">
        <v>48545.903881625316</v>
      </c>
      <c r="M82" s="20">
        <v>49553.866485112827</v>
      </c>
      <c r="N82" s="20">
        <v>44380.952316904601</v>
      </c>
      <c r="O82" s="20">
        <f>VLOOKUP(C82,[1]C3_LMA!$A$98:$C$114,3,FALSE)</f>
        <v>45945</v>
      </c>
      <c r="P82" s="20">
        <v>54655</v>
      </c>
    </row>
    <row r="83" spans="1:16" x14ac:dyDescent="0.3">
      <c r="A83" s="17" t="s">
        <v>39</v>
      </c>
      <c r="B83" s="17"/>
      <c r="C83" s="18" t="s">
        <v>28</v>
      </c>
      <c r="D83" s="18" t="s">
        <v>52</v>
      </c>
      <c r="E83" s="18" t="s">
        <v>40</v>
      </c>
      <c r="F83" s="18" t="s">
        <v>6</v>
      </c>
      <c r="G83" s="18" t="s">
        <v>9</v>
      </c>
      <c r="H83" s="20"/>
      <c r="I83" s="20"/>
      <c r="J83" s="20"/>
      <c r="K83" s="19">
        <v>0</v>
      </c>
      <c r="L83" s="20">
        <v>578805.43401444482</v>
      </c>
      <c r="M83" s="20">
        <v>631973.69763421756</v>
      </c>
      <c r="N83" s="20">
        <v>564362.26229256694</v>
      </c>
      <c r="O83" s="20">
        <f>VLOOKUP(C83,[1]C3_LMA!$A$98:$C$114,3,FALSE)</f>
        <v>527540</v>
      </c>
      <c r="P83" s="20">
        <v>534799</v>
      </c>
    </row>
    <row r="84" spans="1:16" x14ac:dyDescent="0.3">
      <c r="A84" s="17" t="s">
        <v>39</v>
      </c>
      <c r="B84" s="17"/>
      <c r="C84" s="18" t="s">
        <v>29</v>
      </c>
      <c r="D84" s="18" t="s">
        <v>52</v>
      </c>
      <c r="E84" s="18" t="s">
        <v>40</v>
      </c>
      <c r="F84" s="18" t="s">
        <v>6</v>
      </c>
      <c r="G84" s="18" t="s">
        <v>9</v>
      </c>
      <c r="H84" s="20"/>
      <c r="I84" s="20"/>
      <c r="J84" s="20"/>
      <c r="K84" s="19">
        <v>0</v>
      </c>
      <c r="L84" s="20">
        <v>26336.766056111286</v>
      </c>
      <c r="M84" s="20">
        <v>27404.778673734647</v>
      </c>
      <c r="N84" s="20">
        <v>29927.574999392</v>
      </c>
      <c r="O84" s="20">
        <f>VLOOKUP(C84,[1]C3_LMA!$A$98:$C$114,3,FALSE)</f>
        <v>26685</v>
      </c>
      <c r="P84" s="20">
        <v>30800</v>
      </c>
    </row>
    <row r="85" spans="1:16" x14ac:dyDescent="0.3">
      <c r="A85" s="17" t="s">
        <v>39</v>
      </c>
      <c r="B85" s="17"/>
      <c r="C85" s="18" t="s">
        <v>30</v>
      </c>
      <c r="D85" s="18" t="s">
        <v>52</v>
      </c>
      <c r="E85" s="18" t="s">
        <v>40</v>
      </c>
      <c r="F85" s="18" t="s">
        <v>6</v>
      </c>
      <c r="G85" s="18" t="s">
        <v>9</v>
      </c>
      <c r="H85" s="20"/>
      <c r="I85" s="20"/>
      <c r="J85" s="20"/>
      <c r="K85" s="19">
        <v>0</v>
      </c>
      <c r="L85" s="20">
        <v>22532.666833745308</v>
      </c>
      <c r="M85" s="20">
        <v>24381.17781159663</v>
      </c>
      <c r="N85" s="20">
        <v>19537.992113302102</v>
      </c>
      <c r="O85" s="20">
        <f>VLOOKUP(C85,[1]C3_LMA!$A$98:$C$114,3,FALSE)</f>
        <v>22217</v>
      </c>
      <c r="P85" s="20">
        <v>27608</v>
      </c>
    </row>
    <row r="86" spans="1:16" x14ac:dyDescent="0.3">
      <c r="A86" s="17" t="s">
        <v>39</v>
      </c>
      <c r="B86" s="17"/>
      <c r="C86" s="18" t="s">
        <v>31</v>
      </c>
      <c r="D86" s="18" t="s">
        <v>52</v>
      </c>
      <c r="E86" s="18" t="s">
        <v>40</v>
      </c>
      <c r="F86" s="18" t="s">
        <v>6</v>
      </c>
      <c r="G86" s="18" t="s">
        <v>9</v>
      </c>
      <c r="H86" s="20"/>
      <c r="I86" s="20"/>
      <c r="J86" s="20"/>
      <c r="K86" s="19">
        <v>0</v>
      </c>
      <c r="L86" s="20">
        <v>2795.8925455522094</v>
      </c>
      <c r="M86" s="20">
        <v>10568.652454981686</v>
      </c>
      <c r="N86" s="20">
        <v>8180.05393296681</v>
      </c>
      <c r="O86" s="20">
        <f>VLOOKUP(C86,[1]C3_LMA!$A$98:$C$114,3,FALSE)</f>
        <v>10504</v>
      </c>
      <c r="P86" s="20">
        <v>13244</v>
      </c>
    </row>
    <row r="87" spans="1:16" x14ac:dyDescent="0.3">
      <c r="A87" s="17" t="s">
        <v>39</v>
      </c>
      <c r="B87" s="17"/>
      <c r="C87" s="18" t="s">
        <v>32</v>
      </c>
      <c r="D87" s="18" t="s">
        <v>52</v>
      </c>
      <c r="E87" s="18" t="s">
        <v>40</v>
      </c>
      <c r="F87" s="18" t="s">
        <v>6</v>
      </c>
      <c r="G87" s="18" t="s">
        <v>9</v>
      </c>
      <c r="H87" s="20"/>
      <c r="I87" s="20"/>
      <c r="J87" s="20"/>
      <c r="K87" s="19">
        <v>0</v>
      </c>
      <c r="L87" s="20">
        <v>54777.223058768315</v>
      </c>
      <c r="M87" s="20">
        <v>51308.700399758251</v>
      </c>
      <c r="N87" s="20">
        <v>43448.573070742699</v>
      </c>
      <c r="O87" s="20">
        <f>VLOOKUP(C87,[1]C3_LMA!$A$98:$C$114,3,FALSE)</f>
        <v>45790</v>
      </c>
      <c r="P87" s="20">
        <v>52415</v>
      </c>
    </row>
    <row r="88" spans="1:16" x14ac:dyDescent="0.3">
      <c r="A88" s="17" t="s">
        <v>39</v>
      </c>
      <c r="B88" s="17"/>
      <c r="C88" s="18" t="s">
        <v>33</v>
      </c>
      <c r="D88" s="18" t="s">
        <v>52</v>
      </c>
      <c r="E88" s="18" t="s">
        <v>40</v>
      </c>
      <c r="F88" s="18" t="s">
        <v>6</v>
      </c>
      <c r="G88" s="18" t="s">
        <v>9</v>
      </c>
      <c r="H88" s="20"/>
      <c r="I88" s="20"/>
      <c r="J88" s="20"/>
      <c r="K88" s="19">
        <v>0</v>
      </c>
      <c r="L88" s="20">
        <v>21665.910048902428</v>
      </c>
      <c r="M88" s="20">
        <v>23290.096975963534</v>
      </c>
      <c r="N88" s="20">
        <v>16024.331417155099</v>
      </c>
      <c r="O88" s="20">
        <f>VLOOKUP(C88,[1]C3_LMA!$A$98:$C$114,3,FALSE)</f>
        <v>17159</v>
      </c>
      <c r="P88" s="20">
        <v>22968</v>
      </c>
    </row>
    <row r="89" spans="1:16" x14ac:dyDescent="0.3">
      <c r="A89" s="17" t="s">
        <v>39</v>
      </c>
      <c r="B89" s="17"/>
      <c r="C89" s="18" t="s">
        <v>34</v>
      </c>
      <c r="D89" s="18" t="s">
        <v>52</v>
      </c>
      <c r="E89" s="18" t="s">
        <v>40</v>
      </c>
      <c r="F89" s="18" t="s">
        <v>6</v>
      </c>
      <c r="G89" s="18" t="s">
        <v>9</v>
      </c>
      <c r="H89" s="20"/>
      <c r="I89" s="20"/>
      <c r="J89" s="20"/>
      <c r="K89" s="19">
        <v>0</v>
      </c>
      <c r="L89" s="20">
        <v>9696.8415304297305</v>
      </c>
      <c r="M89" s="20">
        <v>9699.3121391071327</v>
      </c>
      <c r="N89" s="20">
        <v>6691.5449435154596</v>
      </c>
      <c r="O89" s="20">
        <f>VLOOKUP(C89,[1]C3_LMA!$A$98:$C$114,3,FALSE)</f>
        <v>7220</v>
      </c>
      <c r="P89" s="20">
        <v>9849</v>
      </c>
    </row>
    <row r="90" spans="1:16" x14ac:dyDescent="0.3">
      <c r="A90" s="17" t="s">
        <v>39</v>
      </c>
      <c r="B90" s="17"/>
      <c r="C90" s="18" t="s">
        <v>35</v>
      </c>
      <c r="D90" s="18" t="s">
        <v>52</v>
      </c>
      <c r="E90" s="18" t="s">
        <v>40</v>
      </c>
      <c r="F90" s="18" t="s">
        <v>6</v>
      </c>
      <c r="G90" s="18" t="s">
        <v>9</v>
      </c>
      <c r="H90" s="20"/>
      <c r="I90" s="20"/>
      <c r="J90" s="20"/>
      <c r="K90" s="19">
        <v>0</v>
      </c>
      <c r="L90" s="20">
        <v>29144.696890341871</v>
      </c>
      <c r="M90" s="20">
        <v>30707.390785899966</v>
      </c>
      <c r="N90" s="20">
        <v>24436.7306606606</v>
      </c>
      <c r="O90" s="20">
        <f>VLOOKUP(C90,[1]C3_LMA!$A$98:$C$114,3,FALSE)</f>
        <v>30025</v>
      </c>
      <c r="P90" s="20">
        <v>33455</v>
      </c>
    </row>
    <row r="91" spans="1:16" x14ac:dyDescent="0.3">
      <c r="A91" s="17" t="s">
        <v>39</v>
      </c>
      <c r="B91" s="17"/>
      <c r="C91" s="18" t="s">
        <v>36</v>
      </c>
      <c r="D91" s="18" t="s">
        <v>52</v>
      </c>
      <c r="E91" s="18" t="s">
        <v>40</v>
      </c>
      <c r="F91" s="18" t="s">
        <v>6</v>
      </c>
      <c r="G91" s="18" t="s">
        <v>9</v>
      </c>
      <c r="H91" s="20"/>
      <c r="I91" s="20"/>
      <c r="J91" s="20"/>
      <c r="K91" s="19">
        <v>0</v>
      </c>
      <c r="L91" s="20">
        <v>3077.2875434091866</v>
      </c>
      <c r="M91" s="20">
        <v>2815.0766647491864</v>
      </c>
      <c r="N91" s="20">
        <v>1989.1756586122301</v>
      </c>
      <c r="O91" s="20">
        <f>VLOOKUP(C91,[1]C3_LMA!$A$98:$C$114,3,FALSE)</f>
        <v>2297</v>
      </c>
      <c r="P91" s="20">
        <v>3083</v>
      </c>
    </row>
    <row r="92" spans="1:16" x14ac:dyDescent="0.3">
      <c r="A92" s="17" t="s">
        <v>39</v>
      </c>
      <c r="B92" s="17"/>
      <c r="C92" s="18" t="s">
        <v>37</v>
      </c>
      <c r="D92" s="18" t="s">
        <v>52</v>
      </c>
      <c r="E92" s="18" t="s">
        <v>40</v>
      </c>
      <c r="F92" s="18" t="s">
        <v>6</v>
      </c>
      <c r="G92" s="18" t="s">
        <v>9</v>
      </c>
      <c r="H92" s="20"/>
      <c r="I92" s="20"/>
      <c r="J92" s="20"/>
      <c r="K92" s="19">
        <v>0</v>
      </c>
      <c r="L92" s="20">
        <v>9773.5856207543602</v>
      </c>
      <c r="M92" s="20">
        <v>11169.260882672046</v>
      </c>
      <c r="N92" s="20">
        <v>9602.6068342652306</v>
      </c>
      <c r="O92" s="20">
        <f>VLOOKUP(C92,[1]C3_LMA!$A$98:$C$114,3,FALSE)</f>
        <v>8639</v>
      </c>
      <c r="P92" s="20">
        <v>9671</v>
      </c>
    </row>
    <row r="93" spans="1:16" x14ac:dyDescent="0.3">
      <c r="A93" s="17" t="s">
        <v>39</v>
      </c>
      <c r="B93" s="17"/>
      <c r="C93" s="18" t="s">
        <v>19</v>
      </c>
      <c r="D93" s="18" t="s">
        <v>52</v>
      </c>
      <c r="E93" s="18" t="s">
        <v>40</v>
      </c>
      <c r="F93" s="18" t="s">
        <v>6</v>
      </c>
      <c r="G93" s="18" t="s">
        <v>9</v>
      </c>
      <c r="H93" s="20"/>
      <c r="I93" s="20"/>
      <c r="J93" s="20"/>
      <c r="K93" s="19">
        <v>0</v>
      </c>
      <c r="L93" s="20">
        <v>7221.4684209392108</v>
      </c>
      <c r="M93" s="20">
        <v>903.11536193049017</v>
      </c>
      <c r="N93" s="20">
        <v>1425.55090530538</v>
      </c>
      <c r="O93" s="20">
        <f>VLOOKUP(C93,[1]C3_LMA!$A$98:$C$114,3,FALSE)</f>
        <v>1227</v>
      </c>
      <c r="P93" s="20">
        <v>993</v>
      </c>
    </row>
    <row r="94" spans="1:16" x14ac:dyDescent="0.3">
      <c r="A94" s="17" t="s">
        <v>39</v>
      </c>
      <c r="B94" s="17"/>
      <c r="C94" s="17" t="s">
        <v>22</v>
      </c>
      <c r="D94" s="17" t="s">
        <v>52</v>
      </c>
      <c r="E94" s="17" t="s">
        <v>40</v>
      </c>
      <c r="F94" s="17" t="s">
        <v>7</v>
      </c>
      <c r="G94" s="17" t="s">
        <v>1</v>
      </c>
      <c r="H94" s="19"/>
      <c r="I94" s="19"/>
      <c r="J94" s="19"/>
      <c r="K94" s="19">
        <v>0</v>
      </c>
      <c r="L94" s="19">
        <v>20706</v>
      </c>
      <c r="M94" s="19">
        <v>18498</v>
      </c>
      <c r="N94" s="19">
        <v>11394</v>
      </c>
      <c r="O94" s="19">
        <f>VLOOKUP(C94,[1]C3_LMA!$A$74:$C$90,2,FALSE)</f>
        <v>21382</v>
      </c>
      <c r="P94" s="21">
        <v>29966</v>
      </c>
    </row>
    <row r="95" spans="1:16" x14ac:dyDescent="0.3">
      <c r="A95" s="17" t="s">
        <v>39</v>
      </c>
      <c r="B95" s="17"/>
      <c r="C95" s="17" t="s">
        <v>23</v>
      </c>
      <c r="D95" s="17" t="s">
        <v>52</v>
      </c>
      <c r="E95" s="17" t="s">
        <v>40</v>
      </c>
      <c r="F95" s="17" t="s">
        <v>7</v>
      </c>
      <c r="G95" s="17" t="s">
        <v>1</v>
      </c>
      <c r="H95" s="19"/>
      <c r="I95" s="19"/>
      <c r="J95" s="19"/>
      <c r="K95" s="19">
        <v>0</v>
      </c>
      <c r="L95" s="19">
        <v>40554</v>
      </c>
      <c r="M95" s="19">
        <v>48637</v>
      </c>
      <c r="N95" s="19">
        <v>33807</v>
      </c>
      <c r="O95" s="19">
        <f>VLOOKUP(C95,[1]C3_LMA!$A$74:$C$90,2,FALSE)</f>
        <v>51068</v>
      </c>
      <c r="P95" s="21">
        <v>62886</v>
      </c>
    </row>
    <row r="96" spans="1:16" x14ac:dyDescent="0.3">
      <c r="A96" s="17" t="s">
        <v>39</v>
      </c>
      <c r="B96" s="17"/>
      <c r="C96" s="17" t="s">
        <v>24</v>
      </c>
      <c r="D96" s="17" t="s">
        <v>52</v>
      </c>
      <c r="E96" s="17" t="s">
        <v>40</v>
      </c>
      <c r="F96" s="17" t="s">
        <v>7</v>
      </c>
      <c r="G96" s="17" t="s">
        <v>1</v>
      </c>
      <c r="H96" s="19"/>
      <c r="I96" s="19"/>
      <c r="J96" s="19"/>
      <c r="K96" s="19">
        <v>0</v>
      </c>
      <c r="L96" s="19">
        <v>55969</v>
      </c>
      <c r="M96" s="19">
        <v>64570</v>
      </c>
      <c r="N96" s="19">
        <v>58530</v>
      </c>
      <c r="O96" s="19">
        <f>VLOOKUP(C96,[1]C3_LMA!$A$74:$C$90,2,FALSE)</f>
        <v>99501</v>
      </c>
      <c r="P96" s="21">
        <v>120415</v>
      </c>
    </row>
    <row r="97" spans="1:16" x14ac:dyDescent="0.3">
      <c r="A97" s="17" t="s">
        <v>39</v>
      </c>
      <c r="B97" s="17"/>
      <c r="C97" s="17" t="s">
        <v>25</v>
      </c>
      <c r="D97" s="17" t="s">
        <v>52</v>
      </c>
      <c r="E97" s="17" t="s">
        <v>40</v>
      </c>
      <c r="F97" s="17" t="s">
        <v>7</v>
      </c>
      <c r="G97" s="17" t="s">
        <v>1</v>
      </c>
      <c r="H97" s="19"/>
      <c r="I97" s="19"/>
      <c r="J97" s="19"/>
      <c r="K97" s="19">
        <v>0</v>
      </c>
      <c r="L97" s="19">
        <v>32137</v>
      </c>
      <c r="M97" s="19">
        <v>39197</v>
      </c>
      <c r="N97" s="19">
        <v>26768</v>
      </c>
      <c r="O97" s="19">
        <f>VLOOKUP(C97,[1]C3_LMA!$A$74:$C$90,2,FALSE)</f>
        <v>41671</v>
      </c>
      <c r="P97" s="21">
        <v>63125</v>
      </c>
    </row>
    <row r="98" spans="1:16" x14ac:dyDescent="0.3">
      <c r="A98" s="17" t="s">
        <v>39</v>
      </c>
      <c r="B98" s="17"/>
      <c r="C98" s="17" t="s">
        <v>26</v>
      </c>
      <c r="D98" s="17" t="s">
        <v>52</v>
      </c>
      <c r="E98" s="17" t="s">
        <v>40</v>
      </c>
      <c r="F98" s="17" t="s">
        <v>7</v>
      </c>
      <c r="G98" s="17" t="s">
        <v>1</v>
      </c>
      <c r="H98" s="19"/>
      <c r="I98" s="19"/>
      <c r="J98" s="19"/>
      <c r="K98" s="19">
        <v>0</v>
      </c>
      <c r="L98" s="19">
        <v>73632</v>
      </c>
      <c r="M98" s="19">
        <v>80430</v>
      </c>
      <c r="N98" s="19">
        <v>58472</v>
      </c>
      <c r="O98" s="19">
        <f>VLOOKUP(C98,[1]C3_LMA!$A$74:$C$90,2,FALSE)</f>
        <v>99746</v>
      </c>
      <c r="P98" s="21">
        <v>147449</v>
      </c>
    </row>
    <row r="99" spans="1:16" x14ac:dyDescent="0.3">
      <c r="A99" s="17" t="s">
        <v>39</v>
      </c>
      <c r="B99" s="17"/>
      <c r="C99" s="17" t="s">
        <v>27</v>
      </c>
      <c r="D99" s="17" t="s">
        <v>52</v>
      </c>
      <c r="E99" s="17" t="s">
        <v>40</v>
      </c>
      <c r="F99" s="17" t="s">
        <v>7</v>
      </c>
      <c r="G99" s="17" t="s">
        <v>1</v>
      </c>
      <c r="H99" s="19"/>
      <c r="I99" s="19"/>
      <c r="J99" s="19"/>
      <c r="K99" s="19">
        <v>0</v>
      </c>
      <c r="L99" s="19">
        <v>152906</v>
      </c>
      <c r="M99" s="19">
        <v>225706</v>
      </c>
      <c r="N99" s="19">
        <v>190356</v>
      </c>
      <c r="O99" s="19">
        <f>VLOOKUP(C99,[1]C3_LMA!$A$74:$C$90,2,FALSE)</f>
        <v>313544</v>
      </c>
      <c r="P99" s="21">
        <v>408534</v>
      </c>
    </row>
    <row r="100" spans="1:16" x14ac:dyDescent="0.3">
      <c r="A100" s="17" t="s">
        <v>39</v>
      </c>
      <c r="B100" s="17"/>
      <c r="C100" s="17" t="s">
        <v>28</v>
      </c>
      <c r="D100" s="17" t="s">
        <v>52</v>
      </c>
      <c r="E100" s="17" t="s">
        <v>40</v>
      </c>
      <c r="F100" s="17" t="s">
        <v>7</v>
      </c>
      <c r="G100" s="17" t="s">
        <v>1</v>
      </c>
      <c r="H100" s="19"/>
      <c r="I100" s="19"/>
      <c r="J100" s="19"/>
      <c r="K100" s="19">
        <v>0</v>
      </c>
      <c r="L100" s="19">
        <v>1481521</v>
      </c>
      <c r="M100" s="19">
        <v>1469528</v>
      </c>
      <c r="N100" s="19">
        <v>1433002</v>
      </c>
      <c r="O100" s="19">
        <f>VLOOKUP(C100,[1]C3_LMA!$A$74:$C$90,2,FALSE)</f>
        <v>1814224</v>
      </c>
      <c r="P100" s="21">
        <v>1884383</v>
      </c>
    </row>
    <row r="101" spans="1:16" x14ac:dyDescent="0.3">
      <c r="A101" s="17" t="s">
        <v>39</v>
      </c>
      <c r="B101" s="17"/>
      <c r="C101" s="17" t="s">
        <v>29</v>
      </c>
      <c r="D101" s="17" t="s">
        <v>52</v>
      </c>
      <c r="E101" s="17" t="s">
        <v>40</v>
      </c>
      <c r="F101" s="17" t="s">
        <v>7</v>
      </c>
      <c r="G101" s="17" t="s">
        <v>1</v>
      </c>
      <c r="H101" s="19"/>
      <c r="I101" s="19"/>
      <c r="J101" s="19"/>
      <c r="K101" s="19">
        <v>0</v>
      </c>
      <c r="L101" s="19">
        <v>107940</v>
      </c>
      <c r="M101" s="19">
        <v>115679</v>
      </c>
      <c r="N101" s="19">
        <v>105847</v>
      </c>
      <c r="O101" s="19">
        <f>VLOOKUP(C101,[1]C3_LMA!$A$74:$C$90,2,FALSE)</f>
        <v>153497</v>
      </c>
      <c r="P101" s="21">
        <v>188090</v>
      </c>
    </row>
    <row r="102" spans="1:16" x14ac:dyDescent="0.3">
      <c r="A102" s="17" t="s">
        <v>39</v>
      </c>
      <c r="B102" s="17"/>
      <c r="C102" s="17" t="s">
        <v>30</v>
      </c>
      <c r="D102" s="17" t="s">
        <v>52</v>
      </c>
      <c r="E102" s="17" t="s">
        <v>40</v>
      </c>
      <c r="F102" s="17" t="s">
        <v>7</v>
      </c>
      <c r="G102" s="17" t="s">
        <v>1</v>
      </c>
      <c r="H102" s="19"/>
      <c r="I102" s="19"/>
      <c r="J102" s="19"/>
      <c r="K102" s="19">
        <v>0</v>
      </c>
      <c r="L102" s="19">
        <v>111796</v>
      </c>
      <c r="M102" s="19">
        <v>136446</v>
      </c>
      <c r="N102" s="19">
        <v>111110</v>
      </c>
      <c r="O102" s="19">
        <f>VLOOKUP(C102,[1]C3_LMA!$A$74:$C$90,2,FALSE)</f>
        <v>183895</v>
      </c>
      <c r="P102" s="21">
        <v>225104</v>
      </c>
    </row>
    <row r="103" spans="1:16" x14ac:dyDescent="0.3">
      <c r="A103" s="17" t="s">
        <v>39</v>
      </c>
      <c r="B103" s="17"/>
      <c r="C103" s="17" t="s">
        <v>31</v>
      </c>
      <c r="D103" s="17" t="s">
        <v>52</v>
      </c>
      <c r="E103" s="17" t="s">
        <v>40</v>
      </c>
      <c r="F103" s="17" t="s">
        <v>7</v>
      </c>
      <c r="G103" s="17" t="s">
        <v>1</v>
      </c>
      <c r="H103" s="19"/>
      <c r="I103" s="19"/>
      <c r="J103" s="19"/>
      <c r="K103" s="19">
        <v>0</v>
      </c>
      <c r="L103" s="19">
        <v>44763</v>
      </c>
      <c r="M103" s="19">
        <v>49775</v>
      </c>
      <c r="N103" s="19">
        <v>42182</v>
      </c>
      <c r="O103" s="19">
        <f>VLOOKUP(C103,[1]C3_LMA!$A$74:$C$90,2,FALSE)</f>
        <v>71616</v>
      </c>
      <c r="P103" s="21">
        <v>100135</v>
      </c>
    </row>
    <row r="104" spans="1:16" x14ac:dyDescent="0.3">
      <c r="A104" s="17" t="s">
        <v>39</v>
      </c>
      <c r="B104" s="17"/>
      <c r="C104" s="17" t="s">
        <v>32</v>
      </c>
      <c r="D104" s="17" t="s">
        <v>52</v>
      </c>
      <c r="E104" s="17" t="s">
        <v>40</v>
      </c>
      <c r="F104" s="17" t="s">
        <v>7</v>
      </c>
      <c r="G104" s="17" t="s">
        <v>1</v>
      </c>
      <c r="H104" s="19"/>
      <c r="I104" s="19"/>
      <c r="J104" s="19"/>
      <c r="K104" s="19">
        <v>0</v>
      </c>
      <c r="L104" s="19">
        <v>214222</v>
      </c>
      <c r="M104" s="19">
        <v>204913</v>
      </c>
      <c r="N104" s="19">
        <v>170937</v>
      </c>
      <c r="O104" s="19">
        <f>VLOOKUP(C104,[1]C3_LMA!$A$74:$C$90,2,FALSE)</f>
        <v>265434</v>
      </c>
      <c r="P104" s="21">
        <v>380142</v>
      </c>
    </row>
    <row r="105" spans="1:16" x14ac:dyDescent="0.3">
      <c r="A105" s="17" t="s">
        <v>39</v>
      </c>
      <c r="B105" s="17"/>
      <c r="C105" s="17" t="s">
        <v>33</v>
      </c>
      <c r="D105" s="17" t="s">
        <v>52</v>
      </c>
      <c r="E105" s="17" t="s">
        <v>40</v>
      </c>
      <c r="F105" s="17" t="s">
        <v>7</v>
      </c>
      <c r="G105" s="17" t="s">
        <v>1</v>
      </c>
      <c r="H105" s="19"/>
      <c r="I105" s="19"/>
      <c r="J105" s="19"/>
      <c r="K105" s="19">
        <v>0</v>
      </c>
      <c r="L105" s="19">
        <v>97623</v>
      </c>
      <c r="M105" s="19">
        <v>112206</v>
      </c>
      <c r="N105" s="19">
        <v>63995</v>
      </c>
      <c r="O105" s="19">
        <f>VLOOKUP(C105,[1]C3_LMA!$A$74:$C$90,2,FALSE)</f>
        <v>141707</v>
      </c>
      <c r="P105" s="21">
        <v>182580</v>
      </c>
    </row>
    <row r="106" spans="1:16" x14ac:dyDescent="0.3">
      <c r="A106" s="17" t="s">
        <v>39</v>
      </c>
      <c r="B106" s="17"/>
      <c r="C106" s="17" t="s">
        <v>34</v>
      </c>
      <c r="D106" s="17" t="s">
        <v>52</v>
      </c>
      <c r="E106" s="17" t="s">
        <v>40</v>
      </c>
      <c r="F106" s="17" t="s">
        <v>7</v>
      </c>
      <c r="G106" s="17" t="s">
        <v>1</v>
      </c>
      <c r="H106" s="19"/>
      <c r="I106" s="19"/>
      <c r="J106" s="19"/>
      <c r="K106" s="19">
        <v>0</v>
      </c>
      <c r="L106" s="19">
        <v>28720</v>
      </c>
      <c r="M106" s="19">
        <v>35116</v>
      </c>
      <c r="N106" s="19">
        <v>22030</v>
      </c>
      <c r="O106" s="19">
        <f>VLOOKUP(C106,[1]C3_LMA!$A$74:$C$90,2,FALSE)</f>
        <v>45164</v>
      </c>
      <c r="P106" s="21">
        <v>73007</v>
      </c>
    </row>
    <row r="107" spans="1:16" x14ac:dyDescent="0.3">
      <c r="A107" s="17" t="s">
        <v>39</v>
      </c>
      <c r="B107" s="17"/>
      <c r="C107" s="17" t="s">
        <v>35</v>
      </c>
      <c r="D107" s="17" t="s">
        <v>52</v>
      </c>
      <c r="E107" s="17" t="s">
        <v>40</v>
      </c>
      <c r="F107" s="17" t="s">
        <v>7</v>
      </c>
      <c r="G107" s="17" t="s">
        <v>1</v>
      </c>
      <c r="H107" s="19"/>
      <c r="I107" s="19"/>
      <c r="J107" s="19"/>
      <c r="K107" s="19">
        <v>0</v>
      </c>
      <c r="L107" s="19">
        <v>106396</v>
      </c>
      <c r="M107" s="19">
        <v>114495</v>
      </c>
      <c r="N107" s="19">
        <v>90263</v>
      </c>
      <c r="O107" s="19">
        <f>VLOOKUP(C107,[1]C3_LMA!$A$74:$C$90,2,FALSE)</f>
        <v>162064</v>
      </c>
      <c r="P107" s="21">
        <v>214702</v>
      </c>
    </row>
    <row r="108" spans="1:16" x14ac:dyDescent="0.3">
      <c r="A108" s="17" t="s">
        <v>39</v>
      </c>
      <c r="B108" s="17"/>
      <c r="C108" s="17" t="s">
        <v>36</v>
      </c>
      <c r="D108" s="17" t="s">
        <v>52</v>
      </c>
      <c r="E108" s="17" t="s">
        <v>40</v>
      </c>
      <c r="F108" s="17" t="s">
        <v>7</v>
      </c>
      <c r="G108" s="17" t="s">
        <v>1</v>
      </c>
      <c r="H108" s="19"/>
      <c r="I108" s="19"/>
      <c r="J108" s="19"/>
      <c r="K108" s="19">
        <v>0</v>
      </c>
      <c r="L108" s="19">
        <v>14851</v>
      </c>
      <c r="M108" s="19">
        <v>16596</v>
      </c>
      <c r="N108" s="19">
        <v>10131</v>
      </c>
      <c r="O108" s="19">
        <f>VLOOKUP(C108,[1]C3_LMA!$A$74:$C$90,2,FALSE)</f>
        <v>20100</v>
      </c>
      <c r="P108" s="21">
        <v>30891</v>
      </c>
    </row>
    <row r="109" spans="1:16" x14ac:dyDescent="0.3">
      <c r="A109" s="17" t="s">
        <v>39</v>
      </c>
      <c r="B109" s="17"/>
      <c r="C109" s="17" t="s">
        <v>37</v>
      </c>
      <c r="D109" s="17" t="s">
        <v>52</v>
      </c>
      <c r="E109" s="17" t="s">
        <v>40</v>
      </c>
      <c r="F109" s="17" t="s">
        <v>7</v>
      </c>
      <c r="G109" s="17" t="s">
        <v>1</v>
      </c>
      <c r="H109" s="19"/>
      <c r="I109" s="19"/>
      <c r="J109" s="19"/>
      <c r="K109" s="19">
        <v>0</v>
      </c>
      <c r="L109" s="19">
        <v>23820</v>
      </c>
      <c r="M109" s="19">
        <v>28737</v>
      </c>
      <c r="N109" s="19">
        <v>25351</v>
      </c>
      <c r="O109" s="19">
        <f>VLOOKUP(C109,[1]C3_LMA!$A$74:$C$90,2,FALSE)</f>
        <v>36848</v>
      </c>
      <c r="P109" s="21">
        <v>44601</v>
      </c>
    </row>
    <row r="110" spans="1:16" x14ac:dyDescent="0.3">
      <c r="A110" s="17" t="s">
        <v>39</v>
      </c>
      <c r="B110" s="17"/>
      <c r="C110" s="17" t="s">
        <v>19</v>
      </c>
      <c r="D110" s="17" t="s">
        <v>52</v>
      </c>
      <c r="E110" s="17" t="s">
        <v>40</v>
      </c>
      <c r="F110" s="17" t="s">
        <v>7</v>
      </c>
      <c r="G110" s="17" t="s">
        <v>1</v>
      </c>
      <c r="H110" s="19"/>
      <c r="I110" s="19"/>
      <c r="J110" s="19"/>
      <c r="K110" s="19">
        <v>0</v>
      </c>
      <c r="L110" s="19">
        <v>0</v>
      </c>
      <c r="M110" s="19">
        <v>0</v>
      </c>
      <c r="N110" s="19">
        <v>0</v>
      </c>
      <c r="O110" s="19">
        <f>VLOOKUP(C110,[1]C3_LMA!$A$74:$C$90,2,FALSE)</f>
        <v>0</v>
      </c>
      <c r="P110" s="21">
        <v>0</v>
      </c>
    </row>
    <row r="111" spans="1:16" x14ac:dyDescent="0.3">
      <c r="A111" s="17" t="s">
        <v>39</v>
      </c>
      <c r="B111" s="17"/>
      <c r="C111" s="18" t="s">
        <v>22</v>
      </c>
      <c r="D111" s="18" t="s">
        <v>52</v>
      </c>
      <c r="E111" s="18" t="s">
        <v>40</v>
      </c>
      <c r="F111" s="18" t="s">
        <v>7</v>
      </c>
      <c r="G111" s="18" t="s">
        <v>9</v>
      </c>
      <c r="H111" s="20"/>
      <c r="I111" s="20"/>
      <c r="J111" s="20"/>
      <c r="K111" s="19">
        <v>0</v>
      </c>
      <c r="L111" s="20">
        <v>7114.6286089186469</v>
      </c>
      <c r="M111" s="20">
        <v>7213.175053337508</v>
      </c>
      <c r="N111" s="20">
        <v>4017.3253693148299</v>
      </c>
      <c r="O111" s="20">
        <f>VLOOKUP(C94,[1]C3_LMA!$A$74:$C$90,3,FALSE)</f>
        <v>4586</v>
      </c>
      <c r="P111" s="20">
        <v>6533</v>
      </c>
    </row>
    <row r="112" spans="1:16" x14ac:dyDescent="0.3">
      <c r="A112" s="17" t="s">
        <v>39</v>
      </c>
      <c r="B112" s="17"/>
      <c r="C112" s="18" t="s">
        <v>23</v>
      </c>
      <c r="D112" s="18" t="s">
        <v>52</v>
      </c>
      <c r="E112" s="18" t="s">
        <v>40</v>
      </c>
      <c r="F112" s="18" t="s">
        <v>7</v>
      </c>
      <c r="G112" s="18" t="s">
        <v>9</v>
      </c>
      <c r="H112" s="20"/>
      <c r="I112" s="20"/>
      <c r="J112" s="20"/>
      <c r="K112" s="19">
        <v>0</v>
      </c>
      <c r="L112" s="20">
        <v>12045.812608797329</v>
      </c>
      <c r="M112" s="20">
        <v>12496.767040696701</v>
      </c>
      <c r="N112" s="20">
        <v>8683.7186061346401</v>
      </c>
      <c r="O112" s="20">
        <f>VLOOKUP(C95,[1]C3_LMA!$A$74:$C$90,3,FALSE)</f>
        <v>10684</v>
      </c>
      <c r="P112" s="20">
        <v>14095</v>
      </c>
    </row>
    <row r="113" spans="1:17" x14ac:dyDescent="0.3">
      <c r="A113" s="17" t="s">
        <v>39</v>
      </c>
      <c r="B113" s="17"/>
      <c r="C113" s="18" t="s">
        <v>24</v>
      </c>
      <c r="D113" s="18" t="s">
        <v>52</v>
      </c>
      <c r="E113" s="18" t="s">
        <v>40</v>
      </c>
      <c r="F113" s="18" t="s">
        <v>7</v>
      </c>
      <c r="G113" s="18" t="s">
        <v>9</v>
      </c>
      <c r="H113" s="20"/>
      <c r="I113" s="20"/>
      <c r="J113" s="20"/>
      <c r="K113" s="19">
        <v>0</v>
      </c>
      <c r="L113" s="20">
        <v>26610.637123544278</v>
      </c>
      <c r="M113" s="20">
        <v>29620.715391056772</v>
      </c>
      <c r="N113" s="20">
        <v>21759.513082452999</v>
      </c>
      <c r="O113" s="20">
        <f>VLOOKUP(C96,[1]C3_LMA!$A$74:$C$90,3,FALSE)</f>
        <v>24438</v>
      </c>
      <c r="P113" s="20">
        <v>31469</v>
      </c>
    </row>
    <row r="114" spans="1:17" x14ac:dyDescent="0.3">
      <c r="A114" s="17" t="s">
        <v>39</v>
      </c>
      <c r="B114" s="17"/>
      <c r="C114" s="18" t="s">
        <v>25</v>
      </c>
      <c r="D114" s="18" t="s">
        <v>52</v>
      </c>
      <c r="E114" s="18" t="s">
        <v>40</v>
      </c>
      <c r="F114" s="18" t="s">
        <v>7</v>
      </c>
      <c r="G114" s="18" t="s">
        <v>9</v>
      </c>
      <c r="H114" s="20"/>
      <c r="I114" s="20"/>
      <c r="J114" s="20"/>
      <c r="K114" s="19">
        <v>0</v>
      </c>
      <c r="L114" s="20">
        <v>9025.7069366104151</v>
      </c>
      <c r="M114" s="20">
        <v>9201.4973298478872</v>
      </c>
      <c r="N114" s="20">
        <v>5706.7006272319304</v>
      </c>
      <c r="O114" s="20">
        <f>VLOOKUP(C97,[1]C3_LMA!$A$74:$C$90,3,FALSE)</f>
        <v>6353</v>
      </c>
      <c r="P114" s="20">
        <v>9378</v>
      </c>
    </row>
    <row r="115" spans="1:17" x14ac:dyDescent="0.3">
      <c r="A115" s="17" t="s">
        <v>39</v>
      </c>
      <c r="B115" s="17"/>
      <c r="C115" s="18" t="s">
        <v>26</v>
      </c>
      <c r="D115" s="18" t="s">
        <v>52</v>
      </c>
      <c r="E115" s="18" t="s">
        <v>40</v>
      </c>
      <c r="F115" s="18" t="s">
        <v>7</v>
      </c>
      <c r="G115" s="18" t="s">
        <v>9</v>
      </c>
      <c r="H115" s="20"/>
      <c r="I115" s="20"/>
      <c r="J115" s="20"/>
      <c r="K115" s="19">
        <v>0</v>
      </c>
      <c r="L115" s="20">
        <v>12437.056990844463</v>
      </c>
      <c r="M115" s="20">
        <v>13324.989909198808</v>
      </c>
      <c r="N115" s="20">
        <v>8373.42519141517</v>
      </c>
      <c r="O115" s="20">
        <f>VLOOKUP(C98,[1]C3_LMA!$A$74:$C$90,3,FALSE)</f>
        <v>10184</v>
      </c>
      <c r="P115" s="20">
        <v>15998</v>
      </c>
    </row>
    <row r="116" spans="1:17" x14ac:dyDescent="0.3">
      <c r="A116" s="17" t="s">
        <v>39</v>
      </c>
      <c r="B116" s="17"/>
      <c r="C116" s="18" t="s">
        <v>27</v>
      </c>
      <c r="D116" s="18" t="s">
        <v>52</v>
      </c>
      <c r="E116" s="18" t="s">
        <v>40</v>
      </c>
      <c r="F116" s="18" t="s">
        <v>7</v>
      </c>
      <c r="G116" s="18" t="s">
        <v>9</v>
      </c>
      <c r="H116" s="20"/>
      <c r="I116" s="20"/>
      <c r="J116" s="20"/>
      <c r="K116" s="19">
        <v>0</v>
      </c>
      <c r="L116" s="20">
        <v>54568.057792981577</v>
      </c>
      <c r="M116" s="20">
        <v>56446.91284105058</v>
      </c>
      <c r="N116" s="20">
        <v>39846.4712563906</v>
      </c>
      <c r="O116" s="20">
        <f>VLOOKUP(C99,[1]C3_LMA!$A$74:$C$90,3,FALSE)</f>
        <v>46568</v>
      </c>
      <c r="P116" s="20">
        <v>63493</v>
      </c>
    </row>
    <row r="117" spans="1:17" x14ac:dyDescent="0.3">
      <c r="A117" s="17" t="s">
        <v>39</v>
      </c>
      <c r="B117" s="17"/>
      <c r="C117" s="18" t="s">
        <v>28</v>
      </c>
      <c r="D117" s="18" t="s">
        <v>52</v>
      </c>
      <c r="E117" s="18" t="s">
        <v>40</v>
      </c>
      <c r="F117" s="18" t="s">
        <v>7</v>
      </c>
      <c r="G117" s="18" t="s">
        <v>9</v>
      </c>
      <c r="H117" s="20"/>
      <c r="I117" s="20"/>
      <c r="J117" s="20"/>
      <c r="K117" s="19">
        <v>0</v>
      </c>
      <c r="L117" s="20">
        <v>634781.97158279608</v>
      </c>
      <c r="M117" s="20">
        <v>689078.48963322723</v>
      </c>
      <c r="N117" s="20">
        <v>494798.07631727098</v>
      </c>
      <c r="O117" s="20">
        <f>VLOOKUP(C100,[1]C3_LMA!$A$74:$C$90,3,FALSE)</f>
        <v>501417</v>
      </c>
      <c r="P117" s="20">
        <v>609488</v>
      </c>
    </row>
    <row r="118" spans="1:17" x14ac:dyDescent="0.3">
      <c r="A118" s="17" t="s">
        <v>39</v>
      </c>
      <c r="B118" s="17"/>
      <c r="C118" s="18" t="s">
        <v>29</v>
      </c>
      <c r="D118" s="18" t="s">
        <v>52</v>
      </c>
      <c r="E118" s="18" t="s">
        <v>40</v>
      </c>
      <c r="F118" s="18" t="s">
        <v>7</v>
      </c>
      <c r="G118" s="18" t="s">
        <v>9</v>
      </c>
      <c r="H118" s="20"/>
      <c r="I118" s="20"/>
      <c r="J118" s="20"/>
      <c r="K118" s="19">
        <v>0</v>
      </c>
      <c r="L118" s="20">
        <v>25953.045604488136</v>
      </c>
      <c r="M118" s="20">
        <v>26763.052798671844</v>
      </c>
      <c r="N118" s="20">
        <v>19630.930237517601</v>
      </c>
      <c r="O118" s="20">
        <f>VLOOKUP(C101,[1]C3_LMA!$A$74:$C$90,3,FALSE)</f>
        <v>23078</v>
      </c>
      <c r="P118" s="20">
        <v>30411</v>
      </c>
    </row>
    <row r="119" spans="1:17" x14ac:dyDescent="0.3">
      <c r="A119" s="17" t="s">
        <v>39</v>
      </c>
      <c r="B119" s="17"/>
      <c r="C119" s="18" t="s">
        <v>30</v>
      </c>
      <c r="D119" s="18" t="s">
        <v>52</v>
      </c>
      <c r="E119" s="18" t="s">
        <v>40</v>
      </c>
      <c r="F119" s="18" t="s">
        <v>7</v>
      </c>
      <c r="G119" s="18" t="s">
        <v>9</v>
      </c>
      <c r="H119" s="20"/>
      <c r="I119" s="20"/>
      <c r="J119" s="20"/>
      <c r="K119" s="19">
        <v>0</v>
      </c>
      <c r="L119" s="20">
        <v>26725.000865988826</v>
      </c>
      <c r="M119" s="20">
        <v>29130.242983114036</v>
      </c>
      <c r="N119" s="20">
        <v>18244.353384302602</v>
      </c>
      <c r="O119" s="20">
        <f>VLOOKUP(C102,[1]C3_LMA!$A$74:$C$90,3,FALSE)</f>
        <v>23656</v>
      </c>
      <c r="P119" s="20">
        <v>32985</v>
      </c>
    </row>
    <row r="120" spans="1:17" x14ac:dyDescent="0.3">
      <c r="A120" s="17" t="s">
        <v>39</v>
      </c>
      <c r="B120" s="17"/>
      <c r="C120" s="18" t="s">
        <v>31</v>
      </c>
      <c r="D120" s="18" t="s">
        <v>52</v>
      </c>
      <c r="E120" s="18" t="s">
        <v>40</v>
      </c>
      <c r="F120" s="18" t="s">
        <v>7</v>
      </c>
      <c r="G120" s="18" t="s">
        <v>9</v>
      </c>
      <c r="H120" s="20"/>
      <c r="I120" s="20"/>
      <c r="J120" s="20"/>
      <c r="K120" s="19">
        <v>0</v>
      </c>
      <c r="L120" s="20">
        <v>3403.8261238100636</v>
      </c>
      <c r="M120" s="20">
        <v>13211.916928924584</v>
      </c>
      <c r="N120" s="20">
        <v>7784.3174040492304</v>
      </c>
      <c r="O120" s="20">
        <f>VLOOKUP(C103,[1]C3_LMA!$A$74:$C$90,3,FALSE)</f>
        <v>11108</v>
      </c>
      <c r="P120" s="20">
        <v>15638</v>
      </c>
    </row>
    <row r="121" spans="1:17" x14ac:dyDescent="0.3">
      <c r="A121" s="17" t="s">
        <v>39</v>
      </c>
      <c r="B121" s="17"/>
      <c r="C121" s="18" t="s">
        <v>32</v>
      </c>
      <c r="D121" s="18" t="s">
        <v>52</v>
      </c>
      <c r="E121" s="18" t="s">
        <v>40</v>
      </c>
      <c r="F121" s="18" t="s">
        <v>7</v>
      </c>
      <c r="G121" s="18" t="s">
        <v>9</v>
      </c>
      <c r="H121" s="20"/>
      <c r="I121" s="20"/>
      <c r="J121" s="20"/>
      <c r="K121" s="19">
        <v>0</v>
      </c>
      <c r="L121" s="20">
        <v>71686.504293628474</v>
      </c>
      <c r="M121" s="20">
        <v>64248.948479972038</v>
      </c>
      <c r="N121" s="20">
        <v>40500.036129906002</v>
      </c>
      <c r="O121" s="20">
        <f>VLOOKUP(C104,[1]C3_LMA!$A$74:$C$90,3,FALSE)</f>
        <v>44998</v>
      </c>
      <c r="P121" s="20">
        <v>63321</v>
      </c>
    </row>
    <row r="122" spans="1:17" x14ac:dyDescent="0.3">
      <c r="A122" s="17" t="s">
        <v>39</v>
      </c>
      <c r="B122" s="17"/>
      <c r="C122" s="18" t="s">
        <v>33</v>
      </c>
      <c r="D122" s="18" t="s">
        <v>52</v>
      </c>
      <c r="E122" s="18" t="s">
        <v>40</v>
      </c>
      <c r="F122" s="18" t="s">
        <v>7</v>
      </c>
      <c r="G122" s="18" t="s">
        <v>9</v>
      </c>
      <c r="H122" s="20"/>
      <c r="I122" s="20"/>
      <c r="J122" s="20"/>
      <c r="K122" s="19">
        <v>0</v>
      </c>
      <c r="L122" s="20">
        <v>30798.456797533407</v>
      </c>
      <c r="M122" s="20">
        <v>33253.735562464957</v>
      </c>
      <c r="N122" s="20">
        <v>19028.3314321203</v>
      </c>
      <c r="O122" s="20">
        <f>VLOOKUP(C105,[1]C3_LMA!$A$74:$C$90,3,FALSE)</f>
        <v>22511</v>
      </c>
      <c r="P122" s="20">
        <v>33202</v>
      </c>
    </row>
    <row r="123" spans="1:17" x14ac:dyDescent="0.3">
      <c r="A123" s="17" t="s">
        <v>39</v>
      </c>
      <c r="B123" s="17"/>
      <c r="C123" s="18" t="s">
        <v>34</v>
      </c>
      <c r="D123" s="18" t="s">
        <v>52</v>
      </c>
      <c r="E123" s="18" t="s">
        <v>40</v>
      </c>
      <c r="F123" s="18" t="s">
        <v>7</v>
      </c>
      <c r="G123" s="18" t="s">
        <v>9</v>
      </c>
      <c r="H123" s="20"/>
      <c r="I123" s="20"/>
      <c r="J123" s="20"/>
      <c r="K123" s="19">
        <v>0</v>
      </c>
      <c r="L123" s="20">
        <v>11941.982368946359</v>
      </c>
      <c r="M123" s="20">
        <v>12361.666856472952</v>
      </c>
      <c r="N123" s="20">
        <v>7226.6886587562703</v>
      </c>
      <c r="O123" s="20">
        <f>VLOOKUP(C106,[1]C3_LMA!$A$74:$C$90,3,FALSE)</f>
        <v>8002</v>
      </c>
      <c r="P123" s="20">
        <v>12565</v>
      </c>
    </row>
    <row r="124" spans="1:17" x14ac:dyDescent="0.3">
      <c r="A124" s="17" t="s">
        <v>39</v>
      </c>
      <c r="B124" s="17"/>
      <c r="C124" s="18" t="s">
        <v>35</v>
      </c>
      <c r="D124" s="18" t="s">
        <v>52</v>
      </c>
      <c r="E124" s="18" t="s">
        <v>40</v>
      </c>
      <c r="F124" s="18" t="s">
        <v>7</v>
      </c>
      <c r="G124" s="18" t="s">
        <v>9</v>
      </c>
      <c r="H124" s="20"/>
      <c r="I124" s="20"/>
      <c r="J124" s="20"/>
      <c r="K124" s="19">
        <v>0</v>
      </c>
      <c r="L124" s="20">
        <v>34704.881473665562</v>
      </c>
      <c r="M124" s="20">
        <v>35590.087661377824</v>
      </c>
      <c r="N124" s="20">
        <v>20537.826449620301</v>
      </c>
      <c r="O124" s="20">
        <f>VLOOKUP(C107,[1]C3_LMA!$A$74:$C$90,3,FALSE)</f>
        <v>27428</v>
      </c>
      <c r="P124" s="20">
        <v>37727</v>
      </c>
    </row>
    <row r="125" spans="1:17" x14ac:dyDescent="0.3">
      <c r="A125" s="17" t="s">
        <v>39</v>
      </c>
      <c r="B125" s="17"/>
      <c r="C125" s="18" t="s">
        <v>36</v>
      </c>
      <c r="D125" s="18" t="s">
        <v>52</v>
      </c>
      <c r="E125" s="18" t="s">
        <v>40</v>
      </c>
      <c r="F125" s="18" t="s">
        <v>7</v>
      </c>
      <c r="G125" s="18" t="s">
        <v>9</v>
      </c>
      <c r="H125" s="20"/>
      <c r="I125" s="20"/>
      <c r="J125" s="20"/>
      <c r="K125" s="19">
        <v>0</v>
      </c>
      <c r="L125" s="20">
        <v>3733.374276380534</v>
      </c>
      <c r="M125" s="20">
        <v>3773.9942766851373</v>
      </c>
      <c r="N125" s="20">
        <v>2040.14172673041</v>
      </c>
      <c r="O125" s="20">
        <f>VLOOKUP(C108,[1]C3_LMA!$A$74:$C$90,3,FALSE)</f>
        <v>2680</v>
      </c>
      <c r="P125" s="20">
        <v>4043</v>
      </c>
    </row>
    <row r="126" spans="1:17" x14ac:dyDescent="0.3">
      <c r="A126" s="17" t="s">
        <v>39</v>
      </c>
      <c r="B126" s="17"/>
      <c r="C126" s="18" t="s">
        <v>37</v>
      </c>
      <c r="D126" s="18" t="s">
        <v>52</v>
      </c>
      <c r="E126" s="18" t="s">
        <v>40</v>
      </c>
      <c r="F126" s="18" t="s">
        <v>7</v>
      </c>
      <c r="G126" s="18" t="s">
        <v>9</v>
      </c>
      <c r="H126" s="20"/>
      <c r="I126" s="20"/>
      <c r="J126" s="20"/>
      <c r="K126" s="19">
        <v>0</v>
      </c>
      <c r="L126" s="20">
        <v>9435.00875167511</v>
      </c>
      <c r="M126" s="20">
        <v>10790.392974740231</v>
      </c>
      <c r="N126" s="20">
        <v>6761.9980376788099</v>
      </c>
      <c r="O126" s="20">
        <f>VLOOKUP(C109,[1]C3_LMA!$A$74:$C$90,3,FALSE)</f>
        <v>7328</v>
      </c>
      <c r="P126" s="20">
        <v>9372</v>
      </c>
    </row>
    <row r="127" spans="1:17" x14ac:dyDescent="0.3">
      <c r="A127" s="17" t="s">
        <v>39</v>
      </c>
      <c r="B127" s="17"/>
      <c r="C127" s="18" t="s">
        <v>19</v>
      </c>
      <c r="D127" s="18" t="s">
        <v>52</v>
      </c>
      <c r="E127" s="18" t="s">
        <v>40</v>
      </c>
      <c r="F127" s="18" t="s">
        <v>7</v>
      </c>
      <c r="G127" s="18" t="s">
        <v>9</v>
      </c>
      <c r="H127" s="20"/>
      <c r="I127" s="20"/>
      <c r="J127" s="20"/>
      <c r="K127" s="19">
        <v>0</v>
      </c>
      <c r="L127" s="20">
        <v>7019.8270855764567</v>
      </c>
      <c r="M127" s="20">
        <v>798.8532632360758</v>
      </c>
      <c r="N127" s="20">
        <v>17178.562959831299</v>
      </c>
      <c r="O127" s="20">
        <f>VLOOKUP(C110,[1]C3_LMA!$A$74:$C$90,3,FALSE)</f>
        <v>4731</v>
      </c>
      <c r="P127" s="20">
        <v>581</v>
      </c>
    </row>
    <row r="128" spans="1:17" x14ac:dyDescent="0.3">
      <c r="A128" s="17"/>
      <c r="B128" s="17"/>
      <c r="C128" s="17" t="s">
        <v>22</v>
      </c>
      <c r="D128" s="17" t="s">
        <v>52</v>
      </c>
      <c r="E128" s="17" t="s">
        <v>40</v>
      </c>
      <c r="F128" s="17" t="s">
        <v>76</v>
      </c>
      <c r="G128" s="17" t="s">
        <v>1</v>
      </c>
      <c r="H128" s="20"/>
      <c r="I128" s="20"/>
      <c r="J128" s="20"/>
      <c r="K128" s="19">
        <v>0</v>
      </c>
      <c r="L128" s="20">
        <v>0</v>
      </c>
      <c r="M128" s="20">
        <v>0</v>
      </c>
      <c r="N128" s="20">
        <v>0</v>
      </c>
      <c r="O128" s="20">
        <v>0</v>
      </c>
      <c r="P128" s="20">
        <v>0</v>
      </c>
      <c r="Q128" t="s">
        <v>75</v>
      </c>
    </row>
    <row r="129" spans="1:17" x14ac:dyDescent="0.3">
      <c r="A129" s="17"/>
      <c r="B129" s="17"/>
      <c r="C129" s="17" t="s">
        <v>23</v>
      </c>
      <c r="D129" s="17" t="s">
        <v>52</v>
      </c>
      <c r="E129" s="17" t="s">
        <v>40</v>
      </c>
      <c r="F129" s="17" t="s">
        <v>76</v>
      </c>
      <c r="G129" s="17" t="s">
        <v>1</v>
      </c>
      <c r="H129" s="20"/>
      <c r="I129" s="20"/>
      <c r="J129" s="20"/>
      <c r="K129" s="19">
        <v>0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  <c r="Q129" t="s">
        <v>75</v>
      </c>
    </row>
    <row r="130" spans="1:17" x14ac:dyDescent="0.3">
      <c r="A130" s="17"/>
      <c r="B130" s="17"/>
      <c r="C130" s="17" t="s">
        <v>24</v>
      </c>
      <c r="D130" s="17" t="s">
        <v>52</v>
      </c>
      <c r="E130" s="17" t="s">
        <v>40</v>
      </c>
      <c r="F130" s="17" t="s">
        <v>76</v>
      </c>
      <c r="G130" s="17" t="s">
        <v>1</v>
      </c>
      <c r="H130" s="20"/>
      <c r="I130" s="20"/>
      <c r="J130" s="20"/>
      <c r="K130" s="19">
        <v>0</v>
      </c>
      <c r="L130" s="20">
        <v>0</v>
      </c>
      <c r="M130" s="20">
        <v>0</v>
      </c>
      <c r="N130" s="20">
        <v>0</v>
      </c>
      <c r="O130" s="20">
        <v>0</v>
      </c>
      <c r="P130" s="20">
        <v>0</v>
      </c>
      <c r="Q130" t="s">
        <v>75</v>
      </c>
    </row>
    <row r="131" spans="1:17" x14ac:dyDescent="0.3">
      <c r="A131" s="17"/>
      <c r="B131" s="17"/>
      <c r="C131" s="17" t="s">
        <v>25</v>
      </c>
      <c r="D131" s="17" t="s">
        <v>52</v>
      </c>
      <c r="E131" s="17" t="s">
        <v>40</v>
      </c>
      <c r="F131" s="17" t="s">
        <v>76</v>
      </c>
      <c r="G131" s="17" t="s">
        <v>1</v>
      </c>
      <c r="H131" s="20"/>
      <c r="I131" s="20"/>
      <c r="J131" s="20"/>
      <c r="K131" s="19">
        <v>0</v>
      </c>
      <c r="L131" s="20">
        <v>1</v>
      </c>
      <c r="M131" s="20">
        <v>0</v>
      </c>
      <c r="N131" s="20">
        <v>0</v>
      </c>
      <c r="O131" s="20">
        <v>0</v>
      </c>
      <c r="P131" s="20">
        <v>0</v>
      </c>
      <c r="Q131" t="s">
        <v>75</v>
      </c>
    </row>
    <row r="132" spans="1:17" x14ac:dyDescent="0.3">
      <c r="A132" s="17"/>
      <c r="B132" s="17"/>
      <c r="C132" s="17" t="s">
        <v>26</v>
      </c>
      <c r="D132" s="17" t="s">
        <v>52</v>
      </c>
      <c r="E132" s="17" t="s">
        <v>40</v>
      </c>
      <c r="F132" s="17" t="s">
        <v>76</v>
      </c>
      <c r="G132" s="17" t="s">
        <v>1</v>
      </c>
      <c r="H132" s="20"/>
      <c r="I132" s="20"/>
      <c r="J132" s="20"/>
      <c r="K132" s="19">
        <v>0</v>
      </c>
      <c r="L132" s="20">
        <v>0</v>
      </c>
      <c r="M132" s="20">
        <v>0</v>
      </c>
      <c r="N132" s="20">
        <v>0</v>
      </c>
      <c r="O132" s="20">
        <v>0</v>
      </c>
      <c r="P132" s="20">
        <v>0</v>
      </c>
      <c r="Q132" t="s">
        <v>75</v>
      </c>
    </row>
    <row r="133" spans="1:17" x14ac:dyDescent="0.3">
      <c r="A133" s="17"/>
      <c r="B133" s="17"/>
      <c r="C133" s="17" t="s">
        <v>27</v>
      </c>
      <c r="D133" s="17" t="s">
        <v>52</v>
      </c>
      <c r="E133" s="17" t="s">
        <v>40</v>
      </c>
      <c r="F133" s="17" t="s">
        <v>76</v>
      </c>
      <c r="G133" s="17" t="s">
        <v>1</v>
      </c>
      <c r="H133" s="20"/>
      <c r="I133" s="20"/>
      <c r="J133" s="20"/>
      <c r="K133" s="19">
        <v>0</v>
      </c>
      <c r="L133" s="20">
        <v>0</v>
      </c>
      <c r="M133" s="20">
        <v>0</v>
      </c>
      <c r="N133" s="20">
        <v>0</v>
      </c>
      <c r="O133" s="20">
        <v>0</v>
      </c>
      <c r="P133" s="20">
        <v>0</v>
      </c>
      <c r="Q133" t="s">
        <v>75</v>
      </c>
    </row>
    <row r="134" spans="1:17" x14ac:dyDescent="0.3">
      <c r="A134" s="17"/>
      <c r="B134" s="17"/>
      <c r="C134" s="17" t="s">
        <v>28</v>
      </c>
      <c r="D134" s="17" t="s">
        <v>52</v>
      </c>
      <c r="E134" s="17" t="s">
        <v>40</v>
      </c>
      <c r="F134" s="17" t="s">
        <v>76</v>
      </c>
      <c r="G134" s="17" t="s">
        <v>1</v>
      </c>
      <c r="H134" s="20"/>
      <c r="I134" s="20"/>
      <c r="J134" s="20"/>
      <c r="K134" s="19">
        <v>0</v>
      </c>
      <c r="L134" s="20">
        <v>4</v>
      </c>
      <c r="M134" s="20">
        <v>0</v>
      </c>
      <c r="N134" s="20">
        <v>0</v>
      </c>
      <c r="O134" s="20">
        <v>0</v>
      </c>
      <c r="P134" s="20">
        <v>0</v>
      </c>
      <c r="Q134" t="s">
        <v>75</v>
      </c>
    </row>
    <row r="135" spans="1:17" x14ac:dyDescent="0.3">
      <c r="A135" s="17"/>
      <c r="B135" s="17"/>
      <c r="C135" s="17" t="s">
        <v>29</v>
      </c>
      <c r="D135" s="17" t="s">
        <v>52</v>
      </c>
      <c r="E135" s="17" t="s">
        <v>40</v>
      </c>
      <c r="F135" s="17" t="s">
        <v>76</v>
      </c>
      <c r="G135" s="17" t="s">
        <v>1</v>
      </c>
      <c r="H135" s="20"/>
      <c r="I135" s="20"/>
      <c r="J135" s="20"/>
      <c r="K135" s="19">
        <v>0</v>
      </c>
      <c r="L135" s="20">
        <v>0</v>
      </c>
      <c r="M135" s="20">
        <v>0</v>
      </c>
      <c r="N135" s="20">
        <v>0</v>
      </c>
      <c r="O135" s="20">
        <v>0</v>
      </c>
      <c r="P135" s="20">
        <v>0</v>
      </c>
      <c r="Q135" t="s">
        <v>75</v>
      </c>
    </row>
    <row r="136" spans="1:17" x14ac:dyDescent="0.3">
      <c r="A136" s="17"/>
      <c r="B136" s="17"/>
      <c r="C136" s="17" t="s">
        <v>30</v>
      </c>
      <c r="D136" s="17" t="s">
        <v>52</v>
      </c>
      <c r="E136" s="17" t="s">
        <v>40</v>
      </c>
      <c r="F136" s="17" t="s">
        <v>76</v>
      </c>
      <c r="G136" s="17" t="s">
        <v>1</v>
      </c>
      <c r="H136" s="20"/>
      <c r="I136" s="20"/>
      <c r="J136" s="20"/>
      <c r="K136" s="19">
        <v>0</v>
      </c>
      <c r="L136" s="20">
        <v>0</v>
      </c>
      <c r="M136" s="20">
        <v>0</v>
      </c>
      <c r="N136" s="20">
        <v>0</v>
      </c>
      <c r="O136" s="20">
        <v>0</v>
      </c>
      <c r="P136" s="20">
        <v>0</v>
      </c>
      <c r="Q136" t="s">
        <v>75</v>
      </c>
    </row>
    <row r="137" spans="1:17" x14ac:dyDescent="0.3">
      <c r="A137" s="17"/>
      <c r="B137" s="17"/>
      <c r="C137" s="17" t="s">
        <v>31</v>
      </c>
      <c r="D137" s="17" t="s">
        <v>52</v>
      </c>
      <c r="E137" s="17" t="s">
        <v>40</v>
      </c>
      <c r="F137" s="17" t="s">
        <v>76</v>
      </c>
      <c r="G137" s="17" t="s">
        <v>1</v>
      </c>
      <c r="H137" s="20"/>
      <c r="I137" s="20"/>
      <c r="J137" s="20"/>
      <c r="K137" s="19">
        <v>0</v>
      </c>
      <c r="L137" s="20">
        <v>0</v>
      </c>
      <c r="M137" s="20">
        <v>0</v>
      </c>
      <c r="N137" s="20">
        <v>0</v>
      </c>
      <c r="O137" s="20">
        <v>0</v>
      </c>
      <c r="P137" s="20">
        <v>0</v>
      </c>
      <c r="Q137" t="s">
        <v>75</v>
      </c>
    </row>
    <row r="138" spans="1:17" x14ac:dyDescent="0.3">
      <c r="A138" s="17"/>
      <c r="B138" s="17"/>
      <c r="C138" s="17" t="s">
        <v>32</v>
      </c>
      <c r="D138" s="17" t="s">
        <v>52</v>
      </c>
      <c r="E138" s="17" t="s">
        <v>40</v>
      </c>
      <c r="F138" s="17" t="s">
        <v>76</v>
      </c>
      <c r="G138" s="17" t="s">
        <v>1</v>
      </c>
      <c r="H138" s="20"/>
      <c r="I138" s="20"/>
      <c r="J138" s="20"/>
      <c r="K138" s="19">
        <v>0</v>
      </c>
      <c r="L138" s="20">
        <v>2</v>
      </c>
      <c r="M138" s="20">
        <v>0</v>
      </c>
      <c r="N138" s="20">
        <v>0</v>
      </c>
      <c r="O138" s="20">
        <v>0</v>
      </c>
      <c r="P138" s="20">
        <v>0</v>
      </c>
      <c r="Q138" t="s">
        <v>75</v>
      </c>
    </row>
    <row r="139" spans="1:17" x14ac:dyDescent="0.3">
      <c r="A139" s="17"/>
      <c r="B139" s="17"/>
      <c r="C139" s="17" t="s">
        <v>33</v>
      </c>
      <c r="D139" s="17" t="s">
        <v>52</v>
      </c>
      <c r="E139" s="17" t="s">
        <v>40</v>
      </c>
      <c r="F139" s="17" t="s">
        <v>76</v>
      </c>
      <c r="G139" s="17" t="s">
        <v>1</v>
      </c>
      <c r="H139" s="20"/>
      <c r="I139" s="20"/>
      <c r="J139" s="20"/>
      <c r="K139" s="19">
        <v>0</v>
      </c>
      <c r="L139" s="20">
        <v>1</v>
      </c>
      <c r="M139" s="20">
        <v>0</v>
      </c>
      <c r="N139" s="20">
        <v>0</v>
      </c>
      <c r="O139" s="20">
        <v>0</v>
      </c>
      <c r="P139" s="20">
        <v>0</v>
      </c>
      <c r="Q139" t="s">
        <v>75</v>
      </c>
    </row>
    <row r="140" spans="1:17" x14ac:dyDescent="0.3">
      <c r="A140" s="17"/>
      <c r="B140" s="17"/>
      <c r="C140" s="17" t="s">
        <v>34</v>
      </c>
      <c r="D140" s="17" t="s">
        <v>52</v>
      </c>
      <c r="E140" s="17" t="s">
        <v>40</v>
      </c>
      <c r="F140" s="17" t="s">
        <v>76</v>
      </c>
      <c r="G140" s="17" t="s">
        <v>1</v>
      </c>
      <c r="H140" s="20"/>
      <c r="I140" s="20"/>
      <c r="J140" s="20"/>
      <c r="K140" s="19">
        <v>0</v>
      </c>
      <c r="L140" s="20">
        <v>0</v>
      </c>
      <c r="M140" s="20">
        <v>0</v>
      </c>
      <c r="N140" s="20">
        <v>0</v>
      </c>
      <c r="O140" s="20">
        <v>0</v>
      </c>
      <c r="P140" s="20">
        <v>0</v>
      </c>
      <c r="Q140" t="s">
        <v>75</v>
      </c>
    </row>
    <row r="141" spans="1:17" x14ac:dyDescent="0.3">
      <c r="A141" s="17"/>
      <c r="B141" s="17"/>
      <c r="C141" s="17" t="s">
        <v>35</v>
      </c>
      <c r="D141" s="17" t="s">
        <v>52</v>
      </c>
      <c r="E141" s="17" t="s">
        <v>40</v>
      </c>
      <c r="F141" s="17" t="s">
        <v>76</v>
      </c>
      <c r="G141" s="17" t="s">
        <v>1</v>
      </c>
      <c r="H141" s="20"/>
      <c r="I141" s="20"/>
      <c r="J141" s="20"/>
      <c r="K141" s="19">
        <v>0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t="s">
        <v>75</v>
      </c>
    </row>
    <row r="142" spans="1:17" x14ac:dyDescent="0.3">
      <c r="A142" s="17"/>
      <c r="B142" s="17"/>
      <c r="C142" s="17" t="s">
        <v>36</v>
      </c>
      <c r="D142" s="17" t="s">
        <v>52</v>
      </c>
      <c r="E142" s="17" t="s">
        <v>40</v>
      </c>
      <c r="F142" s="17" t="s">
        <v>76</v>
      </c>
      <c r="G142" s="17" t="s">
        <v>1</v>
      </c>
      <c r="H142" s="20"/>
      <c r="I142" s="20"/>
      <c r="J142" s="20"/>
      <c r="K142" s="19">
        <v>0</v>
      </c>
      <c r="L142" s="20">
        <v>0</v>
      </c>
      <c r="M142" s="20">
        <v>0</v>
      </c>
      <c r="N142" s="20">
        <v>0</v>
      </c>
      <c r="O142" s="20">
        <v>0</v>
      </c>
      <c r="P142" s="20">
        <v>0</v>
      </c>
      <c r="Q142" t="s">
        <v>75</v>
      </c>
    </row>
    <row r="143" spans="1:17" x14ac:dyDescent="0.3">
      <c r="A143" s="17"/>
      <c r="B143" s="17"/>
      <c r="C143" s="17" t="s">
        <v>37</v>
      </c>
      <c r="D143" s="17" t="s">
        <v>52</v>
      </c>
      <c r="E143" s="17" t="s">
        <v>40</v>
      </c>
      <c r="F143" s="17" t="s">
        <v>76</v>
      </c>
      <c r="G143" s="17" t="s">
        <v>1</v>
      </c>
      <c r="H143" s="20"/>
      <c r="I143" s="20"/>
      <c r="J143" s="20"/>
      <c r="K143" s="19">
        <v>0</v>
      </c>
      <c r="L143" s="20">
        <v>1</v>
      </c>
      <c r="M143" s="20">
        <v>0</v>
      </c>
      <c r="N143" s="20">
        <v>0</v>
      </c>
      <c r="O143" s="20">
        <v>0</v>
      </c>
      <c r="P143" s="20">
        <v>0</v>
      </c>
      <c r="Q143" t="s">
        <v>75</v>
      </c>
    </row>
    <row r="144" spans="1:17" x14ac:dyDescent="0.3">
      <c r="A144" s="17"/>
      <c r="B144" s="17"/>
      <c r="C144" s="17" t="s">
        <v>19</v>
      </c>
      <c r="D144" s="17" t="s">
        <v>52</v>
      </c>
      <c r="E144" s="17" t="s">
        <v>40</v>
      </c>
      <c r="F144" s="17" t="s">
        <v>76</v>
      </c>
      <c r="G144" s="17" t="s">
        <v>1</v>
      </c>
      <c r="H144" s="20"/>
      <c r="I144" s="20"/>
      <c r="J144" s="20"/>
      <c r="K144" s="19">
        <v>0</v>
      </c>
      <c r="L144" s="20">
        <v>0</v>
      </c>
      <c r="M144" s="20">
        <v>0</v>
      </c>
      <c r="N144" s="20">
        <v>0</v>
      </c>
      <c r="O144" s="20">
        <v>0</v>
      </c>
      <c r="P144" s="20">
        <v>0</v>
      </c>
      <c r="Q144" t="s">
        <v>75</v>
      </c>
    </row>
    <row r="145" spans="1:17" x14ac:dyDescent="0.3">
      <c r="A145" s="17"/>
      <c r="B145" s="17"/>
      <c r="C145" s="18" t="s">
        <v>22</v>
      </c>
      <c r="D145" s="18" t="s">
        <v>52</v>
      </c>
      <c r="E145" s="18" t="s">
        <v>40</v>
      </c>
      <c r="F145" s="17" t="s">
        <v>76</v>
      </c>
      <c r="G145" s="18" t="s">
        <v>9</v>
      </c>
      <c r="H145" s="20"/>
      <c r="I145" s="20"/>
      <c r="J145" s="20"/>
      <c r="K145" s="19">
        <v>0</v>
      </c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t="s">
        <v>75</v>
      </c>
    </row>
    <row r="146" spans="1:17" x14ac:dyDescent="0.3">
      <c r="A146" s="17"/>
      <c r="B146" s="17"/>
      <c r="C146" s="18" t="s">
        <v>23</v>
      </c>
      <c r="D146" s="18" t="s">
        <v>52</v>
      </c>
      <c r="E146" s="18" t="s">
        <v>40</v>
      </c>
      <c r="F146" s="17" t="s">
        <v>76</v>
      </c>
      <c r="G146" s="18" t="s">
        <v>9</v>
      </c>
      <c r="H146" s="20"/>
      <c r="I146" s="20"/>
      <c r="J146" s="20"/>
      <c r="K146" s="19">
        <v>0</v>
      </c>
      <c r="L146" s="20">
        <v>0</v>
      </c>
      <c r="M146" s="20">
        <v>0</v>
      </c>
      <c r="N146" s="20">
        <v>0</v>
      </c>
      <c r="O146" s="20">
        <v>0</v>
      </c>
      <c r="P146" s="20">
        <v>0</v>
      </c>
      <c r="Q146" t="s">
        <v>75</v>
      </c>
    </row>
    <row r="147" spans="1:17" x14ac:dyDescent="0.3">
      <c r="A147" s="17"/>
      <c r="B147" s="17"/>
      <c r="C147" s="18" t="s">
        <v>24</v>
      </c>
      <c r="D147" s="18" t="s">
        <v>52</v>
      </c>
      <c r="E147" s="18" t="s">
        <v>40</v>
      </c>
      <c r="F147" s="17" t="s">
        <v>76</v>
      </c>
      <c r="G147" s="18" t="s">
        <v>9</v>
      </c>
      <c r="H147" s="20"/>
      <c r="I147" s="20"/>
      <c r="J147" s="20"/>
      <c r="K147" s="19">
        <v>0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  <c r="Q147" t="s">
        <v>75</v>
      </c>
    </row>
    <row r="148" spans="1:17" x14ac:dyDescent="0.3">
      <c r="A148" s="17"/>
      <c r="B148" s="17"/>
      <c r="C148" s="18" t="s">
        <v>25</v>
      </c>
      <c r="D148" s="18" t="s">
        <v>52</v>
      </c>
      <c r="E148" s="18" t="s">
        <v>40</v>
      </c>
      <c r="F148" s="17" t="s">
        <v>76</v>
      </c>
      <c r="G148" s="18" t="s">
        <v>9</v>
      </c>
      <c r="H148" s="20"/>
      <c r="I148" s="20"/>
      <c r="J148" s="20"/>
      <c r="K148" s="19">
        <v>0</v>
      </c>
      <c r="L148" s="20">
        <v>0</v>
      </c>
      <c r="M148" s="20">
        <v>0</v>
      </c>
      <c r="N148" s="20">
        <v>0</v>
      </c>
      <c r="O148" s="20">
        <v>0</v>
      </c>
      <c r="P148" s="20">
        <v>0</v>
      </c>
      <c r="Q148" t="s">
        <v>75</v>
      </c>
    </row>
    <row r="149" spans="1:17" x14ac:dyDescent="0.3">
      <c r="A149" s="17"/>
      <c r="B149" s="17"/>
      <c r="C149" s="18" t="s">
        <v>26</v>
      </c>
      <c r="D149" s="18" t="s">
        <v>52</v>
      </c>
      <c r="E149" s="18" t="s">
        <v>40</v>
      </c>
      <c r="F149" s="17" t="s">
        <v>76</v>
      </c>
      <c r="G149" s="18" t="s">
        <v>9</v>
      </c>
      <c r="H149" s="20"/>
      <c r="I149" s="20"/>
      <c r="J149" s="20"/>
      <c r="K149" s="19">
        <v>0</v>
      </c>
      <c r="L149" s="20">
        <v>0</v>
      </c>
      <c r="M149" s="20">
        <v>0</v>
      </c>
      <c r="N149" s="20">
        <v>0</v>
      </c>
      <c r="O149" s="20">
        <v>0</v>
      </c>
      <c r="P149" s="20">
        <v>0</v>
      </c>
      <c r="Q149" t="s">
        <v>75</v>
      </c>
    </row>
    <row r="150" spans="1:17" x14ac:dyDescent="0.3">
      <c r="A150" s="17"/>
      <c r="B150" s="17"/>
      <c r="C150" s="18" t="s">
        <v>27</v>
      </c>
      <c r="D150" s="18" t="s">
        <v>52</v>
      </c>
      <c r="E150" s="18" t="s">
        <v>40</v>
      </c>
      <c r="F150" s="17" t="s">
        <v>76</v>
      </c>
      <c r="G150" s="18" t="s">
        <v>9</v>
      </c>
      <c r="H150" s="20"/>
      <c r="I150" s="20"/>
      <c r="J150" s="20"/>
      <c r="K150" s="19">
        <v>0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t="s">
        <v>75</v>
      </c>
    </row>
    <row r="151" spans="1:17" x14ac:dyDescent="0.3">
      <c r="A151" s="17"/>
      <c r="B151" s="17"/>
      <c r="C151" s="18" t="s">
        <v>28</v>
      </c>
      <c r="D151" s="18" t="s">
        <v>52</v>
      </c>
      <c r="E151" s="18" t="s">
        <v>40</v>
      </c>
      <c r="F151" s="17" t="s">
        <v>76</v>
      </c>
      <c r="G151" s="18" t="s">
        <v>9</v>
      </c>
      <c r="H151" s="20"/>
      <c r="I151" s="20"/>
      <c r="J151" s="20"/>
      <c r="K151" s="19">
        <v>0</v>
      </c>
      <c r="L151" s="20">
        <v>0</v>
      </c>
      <c r="M151" s="20">
        <v>0</v>
      </c>
      <c r="N151" s="20">
        <v>0</v>
      </c>
      <c r="O151" s="20">
        <v>0</v>
      </c>
      <c r="P151" s="20">
        <v>0</v>
      </c>
      <c r="Q151" t="s">
        <v>75</v>
      </c>
    </row>
    <row r="152" spans="1:17" x14ac:dyDescent="0.3">
      <c r="A152" s="17"/>
      <c r="B152" s="17"/>
      <c r="C152" s="18" t="s">
        <v>29</v>
      </c>
      <c r="D152" s="18" t="s">
        <v>52</v>
      </c>
      <c r="E152" s="18" t="s">
        <v>40</v>
      </c>
      <c r="F152" s="17" t="s">
        <v>76</v>
      </c>
      <c r="G152" s="18" t="s">
        <v>9</v>
      </c>
      <c r="H152" s="20"/>
      <c r="I152" s="20"/>
      <c r="J152" s="20"/>
      <c r="K152" s="19">
        <v>0</v>
      </c>
      <c r="L152" s="20">
        <v>0</v>
      </c>
      <c r="M152" s="20">
        <v>0</v>
      </c>
      <c r="N152" s="20">
        <v>0</v>
      </c>
      <c r="O152" s="20">
        <v>0</v>
      </c>
      <c r="P152" s="20">
        <v>0</v>
      </c>
      <c r="Q152" t="s">
        <v>75</v>
      </c>
    </row>
    <row r="153" spans="1:17" x14ac:dyDescent="0.3">
      <c r="A153" s="17"/>
      <c r="B153" s="17"/>
      <c r="C153" s="18" t="s">
        <v>30</v>
      </c>
      <c r="D153" s="18" t="s">
        <v>52</v>
      </c>
      <c r="E153" s="18" t="s">
        <v>40</v>
      </c>
      <c r="F153" s="17" t="s">
        <v>76</v>
      </c>
      <c r="G153" s="18" t="s">
        <v>9</v>
      </c>
      <c r="H153" s="20"/>
      <c r="I153" s="20"/>
      <c r="J153" s="20"/>
      <c r="K153" s="19">
        <v>0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  <c r="Q153" t="s">
        <v>75</v>
      </c>
    </row>
    <row r="154" spans="1:17" x14ac:dyDescent="0.3">
      <c r="A154" s="17"/>
      <c r="B154" s="17"/>
      <c r="C154" s="18" t="s">
        <v>31</v>
      </c>
      <c r="D154" s="18" t="s">
        <v>52</v>
      </c>
      <c r="E154" s="18" t="s">
        <v>40</v>
      </c>
      <c r="F154" s="17" t="s">
        <v>76</v>
      </c>
      <c r="G154" s="18" t="s">
        <v>9</v>
      </c>
      <c r="H154" s="20"/>
      <c r="I154" s="20"/>
      <c r="J154" s="20"/>
      <c r="K154" s="19">
        <v>0</v>
      </c>
      <c r="L154" s="20">
        <v>0</v>
      </c>
      <c r="M154" s="20">
        <v>0</v>
      </c>
      <c r="N154" s="20">
        <v>0</v>
      </c>
      <c r="O154" s="20">
        <v>0</v>
      </c>
      <c r="P154" s="20">
        <v>0</v>
      </c>
      <c r="Q154" t="s">
        <v>75</v>
      </c>
    </row>
    <row r="155" spans="1:17" x14ac:dyDescent="0.3">
      <c r="A155" s="17"/>
      <c r="B155" s="17"/>
      <c r="C155" s="18" t="s">
        <v>32</v>
      </c>
      <c r="D155" s="18" t="s">
        <v>52</v>
      </c>
      <c r="E155" s="18" t="s">
        <v>40</v>
      </c>
      <c r="F155" s="17" t="s">
        <v>76</v>
      </c>
      <c r="G155" s="18" t="s">
        <v>9</v>
      </c>
      <c r="H155" s="20"/>
      <c r="I155" s="20"/>
      <c r="J155" s="20"/>
      <c r="K155" s="19">
        <v>0</v>
      </c>
      <c r="L155" s="20">
        <v>0</v>
      </c>
      <c r="M155" s="20">
        <v>0</v>
      </c>
      <c r="N155" s="20">
        <v>0</v>
      </c>
      <c r="O155" s="20">
        <v>0</v>
      </c>
      <c r="P155" s="20">
        <v>0</v>
      </c>
      <c r="Q155" t="s">
        <v>75</v>
      </c>
    </row>
    <row r="156" spans="1:17" x14ac:dyDescent="0.3">
      <c r="A156" s="17"/>
      <c r="B156" s="17"/>
      <c r="C156" s="18" t="s">
        <v>33</v>
      </c>
      <c r="D156" s="18" t="s">
        <v>52</v>
      </c>
      <c r="E156" s="18" t="s">
        <v>40</v>
      </c>
      <c r="F156" s="17" t="s">
        <v>76</v>
      </c>
      <c r="G156" s="18" t="s">
        <v>9</v>
      </c>
      <c r="H156" s="20"/>
      <c r="I156" s="20"/>
      <c r="J156" s="20"/>
      <c r="K156" s="19">
        <v>0</v>
      </c>
      <c r="L156" s="20">
        <v>0</v>
      </c>
      <c r="M156" s="20">
        <v>0</v>
      </c>
      <c r="N156" s="20">
        <v>0</v>
      </c>
      <c r="O156" s="20">
        <v>0</v>
      </c>
      <c r="P156" s="20">
        <v>0</v>
      </c>
      <c r="Q156" t="s">
        <v>75</v>
      </c>
    </row>
    <row r="157" spans="1:17" x14ac:dyDescent="0.3">
      <c r="A157" s="17"/>
      <c r="B157" s="17"/>
      <c r="C157" s="18" t="s">
        <v>34</v>
      </c>
      <c r="D157" s="18" t="s">
        <v>52</v>
      </c>
      <c r="E157" s="18" t="s">
        <v>40</v>
      </c>
      <c r="F157" s="17" t="s">
        <v>76</v>
      </c>
      <c r="G157" s="18" t="s">
        <v>9</v>
      </c>
      <c r="H157" s="20"/>
      <c r="I157" s="20"/>
      <c r="J157" s="20"/>
      <c r="K157" s="19">
        <v>0</v>
      </c>
      <c r="L157" s="20">
        <v>0</v>
      </c>
      <c r="M157" s="20">
        <v>0</v>
      </c>
      <c r="N157" s="20">
        <v>0</v>
      </c>
      <c r="O157" s="20">
        <v>0</v>
      </c>
      <c r="P157" s="20">
        <v>0</v>
      </c>
      <c r="Q157" t="s">
        <v>75</v>
      </c>
    </row>
    <row r="158" spans="1:17" x14ac:dyDescent="0.3">
      <c r="A158" s="17"/>
      <c r="B158" s="17"/>
      <c r="C158" s="18" t="s">
        <v>35</v>
      </c>
      <c r="D158" s="18" t="s">
        <v>52</v>
      </c>
      <c r="E158" s="18" t="s">
        <v>40</v>
      </c>
      <c r="F158" s="17" t="s">
        <v>76</v>
      </c>
      <c r="G158" s="18" t="s">
        <v>9</v>
      </c>
      <c r="H158" s="20"/>
      <c r="I158" s="20"/>
      <c r="J158" s="20"/>
      <c r="K158" s="19">
        <v>0</v>
      </c>
      <c r="L158" s="20">
        <v>0</v>
      </c>
      <c r="M158" s="20">
        <v>0</v>
      </c>
      <c r="N158" s="20">
        <v>0</v>
      </c>
      <c r="O158" s="20">
        <v>0</v>
      </c>
      <c r="P158" s="20">
        <v>0</v>
      </c>
      <c r="Q158" t="s">
        <v>75</v>
      </c>
    </row>
    <row r="159" spans="1:17" x14ac:dyDescent="0.3">
      <c r="A159" s="17"/>
      <c r="B159" s="17"/>
      <c r="C159" s="18" t="s">
        <v>36</v>
      </c>
      <c r="D159" s="18" t="s">
        <v>52</v>
      </c>
      <c r="E159" s="18" t="s">
        <v>40</v>
      </c>
      <c r="F159" s="17" t="s">
        <v>76</v>
      </c>
      <c r="G159" s="18" t="s">
        <v>9</v>
      </c>
      <c r="H159" s="20"/>
      <c r="I159" s="20"/>
      <c r="J159" s="20"/>
      <c r="K159" s="19">
        <v>0</v>
      </c>
      <c r="L159" s="20">
        <v>0</v>
      </c>
      <c r="M159" s="20">
        <v>0</v>
      </c>
      <c r="N159" s="20">
        <v>0</v>
      </c>
      <c r="O159" s="20">
        <v>0</v>
      </c>
      <c r="P159" s="20">
        <v>0</v>
      </c>
      <c r="Q159" t="s">
        <v>75</v>
      </c>
    </row>
    <row r="160" spans="1:17" x14ac:dyDescent="0.3">
      <c r="A160" s="17"/>
      <c r="B160" s="17"/>
      <c r="C160" s="18" t="s">
        <v>37</v>
      </c>
      <c r="D160" s="18" t="s">
        <v>52</v>
      </c>
      <c r="E160" s="18" t="s">
        <v>40</v>
      </c>
      <c r="F160" s="17" t="s">
        <v>76</v>
      </c>
      <c r="G160" s="18" t="s">
        <v>9</v>
      </c>
      <c r="H160" s="20"/>
      <c r="I160" s="20"/>
      <c r="J160" s="20"/>
      <c r="K160" s="19">
        <v>0</v>
      </c>
      <c r="L160" s="20">
        <v>0</v>
      </c>
      <c r="M160" s="20">
        <v>0</v>
      </c>
      <c r="N160" s="20">
        <v>0</v>
      </c>
      <c r="O160" s="20">
        <v>0</v>
      </c>
      <c r="P160" s="20">
        <v>0</v>
      </c>
      <c r="Q160" t="s">
        <v>75</v>
      </c>
    </row>
    <row r="161" spans="1:17" x14ac:dyDescent="0.3">
      <c r="A161" s="17"/>
      <c r="B161" s="17"/>
      <c r="C161" s="18" t="s">
        <v>19</v>
      </c>
      <c r="D161" s="18" t="s">
        <v>52</v>
      </c>
      <c r="E161" s="18" t="s">
        <v>40</v>
      </c>
      <c r="F161" s="17" t="s">
        <v>76</v>
      </c>
      <c r="G161" s="18" t="s">
        <v>9</v>
      </c>
      <c r="H161" s="20"/>
      <c r="I161" s="20"/>
      <c r="J161" s="20"/>
      <c r="K161" s="19">
        <v>0</v>
      </c>
      <c r="L161" s="20">
        <v>0</v>
      </c>
      <c r="M161" s="20">
        <v>0</v>
      </c>
      <c r="N161" s="20">
        <v>0</v>
      </c>
      <c r="O161" s="20">
        <v>0</v>
      </c>
      <c r="P161" s="20">
        <v>0</v>
      </c>
      <c r="Q161" t="s">
        <v>75</v>
      </c>
    </row>
    <row r="162" spans="1:17" x14ac:dyDescent="0.3">
      <c r="A162" s="15" t="s">
        <v>49</v>
      </c>
      <c r="B162" s="15"/>
      <c r="C162" s="15" t="s">
        <v>51</v>
      </c>
      <c r="D162" s="15" t="s">
        <v>41</v>
      </c>
      <c r="E162" s="15" t="s">
        <v>40</v>
      </c>
      <c r="F162" s="15" t="s">
        <v>20</v>
      </c>
      <c r="G162" s="15" t="s">
        <v>1</v>
      </c>
      <c r="H162" s="16"/>
      <c r="I162" s="16"/>
      <c r="J162" s="16"/>
      <c r="K162" s="19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293689</v>
      </c>
    </row>
    <row r="163" spans="1:17" x14ac:dyDescent="0.3">
      <c r="A163" s="15" t="s">
        <v>49</v>
      </c>
      <c r="B163" s="15"/>
      <c r="C163" s="15" t="s">
        <v>51</v>
      </c>
      <c r="D163" s="15" t="s">
        <v>42</v>
      </c>
      <c r="E163" s="15" t="s">
        <v>40</v>
      </c>
      <c r="F163" s="15" t="s">
        <v>20</v>
      </c>
      <c r="G163" s="15" t="s">
        <v>1</v>
      </c>
      <c r="H163" s="16"/>
      <c r="I163" s="16"/>
      <c r="J163" s="16"/>
      <c r="K163" s="19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35725</v>
      </c>
    </row>
    <row r="164" spans="1:17" x14ac:dyDescent="0.3">
      <c r="A164" s="15" t="s">
        <v>49</v>
      </c>
      <c r="B164" s="15"/>
      <c r="C164" s="15" t="s">
        <v>51</v>
      </c>
      <c r="D164" s="15" t="s">
        <v>43</v>
      </c>
      <c r="E164" s="15" t="s">
        <v>40</v>
      </c>
      <c r="F164" s="15" t="s">
        <v>20</v>
      </c>
      <c r="G164" s="15" t="s">
        <v>1</v>
      </c>
      <c r="H164" s="16"/>
      <c r="I164" s="16"/>
      <c r="J164" s="16"/>
      <c r="K164" s="19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567309</v>
      </c>
    </row>
    <row r="165" spans="1:17" x14ac:dyDescent="0.3">
      <c r="A165" s="15" t="s">
        <v>49</v>
      </c>
      <c r="B165" s="15"/>
      <c r="C165" s="15" t="s">
        <v>51</v>
      </c>
      <c r="D165" s="15" t="s">
        <v>44</v>
      </c>
      <c r="E165" s="15" t="s">
        <v>40</v>
      </c>
      <c r="F165" s="15" t="s">
        <v>20</v>
      </c>
      <c r="G165" s="15" t="s">
        <v>1</v>
      </c>
      <c r="H165" s="16"/>
      <c r="I165" s="16"/>
      <c r="J165" s="16"/>
      <c r="K165" s="19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18124</v>
      </c>
    </row>
    <row r="166" spans="1:17" x14ac:dyDescent="0.3">
      <c r="A166" s="15" t="s">
        <v>49</v>
      </c>
      <c r="B166" s="15"/>
      <c r="C166" s="15" t="s">
        <v>51</v>
      </c>
      <c r="D166" s="15" t="s">
        <v>45</v>
      </c>
      <c r="E166" s="15" t="s">
        <v>40</v>
      </c>
      <c r="F166" s="15" t="s">
        <v>20</v>
      </c>
      <c r="G166" s="15" t="s">
        <v>1</v>
      </c>
      <c r="H166" s="16"/>
      <c r="I166" s="16"/>
      <c r="J166" s="16"/>
      <c r="K166" s="19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578762</v>
      </c>
    </row>
    <row r="167" spans="1:17" x14ac:dyDescent="0.3">
      <c r="A167" s="15" t="s">
        <v>49</v>
      </c>
      <c r="B167" s="15"/>
      <c r="C167" s="15" t="s">
        <v>51</v>
      </c>
      <c r="D167" s="15" t="s">
        <v>46</v>
      </c>
      <c r="E167" s="15" t="s">
        <v>40</v>
      </c>
      <c r="F167" s="15" t="s">
        <v>20</v>
      </c>
      <c r="G167" s="15" t="s">
        <v>1</v>
      </c>
      <c r="H167" s="16"/>
      <c r="I167" s="16"/>
      <c r="J167" s="16"/>
      <c r="K167" s="19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1420561</v>
      </c>
    </row>
    <row r="168" spans="1:17" x14ac:dyDescent="0.3">
      <c r="A168" s="15" t="s">
        <v>49</v>
      </c>
      <c r="B168" s="15"/>
      <c r="C168" s="15" t="s">
        <v>51</v>
      </c>
      <c r="D168" s="15" t="s">
        <v>47</v>
      </c>
      <c r="E168" s="15" t="s">
        <v>40</v>
      </c>
      <c r="F168" s="15" t="s">
        <v>20</v>
      </c>
      <c r="G168" s="15" t="s">
        <v>1</v>
      </c>
      <c r="H168" s="16"/>
      <c r="I168" s="16"/>
      <c r="J168" s="16"/>
      <c r="K168" s="19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434146</v>
      </c>
    </row>
    <row r="169" spans="1:17" x14ac:dyDescent="0.3">
      <c r="A169" s="15" t="s">
        <v>49</v>
      </c>
      <c r="B169" s="15"/>
      <c r="C169" s="15" t="s">
        <v>51</v>
      </c>
      <c r="D169" s="15" t="s">
        <v>48</v>
      </c>
      <c r="E169" s="15" t="s">
        <v>40</v>
      </c>
      <c r="F169" s="15" t="s">
        <v>20</v>
      </c>
      <c r="G169" s="15" t="s">
        <v>1</v>
      </c>
      <c r="H169" s="16"/>
      <c r="I169" s="16"/>
      <c r="J169" s="16"/>
      <c r="K169" s="19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3399259</v>
      </c>
    </row>
    <row r="170" spans="1:17" x14ac:dyDescent="0.3">
      <c r="A170" s="15" t="s">
        <v>49</v>
      </c>
      <c r="B170" s="15"/>
      <c r="C170" s="15" t="s">
        <v>51</v>
      </c>
      <c r="D170" s="15" t="s">
        <v>19</v>
      </c>
      <c r="E170" s="15" t="s">
        <v>40</v>
      </c>
      <c r="F170" s="15" t="s">
        <v>20</v>
      </c>
      <c r="G170" s="15" t="s">
        <v>1</v>
      </c>
      <c r="H170" s="16"/>
      <c r="I170" s="16"/>
      <c r="J170" s="16"/>
      <c r="K170" s="19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302341</v>
      </c>
    </row>
    <row r="171" spans="1:17" x14ac:dyDescent="0.3">
      <c r="A171" s="15" t="s">
        <v>49</v>
      </c>
      <c r="B171" s="15"/>
      <c r="C171" s="22" t="s">
        <v>51</v>
      </c>
      <c r="D171" s="22" t="s">
        <v>41</v>
      </c>
      <c r="E171" s="22" t="s">
        <v>40</v>
      </c>
      <c r="F171" s="22" t="s">
        <v>20</v>
      </c>
      <c r="G171" s="22" t="s">
        <v>9</v>
      </c>
      <c r="H171" s="23"/>
      <c r="I171" s="23"/>
      <c r="J171" s="23"/>
      <c r="K171" s="19">
        <v>0</v>
      </c>
      <c r="L171" s="16">
        <v>0</v>
      </c>
      <c r="M171" s="16">
        <v>0</v>
      </c>
      <c r="N171" s="16">
        <v>0</v>
      </c>
      <c r="O171" s="23">
        <v>0</v>
      </c>
      <c r="P171" s="23">
        <v>22928</v>
      </c>
    </row>
    <row r="172" spans="1:17" x14ac:dyDescent="0.3">
      <c r="A172" s="15" t="s">
        <v>49</v>
      </c>
      <c r="B172" s="15"/>
      <c r="C172" s="22" t="s">
        <v>51</v>
      </c>
      <c r="D172" s="22" t="s">
        <v>42</v>
      </c>
      <c r="E172" s="22" t="s">
        <v>40</v>
      </c>
      <c r="F172" s="22" t="s">
        <v>20</v>
      </c>
      <c r="G172" s="22" t="s">
        <v>9</v>
      </c>
      <c r="H172" s="23"/>
      <c r="I172" s="23"/>
      <c r="J172" s="23"/>
      <c r="K172" s="19">
        <v>0</v>
      </c>
      <c r="L172" s="16">
        <v>0</v>
      </c>
      <c r="M172" s="16">
        <v>0</v>
      </c>
      <c r="N172" s="16">
        <v>0</v>
      </c>
      <c r="O172" s="23">
        <v>0</v>
      </c>
      <c r="P172" s="23">
        <v>65439</v>
      </c>
    </row>
    <row r="173" spans="1:17" x14ac:dyDescent="0.3">
      <c r="A173" s="15" t="s">
        <v>49</v>
      </c>
      <c r="B173" s="15"/>
      <c r="C173" s="22" t="s">
        <v>51</v>
      </c>
      <c r="D173" s="22" t="s">
        <v>43</v>
      </c>
      <c r="E173" s="22" t="s">
        <v>40</v>
      </c>
      <c r="F173" s="22" t="s">
        <v>20</v>
      </c>
      <c r="G173" s="22" t="s">
        <v>9</v>
      </c>
      <c r="H173" s="23"/>
      <c r="I173" s="23"/>
      <c r="J173" s="23"/>
      <c r="K173" s="19">
        <v>0</v>
      </c>
      <c r="L173" s="16">
        <v>0</v>
      </c>
      <c r="M173" s="16">
        <v>0</v>
      </c>
      <c r="N173" s="16">
        <v>0</v>
      </c>
      <c r="O173" s="23">
        <v>0</v>
      </c>
      <c r="P173" s="23">
        <v>135185</v>
      </c>
    </row>
    <row r="174" spans="1:17" x14ac:dyDescent="0.3">
      <c r="A174" s="15" t="s">
        <v>49</v>
      </c>
      <c r="B174" s="15"/>
      <c r="C174" s="22" t="s">
        <v>51</v>
      </c>
      <c r="D174" s="22" t="s">
        <v>44</v>
      </c>
      <c r="E174" s="22" t="s">
        <v>40</v>
      </c>
      <c r="F174" s="22" t="s">
        <v>20</v>
      </c>
      <c r="G174" s="22" t="s">
        <v>9</v>
      </c>
      <c r="H174" s="23"/>
      <c r="I174" s="23"/>
      <c r="J174" s="23"/>
      <c r="K174" s="19">
        <v>0</v>
      </c>
      <c r="L174" s="16">
        <v>0</v>
      </c>
      <c r="M174" s="16">
        <v>0</v>
      </c>
      <c r="N174" s="16">
        <v>0</v>
      </c>
      <c r="O174" s="23">
        <v>0</v>
      </c>
      <c r="P174" s="23">
        <v>13269</v>
      </c>
    </row>
    <row r="175" spans="1:17" x14ac:dyDescent="0.3">
      <c r="A175" s="15" t="s">
        <v>49</v>
      </c>
      <c r="B175" s="15"/>
      <c r="C175" s="22" t="s">
        <v>51</v>
      </c>
      <c r="D175" s="22" t="s">
        <v>45</v>
      </c>
      <c r="E175" s="22" t="s">
        <v>40</v>
      </c>
      <c r="F175" s="22" t="s">
        <v>20</v>
      </c>
      <c r="G175" s="22" t="s">
        <v>9</v>
      </c>
      <c r="H175" s="23"/>
      <c r="I175" s="23"/>
      <c r="J175" s="23"/>
      <c r="K175" s="19">
        <v>0</v>
      </c>
      <c r="L175" s="16">
        <v>0</v>
      </c>
      <c r="M175" s="16">
        <v>0</v>
      </c>
      <c r="N175" s="16">
        <v>0</v>
      </c>
      <c r="O175" s="23">
        <v>0</v>
      </c>
      <c r="P175" s="23">
        <v>91171</v>
      </c>
    </row>
    <row r="176" spans="1:17" x14ac:dyDescent="0.3">
      <c r="A176" s="15" t="s">
        <v>49</v>
      </c>
      <c r="B176" s="15"/>
      <c r="C176" s="22" t="s">
        <v>51</v>
      </c>
      <c r="D176" s="22" t="s">
        <v>46</v>
      </c>
      <c r="E176" s="22" t="s">
        <v>40</v>
      </c>
      <c r="F176" s="22" t="s">
        <v>20</v>
      </c>
      <c r="G176" s="22" t="s">
        <v>9</v>
      </c>
      <c r="H176" s="23"/>
      <c r="I176" s="23"/>
      <c r="J176" s="23"/>
      <c r="K176" s="19">
        <v>0</v>
      </c>
      <c r="L176" s="16">
        <v>0</v>
      </c>
      <c r="M176" s="16">
        <v>0</v>
      </c>
      <c r="N176" s="16">
        <v>0</v>
      </c>
      <c r="O176" s="23">
        <v>0</v>
      </c>
      <c r="P176" s="23">
        <v>200265</v>
      </c>
    </row>
    <row r="177" spans="1:16" x14ac:dyDescent="0.3">
      <c r="A177" s="15" t="s">
        <v>49</v>
      </c>
      <c r="B177" s="15"/>
      <c r="C177" s="22" t="s">
        <v>51</v>
      </c>
      <c r="D177" s="22" t="s">
        <v>47</v>
      </c>
      <c r="E177" s="22" t="s">
        <v>40</v>
      </c>
      <c r="F177" s="22" t="s">
        <v>20</v>
      </c>
      <c r="G177" s="22" t="s">
        <v>9</v>
      </c>
      <c r="H177" s="23"/>
      <c r="I177" s="23"/>
      <c r="J177" s="23"/>
      <c r="K177" s="19">
        <v>0</v>
      </c>
      <c r="L177" s="16">
        <v>0</v>
      </c>
      <c r="M177" s="16">
        <v>0</v>
      </c>
      <c r="N177" s="16">
        <v>0</v>
      </c>
      <c r="O177" s="23">
        <v>0</v>
      </c>
      <c r="P177" s="23">
        <v>114769</v>
      </c>
    </row>
    <row r="178" spans="1:16" x14ac:dyDescent="0.3">
      <c r="A178" s="15" t="s">
        <v>49</v>
      </c>
      <c r="B178" s="15"/>
      <c r="C178" s="22" t="s">
        <v>51</v>
      </c>
      <c r="D178" s="22" t="s">
        <v>48</v>
      </c>
      <c r="E178" s="22" t="s">
        <v>40</v>
      </c>
      <c r="F178" s="22" t="s">
        <v>20</v>
      </c>
      <c r="G178" s="22" t="s">
        <v>9</v>
      </c>
      <c r="H178" s="23"/>
      <c r="I178" s="23"/>
      <c r="J178" s="23"/>
      <c r="K178" s="19">
        <v>0</v>
      </c>
      <c r="L178" s="16">
        <v>0</v>
      </c>
      <c r="M178" s="16">
        <v>0</v>
      </c>
      <c r="N178" s="16">
        <v>0</v>
      </c>
      <c r="O178" s="23">
        <v>0</v>
      </c>
      <c r="P178" s="23">
        <v>1177964</v>
      </c>
    </row>
    <row r="179" spans="1:16" x14ac:dyDescent="0.3">
      <c r="A179" s="15" t="s">
        <v>49</v>
      </c>
      <c r="B179" s="15"/>
      <c r="C179" s="22" t="s">
        <v>51</v>
      </c>
      <c r="D179" s="22" t="s">
        <v>19</v>
      </c>
      <c r="E179" s="22" t="s">
        <v>40</v>
      </c>
      <c r="F179" s="22" t="s">
        <v>20</v>
      </c>
      <c r="G179" s="22" t="s">
        <v>9</v>
      </c>
      <c r="H179" s="23"/>
      <c r="I179" s="23"/>
      <c r="J179" s="23"/>
      <c r="K179" s="19">
        <v>0</v>
      </c>
      <c r="L179" s="16">
        <v>0</v>
      </c>
      <c r="M179" s="16">
        <v>0</v>
      </c>
      <c r="N179" s="16">
        <v>0</v>
      </c>
      <c r="O179" s="23">
        <v>0</v>
      </c>
      <c r="P179" s="23">
        <v>75819</v>
      </c>
    </row>
    <row r="180" spans="1:16" x14ac:dyDescent="0.3">
      <c r="A180" s="15" t="s">
        <v>49</v>
      </c>
      <c r="B180" s="15"/>
      <c r="C180" s="4" t="s">
        <v>51</v>
      </c>
      <c r="D180" s="4" t="s">
        <v>41</v>
      </c>
      <c r="E180" s="4" t="s">
        <v>40</v>
      </c>
      <c r="F180" s="4" t="s">
        <v>6</v>
      </c>
      <c r="G180" s="4" t="s">
        <v>1</v>
      </c>
      <c r="H180" s="5"/>
      <c r="I180" s="5"/>
      <c r="J180" s="5"/>
      <c r="K180" s="19">
        <v>0</v>
      </c>
      <c r="L180" s="16">
        <v>0</v>
      </c>
      <c r="M180" s="16">
        <v>0</v>
      </c>
      <c r="N180" s="16">
        <v>0</v>
      </c>
      <c r="O180" s="5">
        <v>0</v>
      </c>
      <c r="P180" s="5">
        <v>175160</v>
      </c>
    </row>
    <row r="181" spans="1:16" x14ac:dyDescent="0.3">
      <c r="A181" s="15" t="s">
        <v>49</v>
      </c>
      <c r="B181" s="15"/>
      <c r="C181" s="4" t="s">
        <v>51</v>
      </c>
      <c r="D181" s="4" t="s">
        <v>42</v>
      </c>
      <c r="E181" s="4" t="s">
        <v>40</v>
      </c>
      <c r="F181" s="4" t="s">
        <v>6</v>
      </c>
      <c r="G181" s="4" t="s">
        <v>1</v>
      </c>
      <c r="H181" s="5"/>
      <c r="I181" s="5"/>
      <c r="J181" s="5"/>
      <c r="K181" s="19">
        <v>0</v>
      </c>
      <c r="L181" s="16">
        <v>0</v>
      </c>
      <c r="M181" s="16">
        <v>0</v>
      </c>
      <c r="N181" s="16">
        <v>0</v>
      </c>
      <c r="O181" s="5">
        <v>0</v>
      </c>
      <c r="P181" s="5">
        <v>30786</v>
      </c>
    </row>
    <row r="182" spans="1:16" x14ac:dyDescent="0.3">
      <c r="A182" s="15" t="s">
        <v>49</v>
      </c>
      <c r="B182" s="15"/>
      <c r="C182" s="4" t="s">
        <v>51</v>
      </c>
      <c r="D182" s="4" t="s">
        <v>43</v>
      </c>
      <c r="E182" s="4" t="s">
        <v>40</v>
      </c>
      <c r="F182" s="4" t="s">
        <v>6</v>
      </c>
      <c r="G182" s="4" t="s">
        <v>1</v>
      </c>
      <c r="H182" s="5"/>
      <c r="I182" s="5"/>
      <c r="J182" s="5"/>
      <c r="K182" s="19">
        <v>0</v>
      </c>
      <c r="L182" s="16">
        <v>0</v>
      </c>
      <c r="M182" s="16">
        <v>0</v>
      </c>
      <c r="N182" s="16">
        <v>0</v>
      </c>
      <c r="O182" s="5">
        <v>0</v>
      </c>
      <c r="P182" s="5">
        <v>353621</v>
      </c>
    </row>
    <row r="183" spans="1:16" x14ac:dyDescent="0.3">
      <c r="A183" s="15" t="s">
        <v>49</v>
      </c>
      <c r="B183" s="15"/>
      <c r="C183" s="4" t="s">
        <v>51</v>
      </c>
      <c r="D183" s="4" t="s">
        <v>44</v>
      </c>
      <c r="E183" s="4" t="s">
        <v>40</v>
      </c>
      <c r="F183" s="4" t="s">
        <v>6</v>
      </c>
      <c r="G183" s="4" t="s">
        <v>1</v>
      </c>
      <c r="H183" s="5"/>
      <c r="I183" s="5"/>
      <c r="J183" s="5"/>
      <c r="K183" s="19">
        <v>0</v>
      </c>
      <c r="L183" s="16">
        <v>0</v>
      </c>
      <c r="M183" s="16">
        <v>0</v>
      </c>
      <c r="N183" s="16">
        <v>0</v>
      </c>
      <c r="O183" s="5">
        <v>0</v>
      </c>
      <c r="P183" s="5">
        <v>12821</v>
      </c>
    </row>
    <row r="184" spans="1:16" x14ac:dyDescent="0.3">
      <c r="A184" s="15" t="s">
        <v>49</v>
      </c>
      <c r="B184" s="15"/>
      <c r="C184" s="4" t="s">
        <v>51</v>
      </c>
      <c r="D184" s="4" t="s">
        <v>45</v>
      </c>
      <c r="E184" s="4" t="s">
        <v>40</v>
      </c>
      <c r="F184" s="4" t="s">
        <v>6</v>
      </c>
      <c r="G184" s="4" t="s">
        <v>1</v>
      </c>
      <c r="H184" s="5"/>
      <c r="I184" s="5"/>
      <c r="J184" s="5"/>
      <c r="K184" s="19">
        <v>0</v>
      </c>
      <c r="L184" s="16">
        <v>0</v>
      </c>
      <c r="M184" s="16">
        <v>0</v>
      </c>
      <c r="N184" s="16">
        <v>0</v>
      </c>
      <c r="O184" s="5">
        <v>0</v>
      </c>
      <c r="P184" s="5">
        <v>487399</v>
      </c>
    </row>
    <row r="185" spans="1:16" x14ac:dyDescent="0.3">
      <c r="A185" s="15" t="s">
        <v>49</v>
      </c>
      <c r="B185" s="15"/>
      <c r="C185" s="4" t="s">
        <v>51</v>
      </c>
      <c r="D185" s="4" t="s">
        <v>46</v>
      </c>
      <c r="E185" s="4" t="s">
        <v>40</v>
      </c>
      <c r="F185" s="4" t="s">
        <v>6</v>
      </c>
      <c r="G185" s="4" t="s">
        <v>1</v>
      </c>
      <c r="H185" s="5"/>
      <c r="I185" s="5"/>
      <c r="J185" s="5"/>
      <c r="K185" s="19">
        <v>0</v>
      </c>
      <c r="L185" s="16">
        <v>0</v>
      </c>
      <c r="M185" s="16">
        <v>0</v>
      </c>
      <c r="N185" s="16">
        <v>0</v>
      </c>
      <c r="O185" s="5">
        <v>0</v>
      </c>
      <c r="P185" s="5">
        <v>481198</v>
      </c>
    </row>
    <row r="186" spans="1:16" x14ac:dyDescent="0.3">
      <c r="A186" s="15" t="s">
        <v>49</v>
      </c>
      <c r="B186" s="15"/>
      <c r="C186" s="4" t="s">
        <v>51</v>
      </c>
      <c r="D186" s="4" t="s">
        <v>47</v>
      </c>
      <c r="E186" s="4" t="s">
        <v>40</v>
      </c>
      <c r="F186" s="4" t="s">
        <v>6</v>
      </c>
      <c r="G186" s="4" t="s">
        <v>1</v>
      </c>
      <c r="H186" s="5"/>
      <c r="I186" s="5"/>
      <c r="J186" s="5"/>
      <c r="K186" s="19">
        <v>0</v>
      </c>
      <c r="L186" s="16">
        <v>0</v>
      </c>
      <c r="M186" s="16">
        <v>0</v>
      </c>
      <c r="N186" s="16">
        <v>0</v>
      </c>
      <c r="O186" s="5">
        <v>0</v>
      </c>
      <c r="P186" s="5">
        <v>328248</v>
      </c>
    </row>
    <row r="187" spans="1:16" x14ac:dyDescent="0.3">
      <c r="A187" s="15" t="s">
        <v>49</v>
      </c>
      <c r="B187" s="15"/>
      <c r="C187" s="4" t="s">
        <v>51</v>
      </c>
      <c r="D187" s="4" t="s">
        <v>48</v>
      </c>
      <c r="E187" s="4" t="s">
        <v>40</v>
      </c>
      <c r="F187" s="4" t="s">
        <v>6</v>
      </c>
      <c r="G187" s="4" t="s">
        <v>1</v>
      </c>
      <c r="H187" s="5"/>
      <c r="I187" s="5"/>
      <c r="J187" s="5"/>
      <c r="K187" s="19">
        <v>0</v>
      </c>
      <c r="L187" s="16">
        <v>0</v>
      </c>
      <c r="M187" s="16">
        <v>0</v>
      </c>
      <c r="N187" s="16">
        <v>0</v>
      </c>
      <c r="O187" s="5">
        <v>0</v>
      </c>
      <c r="P187" s="5">
        <v>935525</v>
      </c>
    </row>
    <row r="188" spans="1:16" x14ac:dyDescent="0.3">
      <c r="A188" s="15" t="s">
        <v>49</v>
      </c>
      <c r="B188" s="15"/>
      <c r="C188" s="4" t="s">
        <v>51</v>
      </c>
      <c r="D188" s="4" t="s">
        <v>19</v>
      </c>
      <c r="E188" s="4" t="s">
        <v>40</v>
      </c>
      <c r="F188" s="4" t="s">
        <v>6</v>
      </c>
      <c r="G188" s="4" t="s">
        <v>1</v>
      </c>
      <c r="H188" s="5"/>
      <c r="I188" s="5"/>
      <c r="J188" s="5"/>
      <c r="K188" s="19">
        <v>0</v>
      </c>
      <c r="L188" s="16">
        <v>0</v>
      </c>
      <c r="M188" s="16">
        <v>0</v>
      </c>
      <c r="N188" s="16">
        <v>0</v>
      </c>
      <c r="O188" s="5">
        <v>0</v>
      </c>
      <c r="P188" s="5">
        <v>89148</v>
      </c>
    </row>
    <row r="189" spans="1:16" x14ac:dyDescent="0.3">
      <c r="A189" s="15" t="s">
        <v>49</v>
      </c>
      <c r="B189" s="15"/>
      <c r="C189" s="22" t="s">
        <v>51</v>
      </c>
      <c r="D189" s="22" t="s">
        <v>41</v>
      </c>
      <c r="E189" s="22" t="s">
        <v>40</v>
      </c>
      <c r="F189" s="22" t="s">
        <v>6</v>
      </c>
      <c r="G189" s="22" t="s">
        <v>9</v>
      </c>
      <c r="H189" s="23"/>
      <c r="I189" s="23"/>
      <c r="J189" s="23"/>
      <c r="K189" s="19">
        <v>0</v>
      </c>
      <c r="L189" s="16">
        <v>0</v>
      </c>
      <c r="M189" s="16">
        <v>0</v>
      </c>
      <c r="N189" s="16">
        <v>0</v>
      </c>
      <c r="O189" s="23">
        <v>0</v>
      </c>
      <c r="P189" s="23">
        <v>16634</v>
      </c>
    </row>
    <row r="190" spans="1:16" x14ac:dyDescent="0.3">
      <c r="A190" s="15" t="s">
        <v>49</v>
      </c>
      <c r="B190" s="15"/>
      <c r="C190" s="22" t="s">
        <v>51</v>
      </c>
      <c r="D190" s="22" t="s">
        <v>42</v>
      </c>
      <c r="E190" s="22" t="s">
        <v>40</v>
      </c>
      <c r="F190" s="22" t="s">
        <v>6</v>
      </c>
      <c r="G190" s="22" t="s">
        <v>9</v>
      </c>
      <c r="H190" s="23"/>
      <c r="I190" s="23"/>
      <c r="J190" s="23"/>
      <c r="K190" s="19">
        <v>0</v>
      </c>
      <c r="L190" s="16">
        <v>0</v>
      </c>
      <c r="M190" s="16">
        <v>0</v>
      </c>
      <c r="N190" s="16">
        <v>0</v>
      </c>
      <c r="O190" s="23">
        <v>0</v>
      </c>
      <c r="P190" s="23">
        <v>56186</v>
      </c>
    </row>
    <row r="191" spans="1:16" x14ac:dyDescent="0.3">
      <c r="A191" s="15" t="s">
        <v>49</v>
      </c>
      <c r="B191" s="15"/>
      <c r="C191" s="22" t="s">
        <v>51</v>
      </c>
      <c r="D191" s="22" t="s">
        <v>43</v>
      </c>
      <c r="E191" s="22" t="s">
        <v>40</v>
      </c>
      <c r="F191" s="22" t="s">
        <v>6</v>
      </c>
      <c r="G191" s="22" t="s">
        <v>9</v>
      </c>
      <c r="H191" s="23"/>
      <c r="I191" s="23"/>
      <c r="J191" s="23"/>
      <c r="K191" s="19">
        <v>0</v>
      </c>
      <c r="L191" s="16">
        <v>0</v>
      </c>
      <c r="M191" s="16">
        <v>0</v>
      </c>
      <c r="N191" s="16">
        <v>0</v>
      </c>
      <c r="O191" s="23">
        <v>0</v>
      </c>
      <c r="P191" s="23">
        <v>101584</v>
      </c>
    </row>
    <row r="192" spans="1:16" x14ac:dyDescent="0.3">
      <c r="A192" s="15" t="s">
        <v>49</v>
      </c>
      <c r="B192" s="15"/>
      <c r="C192" s="22" t="s">
        <v>51</v>
      </c>
      <c r="D192" s="22" t="s">
        <v>44</v>
      </c>
      <c r="E192" s="22" t="s">
        <v>40</v>
      </c>
      <c r="F192" s="22" t="s">
        <v>6</v>
      </c>
      <c r="G192" s="22" t="s">
        <v>9</v>
      </c>
      <c r="H192" s="23"/>
      <c r="I192" s="23"/>
      <c r="J192" s="23"/>
      <c r="K192" s="19">
        <v>0</v>
      </c>
      <c r="L192" s="16">
        <v>0</v>
      </c>
      <c r="M192" s="16">
        <v>0</v>
      </c>
      <c r="N192" s="16">
        <v>0</v>
      </c>
      <c r="O192" s="23">
        <v>0</v>
      </c>
      <c r="P192" s="23">
        <v>9668</v>
      </c>
    </row>
    <row r="193" spans="1:16" x14ac:dyDescent="0.3">
      <c r="A193" s="15" t="s">
        <v>49</v>
      </c>
      <c r="B193" s="15"/>
      <c r="C193" s="22" t="s">
        <v>51</v>
      </c>
      <c r="D193" s="22" t="s">
        <v>45</v>
      </c>
      <c r="E193" s="22" t="s">
        <v>40</v>
      </c>
      <c r="F193" s="22" t="s">
        <v>6</v>
      </c>
      <c r="G193" s="22" t="s">
        <v>9</v>
      </c>
      <c r="H193" s="23"/>
      <c r="I193" s="23"/>
      <c r="J193" s="23"/>
      <c r="K193" s="19">
        <v>0</v>
      </c>
      <c r="L193" s="16">
        <v>0</v>
      </c>
      <c r="M193" s="16">
        <v>0</v>
      </c>
      <c r="N193" s="16">
        <v>0</v>
      </c>
      <c r="O193" s="23">
        <v>0</v>
      </c>
      <c r="P193" s="23">
        <v>74948</v>
      </c>
    </row>
    <row r="194" spans="1:16" x14ac:dyDescent="0.3">
      <c r="A194" s="15" t="s">
        <v>49</v>
      </c>
      <c r="B194" s="15"/>
      <c r="C194" s="22" t="s">
        <v>51</v>
      </c>
      <c r="D194" s="22" t="s">
        <v>46</v>
      </c>
      <c r="E194" s="22" t="s">
        <v>40</v>
      </c>
      <c r="F194" s="22" t="s">
        <v>6</v>
      </c>
      <c r="G194" s="22" t="s">
        <v>9</v>
      </c>
      <c r="H194" s="23"/>
      <c r="I194" s="23"/>
      <c r="J194" s="23"/>
      <c r="K194" s="19">
        <v>0</v>
      </c>
      <c r="L194" s="16">
        <v>0</v>
      </c>
      <c r="M194" s="16">
        <v>0</v>
      </c>
      <c r="N194" s="16">
        <v>0</v>
      </c>
      <c r="O194" s="23">
        <v>0</v>
      </c>
      <c r="P194" s="23">
        <v>119462</v>
      </c>
    </row>
    <row r="195" spans="1:16" x14ac:dyDescent="0.3">
      <c r="A195" s="15" t="s">
        <v>49</v>
      </c>
      <c r="B195" s="15"/>
      <c r="C195" s="22" t="s">
        <v>51</v>
      </c>
      <c r="D195" s="22" t="s">
        <v>47</v>
      </c>
      <c r="E195" s="22" t="s">
        <v>40</v>
      </c>
      <c r="F195" s="22" t="s">
        <v>6</v>
      </c>
      <c r="G195" s="22" t="s">
        <v>9</v>
      </c>
      <c r="H195" s="23"/>
      <c r="I195" s="23"/>
      <c r="J195" s="23"/>
      <c r="K195" s="19">
        <v>0</v>
      </c>
      <c r="L195" s="16">
        <v>0</v>
      </c>
      <c r="M195" s="16">
        <v>0</v>
      </c>
      <c r="N195" s="16">
        <v>0</v>
      </c>
      <c r="O195" s="23">
        <v>0</v>
      </c>
      <c r="P195" s="23">
        <v>88372</v>
      </c>
    </row>
    <row r="196" spans="1:16" x14ac:dyDescent="0.3">
      <c r="A196" s="15" t="s">
        <v>49</v>
      </c>
      <c r="B196" s="15"/>
      <c r="C196" s="22" t="s">
        <v>51</v>
      </c>
      <c r="D196" s="22" t="s">
        <v>48</v>
      </c>
      <c r="E196" s="22" t="s">
        <v>40</v>
      </c>
      <c r="F196" s="22" t="s">
        <v>6</v>
      </c>
      <c r="G196" s="22" t="s">
        <v>9</v>
      </c>
      <c r="H196" s="23"/>
      <c r="I196" s="23"/>
      <c r="J196" s="23"/>
      <c r="K196" s="19">
        <v>0</v>
      </c>
      <c r="L196" s="16">
        <v>0</v>
      </c>
      <c r="M196" s="16">
        <v>0</v>
      </c>
      <c r="N196" s="16">
        <v>0</v>
      </c>
      <c r="O196" s="23">
        <v>0</v>
      </c>
      <c r="P196" s="23">
        <v>413075</v>
      </c>
    </row>
    <row r="197" spans="1:16" x14ac:dyDescent="0.3">
      <c r="A197" s="15" t="s">
        <v>49</v>
      </c>
      <c r="B197" s="15"/>
      <c r="C197" s="22" t="s">
        <v>51</v>
      </c>
      <c r="D197" s="22" t="s">
        <v>19</v>
      </c>
      <c r="E197" s="22" t="s">
        <v>40</v>
      </c>
      <c r="F197" s="22" t="s">
        <v>6</v>
      </c>
      <c r="G197" s="22" t="s">
        <v>9</v>
      </c>
      <c r="H197" s="23"/>
      <c r="I197" s="23"/>
      <c r="J197" s="23"/>
      <c r="K197" s="19">
        <v>0</v>
      </c>
      <c r="L197" s="16">
        <v>0</v>
      </c>
      <c r="M197" s="16">
        <v>0</v>
      </c>
      <c r="N197" s="16">
        <v>0</v>
      </c>
      <c r="O197" s="23">
        <v>0</v>
      </c>
      <c r="P197" s="23">
        <v>26578</v>
      </c>
    </row>
    <row r="198" spans="1:16" x14ac:dyDescent="0.3">
      <c r="A198" s="15" t="s">
        <v>49</v>
      </c>
      <c r="B198" s="15"/>
      <c r="C198" s="15" t="s">
        <v>51</v>
      </c>
      <c r="D198" s="15" t="s">
        <v>41</v>
      </c>
      <c r="E198" s="15" t="s">
        <v>40</v>
      </c>
      <c r="F198" s="15" t="s">
        <v>7</v>
      </c>
      <c r="G198" s="15" t="s">
        <v>1</v>
      </c>
      <c r="H198" s="16"/>
      <c r="I198" s="16"/>
      <c r="J198" s="16"/>
      <c r="K198" s="19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118529</v>
      </c>
    </row>
    <row r="199" spans="1:16" x14ac:dyDescent="0.3">
      <c r="A199" s="15" t="s">
        <v>49</v>
      </c>
      <c r="B199" s="15"/>
      <c r="C199" s="15" t="s">
        <v>51</v>
      </c>
      <c r="D199" s="15" t="s">
        <v>42</v>
      </c>
      <c r="E199" s="15" t="s">
        <v>40</v>
      </c>
      <c r="F199" s="15" t="s">
        <v>7</v>
      </c>
      <c r="G199" s="15" t="s">
        <v>1</v>
      </c>
      <c r="H199" s="16"/>
      <c r="I199" s="16"/>
      <c r="J199" s="16"/>
      <c r="K199" s="19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4939</v>
      </c>
    </row>
    <row r="200" spans="1:16" x14ac:dyDescent="0.3">
      <c r="A200" s="15" t="s">
        <v>49</v>
      </c>
      <c r="B200" s="15"/>
      <c r="C200" s="15" t="s">
        <v>51</v>
      </c>
      <c r="D200" s="15" t="s">
        <v>43</v>
      </c>
      <c r="E200" s="15" t="s">
        <v>40</v>
      </c>
      <c r="F200" s="15" t="s">
        <v>7</v>
      </c>
      <c r="G200" s="15" t="s">
        <v>1</v>
      </c>
      <c r="H200" s="16"/>
      <c r="I200" s="16"/>
      <c r="J200" s="16"/>
      <c r="K200" s="19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213688</v>
      </c>
    </row>
    <row r="201" spans="1:16" x14ac:dyDescent="0.3">
      <c r="A201" s="15" t="s">
        <v>49</v>
      </c>
      <c r="B201" s="15"/>
      <c r="C201" s="15" t="s">
        <v>51</v>
      </c>
      <c r="D201" s="15" t="s">
        <v>44</v>
      </c>
      <c r="E201" s="15" t="s">
        <v>40</v>
      </c>
      <c r="F201" s="15" t="s">
        <v>7</v>
      </c>
      <c r="G201" s="15" t="s">
        <v>1</v>
      </c>
      <c r="H201" s="16"/>
      <c r="I201" s="16"/>
      <c r="J201" s="16"/>
      <c r="K201" s="19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5303</v>
      </c>
    </row>
    <row r="202" spans="1:16" x14ac:dyDescent="0.3">
      <c r="A202" s="15" t="s">
        <v>49</v>
      </c>
      <c r="B202" s="15"/>
      <c r="C202" s="15" t="s">
        <v>51</v>
      </c>
      <c r="D202" s="15" t="s">
        <v>45</v>
      </c>
      <c r="E202" s="15" t="s">
        <v>40</v>
      </c>
      <c r="F202" s="15" t="s">
        <v>7</v>
      </c>
      <c r="G202" s="15" t="s">
        <v>1</v>
      </c>
      <c r="H202" s="16"/>
      <c r="I202" s="16"/>
      <c r="J202" s="16"/>
      <c r="K202" s="19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91363</v>
      </c>
    </row>
    <row r="203" spans="1:16" x14ac:dyDescent="0.3">
      <c r="A203" s="15" t="s">
        <v>49</v>
      </c>
      <c r="B203" s="15"/>
      <c r="C203" s="15" t="s">
        <v>51</v>
      </c>
      <c r="D203" s="15" t="s">
        <v>46</v>
      </c>
      <c r="E203" s="15" t="s">
        <v>40</v>
      </c>
      <c r="F203" s="15" t="s">
        <v>7</v>
      </c>
      <c r="G203" s="15" t="s">
        <v>1</v>
      </c>
      <c r="H203" s="16"/>
      <c r="I203" s="16"/>
      <c r="J203" s="16"/>
      <c r="K203" s="19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939363</v>
      </c>
    </row>
    <row r="204" spans="1:16" x14ac:dyDescent="0.3">
      <c r="A204" s="15" t="s">
        <v>49</v>
      </c>
      <c r="B204" s="15"/>
      <c r="C204" s="15" t="s">
        <v>51</v>
      </c>
      <c r="D204" s="15" t="s">
        <v>47</v>
      </c>
      <c r="E204" s="15" t="s">
        <v>40</v>
      </c>
      <c r="F204" s="15" t="s">
        <v>7</v>
      </c>
      <c r="G204" s="15" t="s">
        <v>1</v>
      </c>
      <c r="H204" s="16"/>
      <c r="I204" s="16"/>
      <c r="J204" s="16"/>
      <c r="K204" s="19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105898</v>
      </c>
    </row>
    <row r="205" spans="1:16" x14ac:dyDescent="0.3">
      <c r="A205" s="15" t="s">
        <v>49</v>
      </c>
      <c r="B205" s="15"/>
      <c r="C205" s="15" t="s">
        <v>51</v>
      </c>
      <c r="D205" s="15" t="s">
        <v>48</v>
      </c>
      <c r="E205" s="15" t="s">
        <v>40</v>
      </c>
      <c r="F205" s="15" t="s">
        <v>7</v>
      </c>
      <c r="G205" s="15" t="s">
        <v>1</v>
      </c>
      <c r="H205" s="16"/>
      <c r="I205" s="16"/>
      <c r="J205" s="16"/>
      <c r="K205" s="19">
        <v>0</v>
      </c>
      <c r="L205" s="16">
        <v>0</v>
      </c>
      <c r="M205" s="16">
        <v>0</v>
      </c>
      <c r="N205" s="16">
        <v>0</v>
      </c>
      <c r="O205" s="16">
        <v>0</v>
      </c>
      <c r="P205" s="16">
        <v>2463734</v>
      </c>
    </row>
    <row r="206" spans="1:16" x14ac:dyDescent="0.3">
      <c r="A206" s="15" t="s">
        <v>49</v>
      </c>
      <c r="B206" s="15"/>
      <c r="C206" s="15" t="s">
        <v>51</v>
      </c>
      <c r="D206" s="15" t="s">
        <v>19</v>
      </c>
      <c r="E206" s="15" t="s">
        <v>40</v>
      </c>
      <c r="F206" s="15" t="s">
        <v>7</v>
      </c>
      <c r="G206" s="15" t="s">
        <v>1</v>
      </c>
      <c r="H206" s="16"/>
      <c r="I206" s="16"/>
      <c r="J206" s="16"/>
      <c r="K206" s="19">
        <v>0</v>
      </c>
      <c r="L206" s="16">
        <v>0</v>
      </c>
      <c r="M206" s="16">
        <v>0</v>
      </c>
      <c r="N206" s="16">
        <v>0</v>
      </c>
      <c r="O206" s="16">
        <v>0</v>
      </c>
      <c r="P206" s="16">
        <v>213193</v>
      </c>
    </row>
    <row r="207" spans="1:16" x14ac:dyDescent="0.3">
      <c r="A207" s="15" t="s">
        <v>49</v>
      </c>
      <c r="B207" s="15"/>
      <c r="C207" s="22" t="s">
        <v>51</v>
      </c>
      <c r="D207" s="22" t="s">
        <v>41</v>
      </c>
      <c r="E207" s="22" t="s">
        <v>40</v>
      </c>
      <c r="F207" s="22" t="s">
        <v>7</v>
      </c>
      <c r="G207" s="22" t="s">
        <v>9</v>
      </c>
      <c r="H207" s="23"/>
      <c r="I207" s="23"/>
      <c r="J207" s="23"/>
      <c r="K207" s="19">
        <v>0</v>
      </c>
      <c r="L207" s="16">
        <v>0</v>
      </c>
      <c r="M207" s="16">
        <v>0</v>
      </c>
      <c r="N207" s="16">
        <v>0</v>
      </c>
      <c r="O207" s="23">
        <v>0</v>
      </c>
      <c r="P207" s="23">
        <v>6294</v>
      </c>
    </row>
    <row r="208" spans="1:16" x14ac:dyDescent="0.3">
      <c r="A208" s="15" t="s">
        <v>49</v>
      </c>
      <c r="B208" s="15"/>
      <c r="C208" s="22" t="s">
        <v>51</v>
      </c>
      <c r="D208" s="22" t="s">
        <v>42</v>
      </c>
      <c r="E208" s="22" t="s">
        <v>40</v>
      </c>
      <c r="F208" s="22" t="s">
        <v>7</v>
      </c>
      <c r="G208" s="22" t="s">
        <v>9</v>
      </c>
      <c r="H208" s="23"/>
      <c r="I208" s="23"/>
      <c r="J208" s="23"/>
      <c r="K208" s="19">
        <v>0</v>
      </c>
      <c r="L208" s="16">
        <v>0</v>
      </c>
      <c r="M208" s="16">
        <v>0</v>
      </c>
      <c r="N208" s="16">
        <v>0</v>
      </c>
      <c r="O208" s="23">
        <v>0</v>
      </c>
      <c r="P208" s="23">
        <v>9253</v>
      </c>
    </row>
    <row r="209" spans="1:16" x14ac:dyDescent="0.3">
      <c r="A209" s="15" t="s">
        <v>49</v>
      </c>
      <c r="B209" s="15"/>
      <c r="C209" s="22" t="s">
        <v>51</v>
      </c>
      <c r="D209" s="22" t="s">
        <v>43</v>
      </c>
      <c r="E209" s="22" t="s">
        <v>40</v>
      </c>
      <c r="F209" s="22" t="s">
        <v>7</v>
      </c>
      <c r="G209" s="22" t="s">
        <v>9</v>
      </c>
      <c r="H209" s="23"/>
      <c r="I209" s="23"/>
      <c r="J209" s="23"/>
      <c r="K209" s="19">
        <v>0</v>
      </c>
      <c r="L209" s="16">
        <v>0</v>
      </c>
      <c r="M209" s="16">
        <v>0</v>
      </c>
      <c r="N209" s="16">
        <v>0</v>
      </c>
      <c r="O209" s="23">
        <v>0</v>
      </c>
      <c r="P209" s="23">
        <v>33601</v>
      </c>
    </row>
    <row r="210" spans="1:16" x14ac:dyDescent="0.3">
      <c r="A210" s="15" t="s">
        <v>49</v>
      </c>
      <c r="B210" s="15"/>
      <c r="C210" s="22" t="s">
        <v>51</v>
      </c>
      <c r="D210" s="22" t="s">
        <v>44</v>
      </c>
      <c r="E210" s="22" t="s">
        <v>40</v>
      </c>
      <c r="F210" s="22" t="s">
        <v>7</v>
      </c>
      <c r="G210" s="22" t="s">
        <v>9</v>
      </c>
      <c r="H210" s="23"/>
      <c r="I210" s="23"/>
      <c r="J210" s="23"/>
      <c r="K210" s="19">
        <v>0</v>
      </c>
      <c r="L210" s="16">
        <v>0</v>
      </c>
      <c r="M210" s="16">
        <v>0</v>
      </c>
      <c r="N210" s="16">
        <v>0</v>
      </c>
      <c r="O210" s="23">
        <v>0</v>
      </c>
      <c r="P210" s="23">
        <v>3601</v>
      </c>
    </row>
    <row r="211" spans="1:16" x14ac:dyDescent="0.3">
      <c r="A211" s="15" t="s">
        <v>49</v>
      </c>
      <c r="B211" s="15"/>
      <c r="C211" s="22" t="s">
        <v>51</v>
      </c>
      <c r="D211" s="22" t="s">
        <v>45</v>
      </c>
      <c r="E211" s="22" t="s">
        <v>40</v>
      </c>
      <c r="F211" s="22" t="s">
        <v>7</v>
      </c>
      <c r="G211" s="22" t="s">
        <v>9</v>
      </c>
      <c r="H211" s="23"/>
      <c r="I211" s="23"/>
      <c r="J211" s="23"/>
      <c r="K211" s="19">
        <v>0</v>
      </c>
      <c r="L211" s="16">
        <v>0</v>
      </c>
      <c r="M211" s="16">
        <v>0</v>
      </c>
      <c r="N211" s="16">
        <v>0</v>
      </c>
      <c r="O211" s="23">
        <v>0</v>
      </c>
      <c r="P211" s="23">
        <v>16222</v>
      </c>
    </row>
    <row r="212" spans="1:16" x14ac:dyDescent="0.3">
      <c r="A212" s="15" t="s">
        <v>49</v>
      </c>
      <c r="B212" s="15"/>
      <c r="C212" s="22" t="s">
        <v>51</v>
      </c>
      <c r="D212" s="22" t="s">
        <v>46</v>
      </c>
      <c r="E212" s="22" t="s">
        <v>40</v>
      </c>
      <c r="F212" s="22" t="s">
        <v>7</v>
      </c>
      <c r="G212" s="22" t="s">
        <v>9</v>
      </c>
      <c r="H212" s="23"/>
      <c r="I212" s="23"/>
      <c r="J212" s="23"/>
      <c r="K212" s="19">
        <v>0</v>
      </c>
      <c r="L212" s="16">
        <v>0</v>
      </c>
      <c r="M212" s="16">
        <v>0</v>
      </c>
      <c r="N212" s="16">
        <v>0</v>
      </c>
      <c r="O212" s="23">
        <v>0</v>
      </c>
      <c r="P212" s="23">
        <v>80803</v>
      </c>
    </row>
    <row r="213" spans="1:16" x14ac:dyDescent="0.3">
      <c r="A213" s="15" t="s">
        <v>49</v>
      </c>
      <c r="B213" s="15"/>
      <c r="C213" s="22" t="s">
        <v>51</v>
      </c>
      <c r="D213" s="22" t="s">
        <v>47</v>
      </c>
      <c r="E213" s="22" t="s">
        <v>40</v>
      </c>
      <c r="F213" s="22" t="s">
        <v>7</v>
      </c>
      <c r="G213" s="22" t="s">
        <v>9</v>
      </c>
      <c r="H213" s="23"/>
      <c r="I213" s="23"/>
      <c r="J213" s="23"/>
      <c r="K213" s="19">
        <v>0</v>
      </c>
      <c r="L213" s="16">
        <v>0</v>
      </c>
      <c r="M213" s="16">
        <v>0</v>
      </c>
      <c r="N213" s="16">
        <v>0</v>
      </c>
      <c r="O213" s="23">
        <v>0</v>
      </c>
      <c r="P213" s="23">
        <v>26396</v>
      </c>
    </row>
    <row r="214" spans="1:16" x14ac:dyDescent="0.3">
      <c r="A214" s="15" t="s">
        <v>49</v>
      </c>
      <c r="B214" s="15"/>
      <c r="C214" s="22" t="s">
        <v>51</v>
      </c>
      <c r="D214" s="22" t="s">
        <v>48</v>
      </c>
      <c r="E214" s="22" t="s">
        <v>40</v>
      </c>
      <c r="F214" s="22" t="s">
        <v>7</v>
      </c>
      <c r="G214" s="22" t="s">
        <v>9</v>
      </c>
      <c r="H214" s="23"/>
      <c r="I214" s="23"/>
      <c r="J214" s="23"/>
      <c r="K214" s="19">
        <v>0</v>
      </c>
      <c r="L214" s="16">
        <v>0</v>
      </c>
      <c r="M214" s="16">
        <v>0</v>
      </c>
      <c r="N214" s="16">
        <v>0</v>
      </c>
      <c r="O214" s="23">
        <v>0</v>
      </c>
      <c r="P214" s="23">
        <v>764888</v>
      </c>
    </row>
    <row r="215" spans="1:16" x14ac:dyDescent="0.3">
      <c r="A215" s="15" t="s">
        <v>49</v>
      </c>
      <c r="B215" s="15"/>
      <c r="C215" s="22" t="s">
        <v>51</v>
      </c>
      <c r="D215" s="22" t="s">
        <v>19</v>
      </c>
      <c r="E215" s="22" t="s">
        <v>40</v>
      </c>
      <c r="F215" s="22" t="s">
        <v>7</v>
      </c>
      <c r="G215" s="22" t="s">
        <v>9</v>
      </c>
      <c r="H215" s="23"/>
      <c r="I215" s="23"/>
      <c r="J215" s="23"/>
      <c r="K215" s="19">
        <v>0</v>
      </c>
      <c r="L215" s="16">
        <v>0</v>
      </c>
      <c r="M215" s="16">
        <v>0</v>
      </c>
      <c r="N215" s="16">
        <v>0</v>
      </c>
      <c r="O215" s="23">
        <v>0</v>
      </c>
      <c r="P215" s="23">
        <v>49241</v>
      </c>
    </row>
    <row r="216" spans="1:16" x14ac:dyDescent="0.3">
      <c r="A216" s="6" t="s">
        <v>54</v>
      </c>
      <c r="B216" s="6" t="s">
        <v>55</v>
      </c>
      <c r="C216" s="6" t="s">
        <v>51</v>
      </c>
      <c r="D216" s="6" t="s">
        <v>52</v>
      </c>
      <c r="E216" s="6" t="s">
        <v>40</v>
      </c>
      <c r="F216" s="6" t="s">
        <v>20</v>
      </c>
      <c r="G216" s="6" t="s">
        <v>1</v>
      </c>
      <c r="H216" s="7"/>
      <c r="I216" s="7"/>
      <c r="J216" s="7"/>
      <c r="K216" s="7"/>
      <c r="L216" s="7">
        <f>VLOOKUP(B216,[4]C5_LMA_DIAG!$A$6:$C$17,2,FALSE)</f>
        <v>895548</v>
      </c>
      <c r="M216" s="7">
        <f>VLOOKUP(B216,[5]C6_LMA_DIAG!$A$6:$C$17,2,FALSE)</f>
        <v>1006447</v>
      </c>
      <c r="N216" s="7">
        <f>VLOOKUP(B216,[6]C6_LMA_DIAG!$A$6:$C$19,2,FALSE)</f>
        <v>1121980</v>
      </c>
      <c r="O216" s="7">
        <f>VLOOKUP(B216,[1]C6_LMA_DIAG!$A$7:$C$20,2,FALSE)</f>
        <v>1752698</v>
      </c>
      <c r="P216" s="7">
        <v>2052177</v>
      </c>
    </row>
    <row r="217" spans="1:16" x14ac:dyDescent="0.3">
      <c r="A217" s="6" t="s">
        <v>54</v>
      </c>
      <c r="B217" s="6" t="s">
        <v>56</v>
      </c>
      <c r="C217" s="6" t="s">
        <v>51</v>
      </c>
      <c r="D217" s="6" t="s">
        <v>52</v>
      </c>
      <c r="E217" s="6" t="s">
        <v>40</v>
      </c>
      <c r="F217" s="6" t="s">
        <v>20</v>
      </c>
      <c r="G217" s="6" t="s">
        <v>1</v>
      </c>
      <c r="H217" s="7"/>
      <c r="I217" s="7"/>
      <c r="J217" s="7"/>
      <c r="K217" s="7"/>
      <c r="L217" s="7">
        <f>VLOOKUP(B217,[4]C5_LMA_DIAG!$A$6:$C$17,2,FALSE)</f>
        <v>910912</v>
      </c>
      <c r="M217" s="7">
        <f>VLOOKUP(B217,[5]C6_LMA_DIAG!$A$6:$C$17,2,FALSE)</f>
        <v>965688</v>
      </c>
      <c r="N217" s="7">
        <f>VLOOKUP(B217,[6]C6_LMA_DIAG!$A$6:$C$19,2,FALSE)</f>
        <v>782342</v>
      </c>
      <c r="O217" s="7">
        <f>VLOOKUP(B217,[1]C6_LMA_DIAG!$A$7:$C$20,2,FALSE)</f>
        <v>1190512</v>
      </c>
      <c r="P217" s="7">
        <v>1232905</v>
      </c>
    </row>
    <row r="218" spans="1:16" x14ac:dyDescent="0.3">
      <c r="A218" s="6" t="s">
        <v>54</v>
      </c>
      <c r="B218" s="6" t="s">
        <v>57</v>
      </c>
      <c r="C218" s="6" t="s">
        <v>51</v>
      </c>
      <c r="D218" s="6" t="s">
        <v>52</v>
      </c>
      <c r="E218" s="6" t="s">
        <v>40</v>
      </c>
      <c r="F218" s="6" t="s">
        <v>20</v>
      </c>
      <c r="G218" s="6" t="s">
        <v>1</v>
      </c>
      <c r="H218" s="7"/>
      <c r="I218" s="7"/>
      <c r="J218" s="7"/>
      <c r="K218" s="7"/>
      <c r="L218" s="7">
        <f>VLOOKUP(B218,[4]C5_LMA_DIAG!$A$6:$C$17,2,FALSE)</f>
        <v>532286</v>
      </c>
      <c r="M218" s="7">
        <f>VLOOKUP(B218,[5]C6_LMA_DIAG!$A$6:$C$17,2,FALSE)</f>
        <v>577880</v>
      </c>
      <c r="N218" s="7">
        <f>VLOOKUP(B218,[6]C6_LMA_DIAG!$A$6:$C$19,2,FALSE)</f>
        <v>297507</v>
      </c>
      <c r="O218" s="7">
        <f>VLOOKUP(B218,[1]C6_LMA_DIAG!$A$7:$C$20,2,FALSE)</f>
        <v>261620</v>
      </c>
      <c r="P218" s="7">
        <v>612429</v>
      </c>
    </row>
    <row r="219" spans="1:16" x14ac:dyDescent="0.3">
      <c r="A219" s="6" t="s">
        <v>54</v>
      </c>
      <c r="B219" s="6" t="s">
        <v>58</v>
      </c>
      <c r="C219" s="6" t="s">
        <v>51</v>
      </c>
      <c r="D219" s="6" t="s">
        <v>52</v>
      </c>
      <c r="E219" s="6" t="s">
        <v>40</v>
      </c>
      <c r="F219" s="6" t="s">
        <v>20</v>
      </c>
      <c r="G219" s="6" t="s">
        <v>1</v>
      </c>
      <c r="H219" s="7"/>
      <c r="I219" s="7"/>
      <c r="J219" s="7"/>
      <c r="K219" s="7"/>
      <c r="L219" s="7">
        <f>VLOOKUP(B219,[4]C5_LMA_DIAG!$A$6:$C$17,2,FALSE)</f>
        <v>299629</v>
      </c>
      <c r="M219" s="7">
        <f>VLOOKUP(B219,[5]C6_LMA_DIAG!$A$6:$C$17,2,FALSE)</f>
        <v>337334</v>
      </c>
      <c r="N219" s="7">
        <f>VLOOKUP(B219,[6]C6_LMA_DIAG!$A$6:$C$19,2,FALSE)</f>
        <v>274979</v>
      </c>
      <c r="O219" s="7">
        <f>VLOOKUP(B219,[1]C6_LMA_DIAG!$A$7:$C$20,2,FALSE)</f>
        <v>384610</v>
      </c>
      <c r="P219" s="7">
        <v>425220</v>
      </c>
    </row>
    <row r="220" spans="1:16" x14ac:dyDescent="0.3">
      <c r="A220" s="6" t="s">
        <v>54</v>
      </c>
      <c r="B220" s="6" t="s">
        <v>59</v>
      </c>
      <c r="C220" s="6" t="s">
        <v>51</v>
      </c>
      <c r="D220" s="6" t="s">
        <v>52</v>
      </c>
      <c r="E220" s="6" t="s">
        <v>40</v>
      </c>
      <c r="F220" s="6" t="s">
        <v>20</v>
      </c>
      <c r="G220" s="6" t="s">
        <v>1</v>
      </c>
      <c r="H220" s="7"/>
      <c r="I220" s="7"/>
      <c r="J220" s="7"/>
      <c r="K220" s="7"/>
      <c r="L220" s="7">
        <f>VLOOKUP(B220,[4]C5_LMA_DIAG!$A$6:$C$17,2,FALSE)</f>
        <v>254300</v>
      </c>
      <c r="M220" s="7">
        <f>VLOOKUP(B220,[5]C6_LMA_DIAG!$A$6:$C$17,2,FALSE)</f>
        <v>252645</v>
      </c>
      <c r="N220" s="7">
        <f>VLOOKUP(B220,[6]C6_LMA_DIAG!$A$6:$C$19,2,FALSE)</f>
        <v>160952</v>
      </c>
      <c r="O220" s="7">
        <f>VLOOKUP(B220,[1]C6_LMA_DIAG!$A$7:$C$20,2,FALSE)</f>
        <v>155558</v>
      </c>
      <c r="P220" s="7">
        <v>218486</v>
      </c>
    </row>
    <row r="221" spans="1:16" x14ac:dyDescent="0.3">
      <c r="A221" s="6" t="s">
        <v>54</v>
      </c>
      <c r="B221" s="6" t="s">
        <v>60</v>
      </c>
      <c r="C221" s="6" t="s">
        <v>51</v>
      </c>
      <c r="D221" s="6" t="s">
        <v>52</v>
      </c>
      <c r="E221" s="6" t="s">
        <v>40</v>
      </c>
      <c r="F221" s="6" t="s">
        <v>20</v>
      </c>
      <c r="G221" s="6" t="s">
        <v>1</v>
      </c>
      <c r="H221" s="7"/>
      <c r="I221" s="7"/>
      <c r="J221" s="7"/>
      <c r="K221" s="7"/>
      <c r="L221" s="7">
        <f>VLOOKUP(B221,[4]C5_LMA_DIAG!$A$6:$C$17,2,FALSE)</f>
        <v>191758</v>
      </c>
      <c r="M221" s="7">
        <f>VLOOKUP(B221,[5]C6_LMA_DIAG!$A$6:$C$17,2,FALSE)</f>
        <v>218479</v>
      </c>
      <c r="N221" s="7">
        <f>VLOOKUP(B221,[6]C6_LMA_DIAG!$A$6:$C$19,2,FALSE)</f>
        <v>148360</v>
      </c>
      <c r="O221" s="7">
        <f>VLOOKUP(B221,[1]C6_LMA_DIAG!$A$7:$C$20,2,FALSE)</f>
        <v>210391</v>
      </c>
      <c r="P221" s="7">
        <v>253915</v>
      </c>
    </row>
    <row r="222" spans="1:16" x14ac:dyDescent="0.3">
      <c r="A222" s="6" t="s">
        <v>54</v>
      </c>
      <c r="B222" s="6" t="s">
        <v>61</v>
      </c>
      <c r="C222" s="6" t="s">
        <v>51</v>
      </c>
      <c r="D222" s="6" t="s">
        <v>52</v>
      </c>
      <c r="E222" s="6" t="s">
        <v>40</v>
      </c>
      <c r="F222" s="6" t="s">
        <v>20</v>
      </c>
      <c r="G222" s="6" t="s">
        <v>1</v>
      </c>
      <c r="H222" s="7"/>
      <c r="I222" s="7"/>
      <c r="J222" s="7"/>
      <c r="K222" s="7"/>
      <c r="L222" s="7">
        <f>VLOOKUP(B222,[4]C5_LMA_DIAG!$A$6:$C$17,2,FALSE)</f>
        <v>122500</v>
      </c>
      <c r="M222" s="7">
        <f>VLOOKUP(B222,[5]C6_LMA_DIAG!$A$6:$C$17,2,FALSE)</f>
        <v>117867</v>
      </c>
      <c r="N222" s="7">
        <f>VLOOKUP(B222,[6]C6_LMA_DIAG!$A$6:$C$19,2,FALSE)</f>
        <v>89352</v>
      </c>
      <c r="O222" s="7">
        <f>VLOOKUP(B222,[1]C6_LMA_DIAG!$A$7:$C$20,2,FALSE)</f>
        <v>91681</v>
      </c>
      <c r="P222" s="7">
        <v>106304</v>
      </c>
    </row>
    <row r="223" spans="1:16" x14ac:dyDescent="0.3">
      <c r="A223" s="6" t="s">
        <v>54</v>
      </c>
      <c r="B223" s="6" t="s">
        <v>62</v>
      </c>
      <c r="C223" s="6" t="s">
        <v>51</v>
      </c>
      <c r="D223" s="6" t="s">
        <v>52</v>
      </c>
      <c r="E223" s="6" t="s">
        <v>40</v>
      </c>
      <c r="F223" s="6" t="s">
        <v>20</v>
      </c>
      <c r="G223" s="6" t="s">
        <v>1</v>
      </c>
      <c r="H223" s="7"/>
      <c r="I223" s="7"/>
      <c r="J223" s="7"/>
      <c r="K223" s="7"/>
      <c r="L223" s="7">
        <f>VLOOKUP(B223,[4]C5_LMA_DIAG!$A$6:$C$17,2,FALSE)</f>
        <v>129329</v>
      </c>
      <c r="M223" s="7">
        <f>VLOOKUP(B223,[5]C6_LMA_DIAG!$A$6:$C$17,2,FALSE)</f>
        <v>130251</v>
      </c>
      <c r="N223" s="7">
        <f>VLOOKUP(B223,[6]C6_LMA_DIAG!$A$6:$C$19,2,FALSE)</f>
        <v>91721</v>
      </c>
      <c r="O223" s="7">
        <f>VLOOKUP(B223,[1]C6_LMA_DIAG!$A$7:$C$20,2,FALSE)</f>
        <v>117762</v>
      </c>
      <c r="P223" s="7">
        <v>135336</v>
      </c>
    </row>
    <row r="224" spans="1:16" x14ac:dyDescent="0.3">
      <c r="A224" s="6" t="s">
        <v>54</v>
      </c>
      <c r="B224" s="6" t="s">
        <v>63</v>
      </c>
      <c r="C224" s="6" t="s">
        <v>51</v>
      </c>
      <c r="D224" s="6" t="s">
        <v>52</v>
      </c>
      <c r="E224" s="6" t="s">
        <v>40</v>
      </c>
      <c r="F224" s="6" t="s">
        <v>20</v>
      </c>
      <c r="G224" s="6" t="s">
        <v>1</v>
      </c>
      <c r="H224" s="7"/>
      <c r="I224" s="7"/>
      <c r="J224" s="7"/>
      <c r="K224" s="7"/>
      <c r="L224" s="7">
        <f>VLOOKUP(B224,[4]C5_LMA_DIAG!$A$6:$C$17,2,FALSE)</f>
        <v>98202</v>
      </c>
      <c r="M224" s="7">
        <f>VLOOKUP(B224,[5]C6_LMA_DIAG!$A$6:$C$17,2,FALSE)</f>
        <v>102935</v>
      </c>
      <c r="N224" s="7">
        <f>VLOOKUP(B224,[6]C6_LMA_DIAG!$A$6:$C$19,2,FALSE)</f>
        <v>89074</v>
      </c>
      <c r="O224" s="7">
        <f>VLOOKUP(B224,[1]C6_LMA_DIAG!$A$7:$C$20,2,FALSE)</f>
        <v>101147</v>
      </c>
      <c r="P224" s="7">
        <v>110864</v>
      </c>
    </row>
    <row r="225" spans="1:16" x14ac:dyDescent="0.3">
      <c r="A225" s="6" t="s">
        <v>54</v>
      </c>
      <c r="B225" s="6" t="s">
        <v>64</v>
      </c>
      <c r="C225" s="6" t="s">
        <v>51</v>
      </c>
      <c r="D225" s="6" t="s">
        <v>52</v>
      </c>
      <c r="E225" s="6" t="s">
        <v>40</v>
      </c>
      <c r="F225" s="6" t="s">
        <v>20</v>
      </c>
      <c r="G225" s="6" t="s">
        <v>1</v>
      </c>
      <c r="H225" s="7"/>
      <c r="I225" s="7"/>
      <c r="J225" s="7"/>
      <c r="K225" s="7"/>
      <c r="L225" s="7">
        <f>VLOOKUP(B225,[4]C5_LMA_DIAG!$A$6:$C$17,2,FALSE)</f>
        <v>104274</v>
      </c>
      <c r="M225" s="7">
        <f>VLOOKUP(B225,[5]C6_LMA_DIAG!$A$6:$C$17,2,FALSE)</f>
        <v>108262</v>
      </c>
      <c r="N225" s="7">
        <f>VLOOKUP(B225,[6]C6_LMA_DIAG!$A$6:$C$19,2,FALSE)</f>
        <v>100247</v>
      </c>
      <c r="O225" s="7">
        <f>VLOOKUP(B225,[1]C6_LMA_DIAG!$A$7:$C$20,2,FALSE)</f>
        <v>119248</v>
      </c>
      <c r="P225" s="7">
        <v>123042</v>
      </c>
    </row>
    <row r="226" spans="1:16" x14ac:dyDescent="0.3">
      <c r="A226" s="6" t="s">
        <v>54</v>
      </c>
      <c r="B226" s="6" t="s">
        <v>70</v>
      </c>
      <c r="C226" s="6" t="s">
        <v>51</v>
      </c>
      <c r="D226" s="6" t="s">
        <v>52</v>
      </c>
      <c r="E226" s="6" t="s">
        <v>40</v>
      </c>
      <c r="F226" s="6" t="s">
        <v>20</v>
      </c>
      <c r="G226" s="6" t="s">
        <v>1</v>
      </c>
      <c r="H226" s="7"/>
      <c r="I226" s="7"/>
      <c r="J226" s="7"/>
      <c r="K226" s="7"/>
      <c r="L226" s="7">
        <v>0</v>
      </c>
      <c r="M226" s="7">
        <v>0</v>
      </c>
      <c r="N226" s="7">
        <f>VLOOKUP(B226,[6]C6_LMA_DIAG!$A$6:$C$19,2,FALSE)</f>
        <v>673016</v>
      </c>
      <c r="O226" s="7">
        <f>VLOOKUP(B226,[1]C6_LMA_DIAG!$A$7:$C$20,2,FALSE)</f>
        <v>1341249</v>
      </c>
      <c r="P226" s="7">
        <v>1210726</v>
      </c>
    </row>
    <row r="227" spans="1:16" x14ac:dyDescent="0.3">
      <c r="A227" s="6"/>
      <c r="B227" s="6" t="s">
        <v>71</v>
      </c>
      <c r="C227" s="6" t="s">
        <v>51</v>
      </c>
      <c r="D227" s="6" t="s">
        <v>52</v>
      </c>
      <c r="E227" s="6" t="s">
        <v>40</v>
      </c>
      <c r="F227" s="6" t="s">
        <v>20</v>
      </c>
      <c r="G227" s="6" t="s">
        <v>1</v>
      </c>
      <c r="H227" s="7"/>
      <c r="I227" s="7"/>
      <c r="J227" s="7"/>
      <c r="K227" s="7"/>
      <c r="L227" s="7">
        <v>0</v>
      </c>
      <c r="M227" s="7">
        <v>0</v>
      </c>
      <c r="N227" s="7">
        <f>VLOOKUP(B227,[6]C6_LMA_DIAG!$A$6:$C$19,2,FALSE)</f>
        <v>95044</v>
      </c>
      <c r="O227" s="7">
        <f>VLOOKUP(B227,[1]C6_LMA_DIAG!$A$7:$C$20,2,FALSE)</f>
        <v>127818</v>
      </c>
      <c r="P227" s="7">
        <v>0</v>
      </c>
    </row>
    <row r="228" spans="1:16" x14ac:dyDescent="0.3">
      <c r="A228" s="6" t="s">
        <v>54</v>
      </c>
      <c r="B228" s="6" t="s">
        <v>65</v>
      </c>
      <c r="C228" s="6" t="s">
        <v>51</v>
      </c>
      <c r="D228" s="6" t="s">
        <v>52</v>
      </c>
      <c r="E228" s="6" t="s">
        <v>40</v>
      </c>
      <c r="F228" s="6" t="s">
        <v>20</v>
      </c>
      <c r="G228" s="6" t="s">
        <v>1</v>
      </c>
      <c r="H228" s="7"/>
      <c r="I228" s="7"/>
      <c r="J228" s="7"/>
      <c r="K228" s="7"/>
      <c r="L228" s="7">
        <f>VLOOKUP(B228,[4]C5_LMA_DIAG!$A$6:$C$17,2,FALSE)</f>
        <v>466830</v>
      </c>
      <c r="M228" s="7">
        <f>VLOOKUP(B228,[5]C6_LMA_DIAG!$A$6:$C$17,2,FALSE)</f>
        <v>493245</v>
      </c>
      <c r="N228" s="7">
        <f>VLOOKUP(B228,[6]C6_LMA_DIAG!$A$6:$C$19,2,FALSE)</f>
        <v>385727</v>
      </c>
      <c r="O228" s="7">
        <f>VLOOKUP(B228,[1]C6_LMA_DIAG!$A$7:$C$20,2,FALSE)</f>
        <v>514015</v>
      </c>
      <c r="P228" s="7">
        <v>568512</v>
      </c>
    </row>
    <row r="229" spans="1:16" x14ac:dyDescent="0.3">
      <c r="A229" s="6" t="s">
        <v>54</v>
      </c>
      <c r="B229" s="6" t="s">
        <v>19</v>
      </c>
      <c r="C229" s="6" t="s">
        <v>51</v>
      </c>
      <c r="D229" s="6" t="s">
        <v>52</v>
      </c>
      <c r="E229" s="6" t="s">
        <v>40</v>
      </c>
      <c r="F229" s="6" t="s">
        <v>20</v>
      </c>
      <c r="G229" s="6" t="s">
        <v>1</v>
      </c>
      <c r="H229" s="7"/>
      <c r="I229" s="7"/>
      <c r="J229" s="7"/>
      <c r="K229" s="7"/>
      <c r="L229" s="7">
        <f>VLOOKUP(B229,[4]C5_LMA_DIAG!$A$6:$C$17,2,FALSE)</f>
        <v>36</v>
      </c>
      <c r="M229" s="7">
        <f>VLOOKUP(B229,[5]C6_LMA_DIAG!$A$6:$C$17,2,FALSE)</f>
        <v>131</v>
      </c>
      <c r="N229" s="7">
        <f>VLOOKUP(B229,[6]C6_LMA_DIAG!$A$6:$C$19,2,FALSE)</f>
        <v>1</v>
      </c>
      <c r="O229" s="7">
        <f>VLOOKUP(B229,[1]C6_LMA_DIAG!$A$7:$C$20,2,FALSE)</f>
        <v>0</v>
      </c>
      <c r="P229" s="7">
        <v>0</v>
      </c>
    </row>
    <row r="230" spans="1:16" x14ac:dyDescent="0.3">
      <c r="A230" s="8" t="s">
        <v>54</v>
      </c>
      <c r="B230" s="8" t="s">
        <v>55</v>
      </c>
      <c r="C230" s="8" t="s">
        <v>51</v>
      </c>
      <c r="D230" s="8" t="s">
        <v>52</v>
      </c>
      <c r="E230" s="8" t="s">
        <v>40</v>
      </c>
      <c r="F230" s="8" t="s">
        <v>20</v>
      </c>
      <c r="G230" s="8" t="s">
        <v>9</v>
      </c>
      <c r="H230" s="9"/>
      <c r="I230" s="9"/>
      <c r="J230" s="9"/>
      <c r="K230" s="9"/>
      <c r="L230" s="7">
        <f>VLOOKUP(B230,[4]C5_LMA_DIAG!$A$6:$C$17,3,FALSE)</f>
        <v>264088.45309573051</v>
      </c>
      <c r="M230" s="9">
        <f>VLOOKUP(B216,[5]C6_LMA_DIAG!$A$6:$C$17,3,FALSE)</f>
        <v>294794.47589727159</v>
      </c>
      <c r="N230" s="9">
        <f>VLOOKUP(B216,[6]C6_LMA_DIAG!$A$6:$C$19,3,FALSE)</f>
        <v>313391.85186065099</v>
      </c>
      <c r="O230" s="9">
        <f>VLOOKUP(B216,[1]C6_LMA_DIAG!$A$7:$C$20,3,FALSE)</f>
        <v>426790</v>
      </c>
      <c r="P230" s="9">
        <v>403943</v>
      </c>
    </row>
    <row r="231" spans="1:16" x14ac:dyDescent="0.3">
      <c r="A231" s="8" t="s">
        <v>54</v>
      </c>
      <c r="B231" s="8" t="s">
        <v>56</v>
      </c>
      <c r="C231" s="8" t="s">
        <v>51</v>
      </c>
      <c r="D231" s="8" t="s">
        <v>52</v>
      </c>
      <c r="E231" s="8" t="s">
        <v>40</v>
      </c>
      <c r="F231" s="8" t="s">
        <v>20</v>
      </c>
      <c r="G231" s="8" t="s">
        <v>9</v>
      </c>
      <c r="H231" s="9"/>
      <c r="I231" s="9"/>
      <c r="J231" s="9"/>
      <c r="K231" s="9"/>
      <c r="L231" s="7">
        <f>VLOOKUP(B231,[4]C5_LMA_DIAG!$A$6:$C$17,3,FALSE)</f>
        <v>292664.34084601921</v>
      </c>
      <c r="M231" s="9">
        <f>VLOOKUP(B217,[5]C6_LMA_DIAG!$A$6:$C$17,3,FALSE)</f>
        <v>309965.34549744055</v>
      </c>
      <c r="N231" s="9">
        <f>VLOOKUP(B217,[6]C6_LMA_DIAG!$A$6:$C$19,3,FALSE)</f>
        <v>225905.5979318</v>
      </c>
      <c r="O231" s="9">
        <f>VLOOKUP(B217,[1]C6_LMA_DIAG!$A$7:$C$20,3,FALSE)</f>
        <v>239713</v>
      </c>
      <c r="P231" s="9">
        <v>234180</v>
      </c>
    </row>
    <row r="232" spans="1:16" x14ac:dyDescent="0.3">
      <c r="A232" s="8" t="s">
        <v>54</v>
      </c>
      <c r="B232" s="8" t="s">
        <v>57</v>
      </c>
      <c r="C232" s="8" t="s">
        <v>51</v>
      </c>
      <c r="D232" s="8" t="s">
        <v>52</v>
      </c>
      <c r="E232" s="8" t="s">
        <v>40</v>
      </c>
      <c r="F232" s="8" t="s">
        <v>20</v>
      </c>
      <c r="G232" s="8" t="s">
        <v>9</v>
      </c>
      <c r="H232" s="9"/>
      <c r="I232" s="9"/>
      <c r="J232" s="9"/>
      <c r="K232" s="9"/>
      <c r="L232" s="7">
        <f>VLOOKUP(B232,[4]C5_LMA_DIAG!$A$6:$C$17,3,FALSE)</f>
        <v>392108.12925980706</v>
      </c>
      <c r="M232" s="9">
        <f>VLOOKUP(B218,[5]C6_LMA_DIAG!$A$6:$C$17,3,FALSE)</f>
        <v>437944.86892443913</v>
      </c>
      <c r="N232" s="9">
        <f>VLOOKUP(B218,[6]C6_LMA_DIAG!$A$6:$C$19,3,FALSE)</f>
        <v>131153.681292102</v>
      </c>
      <c r="O232" s="9">
        <f>VLOOKUP(B218,[1]C6_LMA_DIAG!$A$7:$C$20,3,FALSE)</f>
        <v>86029</v>
      </c>
      <c r="P232" s="9">
        <v>234577</v>
      </c>
    </row>
    <row r="233" spans="1:16" x14ac:dyDescent="0.3">
      <c r="A233" s="8" t="s">
        <v>54</v>
      </c>
      <c r="B233" s="8" t="s">
        <v>58</v>
      </c>
      <c r="C233" s="8" t="s">
        <v>51</v>
      </c>
      <c r="D233" s="8" t="s">
        <v>52</v>
      </c>
      <c r="E233" s="8" t="s">
        <v>40</v>
      </c>
      <c r="F233" s="8" t="s">
        <v>20</v>
      </c>
      <c r="G233" s="8" t="s">
        <v>9</v>
      </c>
      <c r="H233" s="9"/>
      <c r="I233" s="9"/>
      <c r="J233" s="9"/>
      <c r="K233" s="9"/>
      <c r="L233" s="7">
        <f>VLOOKUP(B233,[4]C5_LMA_DIAG!$A$6:$C$17,3,FALSE)</f>
        <v>153965.19783814071</v>
      </c>
      <c r="M233" s="9">
        <f>VLOOKUP(B219,[5]C6_LMA_DIAG!$A$6:$C$17,3,FALSE)</f>
        <v>162474.12481195343</v>
      </c>
      <c r="N233" s="9">
        <f>VLOOKUP(B219,[6]C6_LMA_DIAG!$A$6:$C$19,3,FALSE)</f>
        <v>115102.36783888401</v>
      </c>
      <c r="O233" s="9">
        <f>VLOOKUP(B219,[1]C6_LMA_DIAG!$A$7:$C$20,3,FALSE)</f>
        <v>108616</v>
      </c>
      <c r="P233" s="9">
        <v>116672</v>
      </c>
    </row>
    <row r="234" spans="1:16" x14ac:dyDescent="0.3">
      <c r="A234" s="8" t="s">
        <v>54</v>
      </c>
      <c r="B234" s="8" t="s">
        <v>59</v>
      </c>
      <c r="C234" s="8" t="s">
        <v>51</v>
      </c>
      <c r="D234" s="8" t="s">
        <v>52</v>
      </c>
      <c r="E234" s="8" t="s">
        <v>40</v>
      </c>
      <c r="F234" s="8" t="s">
        <v>20</v>
      </c>
      <c r="G234" s="8" t="s">
        <v>9</v>
      </c>
      <c r="H234" s="9"/>
      <c r="I234" s="9"/>
      <c r="J234" s="9"/>
      <c r="K234" s="9"/>
      <c r="L234" s="7">
        <f>VLOOKUP(B234,[4]C5_LMA_DIAG!$A$6:$C$17,3,FALSE)</f>
        <v>196452.83294237463</v>
      </c>
      <c r="M234" s="9">
        <f>VLOOKUP(B220,[5]C6_LMA_DIAG!$A$6:$C$17,3,FALSE)</f>
        <v>181349.97011643232</v>
      </c>
      <c r="N234" s="9">
        <f>VLOOKUP(B220,[6]C6_LMA_DIAG!$A$6:$C$19,3,FALSE)</f>
        <v>81623.657093258007</v>
      </c>
      <c r="O234" s="9">
        <f>VLOOKUP(B220,[1]C6_LMA_DIAG!$A$7:$C$20,3,FALSE)</f>
        <v>51779</v>
      </c>
      <c r="P234" s="9">
        <v>77805</v>
      </c>
    </row>
    <row r="235" spans="1:16" x14ac:dyDescent="0.3">
      <c r="A235" s="8" t="s">
        <v>54</v>
      </c>
      <c r="B235" s="8" t="s">
        <v>60</v>
      </c>
      <c r="C235" s="8" t="s">
        <v>51</v>
      </c>
      <c r="D235" s="8" t="s">
        <v>52</v>
      </c>
      <c r="E235" s="8" t="s">
        <v>40</v>
      </c>
      <c r="F235" s="8" t="s">
        <v>20</v>
      </c>
      <c r="G235" s="8" t="s">
        <v>9</v>
      </c>
      <c r="H235" s="9"/>
      <c r="I235" s="9"/>
      <c r="J235" s="9"/>
      <c r="K235" s="9"/>
      <c r="L235" s="7">
        <f>VLOOKUP(B235,[4]C5_LMA_DIAG!$A$6:$C$17,3,FALSE)</f>
        <v>145070.40729090761</v>
      </c>
      <c r="M235" s="9">
        <f>VLOOKUP(B221,[5]C6_LMA_DIAG!$A$6:$C$17,3,FALSE)</f>
        <v>170509.64881273982</v>
      </c>
      <c r="N235" s="9">
        <f>VLOOKUP(B221,[6]C6_LMA_DIAG!$A$6:$C$19,3,FALSE)</f>
        <v>89728.760926051007</v>
      </c>
      <c r="O235" s="9">
        <f>VLOOKUP(B221,[1]C6_LMA_DIAG!$A$7:$C$20,3,FALSE)</f>
        <v>82611</v>
      </c>
      <c r="P235" s="9">
        <v>102816</v>
      </c>
    </row>
    <row r="236" spans="1:16" x14ac:dyDescent="0.3">
      <c r="A236" s="8" t="s">
        <v>54</v>
      </c>
      <c r="B236" s="8" t="s">
        <v>61</v>
      </c>
      <c r="C236" s="8" t="s">
        <v>51</v>
      </c>
      <c r="D236" s="8" t="s">
        <v>52</v>
      </c>
      <c r="E236" s="8" t="s">
        <v>40</v>
      </c>
      <c r="F236" s="8" t="s">
        <v>20</v>
      </c>
      <c r="G236" s="8" t="s">
        <v>9</v>
      </c>
      <c r="H236" s="9"/>
      <c r="I236" s="9"/>
      <c r="J236" s="9"/>
      <c r="K236" s="9"/>
      <c r="L236" s="7">
        <f>VLOOKUP(B236,[4]C5_LMA_DIAG!$A$6:$C$17,3,FALSE)</f>
        <v>53085.84349945686</v>
      </c>
      <c r="M236" s="9">
        <f>VLOOKUP(B222,[5]C6_LMA_DIAG!$A$6:$C$17,3,FALSE)</f>
        <v>50392.368715458048</v>
      </c>
      <c r="N236" s="9">
        <f>VLOOKUP(B222,[6]C6_LMA_DIAG!$A$6:$C$19,3,FALSE)</f>
        <v>37253.197790377701</v>
      </c>
      <c r="O236" s="9">
        <f>VLOOKUP(B222,[1]C6_LMA_DIAG!$A$7:$C$20,3,FALSE)</f>
        <v>30673</v>
      </c>
      <c r="P236" s="9">
        <v>32506</v>
      </c>
    </row>
    <row r="237" spans="1:16" x14ac:dyDescent="0.3">
      <c r="A237" s="8" t="s">
        <v>54</v>
      </c>
      <c r="B237" s="8" t="s">
        <v>62</v>
      </c>
      <c r="C237" s="8" t="s">
        <v>51</v>
      </c>
      <c r="D237" s="8" t="s">
        <v>52</v>
      </c>
      <c r="E237" s="8" t="s">
        <v>40</v>
      </c>
      <c r="F237" s="8" t="s">
        <v>20</v>
      </c>
      <c r="G237" s="8" t="s">
        <v>9</v>
      </c>
      <c r="H237" s="9"/>
      <c r="I237" s="9"/>
      <c r="J237" s="9"/>
      <c r="K237" s="9"/>
      <c r="L237" s="7">
        <f>VLOOKUP(B237,[4]C5_LMA_DIAG!$A$6:$C$17,3,FALSE)</f>
        <v>67987.740097198272</v>
      </c>
      <c r="M237" s="9">
        <f>VLOOKUP(B223,[5]C6_LMA_DIAG!$A$6:$C$17,3,FALSE)</f>
        <v>69398.908763370782</v>
      </c>
      <c r="N237" s="9">
        <f>VLOOKUP(B223,[6]C6_LMA_DIAG!$A$6:$C$19,3,FALSE)</f>
        <v>43285.181852363901</v>
      </c>
      <c r="O237" s="9">
        <f>VLOOKUP(B223,[1]C6_LMA_DIAG!$A$7:$C$20,3,FALSE)</f>
        <v>40619</v>
      </c>
      <c r="P237" s="9">
        <v>45980</v>
      </c>
    </row>
    <row r="238" spans="1:16" x14ac:dyDescent="0.3">
      <c r="A238" s="8" t="s">
        <v>54</v>
      </c>
      <c r="B238" s="8" t="s">
        <v>63</v>
      </c>
      <c r="C238" s="8" t="s">
        <v>51</v>
      </c>
      <c r="D238" s="8" t="s">
        <v>52</v>
      </c>
      <c r="E238" s="8" t="s">
        <v>40</v>
      </c>
      <c r="F238" s="8" t="s">
        <v>20</v>
      </c>
      <c r="G238" s="8" t="s">
        <v>9</v>
      </c>
      <c r="H238" s="9"/>
      <c r="I238" s="9"/>
      <c r="J238" s="9"/>
      <c r="K238" s="9"/>
      <c r="L238" s="7">
        <f>VLOOKUP(B238,[4]C5_LMA_DIAG!$A$6:$C$17,3,FALSE)</f>
        <v>56184.1980480532</v>
      </c>
      <c r="M238" s="9">
        <f>VLOOKUP(B224,[5]C6_LMA_DIAG!$A$6:$C$17,3,FALSE)</f>
        <v>60085.806933511973</v>
      </c>
      <c r="N238" s="9">
        <f>VLOOKUP(B224,[6]C6_LMA_DIAG!$A$6:$C$19,3,FALSE)</f>
        <v>49888.285677674197</v>
      </c>
      <c r="O238" s="9">
        <f>VLOOKUP(B224,[1]C6_LMA_DIAG!$A$7:$C$20,3,FALSE)</f>
        <v>39182</v>
      </c>
      <c r="P238" s="9">
        <v>41084</v>
      </c>
    </row>
    <row r="239" spans="1:16" x14ac:dyDescent="0.3">
      <c r="A239" s="8" t="s">
        <v>54</v>
      </c>
      <c r="B239" s="8" t="s">
        <v>64</v>
      </c>
      <c r="C239" s="8" t="s">
        <v>51</v>
      </c>
      <c r="D239" s="8" t="s">
        <v>52</v>
      </c>
      <c r="E239" s="8" t="s">
        <v>40</v>
      </c>
      <c r="F239" s="8" t="s">
        <v>20</v>
      </c>
      <c r="G239" s="8" t="s">
        <v>9</v>
      </c>
      <c r="H239" s="9"/>
      <c r="I239" s="9"/>
      <c r="J239" s="9"/>
      <c r="K239" s="9"/>
      <c r="L239" s="7">
        <f>VLOOKUP(B239,[4]C5_LMA_DIAG!$A$6:$C$17,3,FALSE)</f>
        <v>36546.739641456683</v>
      </c>
      <c r="M239" s="9">
        <f>VLOOKUP(B225,[5]C6_LMA_DIAG!$A$6:$C$17,3,FALSE)</f>
        <v>38043.918181354806</v>
      </c>
      <c r="N239" s="9">
        <f>VLOOKUP(B225,[6]C6_LMA_DIAG!$A$6:$C$19,3,FALSE)</f>
        <v>30570.646858883101</v>
      </c>
      <c r="O239" s="9">
        <f>VLOOKUP(B225,[1]C6_LMA_DIAG!$A$7:$C$20,3,FALSE)</f>
        <v>26396</v>
      </c>
      <c r="P239" s="9">
        <v>26258</v>
      </c>
    </row>
    <row r="240" spans="1:16" x14ac:dyDescent="0.3">
      <c r="A240" s="8" t="s">
        <v>54</v>
      </c>
      <c r="B240" s="8" t="s">
        <v>70</v>
      </c>
      <c r="C240" s="8" t="s">
        <v>51</v>
      </c>
      <c r="D240" s="8" t="s">
        <v>52</v>
      </c>
      <c r="E240" s="8" t="s">
        <v>40</v>
      </c>
      <c r="F240" s="8" t="s">
        <v>20</v>
      </c>
      <c r="G240" s="8" t="s">
        <v>9</v>
      </c>
      <c r="H240" s="9"/>
      <c r="I240" s="9"/>
      <c r="J240" s="9"/>
      <c r="K240" s="9"/>
      <c r="L240" s="7">
        <v>0</v>
      </c>
      <c r="M240" s="9">
        <v>0</v>
      </c>
      <c r="N240" s="9">
        <f>VLOOKUP(B226,[6]C6_LMA_DIAG!$A$6:$C$19,3,FALSE)</f>
        <v>269892.31272178999</v>
      </c>
      <c r="O240" s="9">
        <f>VLOOKUP(B226,[1]C6_LMA_DIAG!$A$7:$C$20,3,FALSE)</f>
        <v>270660</v>
      </c>
      <c r="P240" s="9">
        <v>415693</v>
      </c>
    </row>
    <row r="241" spans="1:16" x14ac:dyDescent="0.3">
      <c r="A241" s="8"/>
      <c r="B241" s="8" t="s">
        <v>71</v>
      </c>
      <c r="C241" s="8" t="s">
        <v>51</v>
      </c>
      <c r="D241" s="8" t="s">
        <v>52</v>
      </c>
      <c r="E241" s="8" t="s">
        <v>40</v>
      </c>
      <c r="F241" s="8" t="s">
        <v>20</v>
      </c>
      <c r="G241" s="8" t="s">
        <v>9</v>
      </c>
      <c r="H241" s="9"/>
      <c r="I241" s="9"/>
      <c r="J241" s="9"/>
      <c r="K241" s="9"/>
      <c r="L241" s="7">
        <v>0</v>
      </c>
      <c r="M241" s="9">
        <v>0</v>
      </c>
      <c r="N241" s="9">
        <f>VLOOKUP(B227,[6]C6_LMA_DIAG!$A$6:$C$19,3,FALSE)</f>
        <v>56873.635013870902</v>
      </c>
      <c r="O241" s="9">
        <f>VLOOKUP(B227,[1]C6_LMA_DIAG!$A$7:$C$20,3,FALSE)</f>
        <v>45848</v>
      </c>
      <c r="P241" s="9">
        <v>0</v>
      </c>
    </row>
    <row r="242" spans="1:16" x14ac:dyDescent="0.3">
      <c r="A242" s="8" t="s">
        <v>54</v>
      </c>
      <c r="B242" s="8" t="s">
        <v>65</v>
      </c>
      <c r="C242" s="8" t="s">
        <v>51</v>
      </c>
      <c r="D242" s="8" t="s">
        <v>52</v>
      </c>
      <c r="E242" s="8" t="s">
        <v>40</v>
      </c>
      <c r="F242" s="8" t="s">
        <v>20</v>
      </c>
      <c r="G242" s="8" t="s">
        <v>9</v>
      </c>
      <c r="H242" s="9"/>
      <c r="I242" s="9"/>
      <c r="J242" s="9"/>
      <c r="K242" s="9"/>
      <c r="L242" s="7">
        <f>VLOOKUP(B242,[4]C5_LMA_DIAG!$A$6:$C$17,3,FALSE)</f>
        <v>227118.86856444593</v>
      </c>
      <c r="M242" s="9">
        <f>VLOOKUP(B228,[5]C6_LMA_DIAG!$A$6:$C$17,3,FALSE)</f>
        <v>241205.22564860596</v>
      </c>
      <c r="N242" s="9">
        <f>VLOOKUP(B228,[6]C6_LMA_DIAG!$A$6:$C$19,3,FALSE)</f>
        <v>157723.49180370799</v>
      </c>
      <c r="O242" s="9">
        <f>VLOOKUP(B228,[1]C6_LMA_DIAG!$A$7:$C$20,3,FALSE)</f>
        <v>171943</v>
      </c>
      <c r="P242" s="9">
        <v>164829</v>
      </c>
    </row>
    <row r="243" spans="1:16" x14ac:dyDescent="0.3">
      <c r="A243" s="8" t="s">
        <v>54</v>
      </c>
      <c r="B243" s="8" t="s">
        <v>19</v>
      </c>
      <c r="C243" s="8" t="s">
        <v>51</v>
      </c>
      <c r="D243" s="8" t="s">
        <v>52</v>
      </c>
      <c r="E243" s="8" t="s">
        <v>40</v>
      </c>
      <c r="F243" s="8" t="s">
        <v>20</v>
      </c>
      <c r="G243" s="8" t="s">
        <v>9</v>
      </c>
      <c r="H243" s="9"/>
      <c r="I243" s="9"/>
      <c r="J243" s="9"/>
      <c r="K243" s="9"/>
      <c r="L243" s="7">
        <f>VLOOKUP(B243,[4]C5_LMA_DIAG!$A$6:$C$17,3,FALSE)</f>
        <v>78.248876409426742</v>
      </c>
      <c r="M243" s="9">
        <f>VLOOKUP(B229,[5]C6_LMA_DIAG!$A$6:$C$17,3,FALSE)</f>
        <v>543.33769742159564</v>
      </c>
      <c r="N243" s="9">
        <f>VLOOKUP(B229,[6]C6_LMA_DIAG!$A$6:$C$19,3,FALSE)</f>
        <v>253.331338587391</v>
      </c>
      <c r="O243" s="9">
        <f>VLOOKUP(B229,[1]C6_LMA_DIAG!$A$7:$C$20,3,FALSE)</f>
        <v>35</v>
      </c>
      <c r="P243" s="9">
        <v>466</v>
      </c>
    </row>
    <row r="244" spans="1:16" x14ac:dyDescent="0.3">
      <c r="A244" s="13" t="s">
        <v>66</v>
      </c>
      <c r="B244" s="13" t="s">
        <v>55</v>
      </c>
      <c r="C244" s="13" t="s">
        <v>51</v>
      </c>
      <c r="D244" s="13" t="s">
        <v>52</v>
      </c>
      <c r="E244" s="13" t="s">
        <v>40</v>
      </c>
      <c r="F244" s="13" t="s">
        <v>6</v>
      </c>
      <c r="G244" s="13" t="s">
        <v>1</v>
      </c>
      <c r="H244" s="14"/>
      <c r="I244" s="14"/>
      <c r="J244" s="14"/>
      <c r="K244" s="14"/>
      <c r="L244" s="14">
        <f>HLOOKUP(B244,[4]C5_LMA_DIAG!$A$24:$M$28,2,FALSE)</f>
        <v>216142</v>
      </c>
      <c r="M244" s="14">
        <f>HLOOKUP(B244,[5]C6_LMA_DIAG!$A$23:$M$26,2,FALSE)</f>
        <v>252112</v>
      </c>
      <c r="N244" s="14">
        <f>HLOOKUP(B244,[6]C6_LMA_DIAG!$B$26:$O$29,2,FALSE)</f>
        <v>364991</v>
      </c>
      <c r="O244" s="14">
        <f>HLOOKUP(B244,[1]C6_LMA_DIAG!$B$27:$O$30,2, FALSE)</f>
        <v>608314</v>
      </c>
      <c r="P244" s="14" cm="1">
        <f t="array" ref="P244:P285">_xlfn.TOCOL([7]C6_LMA_DIAG!$B$27:$O$29)</f>
        <v>705255</v>
      </c>
    </row>
    <row r="245" spans="1:16" x14ac:dyDescent="0.3">
      <c r="A245" s="13" t="s">
        <v>66</v>
      </c>
      <c r="B245" s="13" t="s">
        <v>56</v>
      </c>
      <c r="C245" s="13" t="s">
        <v>51</v>
      </c>
      <c r="D245" s="13" t="s">
        <v>52</v>
      </c>
      <c r="E245" s="13" t="s">
        <v>40</v>
      </c>
      <c r="F245" s="13" t="s">
        <v>6</v>
      </c>
      <c r="G245" s="13" t="s">
        <v>1</v>
      </c>
      <c r="H245" s="14"/>
      <c r="I245" s="14"/>
      <c r="J245" s="14"/>
      <c r="K245" s="14"/>
      <c r="L245" s="14">
        <f>HLOOKUP(B245,[4]C5_LMA_DIAG!$A$24:$M$28,2,FALSE)</f>
        <v>364863</v>
      </c>
      <c r="M245" s="14">
        <f>HLOOKUP(B245,[5]C6_LMA_DIAG!$A$23:$M$26,2,FALSE)</f>
        <v>391891</v>
      </c>
      <c r="N245" s="14">
        <f>HLOOKUP(B245,[6]C6_LMA_DIAG!$B$26:$O$29,2,FALSE)</f>
        <v>362936</v>
      </c>
      <c r="O245" s="14">
        <f>HLOOKUP(B245,[1]C6_LMA_DIAG!$B$27:$O$30,2, FALSE)</f>
        <v>582528</v>
      </c>
      <c r="P245" s="14">
        <v>564235</v>
      </c>
    </row>
    <row r="246" spans="1:16" x14ac:dyDescent="0.3">
      <c r="A246" s="13" t="s">
        <v>66</v>
      </c>
      <c r="B246" s="13" t="s">
        <v>57</v>
      </c>
      <c r="C246" s="13" t="s">
        <v>51</v>
      </c>
      <c r="D246" s="13" t="s">
        <v>52</v>
      </c>
      <c r="E246" s="13" t="s">
        <v>40</v>
      </c>
      <c r="F246" s="13" t="s">
        <v>6</v>
      </c>
      <c r="G246" s="13" t="s">
        <v>1</v>
      </c>
      <c r="H246" s="14"/>
      <c r="I246" s="14"/>
      <c r="J246" s="14"/>
      <c r="K246" s="14"/>
      <c r="L246" s="14">
        <f>HLOOKUP(B246,[4]C5_LMA_DIAG!$A$24:$M$28,2,FALSE)</f>
        <v>160268</v>
      </c>
      <c r="M246" s="14">
        <f>HLOOKUP(B246,[5]C6_LMA_DIAG!$A$23:$M$26,2,FALSE)</f>
        <v>182980</v>
      </c>
      <c r="N246" s="14">
        <f>HLOOKUP(B246,[6]C6_LMA_DIAG!$B$26:$O$29,2,FALSE)</f>
        <v>122041</v>
      </c>
      <c r="O246" s="14">
        <f>HLOOKUP(B246,[1]C6_LMA_DIAG!$B$27:$O$30,2, FALSE)</f>
        <v>110372</v>
      </c>
      <c r="P246" s="14">
        <v>208224</v>
      </c>
    </row>
    <row r="247" spans="1:16" x14ac:dyDescent="0.3">
      <c r="A247" s="13" t="s">
        <v>66</v>
      </c>
      <c r="B247" s="13" t="s">
        <v>58</v>
      </c>
      <c r="C247" s="13" t="s">
        <v>51</v>
      </c>
      <c r="D247" s="13" t="s">
        <v>52</v>
      </c>
      <c r="E247" s="13" t="s">
        <v>40</v>
      </c>
      <c r="F247" s="13" t="s">
        <v>6</v>
      </c>
      <c r="G247" s="13" t="s">
        <v>1</v>
      </c>
      <c r="H247" s="14"/>
      <c r="I247" s="14"/>
      <c r="J247" s="14"/>
      <c r="K247" s="14"/>
      <c r="L247" s="14">
        <f>HLOOKUP(B247,[4]C5_LMA_DIAG!$A$24:$M$28,2,FALSE)</f>
        <v>171833</v>
      </c>
      <c r="M247" s="14">
        <f>HLOOKUP(B247,[5]C6_LMA_DIAG!$A$23:$M$26,2,FALSE)</f>
        <v>195086</v>
      </c>
      <c r="N247" s="14">
        <f>HLOOKUP(B247,[6]C6_LMA_DIAG!$B$26:$O$29,2,FALSE)</f>
        <v>165083</v>
      </c>
      <c r="O247" s="14">
        <f>HLOOKUP(B247,[1]C6_LMA_DIAG!$B$27:$O$30,2, FALSE)</f>
        <v>234547</v>
      </c>
      <c r="P247" s="14">
        <v>254393</v>
      </c>
    </row>
    <row r="248" spans="1:16" x14ac:dyDescent="0.3">
      <c r="A248" s="13" t="s">
        <v>66</v>
      </c>
      <c r="B248" s="13" t="s">
        <v>59</v>
      </c>
      <c r="C248" s="13" t="s">
        <v>51</v>
      </c>
      <c r="D248" s="13" t="s">
        <v>52</v>
      </c>
      <c r="E248" s="13" t="s">
        <v>40</v>
      </c>
      <c r="F248" s="13" t="s">
        <v>6</v>
      </c>
      <c r="G248" s="13" t="s">
        <v>1</v>
      </c>
      <c r="H248" s="14"/>
      <c r="I248" s="14"/>
      <c r="J248" s="14"/>
      <c r="K248" s="14"/>
      <c r="L248" s="14">
        <f>HLOOKUP(B248,[4]C5_LMA_DIAG!$A$24:$M$28,2,FALSE)</f>
        <v>87218</v>
      </c>
      <c r="M248" s="14">
        <f>HLOOKUP(B248,[5]C6_LMA_DIAG!$A$23:$M$26,2,FALSE)</f>
        <v>89779</v>
      </c>
      <c r="N248" s="14">
        <f>HLOOKUP(B248,[6]C6_LMA_DIAG!$B$26:$O$29,2,FALSE)</f>
        <v>68013</v>
      </c>
      <c r="O248" s="14">
        <f>HLOOKUP(B248,[1]C6_LMA_DIAG!$B$27:$O$30,2, FALSE)</f>
        <v>69334</v>
      </c>
      <c r="P248" s="14">
        <v>83041</v>
      </c>
    </row>
    <row r="249" spans="1:16" x14ac:dyDescent="0.3">
      <c r="A249" s="13" t="s">
        <v>66</v>
      </c>
      <c r="B249" s="13" t="s">
        <v>60</v>
      </c>
      <c r="C249" s="13" t="s">
        <v>51</v>
      </c>
      <c r="D249" s="13" t="s">
        <v>52</v>
      </c>
      <c r="E249" s="13" t="s">
        <v>40</v>
      </c>
      <c r="F249" s="13" t="s">
        <v>6</v>
      </c>
      <c r="G249" s="13" t="s">
        <v>1</v>
      </c>
      <c r="H249" s="14"/>
      <c r="I249" s="14"/>
      <c r="J249" s="14"/>
      <c r="K249" s="14"/>
      <c r="L249" s="14">
        <f>HLOOKUP(B249,[4]C5_LMA_DIAG!$A$24:$M$28,2,FALSE)</f>
        <v>76636</v>
      </c>
      <c r="M249" s="14">
        <f>HLOOKUP(B249,[5]C6_LMA_DIAG!$A$23:$M$26,2,FALSE)</f>
        <v>88703</v>
      </c>
      <c r="N249" s="14">
        <f>HLOOKUP(B249,[6]C6_LMA_DIAG!$B$26:$O$29,2,FALSE)</f>
        <v>69472</v>
      </c>
      <c r="O249" s="14">
        <f>HLOOKUP(B249,[1]C6_LMA_DIAG!$B$27:$O$30,2, FALSE)</f>
        <v>100216</v>
      </c>
      <c r="P249" s="14">
        <v>111727</v>
      </c>
    </row>
    <row r="250" spans="1:16" x14ac:dyDescent="0.3">
      <c r="A250" s="13" t="s">
        <v>66</v>
      </c>
      <c r="B250" s="13" t="s">
        <v>61</v>
      </c>
      <c r="C250" s="13" t="s">
        <v>51</v>
      </c>
      <c r="D250" s="13" t="s">
        <v>52</v>
      </c>
      <c r="E250" s="13" t="s">
        <v>40</v>
      </c>
      <c r="F250" s="13" t="s">
        <v>6</v>
      </c>
      <c r="G250" s="13" t="s">
        <v>1</v>
      </c>
      <c r="H250" s="14"/>
      <c r="I250" s="14"/>
      <c r="J250" s="14"/>
      <c r="K250" s="14"/>
      <c r="L250" s="14">
        <f>HLOOKUP(B250,[4]C5_LMA_DIAG!$A$24:$M$28,2,FALSE)</f>
        <v>0</v>
      </c>
      <c r="M250" s="14">
        <f>HLOOKUP(B250,[5]C6_LMA_DIAG!$A$23:$M$26,2,FALSE)</f>
        <v>204</v>
      </c>
      <c r="N250" s="14">
        <f>HLOOKUP(B250,[6]C6_LMA_DIAG!$B$26:$O$29,2,FALSE)</f>
        <v>114</v>
      </c>
      <c r="O250" s="14">
        <f>HLOOKUP(B250,[1]C6_LMA_DIAG!$B$27:$O$30,2, FALSE)</f>
        <v>129</v>
      </c>
      <c r="P250" s="14">
        <v>88</v>
      </c>
    </row>
    <row r="251" spans="1:16" x14ac:dyDescent="0.3">
      <c r="A251" s="13" t="s">
        <v>66</v>
      </c>
      <c r="B251" s="13" t="s">
        <v>62</v>
      </c>
      <c r="C251" s="13" t="s">
        <v>51</v>
      </c>
      <c r="D251" s="13" t="s">
        <v>52</v>
      </c>
      <c r="E251" s="13" t="s">
        <v>40</v>
      </c>
      <c r="F251" s="13" t="s">
        <v>6</v>
      </c>
      <c r="G251" s="13" t="s">
        <v>1</v>
      </c>
      <c r="H251" s="14"/>
      <c r="I251" s="14"/>
      <c r="J251" s="14"/>
      <c r="K251" s="14"/>
      <c r="L251" s="14">
        <f>HLOOKUP(B251,[4]C5_LMA_DIAG!$A$24:$M$28,2,FALSE)</f>
        <v>38235</v>
      </c>
      <c r="M251" s="14">
        <f>HLOOKUP(B251,[5]C6_LMA_DIAG!$A$23:$M$26,2,FALSE)</f>
        <v>40403</v>
      </c>
      <c r="N251" s="14">
        <f>HLOOKUP(B251,[6]C6_LMA_DIAG!$B$26:$O$29,2,FALSE)</f>
        <v>34809</v>
      </c>
      <c r="O251" s="14">
        <f>HLOOKUP(B251,[1]C6_LMA_DIAG!$B$27:$O$30,2, FALSE)</f>
        <v>44535</v>
      </c>
      <c r="P251" s="14">
        <v>45683</v>
      </c>
    </row>
    <row r="252" spans="1:16" x14ac:dyDescent="0.3">
      <c r="A252" s="13" t="s">
        <v>66</v>
      </c>
      <c r="B252" s="13" t="s">
        <v>63</v>
      </c>
      <c r="C252" s="13" t="s">
        <v>51</v>
      </c>
      <c r="D252" s="13" t="s">
        <v>52</v>
      </c>
      <c r="E252" s="13" t="s">
        <v>40</v>
      </c>
      <c r="F252" s="13" t="s">
        <v>6</v>
      </c>
      <c r="G252" s="13" t="s">
        <v>1</v>
      </c>
      <c r="H252" s="14"/>
      <c r="I252" s="14"/>
      <c r="J252" s="14"/>
      <c r="K252" s="14"/>
      <c r="L252" s="14">
        <f>HLOOKUP(B252,[4]C5_LMA_DIAG!$A$24:$M$28,2,FALSE)</f>
        <v>45650</v>
      </c>
      <c r="M252" s="14">
        <f>HLOOKUP(B252,[5]C6_LMA_DIAG!$A$23:$M$26,2,FALSE)</f>
        <v>48738</v>
      </c>
      <c r="N252" s="14">
        <f>HLOOKUP(B252,[6]C6_LMA_DIAG!$B$26:$O$29,2,FALSE)</f>
        <v>44396</v>
      </c>
      <c r="O252" s="14">
        <f>HLOOKUP(B252,[1]C6_LMA_DIAG!$B$27:$O$30,2, FALSE)</f>
        <v>47610</v>
      </c>
      <c r="P252" s="14">
        <v>50036</v>
      </c>
    </row>
    <row r="253" spans="1:16" x14ac:dyDescent="0.3">
      <c r="A253" s="13" t="s">
        <v>66</v>
      </c>
      <c r="B253" s="13" t="s">
        <v>64</v>
      </c>
      <c r="C253" s="13" t="s">
        <v>51</v>
      </c>
      <c r="D253" s="13" t="s">
        <v>52</v>
      </c>
      <c r="E253" s="13" t="s">
        <v>40</v>
      </c>
      <c r="F253" s="13" t="s">
        <v>6</v>
      </c>
      <c r="G253" s="13" t="s">
        <v>1</v>
      </c>
      <c r="H253" s="14"/>
      <c r="I253" s="14"/>
      <c r="J253" s="14"/>
      <c r="K253" s="14"/>
      <c r="L253" s="14">
        <f>HLOOKUP(B253,[4]C5_LMA_DIAG!$A$24:$M$28,2,FALSE)</f>
        <v>65445</v>
      </c>
      <c r="M253" s="14">
        <f>HLOOKUP(B253,[5]C6_LMA_DIAG!$A$23:$M$26,2,FALSE)</f>
        <v>69363</v>
      </c>
      <c r="N253" s="14">
        <f>HLOOKUP(B253,[6]C6_LMA_DIAG!$B$26:$O$29,2,FALSE)</f>
        <v>67978</v>
      </c>
      <c r="O253" s="14">
        <f>HLOOKUP(B253,[1]C6_LMA_DIAG!$B$27:$O$30,2, FALSE)</f>
        <v>80306</v>
      </c>
      <c r="P253" s="14">
        <v>81399</v>
      </c>
    </row>
    <row r="254" spans="1:16" x14ac:dyDescent="0.3">
      <c r="A254" s="13" t="s">
        <v>66</v>
      </c>
      <c r="B254" s="13" t="s">
        <v>70</v>
      </c>
      <c r="C254" s="13" t="s">
        <v>51</v>
      </c>
      <c r="D254" s="13" t="s">
        <v>52</v>
      </c>
      <c r="E254" s="13" t="s">
        <v>40</v>
      </c>
      <c r="F254" s="13" t="s">
        <v>6</v>
      </c>
      <c r="G254" s="13" t="s">
        <v>1</v>
      </c>
      <c r="H254" s="14"/>
      <c r="I254" s="14"/>
      <c r="J254" s="14"/>
      <c r="K254" s="14"/>
      <c r="L254" s="14" t="e">
        <f>HLOOKUP(B254,[4]C5_LMA_DIAG!$A$24:$M$28,2,FALSE)</f>
        <v>#N/A</v>
      </c>
      <c r="M254" s="14">
        <v>0</v>
      </c>
      <c r="N254" s="14">
        <f>HLOOKUP(B254,[6]C6_LMA_DIAG!$B$26:$O$29,2,FALSE)</f>
        <v>383227</v>
      </c>
      <c r="O254" s="14">
        <f>HLOOKUP(B254,[1]C6_LMA_DIAG!$B$27:$O$30,2, FALSE)</f>
        <v>733727</v>
      </c>
      <c r="P254" s="14">
        <v>551843</v>
      </c>
    </row>
    <row r="255" spans="1:16" x14ac:dyDescent="0.3">
      <c r="A255" s="13"/>
      <c r="B255" s="13" t="s">
        <v>71</v>
      </c>
      <c r="C255" s="13" t="s">
        <v>51</v>
      </c>
      <c r="D255" s="13" t="s">
        <v>52</v>
      </c>
      <c r="E255" s="13" t="s">
        <v>40</v>
      </c>
      <c r="F255" s="13" t="s">
        <v>6</v>
      </c>
      <c r="G255" s="13" t="s">
        <v>1</v>
      </c>
      <c r="H255" s="14"/>
      <c r="I255" s="14"/>
      <c r="J255" s="14"/>
      <c r="K255" s="14"/>
      <c r="L255" s="14" t="e">
        <f>HLOOKUP(B255,[4]C5_LMA_DIAG!$A$24:$M$28,2,FALSE)</f>
        <v>#N/A</v>
      </c>
      <c r="M255" s="14">
        <v>0</v>
      </c>
      <c r="N255" s="14">
        <f>HLOOKUP(B255,[6]C6_LMA_DIAG!$B$26:$O$29,2,FALSE)</f>
        <v>19</v>
      </c>
      <c r="O255" s="14">
        <f>HLOOKUP(B255,[1]C6_LMA_DIAG!$B$27:$O$30,2, FALSE)</f>
        <v>77</v>
      </c>
      <c r="P255" s="14">
        <v>0</v>
      </c>
    </row>
    <row r="256" spans="1:16" x14ac:dyDescent="0.3">
      <c r="A256" s="13" t="s">
        <v>66</v>
      </c>
      <c r="B256" s="13" t="s">
        <v>65</v>
      </c>
      <c r="C256" s="13" t="s">
        <v>51</v>
      </c>
      <c r="D256" s="13" t="s">
        <v>52</v>
      </c>
      <c r="E256" s="13" t="s">
        <v>40</v>
      </c>
      <c r="F256" s="13" t="s">
        <v>6</v>
      </c>
      <c r="G256" s="13" t="s">
        <v>1</v>
      </c>
      <c r="H256" s="14"/>
      <c r="I256" s="14"/>
      <c r="J256" s="14"/>
      <c r="K256" s="14"/>
      <c r="L256" s="14">
        <f>HLOOKUP(B256,[4]C5_LMA_DIAG!$A$24:$M$28,2,FALSE)</f>
        <v>171729</v>
      </c>
      <c r="M256" s="14">
        <f>HLOOKUP(B256,[5]C6_LMA_DIAG!$A$23:$M$26,2,FALSE)</f>
        <v>191307</v>
      </c>
      <c r="N256" s="14">
        <f>HLOOKUP(B256,[6]C6_LMA_DIAG!$B$26:$O$29,2,FALSE)</f>
        <v>173048</v>
      </c>
      <c r="O256" s="14">
        <f>HLOOKUP(B256,[1]C6_LMA_DIAG!$B$27:$O$30,2, FALSE)</f>
        <v>235153</v>
      </c>
      <c r="P256" s="14">
        <v>237982</v>
      </c>
    </row>
    <row r="257" spans="1:16" x14ac:dyDescent="0.3">
      <c r="A257" s="13" t="s">
        <v>66</v>
      </c>
      <c r="B257" s="13" t="s">
        <v>19</v>
      </c>
      <c r="C257" s="13" t="s">
        <v>51</v>
      </c>
      <c r="D257" s="13" t="s">
        <v>52</v>
      </c>
      <c r="E257" s="13" t="s">
        <v>40</v>
      </c>
      <c r="F257" s="13" t="s">
        <v>6</v>
      </c>
      <c r="G257" s="13" t="s">
        <v>1</v>
      </c>
      <c r="H257" s="14"/>
      <c r="I257" s="14"/>
      <c r="J257" s="14"/>
      <c r="K257" s="14"/>
      <c r="L257" s="14">
        <f>HLOOKUP(B257,[4]C5_LMA_DIAG!$A$24:$M$28,2,FALSE)</f>
        <v>20</v>
      </c>
      <c r="M257" s="14">
        <f>HLOOKUP(B257,[5]C6_LMA_DIAG!$A$23:$M$26,2,FALSE)</f>
        <v>69</v>
      </c>
      <c r="N257" s="14">
        <f>HLOOKUP(B257,[6]C6_LMA_DIAG!$B$26:$O$29,2,FALSE)</f>
        <v>0</v>
      </c>
      <c r="O257" s="14">
        <f>HLOOKUP(B257,[1]C6_LMA_DIAG!$B$27:$O$30,2, FALSE)</f>
        <v>0</v>
      </c>
      <c r="P257" s="14">
        <v>0</v>
      </c>
    </row>
    <row r="258" spans="1:16" x14ac:dyDescent="0.3">
      <c r="A258" s="11" t="s">
        <v>66</v>
      </c>
      <c r="B258" s="11" t="s">
        <v>55</v>
      </c>
      <c r="C258" s="11" t="s">
        <v>51</v>
      </c>
      <c r="D258" s="11" t="s">
        <v>52</v>
      </c>
      <c r="E258" s="11" t="s">
        <v>40</v>
      </c>
      <c r="F258" s="11" t="s">
        <v>7</v>
      </c>
      <c r="G258" s="11" t="s">
        <v>1</v>
      </c>
      <c r="H258" s="12"/>
      <c r="I258" s="12"/>
      <c r="J258" s="12"/>
      <c r="K258" s="12"/>
      <c r="L258" s="14">
        <f>HLOOKUP(B258,[4]C5_LMA_DIAG!$A$24:$M$28,3,FALSE)</f>
        <v>679406</v>
      </c>
      <c r="M258" s="14">
        <f>HLOOKUP(B258,[5]C6_LMA_DIAG!$A$23:$M$26,3,FALSE)</f>
        <v>754335</v>
      </c>
      <c r="N258" s="14">
        <f>HLOOKUP(B258,[6]C6_LMA_DIAG!$B$26:$O$29,3,FALSE)</f>
        <v>756989</v>
      </c>
      <c r="O258" s="12">
        <f>HLOOKUP(B244,[1]C6_LMA_DIAG!$B$27:$O$30,3, FALSE)</f>
        <v>1144384</v>
      </c>
      <c r="P258" s="12">
        <v>1346922</v>
      </c>
    </row>
    <row r="259" spans="1:16" x14ac:dyDescent="0.3">
      <c r="A259" s="11" t="s">
        <v>66</v>
      </c>
      <c r="B259" s="11" t="s">
        <v>56</v>
      </c>
      <c r="C259" s="11" t="s">
        <v>51</v>
      </c>
      <c r="D259" s="11" t="s">
        <v>52</v>
      </c>
      <c r="E259" s="11" t="s">
        <v>40</v>
      </c>
      <c r="F259" s="11" t="s">
        <v>7</v>
      </c>
      <c r="G259" s="11" t="s">
        <v>1</v>
      </c>
      <c r="H259" s="12"/>
      <c r="I259" s="12"/>
      <c r="J259" s="12"/>
      <c r="K259" s="12"/>
      <c r="L259" s="14">
        <f>HLOOKUP(B259,[4]C5_LMA_DIAG!$A$24:$M$28,3,FALSE)</f>
        <v>546046</v>
      </c>
      <c r="M259" s="14">
        <f>HLOOKUP(B259,[5]C6_LMA_DIAG!$A$23:$M$26,3,FALSE)</f>
        <v>573797</v>
      </c>
      <c r="N259" s="14">
        <f>HLOOKUP(B259,[6]C6_LMA_DIAG!$B$26:$O$29,3,FALSE)</f>
        <v>419406</v>
      </c>
      <c r="O259" s="12">
        <f>HLOOKUP(B245,[1]C6_LMA_DIAG!$B$27:$O$30,3, FALSE)</f>
        <v>607984</v>
      </c>
      <c r="P259" s="12">
        <v>668670</v>
      </c>
    </row>
    <row r="260" spans="1:16" x14ac:dyDescent="0.3">
      <c r="A260" s="11" t="s">
        <v>66</v>
      </c>
      <c r="B260" s="11" t="s">
        <v>57</v>
      </c>
      <c r="C260" s="11" t="s">
        <v>51</v>
      </c>
      <c r="D260" s="11" t="s">
        <v>52</v>
      </c>
      <c r="E260" s="11" t="s">
        <v>40</v>
      </c>
      <c r="F260" s="11" t="s">
        <v>7</v>
      </c>
      <c r="G260" s="11" t="s">
        <v>1</v>
      </c>
      <c r="H260" s="12"/>
      <c r="I260" s="12"/>
      <c r="J260" s="12"/>
      <c r="K260" s="12"/>
      <c r="L260" s="14">
        <f>HLOOKUP(B260,[4]C5_LMA_DIAG!$A$24:$M$28,3,FALSE)</f>
        <v>372016</v>
      </c>
      <c r="M260" s="14">
        <f>HLOOKUP(B260,[5]C6_LMA_DIAG!$A$23:$M$26,3,FALSE)</f>
        <v>394900</v>
      </c>
      <c r="N260" s="14">
        <f>HLOOKUP(B260,[6]C6_LMA_DIAG!$B$26:$O$29,3,FALSE)</f>
        <v>175466</v>
      </c>
      <c r="O260" s="12">
        <f>HLOOKUP(B246,[1]C6_LMA_DIAG!$B$27:$O$30,3, FALSE)</f>
        <v>151248</v>
      </c>
      <c r="P260" s="12">
        <v>404205</v>
      </c>
    </row>
    <row r="261" spans="1:16" x14ac:dyDescent="0.3">
      <c r="A261" s="11" t="s">
        <v>66</v>
      </c>
      <c r="B261" s="11" t="s">
        <v>58</v>
      </c>
      <c r="C261" s="11" t="s">
        <v>51</v>
      </c>
      <c r="D261" s="11" t="s">
        <v>52</v>
      </c>
      <c r="E261" s="11" t="s">
        <v>40</v>
      </c>
      <c r="F261" s="11" t="s">
        <v>7</v>
      </c>
      <c r="G261" s="11" t="s">
        <v>1</v>
      </c>
      <c r="H261" s="12"/>
      <c r="I261" s="12"/>
      <c r="J261" s="12"/>
      <c r="K261" s="12"/>
      <c r="L261" s="14">
        <f>HLOOKUP(B261,[4]C5_LMA_DIAG!$A$24:$M$28,3,FALSE)</f>
        <v>127796</v>
      </c>
      <c r="M261" s="14">
        <f>HLOOKUP(B261,[5]C6_LMA_DIAG!$A$23:$M$26,3,FALSE)</f>
        <v>142248</v>
      </c>
      <c r="N261" s="14">
        <f>HLOOKUP(B261,[6]C6_LMA_DIAG!$B$26:$O$29,3,FALSE)</f>
        <v>109896</v>
      </c>
      <c r="O261" s="12">
        <f>HLOOKUP(B247,[1]C6_LMA_DIAG!$B$27:$O$30,3, FALSE)</f>
        <v>150063</v>
      </c>
      <c r="P261" s="12">
        <v>170827</v>
      </c>
    </row>
    <row r="262" spans="1:16" x14ac:dyDescent="0.3">
      <c r="A262" s="11" t="s">
        <v>66</v>
      </c>
      <c r="B262" s="11" t="s">
        <v>59</v>
      </c>
      <c r="C262" s="11" t="s">
        <v>51</v>
      </c>
      <c r="D262" s="11" t="s">
        <v>52</v>
      </c>
      <c r="E262" s="11" t="s">
        <v>40</v>
      </c>
      <c r="F262" s="11" t="s">
        <v>7</v>
      </c>
      <c r="G262" s="11" t="s">
        <v>1</v>
      </c>
      <c r="H262" s="12"/>
      <c r="I262" s="12"/>
      <c r="J262" s="12"/>
      <c r="K262" s="12"/>
      <c r="L262" s="14">
        <f>HLOOKUP(B262,[4]C5_LMA_DIAG!$A$24:$M$28,3,FALSE)</f>
        <v>167081</v>
      </c>
      <c r="M262" s="14">
        <f>HLOOKUP(B262,[5]C6_LMA_DIAG!$A$23:$M$26,3,FALSE)</f>
        <v>162866</v>
      </c>
      <c r="N262" s="14">
        <f>HLOOKUP(B262,[6]C6_LMA_DIAG!$B$26:$O$29,3,FALSE)</f>
        <v>92939</v>
      </c>
      <c r="O262" s="12">
        <f>HLOOKUP(B248,[1]C6_LMA_DIAG!$B$27:$O$30,3, FALSE)</f>
        <v>86224</v>
      </c>
      <c r="P262" s="12">
        <v>135445</v>
      </c>
    </row>
    <row r="263" spans="1:16" x14ac:dyDescent="0.3">
      <c r="A263" s="11" t="s">
        <v>66</v>
      </c>
      <c r="B263" s="11" t="s">
        <v>60</v>
      </c>
      <c r="C263" s="11" t="s">
        <v>51</v>
      </c>
      <c r="D263" s="11" t="s">
        <v>52</v>
      </c>
      <c r="E263" s="11" t="s">
        <v>40</v>
      </c>
      <c r="F263" s="11" t="s">
        <v>7</v>
      </c>
      <c r="G263" s="11" t="s">
        <v>1</v>
      </c>
      <c r="H263" s="12"/>
      <c r="I263" s="12"/>
      <c r="J263" s="12"/>
      <c r="K263" s="12"/>
      <c r="L263" s="14">
        <f>HLOOKUP(B263,[4]C5_LMA_DIAG!$A$24:$M$28,3,FALSE)</f>
        <v>115122</v>
      </c>
      <c r="M263" s="14">
        <f>HLOOKUP(B263,[5]C6_LMA_DIAG!$A$23:$M$26,3,FALSE)</f>
        <v>129776</v>
      </c>
      <c r="N263" s="14">
        <f>HLOOKUP(B263,[6]C6_LMA_DIAG!$B$26:$O$29,3,FALSE)</f>
        <v>78888</v>
      </c>
      <c r="O263" s="12">
        <f>HLOOKUP(B249,[1]C6_LMA_DIAG!$B$27:$O$30,3, FALSE)</f>
        <v>110175</v>
      </c>
      <c r="P263" s="12">
        <v>142188</v>
      </c>
    </row>
    <row r="264" spans="1:16" x14ac:dyDescent="0.3">
      <c r="A264" s="11" t="s">
        <v>66</v>
      </c>
      <c r="B264" s="11" t="s">
        <v>61</v>
      </c>
      <c r="C264" s="11" t="s">
        <v>51</v>
      </c>
      <c r="D264" s="11" t="s">
        <v>52</v>
      </c>
      <c r="E264" s="11" t="s">
        <v>40</v>
      </c>
      <c r="F264" s="11" t="s">
        <v>7</v>
      </c>
      <c r="G264" s="11" t="s">
        <v>1</v>
      </c>
      <c r="H264" s="12"/>
      <c r="I264" s="12"/>
      <c r="J264" s="12"/>
      <c r="K264" s="12"/>
      <c r="L264" s="14">
        <f>HLOOKUP(B264,[4]C5_LMA_DIAG!$A$24:$M$28,3,FALSE)</f>
        <v>122500</v>
      </c>
      <c r="M264" s="14">
        <f>HLOOKUP(B264,[5]C6_LMA_DIAG!$A$23:$M$26,3,FALSE)</f>
        <v>117663</v>
      </c>
      <c r="N264" s="14">
        <f>HLOOKUP(B264,[6]C6_LMA_DIAG!$B$26:$O$29,3,FALSE)</f>
        <v>89238</v>
      </c>
      <c r="O264" s="12">
        <f>HLOOKUP(B250,[1]C6_LMA_DIAG!$B$27:$O$30,3, FALSE)</f>
        <v>91552</v>
      </c>
      <c r="P264" s="12">
        <v>106216</v>
      </c>
    </row>
    <row r="265" spans="1:16" x14ac:dyDescent="0.3">
      <c r="A265" s="11" t="s">
        <v>66</v>
      </c>
      <c r="B265" s="11" t="s">
        <v>62</v>
      </c>
      <c r="C265" s="11" t="s">
        <v>51</v>
      </c>
      <c r="D265" s="11" t="s">
        <v>52</v>
      </c>
      <c r="E265" s="11" t="s">
        <v>40</v>
      </c>
      <c r="F265" s="11" t="s">
        <v>7</v>
      </c>
      <c r="G265" s="11" t="s">
        <v>1</v>
      </c>
      <c r="H265" s="12"/>
      <c r="I265" s="12"/>
      <c r="J265" s="12"/>
      <c r="K265" s="12"/>
      <c r="L265" s="14">
        <f>HLOOKUP(B265,[4]C5_LMA_DIAG!$A$24:$M$28,3,FALSE)</f>
        <v>91093</v>
      </c>
      <c r="M265" s="14">
        <f>HLOOKUP(B265,[5]C6_LMA_DIAG!$A$23:$M$26,3,FALSE)</f>
        <v>89848</v>
      </c>
      <c r="N265" s="14">
        <f>HLOOKUP(B265,[6]C6_LMA_DIAG!$B$26:$O$29,3,FALSE)</f>
        <v>56912</v>
      </c>
      <c r="O265" s="12">
        <f>HLOOKUP(B251,[1]C6_LMA_DIAG!$B$27:$O$30,3, FALSE)</f>
        <v>73227</v>
      </c>
      <c r="P265" s="12">
        <v>89653</v>
      </c>
    </row>
    <row r="266" spans="1:16" x14ac:dyDescent="0.3">
      <c r="A266" s="11" t="s">
        <v>66</v>
      </c>
      <c r="B266" s="11" t="s">
        <v>63</v>
      </c>
      <c r="C266" s="11" t="s">
        <v>51</v>
      </c>
      <c r="D266" s="11" t="s">
        <v>52</v>
      </c>
      <c r="E266" s="11" t="s">
        <v>40</v>
      </c>
      <c r="F266" s="11" t="s">
        <v>7</v>
      </c>
      <c r="G266" s="11" t="s">
        <v>1</v>
      </c>
      <c r="H266" s="12"/>
      <c r="I266" s="12"/>
      <c r="J266" s="12"/>
      <c r="K266" s="12"/>
      <c r="L266" s="14">
        <f>HLOOKUP(B266,[4]C5_LMA_DIAG!$A$24:$M$28,3,FALSE)</f>
        <v>52551</v>
      </c>
      <c r="M266" s="14">
        <f>HLOOKUP(B266,[5]C6_LMA_DIAG!$A$23:$M$26,3,FALSE)</f>
        <v>54197</v>
      </c>
      <c r="N266" s="14">
        <f>HLOOKUP(B266,[6]C6_LMA_DIAG!$B$26:$O$29,3,FALSE)</f>
        <v>44678</v>
      </c>
      <c r="O266" s="12">
        <f>HLOOKUP(B252,[1]C6_LMA_DIAG!$B$27:$O$30,3, FALSE)</f>
        <v>53537</v>
      </c>
      <c r="P266" s="12">
        <v>60828</v>
      </c>
    </row>
    <row r="267" spans="1:16" x14ac:dyDescent="0.3">
      <c r="A267" s="11" t="s">
        <v>66</v>
      </c>
      <c r="B267" s="11" t="s">
        <v>64</v>
      </c>
      <c r="C267" s="11" t="s">
        <v>51</v>
      </c>
      <c r="D267" s="11" t="s">
        <v>52</v>
      </c>
      <c r="E267" s="11" t="s">
        <v>40</v>
      </c>
      <c r="F267" s="11" t="s">
        <v>7</v>
      </c>
      <c r="G267" s="11" t="s">
        <v>1</v>
      </c>
      <c r="H267" s="12"/>
      <c r="I267" s="12"/>
      <c r="J267" s="12"/>
      <c r="K267" s="12"/>
      <c r="L267" s="14">
        <f>HLOOKUP(B267,[4]C5_LMA_DIAG!$A$24:$M$28,3,FALSE)</f>
        <v>38829</v>
      </c>
      <c r="M267" s="14">
        <f>HLOOKUP(B267,[5]C6_LMA_DIAG!$A$23:$M$26,3,FALSE)</f>
        <v>38899</v>
      </c>
      <c r="N267" s="14">
        <f>HLOOKUP(B267,[6]C6_LMA_DIAG!$B$26:$O$29,3,FALSE)</f>
        <v>32269</v>
      </c>
      <c r="O267" s="12">
        <f>HLOOKUP(B253,[1]C6_LMA_DIAG!$B$27:$O$30,3, FALSE)</f>
        <v>38942</v>
      </c>
      <c r="P267" s="12">
        <v>41643</v>
      </c>
    </row>
    <row r="268" spans="1:16" x14ac:dyDescent="0.3">
      <c r="A268" s="11" t="s">
        <v>66</v>
      </c>
      <c r="B268" s="11" t="s">
        <v>70</v>
      </c>
      <c r="C268" s="11" t="s">
        <v>51</v>
      </c>
      <c r="D268" s="11" t="s">
        <v>52</v>
      </c>
      <c r="E268" s="11" t="s">
        <v>40</v>
      </c>
      <c r="F268" s="11" t="s">
        <v>7</v>
      </c>
      <c r="G268" s="11" t="s">
        <v>1</v>
      </c>
      <c r="H268" s="12"/>
      <c r="I268" s="12"/>
      <c r="J268" s="12"/>
      <c r="K268" s="12"/>
      <c r="L268" s="14" t="e">
        <f>HLOOKUP(B268,[4]C5_LMA_DIAG!$A$24:$M$28,3,FALSE)</f>
        <v>#N/A</v>
      </c>
      <c r="M268" s="14">
        <v>0</v>
      </c>
      <c r="N268" s="14">
        <f>HLOOKUP(B268,[6]C6_LMA_DIAG!$B$26:$O$29,3,FALSE)</f>
        <v>289789</v>
      </c>
      <c r="O268" s="12">
        <f>HLOOKUP(B254,[1]C6_LMA_DIAG!$B$27:$O$30,3, FALSE)</f>
        <v>607522</v>
      </c>
      <c r="P268" s="12">
        <v>658883</v>
      </c>
    </row>
    <row r="269" spans="1:16" x14ac:dyDescent="0.3">
      <c r="A269" s="11"/>
      <c r="B269" s="11" t="s">
        <v>71</v>
      </c>
      <c r="C269" s="11" t="s">
        <v>51</v>
      </c>
      <c r="D269" s="11" t="s">
        <v>52</v>
      </c>
      <c r="E269" s="11" t="s">
        <v>40</v>
      </c>
      <c r="F269" s="11" t="s">
        <v>7</v>
      </c>
      <c r="G269" s="11" t="s">
        <v>1</v>
      </c>
      <c r="H269" s="12"/>
      <c r="I269" s="12"/>
      <c r="J269" s="12"/>
      <c r="K269" s="12"/>
      <c r="L269" s="14" t="e">
        <f>HLOOKUP(B269,[4]C5_LMA_DIAG!$A$24:$M$28,3,FALSE)</f>
        <v>#N/A</v>
      </c>
      <c r="M269" s="14">
        <v>0</v>
      </c>
      <c r="N269" s="14">
        <f>HLOOKUP(B269,[6]C6_LMA_DIAG!$B$26:$O$29,3,FALSE)</f>
        <v>95025</v>
      </c>
      <c r="O269" s="12">
        <f>HLOOKUP(B255,[1]C6_LMA_DIAG!$B$27:$O$30,3, FALSE)</f>
        <v>127741</v>
      </c>
      <c r="P269" s="12">
        <v>0</v>
      </c>
    </row>
    <row r="270" spans="1:16" x14ac:dyDescent="0.3">
      <c r="A270" s="11" t="s">
        <v>66</v>
      </c>
      <c r="B270" s="11" t="s">
        <v>65</v>
      </c>
      <c r="C270" s="11" t="s">
        <v>51</v>
      </c>
      <c r="D270" s="11" t="s">
        <v>52</v>
      </c>
      <c r="E270" s="11" t="s">
        <v>40</v>
      </c>
      <c r="F270" s="11" t="s">
        <v>7</v>
      </c>
      <c r="G270" s="11" t="s">
        <v>1</v>
      </c>
      <c r="H270" s="12"/>
      <c r="I270" s="12"/>
      <c r="J270" s="12"/>
      <c r="K270" s="12"/>
      <c r="L270" s="14">
        <f>HLOOKUP(B270,[4]C5_LMA_DIAG!$A$24:$M$28,3,FALSE)</f>
        <v>295100</v>
      </c>
      <c r="M270" s="14">
        <f>HLOOKUP(B270,[5]C6_LMA_DIAG!$A$23:$M$26,3,FALSE)</f>
        <v>301938</v>
      </c>
      <c r="N270" s="14">
        <f>HLOOKUP(B270,[6]C6_LMA_DIAG!$B$26:$O$29,3,FALSE)</f>
        <v>212679</v>
      </c>
      <c r="O270" s="12">
        <f>HLOOKUP(B256,[1]C6_LMA_DIAG!$B$27:$O$30,3, FALSE)</f>
        <v>278862</v>
      </c>
      <c r="P270" s="12">
        <v>330530</v>
      </c>
    </row>
    <row r="271" spans="1:16" x14ac:dyDescent="0.3">
      <c r="A271" s="11" t="s">
        <v>66</v>
      </c>
      <c r="B271" s="11" t="s">
        <v>19</v>
      </c>
      <c r="C271" s="11" t="s">
        <v>51</v>
      </c>
      <c r="D271" s="11" t="s">
        <v>52</v>
      </c>
      <c r="E271" s="11" t="s">
        <v>40</v>
      </c>
      <c r="F271" s="11" t="s">
        <v>7</v>
      </c>
      <c r="G271" s="11" t="s">
        <v>1</v>
      </c>
      <c r="H271" s="12"/>
      <c r="I271" s="12"/>
      <c r="J271" s="12"/>
      <c r="K271" s="12"/>
      <c r="L271" s="14">
        <f>HLOOKUP(B271,[4]C5_LMA_DIAG!$A$24:$M$28,3,FALSE)</f>
        <v>16</v>
      </c>
      <c r="M271" s="14">
        <f>HLOOKUP(B271,[5]C6_LMA_DIAG!$A$23:$M$26,3,FALSE)</f>
        <v>62</v>
      </c>
      <c r="N271" s="14">
        <f>HLOOKUP(B271,[6]C6_LMA_DIAG!$B$26:$O$29,3,FALSE)</f>
        <v>1</v>
      </c>
      <c r="O271" s="12">
        <f>HLOOKUP(B257,[1]C6_LMA_DIAG!$B$27:$O$30,3, FALSE)</f>
        <v>0</v>
      </c>
      <c r="P271" s="14">
        <v>0</v>
      </c>
    </row>
    <row r="272" spans="1:16" x14ac:dyDescent="0.3">
      <c r="A272" s="13" t="s">
        <v>66</v>
      </c>
      <c r="B272" s="13" t="s">
        <v>55</v>
      </c>
      <c r="C272" s="13" t="s">
        <v>51</v>
      </c>
      <c r="D272" s="13" t="s">
        <v>52</v>
      </c>
      <c r="E272" s="13" t="s">
        <v>40</v>
      </c>
      <c r="F272" s="13" t="s">
        <v>67</v>
      </c>
      <c r="G272" s="13" t="s">
        <v>1</v>
      </c>
      <c r="H272" s="14"/>
      <c r="I272" s="14"/>
      <c r="J272" s="14"/>
      <c r="K272" s="14"/>
      <c r="L272" s="14">
        <f>HLOOKUP(B272,[4]C5_LMA_DIAG!$A$24:$M$28,4,FALSE)+HLOOKUP(B272,[4]C5_LMA_DIAG!$A$24:$M$28,5,FALSE)</f>
        <v>0</v>
      </c>
      <c r="M272" s="14">
        <f>HLOOKUP(B272,[5]C6_LMA_DIAG!$A$23:$M$26,4,FALSE)</f>
        <v>0</v>
      </c>
      <c r="N272" s="14">
        <f>HLOOKUP(B272,[6]C6_LMA_DIAG!$B$26:$O$29,4,FALSE)</f>
        <v>0</v>
      </c>
      <c r="O272" s="14">
        <f>HLOOKUP(B244,[1]C6_LMA_DIAG!$B$27:$O$31,4, FALSE)</f>
        <v>0</v>
      </c>
      <c r="P272" s="3">
        <v>0</v>
      </c>
    </row>
    <row r="273" spans="1:16" x14ac:dyDescent="0.3">
      <c r="A273" s="13" t="s">
        <v>66</v>
      </c>
      <c r="B273" s="13" t="s">
        <v>56</v>
      </c>
      <c r="C273" s="13" t="s">
        <v>51</v>
      </c>
      <c r="D273" s="13" t="s">
        <v>52</v>
      </c>
      <c r="E273" s="13" t="s">
        <v>40</v>
      </c>
      <c r="F273" s="13" t="s">
        <v>67</v>
      </c>
      <c r="G273" s="13" t="s">
        <v>1</v>
      </c>
      <c r="H273" s="14"/>
      <c r="I273" s="14"/>
      <c r="J273" s="14"/>
      <c r="K273" s="14"/>
      <c r="L273" s="14">
        <f>HLOOKUP(B273,[4]C5_LMA_DIAG!$A$24:$M$28,4,FALSE)+HLOOKUP(B273,[4]C5_LMA_DIAG!$A$24:$M$28,5,FALSE)</f>
        <v>3</v>
      </c>
      <c r="M273" s="14">
        <f>HLOOKUP(B273,[5]C6_LMA_DIAG!$A$23:$M$26,4,FALSE)</f>
        <v>0</v>
      </c>
      <c r="N273" s="14">
        <f>HLOOKUP(B273,[6]C6_LMA_DIAG!$B$26:$O$29,4,FALSE)</f>
        <v>0</v>
      </c>
      <c r="O273" s="14">
        <f>HLOOKUP(B245,[1]C6_LMA_DIAG!$B$27:$O$31,4, FALSE)</f>
        <v>0</v>
      </c>
      <c r="P273" s="14">
        <v>0</v>
      </c>
    </row>
    <row r="274" spans="1:16" x14ac:dyDescent="0.3">
      <c r="A274" s="13" t="s">
        <v>66</v>
      </c>
      <c r="B274" s="13" t="s">
        <v>57</v>
      </c>
      <c r="C274" s="13" t="s">
        <v>51</v>
      </c>
      <c r="D274" s="13" t="s">
        <v>52</v>
      </c>
      <c r="E274" s="13" t="s">
        <v>40</v>
      </c>
      <c r="F274" s="13" t="s">
        <v>67</v>
      </c>
      <c r="G274" s="13" t="s">
        <v>1</v>
      </c>
      <c r="H274" s="14"/>
      <c r="I274" s="14"/>
      <c r="J274" s="14"/>
      <c r="K274" s="14"/>
      <c r="L274" s="14">
        <f>HLOOKUP(B274,[4]C5_LMA_DIAG!$A$24:$M$28,4,FALSE)+HLOOKUP(B274,[4]C5_LMA_DIAG!$A$24:$M$28,5,FALSE)</f>
        <v>2</v>
      </c>
      <c r="M274" s="14">
        <f>HLOOKUP(B274,[5]C6_LMA_DIAG!$A$23:$M$26,4,FALSE)</f>
        <v>0</v>
      </c>
      <c r="N274" s="14">
        <f>HLOOKUP(B274,[6]C6_LMA_DIAG!$B$26:$O$29,4,FALSE)</f>
        <v>0</v>
      </c>
      <c r="O274" s="14">
        <f>HLOOKUP(B246,[1]C6_LMA_DIAG!$B$27:$O$31,4, FALSE)</f>
        <v>0</v>
      </c>
      <c r="P274" s="3">
        <v>0</v>
      </c>
    </row>
    <row r="275" spans="1:16" x14ac:dyDescent="0.3">
      <c r="A275" s="13" t="s">
        <v>66</v>
      </c>
      <c r="B275" s="13" t="s">
        <v>58</v>
      </c>
      <c r="C275" s="13" t="s">
        <v>51</v>
      </c>
      <c r="D275" s="13" t="s">
        <v>52</v>
      </c>
      <c r="E275" s="13" t="s">
        <v>40</v>
      </c>
      <c r="F275" s="13" t="s">
        <v>67</v>
      </c>
      <c r="G275" s="13" t="s">
        <v>1</v>
      </c>
      <c r="H275" s="14"/>
      <c r="I275" s="14"/>
      <c r="J275" s="14"/>
      <c r="K275" s="14"/>
      <c r="L275" s="14">
        <f>HLOOKUP(B275,[4]C5_LMA_DIAG!$A$24:$M$28,4,FALSE)+HLOOKUP(B275,[4]C5_LMA_DIAG!$A$24:$M$28,5,FALSE)</f>
        <v>0</v>
      </c>
      <c r="M275" s="14">
        <f>HLOOKUP(B275,[5]C6_LMA_DIAG!$A$23:$M$26,4,FALSE)</f>
        <v>0</v>
      </c>
      <c r="N275" s="14">
        <f>HLOOKUP(B275,[6]C6_LMA_DIAG!$B$26:$O$29,4,FALSE)</f>
        <v>0</v>
      </c>
      <c r="O275" s="14">
        <f>HLOOKUP(B247,[1]C6_LMA_DIAG!$B$27:$O$31,4, FALSE)</f>
        <v>0</v>
      </c>
      <c r="P275" s="14">
        <v>0</v>
      </c>
    </row>
    <row r="276" spans="1:16" x14ac:dyDescent="0.3">
      <c r="A276" s="13" t="s">
        <v>66</v>
      </c>
      <c r="B276" s="13" t="s">
        <v>59</v>
      </c>
      <c r="C276" s="13" t="s">
        <v>51</v>
      </c>
      <c r="D276" s="13" t="s">
        <v>52</v>
      </c>
      <c r="E276" s="13" t="s">
        <v>40</v>
      </c>
      <c r="F276" s="13" t="s">
        <v>67</v>
      </c>
      <c r="G276" s="13" t="s">
        <v>1</v>
      </c>
      <c r="H276" s="14"/>
      <c r="I276" s="14"/>
      <c r="J276" s="14"/>
      <c r="K276" s="14"/>
      <c r="L276" s="14">
        <f>HLOOKUP(B276,[4]C5_LMA_DIAG!$A$24:$M$28,4,FALSE)+HLOOKUP(B276,[4]C5_LMA_DIAG!$A$24:$M$28,5,FALSE)</f>
        <v>1</v>
      </c>
      <c r="M276" s="14">
        <f>HLOOKUP(B276,[5]C6_LMA_DIAG!$A$23:$M$26,4,FALSE)</f>
        <v>0</v>
      </c>
      <c r="N276" s="14">
        <f>HLOOKUP(B276,[6]C6_LMA_DIAG!$B$26:$O$29,4,FALSE)</f>
        <v>0</v>
      </c>
      <c r="O276" s="14">
        <f>HLOOKUP(B248,[1]C6_LMA_DIAG!$B$27:$O$31,4, FALSE)</f>
        <v>0</v>
      </c>
      <c r="P276" s="14">
        <v>0</v>
      </c>
    </row>
    <row r="277" spans="1:16" x14ac:dyDescent="0.3">
      <c r="A277" s="13" t="s">
        <v>66</v>
      </c>
      <c r="B277" s="13" t="s">
        <v>60</v>
      </c>
      <c r="C277" s="13" t="s">
        <v>51</v>
      </c>
      <c r="D277" s="13" t="s">
        <v>52</v>
      </c>
      <c r="E277" s="13" t="s">
        <v>40</v>
      </c>
      <c r="F277" s="13" t="s">
        <v>67</v>
      </c>
      <c r="G277" s="13" t="s">
        <v>1</v>
      </c>
      <c r="H277" s="14"/>
      <c r="I277" s="14"/>
      <c r="J277" s="14"/>
      <c r="K277" s="14"/>
      <c r="L277" s="14">
        <f>HLOOKUP(B277,[4]C5_LMA_DIAG!$A$24:$M$28,4,FALSE)+HLOOKUP(B277,[4]C5_LMA_DIAG!$A$24:$M$28,5,FALSE)</f>
        <v>0</v>
      </c>
      <c r="M277" s="14">
        <f>HLOOKUP(B277,[5]C6_LMA_DIAG!$A$23:$M$26,4,FALSE)</f>
        <v>0</v>
      </c>
      <c r="N277" s="14">
        <f>HLOOKUP(B277,[6]C6_LMA_DIAG!$B$26:$O$29,4,FALSE)</f>
        <v>0</v>
      </c>
      <c r="O277" s="14">
        <f>HLOOKUP(B249,[1]C6_LMA_DIAG!$B$27:$O$31,4, FALSE)</f>
        <v>0</v>
      </c>
      <c r="P277" s="14">
        <v>0</v>
      </c>
    </row>
    <row r="278" spans="1:16" x14ac:dyDescent="0.3">
      <c r="A278" s="13" t="s">
        <v>66</v>
      </c>
      <c r="B278" s="13" t="s">
        <v>61</v>
      </c>
      <c r="C278" s="13" t="s">
        <v>51</v>
      </c>
      <c r="D278" s="13" t="s">
        <v>52</v>
      </c>
      <c r="E278" s="13" t="s">
        <v>40</v>
      </c>
      <c r="F278" s="13" t="s">
        <v>67</v>
      </c>
      <c r="G278" s="13" t="s">
        <v>1</v>
      </c>
      <c r="H278" s="14"/>
      <c r="I278" s="14"/>
      <c r="J278" s="14"/>
      <c r="K278" s="14"/>
      <c r="L278" s="14">
        <f>HLOOKUP(B278,[4]C5_LMA_DIAG!$A$24:$M$28,4,FALSE)+HLOOKUP(B278,[4]C5_LMA_DIAG!$A$24:$M$28,5,FALSE)</f>
        <v>0</v>
      </c>
      <c r="M278" s="14">
        <f>HLOOKUP(B278,[5]C6_LMA_DIAG!$A$23:$M$26,4,FALSE)</f>
        <v>0</v>
      </c>
      <c r="N278" s="14">
        <f>HLOOKUP(B278,[6]C6_LMA_DIAG!$B$26:$O$29,4,FALSE)</f>
        <v>0</v>
      </c>
      <c r="O278" s="14">
        <f>HLOOKUP(B250,[1]C6_LMA_DIAG!$B$27:$O$31,4, FALSE)</f>
        <v>0</v>
      </c>
      <c r="P278" s="14">
        <v>0</v>
      </c>
    </row>
    <row r="279" spans="1:16" x14ac:dyDescent="0.3">
      <c r="A279" s="13" t="s">
        <v>66</v>
      </c>
      <c r="B279" s="13" t="s">
        <v>62</v>
      </c>
      <c r="C279" s="13" t="s">
        <v>51</v>
      </c>
      <c r="D279" s="13" t="s">
        <v>52</v>
      </c>
      <c r="E279" s="13" t="s">
        <v>40</v>
      </c>
      <c r="F279" s="13" t="s">
        <v>67</v>
      </c>
      <c r="G279" s="13" t="s">
        <v>1</v>
      </c>
      <c r="H279" s="14"/>
      <c r="I279" s="14"/>
      <c r="J279" s="14"/>
      <c r="K279" s="14"/>
      <c r="L279" s="14">
        <f>HLOOKUP(B279,[4]C5_LMA_DIAG!$A$24:$M$28,4,FALSE)+HLOOKUP(B279,[4]C5_LMA_DIAG!$A$24:$M$28,5,FALSE)</f>
        <v>1</v>
      </c>
      <c r="M279" s="14">
        <f>HLOOKUP(B279,[5]C6_LMA_DIAG!$A$23:$M$26,4,FALSE)</f>
        <v>0</v>
      </c>
      <c r="N279" s="14">
        <f>HLOOKUP(B279,[6]C6_LMA_DIAG!$B$26:$O$29,4,FALSE)</f>
        <v>0</v>
      </c>
      <c r="O279" s="14">
        <f>HLOOKUP(B251,[1]C6_LMA_DIAG!$B$27:$O$31,4, FALSE)</f>
        <v>0</v>
      </c>
      <c r="P279" s="14">
        <v>0</v>
      </c>
    </row>
    <row r="280" spans="1:16" x14ac:dyDescent="0.3">
      <c r="A280" s="13" t="s">
        <v>66</v>
      </c>
      <c r="B280" s="13" t="s">
        <v>63</v>
      </c>
      <c r="C280" s="13" t="s">
        <v>51</v>
      </c>
      <c r="D280" s="13" t="s">
        <v>52</v>
      </c>
      <c r="E280" s="13" t="s">
        <v>40</v>
      </c>
      <c r="F280" s="13" t="s">
        <v>67</v>
      </c>
      <c r="G280" s="13" t="s">
        <v>1</v>
      </c>
      <c r="H280" s="14"/>
      <c r="I280" s="14"/>
      <c r="J280" s="14"/>
      <c r="K280" s="14"/>
      <c r="L280" s="14">
        <f>HLOOKUP(B280,[4]C5_LMA_DIAG!$A$24:$M$28,4,FALSE)+HLOOKUP(B280,[4]C5_LMA_DIAG!$A$24:$M$28,5,FALSE)</f>
        <v>1</v>
      </c>
      <c r="M280" s="14">
        <f>HLOOKUP(B280,[5]C6_LMA_DIAG!$A$23:$M$26,4,FALSE)</f>
        <v>0</v>
      </c>
      <c r="N280" s="14">
        <f>HLOOKUP(B280,[6]C6_LMA_DIAG!$B$26:$O$29,4,FALSE)</f>
        <v>0</v>
      </c>
      <c r="O280" s="14">
        <f>HLOOKUP(B252,[1]C6_LMA_DIAG!$B$27:$O$31,4, FALSE)</f>
        <v>0</v>
      </c>
      <c r="P280" s="14">
        <v>0</v>
      </c>
    </row>
    <row r="281" spans="1:16" x14ac:dyDescent="0.3">
      <c r="A281" s="13" t="s">
        <v>66</v>
      </c>
      <c r="B281" s="13" t="s">
        <v>64</v>
      </c>
      <c r="C281" s="13" t="s">
        <v>51</v>
      </c>
      <c r="D281" s="13" t="s">
        <v>52</v>
      </c>
      <c r="E281" s="13" t="s">
        <v>40</v>
      </c>
      <c r="F281" s="13" t="s">
        <v>67</v>
      </c>
      <c r="G281" s="13" t="s">
        <v>1</v>
      </c>
      <c r="H281" s="14"/>
      <c r="I281" s="14"/>
      <c r="J281" s="14"/>
      <c r="K281" s="14"/>
      <c r="L281" s="14">
        <f>HLOOKUP(B281,[4]C5_LMA_DIAG!$A$24:$M$28,4,FALSE)+HLOOKUP(B281,[4]C5_LMA_DIAG!$A$24:$M$28,5,FALSE)</f>
        <v>0</v>
      </c>
      <c r="M281" s="14">
        <f>HLOOKUP(B281,[5]C6_LMA_DIAG!$A$23:$M$26,4,FALSE)</f>
        <v>0</v>
      </c>
      <c r="N281" s="14">
        <f>HLOOKUP(B281,[6]C6_LMA_DIAG!$B$26:$O$29,4,FALSE)</f>
        <v>0</v>
      </c>
      <c r="O281" s="14">
        <f>HLOOKUP(B253,[1]C6_LMA_DIAG!$B$27:$O$31,4, FALSE)</f>
        <v>0</v>
      </c>
      <c r="P281" s="14">
        <v>0</v>
      </c>
    </row>
    <row r="282" spans="1:16" x14ac:dyDescent="0.3">
      <c r="A282" s="13" t="s">
        <v>66</v>
      </c>
      <c r="B282" s="13" t="s">
        <v>70</v>
      </c>
      <c r="C282" s="13" t="s">
        <v>51</v>
      </c>
      <c r="D282" s="13" t="s">
        <v>52</v>
      </c>
      <c r="E282" s="13" t="s">
        <v>40</v>
      </c>
      <c r="F282" s="13" t="s">
        <v>67</v>
      </c>
      <c r="G282" s="13" t="s">
        <v>1</v>
      </c>
      <c r="H282" s="14"/>
      <c r="I282" s="14"/>
      <c r="J282" s="14"/>
      <c r="K282" s="14"/>
      <c r="L282" s="14">
        <v>0</v>
      </c>
      <c r="M282" s="14">
        <v>0</v>
      </c>
      <c r="N282" s="14">
        <f>HLOOKUP(B282,[6]C6_LMA_DIAG!$B$26:$O$29,4,FALSE)</f>
        <v>0</v>
      </c>
      <c r="O282" s="14">
        <f>HLOOKUP(B254,[1]C6_LMA_DIAG!$B$27:$O$31,4, FALSE)</f>
        <v>0</v>
      </c>
      <c r="P282" s="14">
        <v>0</v>
      </c>
    </row>
    <row r="283" spans="1:16" x14ac:dyDescent="0.3">
      <c r="A283" s="13"/>
      <c r="B283" s="13" t="s">
        <v>71</v>
      </c>
      <c r="C283" s="13" t="s">
        <v>51</v>
      </c>
      <c r="D283" s="13" t="s">
        <v>52</v>
      </c>
      <c r="E283" s="13" t="s">
        <v>40</v>
      </c>
      <c r="F283" s="13" t="s">
        <v>67</v>
      </c>
      <c r="G283" s="13" t="s">
        <v>1</v>
      </c>
      <c r="H283" s="14"/>
      <c r="I283" s="14"/>
      <c r="J283" s="14"/>
      <c r="K283" s="14"/>
      <c r="L283" s="14">
        <v>0</v>
      </c>
      <c r="M283" s="14">
        <v>0</v>
      </c>
      <c r="N283" s="14">
        <f>HLOOKUP(B283,[6]C6_LMA_DIAG!$B$26:$O$29,4,FALSE)</f>
        <v>0</v>
      </c>
      <c r="O283" s="14">
        <f>HLOOKUP(B255,[1]C6_LMA_DIAG!$B$27:$O$31,4, FALSE)</f>
        <v>0</v>
      </c>
      <c r="P283" s="14">
        <v>0</v>
      </c>
    </row>
    <row r="284" spans="1:16" x14ac:dyDescent="0.3">
      <c r="A284" s="13" t="s">
        <v>66</v>
      </c>
      <c r="B284" s="13" t="s">
        <v>65</v>
      </c>
      <c r="C284" s="13" t="s">
        <v>51</v>
      </c>
      <c r="D284" s="13" t="s">
        <v>52</v>
      </c>
      <c r="E284" s="13" t="s">
        <v>40</v>
      </c>
      <c r="F284" s="13" t="s">
        <v>67</v>
      </c>
      <c r="G284" s="13" t="s">
        <v>1</v>
      </c>
      <c r="H284" s="14"/>
      <c r="I284" s="14"/>
      <c r="J284" s="14"/>
      <c r="K284" s="14"/>
      <c r="L284" s="14">
        <f>HLOOKUP(B284,[4]C5_LMA_DIAG!$A$24:$M$28,4,FALSE)+HLOOKUP(B284,[4]C5_LMA_DIAG!$A$24:$M$28,5,FALSE)</f>
        <v>1</v>
      </c>
      <c r="M284" s="14">
        <f>HLOOKUP(B284,[5]C6_LMA_DIAG!$A$23:$M$26,4,FALSE)</f>
        <v>0</v>
      </c>
      <c r="N284" s="14">
        <f>HLOOKUP(B284,[6]C6_LMA_DIAG!$B$26:$O$29,4,FALSE)</f>
        <v>0</v>
      </c>
      <c r="O284" s="14">
        <f>HLOOKUP(B256,[1]C6_LMA_DIAG!$B$27:$O$31,4, FALSE)</f>
        <v>0</v>
      </c>
      <c r="P284" s="14">
        <v>0</v>
      </c>
    </row>
    <row r="285" spans="1:16" x14ac:dyDescent="0.3">
      <c r="A285" s="13" t="s">
        <v>66</v>
      </c>
      <c r="B285" s="13" t="s">
        <v>19</v>
      </c>
      <c r="C285" s="13" t="s">
        <v>51</v>
      </c>
      <c r="D285" s="13" t="s">
        <v>52</v>
      </c>
      <c r="E285" s="13" t="s">
        <v>40</v>
      </c>
      <c r="F285" s="13" t="s">
        <v>67</v>
      </c>
      <c r="G285" s="13" t="s">
        <v>1</v>
      </c>
      <c r="H285" s="14"/>
      <c r="I285" s="14"/>
      <c r="J285" s="14"/>
      <c r="K285" s="14"/>
      <c r="L285" s="14">
        <f>HLOOKUP(B285,[4]C5_LMA_DIAG!$A$24:$M$28,4,FALSE)+HLOOKUP(B285,[4]C5_LMA_DIAG!$A$24:$M$28,5,FALSE)</f>
        <v>0</v>
      </c>
      <c r="M285" s="14">
        <f>HLOOKUP(B285,[5]C6_LMA_DIAG!$A$23:$M$26,4,FALSE)</f>
        <v>0</v>
      </c>
      <c r="N285" s="14">
        <f>HLOOKUP(B285,[6]C6_LMA_DIAG!$B$26:$O$29,4,FALSE)</f>
        <v>0</v>
      </c>
      <c r="O285" s="14">
        <f>HLOOKUP(B257,[1]C6_LMA_DIAG!$B$27:$O$31,4, FALSE)</f>
        <v>0</v>
      </c>
      <c r="P285" s="14">
        <v>0</v>
      </c>
    </row>
    <row r="286" spans="1:16" x14ac:dyDescent="0.3">
      <c r="A286" s="11" t="s">
        <v>66</v>
      </c>
      <c r="B286" s="11" t="s">
        <v>55</v>
      </c>
      <c r="C286" s="11" t="s">
        <v>51</v>
      </c>
      <c r="D286" s="11" t="s">
        <v>52</v>
      </c>
      <c r="E286" s="11" t="s">
        <v>40</v>
      </c>
      <c r="F286" s="11" t="s">
        <v>6</v>
      </c>
      <c r="G286" s="11" t="s">
        <v>9</v>
      </c>
      <c r="H286" s="12"/>
      <c r="I286" s="12"/>
      <c r="J286" s="12"/>
      <c r="K286" s="12"/>
      <c r="L286" s="12">
        <f>HLOOKUP(B286,[4]C5_LMA_DIAG!$P$24:$AB$28,2,FALSE)</f>
        <v>107103.14958540285</v>
      </c>
      <c r="M286" s="12">
        <f>HLOOKUP(B286,[5]C6_LMA_DIAG!$P$23:$AB$26,2,FALSE)</f>
        <v>122976.41116993004</v>
      </c>
      <c r="N286" s="12">
        <f>HLOOKUP(B286,[6]C6_LMA_DIAG!$S$26:$AF$29,2,FALSE)</f>
        <v>144640.20000000001</v>
      </c>
      <c r="O286" s="12">
        <f>HLOOKUP(B286,[1]C6_LMA_DIAG!$S$27:$AF$30,2,FALSE)</f>
        <v>188195</v>
      </c>
      <c r="P286" s="12" cm="1">
        <f t="array" ref="P286:P327">_xlfn.TOCOL([7]C6_LMA_DIAG!$T$27:$AG$29)</f>
        <v>166535</v>
      </c>
    </row>
    <row r="287" spans="1:16" x14ac:dyDescent="0.3">
      <c r="A287" s="11" t="s">
        <v>66</v>
      </c>
      <c r="B287" s="11" t="s">
        <v>56</v>
      </c>
      <c r="C287" s="11" t="s">
        <v>51</v>
      </c>
      <c r="D287" s="11" t="s">
        <v>52</v>
      </c>
      <c r="E287" s="11" t="s">
        <v>40</v>
      </c>
      <c r="F287" s="11" t="s">
        <v>6</v>
      </c>
      <c r="G287" s="11" t="s">
        <v>9</v>
      </c>
      <c r="H287" s="12"/>
      <c r="I287" s="12"/>
      <c r="J287" s="12"/>
      <c r="K287" s="12"/>
      <c r="L287" s="12">
        <f>HLOOKUP(B287,[4]C5_LMA_DIAG!$P$24:$AB$28,2,FALSE)</f>
        <v>163883.24292303555</v>
      </c>
      <c r="M287" s="12">
        <f>HLOOKUP(B287,[5]C6_LMA_DIAG!$P$23:$AB$26,2,FALSE)</f>
        <v>172851.87483270591</v>
      </c>
      <c r="N287" s="12">
        <f>HLOOKUP(B287,[6]C6_LMA_DIAG!$S$26:$AF$29,2,FALSE)</f>
        <v>136611.54999999999</v>
      </c>
      <c r="O287" s="12">
        <f>HLOOKUP(B287,[1]C6_LMA_DIAG!$S$27:$AF$30,2,FALSE)</f>
        <v>145226</v>
      </c>
      <c r="P287" s="12">
        <v>132791</v>
      </c>
    </row>
    <row r="288" spans="1:16" x14ac:dyDescent="0.3">
      <c r="A288" s="11" t="s">
        <v>66</v>
      </c>
      <c r="B288" s="11" t="s">
        <v>57</v>
      </c>
      <c r="C288" s="11" t="s">
        <v>51</v>
      </c>
      <c r="D288" s="11" t="s">
        <v>52</v>
      </c>
      <c r="E288" s="11" t="s">
        <v>40</v>
      </c>
      <c r="F288" s="11" t="s">
        <v>6</v>
      </c>
      <c r="G288" s="11" t="s">
        <v>9</v>
      </c>
      <c r="H288" s="12"/>
      <c r="I288" s="12"/>
      <c r="J288" s="12"/>
      <c r="K288" s="12"/>
      <c r="L288" s="12">
        <f>HLOOKUP(B288,[4]C5_LMA_DIAG!$P$24:$AB$28,2,FALSE)</f>
        <v>173560.5222343629</v>
      </c>
      <c r="M288" s="12">
        <f>HLOOKUP(B288,[5]C6_LMA_DIAG!$P$23:$AB$26,2,FALSE)</f>
        <v>196212.45886130794</v>
      </c>
      <c r="N288" s="12">
        <f>HLOOKUP(B288,[6]C6_LMA_DIAG!$S$26:$AF$29,2,FALSE)</f>
        <v>74331.009999999995</v>
      </c>
      <c r="O288" s="12">
        <f>HLOOKUP(B288,[1]C6_LMA_DIAG!$S$27:$AF$30,2,FALSE)</f>
        <v>45601</v>
      </c>
      <c r="P288" s="12">
        <v>99080</v>
      </c>
    </row>
    <row r="289" spans="1:16" x14ac:dyDescent="0.3">
      <c r="A289" s="11" t="s">
        <v>66</v>
      </c>
      <c r="B289" s="11" t="s">
        <v>58</v>
      </c>
      <c r="C289" s="11" t="s">
        <v>51</v>
      </c>
      <c r="D289" s="11" t="s">
        <v>52</v>
      </c>
      <c r="E289" s="11" t="s">
        <v>40</v>
      </c>
      <c r="F289" s="11" t="s">
        <v>6</v>
      </c>
      <c r="G289" s="11" t="s">
        <v>9</v>
      </c>
      <c r="H289" s="12"/>
      <c r="I289" s="12"/>
      <c r="J289" s="12"/>
      <c r="K289" s="12"/>
      <c r="L289" s="12">
        <f>HLOOKUP(B289,[4]C5_LMA_DIAG!$P$24:$AB$28,2,FALSE)</f>
        <v>103112.45688852208</v>
      </c>
      <c r="M289" s="12">
        <f>HLOOKUP(B289,[5]C6_LMA_DIAG!$P$23:$AB$26,2,FALSE)</f>
        <v>107837.84813555374</v>
      </c>
      <c r="N289" s="12">
        <f>HLOOKUP(B289,[6]C6_LMA_DIAG!$S$26:$AF$29,2,FALSE)</f>
        <v>77492.41</v>
      </c>
      <c r="O289" s="12">
        <f>HLOOKUP(B289,[1]C6_LMA_DIAG!$S$27:$AF$30,2,FALSE)</f>
        <v>73294</v>
      </c>
      <c r="P289" s="12">
        <v>76859</v>
      </c>
    </row>
    <row r="290" spans="1:16" x14ac:dyDescent="0.3">
      <c r="A290" s="11" t="s">
        <v>66</v>
      </c>
      <c r="B290" s="11" t="s">
        <v>59</v>
      </c>
      <c r="C290" s="11" t="s">
        <v>51</v>
      </c>
      <c r="D290" s="11" t="s">
        <v>52</v>
      </c>
      <c r="E290" s="11" t="s">
        <v>40</v>
      </c>
      <c r="F290" s="11" t="s">
        <v>6</v>
      </c>
      <c r="G290" s="11" t="s">
        <v>9</v>
      </c>
      <c r="H290" s="12"/>
      <c r="I290" s="12"/>
      <c r="J290" s="12"/>
      <c r="K290" s="12"/>
      <c r="L290" s="12">
        <f>HLOOKUP(B290,[4]C5_LMA_DIAG!$P$24:$AB$28,2,FALSE)</f>
        <v>99440.778841618216</v>
      </c>
      <c r="M290" s="12">
        <f>HLOOKUP(B290,[5]C6_LMA_DIAG!$P$23:$AB$26,2,FALSE)</f>
        <v>89326.185936373644</v>
      </c>
      <c r="N290" s="12">
        <f>HLOOKUP(B290,[6]C6_LMA_DIAG!$S$26:$AF$29,2,FALSE)</f>
        <v>45746.54</v>
      </c>
      <c r="O290" s="12">
        <f>HLOOKUP(B290,[1]C6_LMA_DIAG!$S$27:$AF$30,2,FALSE)</f>
        <v>27638</v>
      </c>
      <c r="P290" s="12">
        <v>36313</v>
      </c>
    </row>
    <row r="291" spans="1:16" x14ac:dyDescent="0.3">
      <c r="A291" s="11" t="s">
        <v>66</v>
      </c>
      <c r="B291" s="11" t="s">
        <v>60</v>
      </c>
      <c r="C291" s="11" t="s">
        <v>51</v>
      </c>
      <c r="D291" s="11" t="s">
        <v>52</v>
      </c>
      <c r="E291" s="11" t="s">
        <v>40</v>
      </c>
      <c r="F291" s="11" t="s">
        <v>6</v>
      </c>
      <c r="G291" s="11" t="s">
        <v>9</v>
      </c>
      <c r="H291" s="12"/>
      <c r="I291" s="12"/>
      <c r="J291" s="12"/>
      <c r="K291" s="12"/>
      <c r="L291" s="12">
        <f>HLOOKUP(B291,[4]C5_LMA_DIAG!$P$24:$AB$28,2,FALSE)</f>
        <v>74188.963552645335</v>
      </c>
      <c r="M291" s="12">
        <f>HLOOKUP(B291,[5]C6_LMA_DIAG!$P$23:$AB$26,2,FALSE)</f>
        <v>88417.196653389939</v>
      </c>
      <c r="N291" s="12">
        <f>HLOOKUP(B291,[6]C6_LMA_DIAG!$S$26:$AF$29,2,FALSE)</f>
        <v>50786.19</v>
      </c>
      <c r="O291" s="12">
        <f>HLOOKUP(B291,[1]C6_LMA_DIAG!$S$27:$AF$30,2,FALSE)</f>
        <v>45114</v>
      </c>
      <c r="P291" s="12">
        <v>51686</v>
      </c>
    </row>
    <row r="292" spans="1:16" x14ac:dyDescent="0.3">
      <c r="A292" s="11" t="s">
        <v>66</v>
      </c>
      <c r="B292" s="11" t="s">
        <v>61</v>
      </c>
      <c r="C292" s="11" t="s">
        <v>51</v>
      </c>
      <c r="D292" s="11" t="s">
        <v>52</v>
      </c>
      <c r="E292" s="11" t="s">
        <v>40</v>
      </c>
      <c r="F292" s="11" t="s">
        <v>6</v>
      </c>
      <c r="G292" s="11" t="s">
        <v>9</v>
      </c>
      <c r="H292" s="12"/>
      <c r="I292" s="12"/>
      <c r="J292" s="12"/>
      <c r="K292" s="12"/>
      <c r="L292" s="12">
        <f>HLOOKUP(B292,[4]C5_LMA_DIAG!$P$24:$AB$28,2,FALSE)</f>
        <v>4109.5707975797004</v>
      </c>
      <c r="M292" s="12">
        <f>HLOOKUP(B292,[5]C6_LMA_DIAG!$P$23:$AB$26,2,FALSE)</f>
        <v>3850.3552503768219</v>
      </c>
      <c r="N292" s="12">
        <f>HLOOKUP(B292,[6]C6_LMA_DIAG!$S$26:$AF$29,2,FALSE)</f>
        <v>1543.97</v>
      </c>
      <c r="O292" s="12">
        <f>HLOOKUP(B292,[1]C6_LMA_DIAG!$S$27:$AF$30,2,FALSE)</f>
        <v>33</v>
      </c>
      <c r="P292" s="12">
        <v>16</v>
      </c>
    </row>
    <row r="293" spans="1:16" x14ac:dyDescent="0.3">
      <c r="A293" s="11" t="s">
        <v>66</v>
      </c>
      <c r="B293" s="11" t="s">
        <v>62</v>
      </c>
      <c r="C293" s="11" t="s">
        <v>51</v>
      </c>
      <c r="D293" s="11" t="s">
        <v>52</v>
      </c>
      <c r="E293" s="11" t="s">
        <v>40</v>
      </c>
      <c r="F293" s="11" t="s">
        <v>6</v>
      </c>
      <c r="G293" s="11" t="s">
        <v>9</v>
      </c>
      <c r="H293" s="12"/>
      <c r="I293" s="12"/>
      <c r="J293" s="12"/>
      <c r="K293" s="12"/>
      <c r="L293" s="12">
        <f>HLOOKUP(B293,[4]C5_LMA_DIAG!$P$24:$AB$28,2,FALSE)</f>
        <v>24221.03682088717</v>
      </c>
      <c r="M293" s="12">
        <f>HLOOKUP(B293,[5]C6_LMA_DIAG!$P$23:$AB$26,2,FALSE)</f>
        <v>24802.631647164195</v>
      </c>
      <c r="N293" s="12">
        <f>HLOOKUP(B293,[6]C6_LMA_DIAG!$S$26:$AF$29,2,FALSE)</f>
        <v>17379.43</v>
      </c>
      <c r="O293" s="12">
        <f>HLOOKUP(B293,[1]C6_LMA_DIAG!$S$27:$AF$30,2,FALSE)</f>
        <v>15248</v>
      </c>
      <c r="P293" s="12">
        <v>15552</v>
      </c>
    </row>
    <row r="294" spans="1:16" x14ac:dyDescent="0.3">
      <c r="A294" s="11" t="s">
        <v>66</v>
      </c>
      <c r="B294" s="11" t="s">
        <v>63</v>
      </c>
      <c r="C294" s="11" t="s">
        <v>51</v>
      </c>
      <c r="D294" s="11" t="s">
        <v>52</v>
      </c>
      <c r="E294" s="11" t="s">
        <v>40</v>
      </c>
      <c r="F294" s="11" t="s">
        <v>6</v>
      </c>
      <c r="G294" s="11" t="s">
        <v>9</v>
      </c>
      <c r="H294" s="12"/>
      <c r="I294" s="12"/>
      <c r="J294" s="12"/>
      <c r="K294" s="12"/>
      <c r="L294" s="12">
        <f>HLOOKUP(B294,[4]C5_LMA_DIAG!$P$24:$AB$28,2,FALSE)</f>
        <v>26193.811378055601</v>
      </c>
      <c r="M294" s="12">
        <f>HLOOKUP(B294,[5]C6_LMA_DIAG!$P$23:$AB$26,2,FALSE)</f>
        <v>28561.941121216318</v>
      </c>
      <c r="N294" s="12">
        <f>HLOOKUP(B294,[6]C6_LMA_DIAG!$S$26:$AF$29,2,FALSE)</f>
        <v>24234.37</v>
      </c>
      <c r="O294" s="12">
        <f>HLOOKUP(B294,[1]C6_LMA_DIAG!$S$27:$AF$30,2,FALSE)</f>
        <v>18102</v>
      </c>
      <c r="P294" s="12">
        <v>18522</v>
      </c>
    </row>
    <row r="295" spans="1:16" x14ac:dyDescent="0.3">
      <c r="A295" s="11" t="s">
        <v>66</v>
      </c>
      <c r="B295" s="11" t="s">
        <v>64</v>
      </c>
      <c r="C295" s="11" t="s">
        <v>51</v>
      </c>
      <c r="D295" s="11" t="s">
        <v>52</v>
      </c>
      <c r="E295" s="11" t="s">
        <v>40</v>
      </c>
      <c r="F295" s="11" t="s">
        <v>6</v>
      </c>
      <c r="G295" s="11" t="s">
        <v>9</v>
      </c>
      <c r="H295" s="12"/>
      <c r="I295" s="12"/>
      <c r="J295" s="12"/>
      <c r="K295" s="12"/>
      <c r="L295" s="12">
        <f>HLOOKUP(B295,[4]C5_LMA_DIAG!$P$24:$AB$28,2,FALSE)</f>
        <v>23634.17024781647</v>
      </c>
      <c r="M295" s="12">
        <f>HLOOKUP(B295,[5]C6_LMA_DIAG!$P$23:$AB$26,2,FALSE)</f>
        <v>24520.683436610285</v>
      </c>
      <c r="N295" s="12">
        <f>HLOOKUP(B295,[6]C6_LMA_DIAG!$S$26:$AF$29,2,FALSE)</f>
        <v>21486.69</v>
      </c>
      <c r="O295" s="12">
        <f>HLOOKUP(B295,[1]C6_LMA_DIAG!$S$27:$AF$30,2,FALSE)</f>
        <v>18390</v>
      </c>
      <c r="P295" s="12">
        <v>17564</v>
      </c>
    </row>
    <row r="296" spans="1:16" x14ac:dyDescent="0.3">
      <c r="A296" s="11" t="s">
        <v>66</v>
      </c>
      <c r="B296" s="11" t="s">
        <v>70</v>
      </c>
      <c r="C296" s="11" t="s">
        <v>51</v>
      </c>
      <c r="D296" s="11" t="s">
        <v>52</v>
      </c>
      <c r="E296" s="11" t="s">
        <v>40</v>
      </c>
      <c r="F296" s="11" t="s">
        <v>6</v>
      </c>
      <c r="G296" s="11" t="s">
        <v>9</v>
      </c>
      <c r="H296" s="12"/>
      <c r="I296" s="12"/>
      <c r="J296" s="12"/>
      <c r="K296" s="12"/>
      <c r="L296" s="12">
        <v>0</v>
      </c>
      <c r="M296" s="12">
        <v>0</v>
      </c>
      <c r="N296" s="12">
        <f>HLOOKUP(B296,[6]C6_LMA_DIAG!$S$26:$AF$29,2,FALSE)</f>
        <v>184961.86</v>
      </c>
      <c r="O296" s="12">
        <f>HLOOKUP(B296,[1]C6_LMA_DIAG!$S$27:$AF$30,2,FALSE)</f>
        <v>177785</v>
      </c>
      <c r="P296" s="12">
        <v>218468</v>
      </c>
    </row>
    <row r="297" spans="1:16" x14ac:dyDescent="0.3">
      <c r="A297" s="11"/>
      <c r="B297" s="11" t="s">
        <v>71</v>
      </c>
      <c r="C297" s="11" t="s">
        <v>51</v>
      </c>
      <c r="D297" s="11" t="s">
        <v>52</v>
      </c>
      <c r="E297" s="11" t="s">
        <v>40</v>
      </c>
      <c r="F297" s="11" t="s">
        <v>6</v>
      </c>
      <c r="G297" s="11" t="s">
        <v>9</v>
      </c>
      <c r="H297" s="12"/>
      <c r="I297" s="12"/>
      <c r="J297" s="12"/>
      <c r="K297" s="12"/>
      <c r="L297" s="12">
        <v>0</v>
      </c>
      <c r="M297" s="12">
        <v>0</v>
      </c>
      <c r="N297" s="12">
        <f>HLOOKUP(B297,[6]C6_LMA_DIAG!$S$26:$AF$29,2,FALSE)</f>
        <v>113.92</v>
      </c>
      <c r="O297" s="12">
        <f>HLOOKUP(B297,[1]C6_LMA_DIAG!$S$27:$AF$30,2,FALSE)</f>
        <v>126</v>
      </c>
      <c r="P297" s="12">
        <v>0</v>
      </c>
    </row>
    <row r="298" spans="1:16" x14ac:dyDescent="0.3">
      <c r="A298" s="11" t="s">
        <v>66</v>
      </c>
      <c r="B298" s="11" t="s">
        <v>65</v>
      </c>
      <c r="C298" s="11" t="s">
        <v>51</v>
      </c>
      <c r="D298" s="11" t="s">
        <v>52</v>
      </c>
      <c r="E298" s="11" t="s">
        <v>40</v>
      </c>
      <c r="F298" s="11" t="s">
        <v>6</v>
      </c>
      <c r="G298" s="11" t="s">
        <v>9</v>
      </c>
      <c r="H298" s="12"/>
      <c r="I298" s="12"/>
      <c r="J298" s="12"/>
      <c r="K298" s="12"/>
      <c r="L298" s="12">
        <f>HLOOKUP(B298,[4]C5_LMA_DIAG!$P$24:$AB$28,2,FALSE)</f>
        <v>103911.49829954912</v>
      </c>
      <c r="M298" s="12">
        <f>HLOOKUP(B298,[5]C6_LMA_DIAG!$P$23:$AB$26,2,FALSE)</f>
        <v>109857.00849759346</v>
      </c>
      <c r="N298" s="12">
        <f>HLOOKUP(B298,[6]C6_LMA_DIAG!$S$26:$AF$29,2,FALSE)</f>
        <v>81064.53</v>
      </c>
      <c r="O298" s="12">
        <f>HLOOKUP(B298,[1]C6_LMA_DIAG!$S$27:$AF$30,2,FALSE)</f>
        <v>86335</v>
      </c>
      <c r="P298" s="12">
        <v>72892</v>
      </c>
    </row>
    <row r="299" spans="1:16" x14ac:dyDescent="0.3">
      <c r="A299" s="11" t="s">
        <v>66</v>
      </c>
      <c r="B299" s="11" t="s">
        <v>19</v>
      </c>
      <c r="C299" s="11" t="s">
        <v>51</v>
      </c>
      <c r="D299" s="11" t="s">
        <v>52</v>
      </c>
      <c r="E299" s="11" t="s">
        <v>40</v>
      </c>
      <c r="F299" s="11" t="s">
        <v>6</v>
      </c>
      <c r="G299" s="11" t="s">
        <v>9</v>
      </c>
      <c r="H299" s="12"/>
      <c r="I299" s="12"/>
      <c r="J299" s="12"/>
      <c r="K299" s="12"/>
      <c r="L299" s="12">
        <f>HLOOKUP(B299,[4]C5_LMA_DIAG!$P$24:$AB$28,2,FALSE)</f>
        <v>6.0191443391866724</v>
      </c>
      <c r="M299" s="12">
        <f>HLOOKUP(B299,[5]C6_LMA_DIAG!$P$23:$AB$26,2,FALSE)</f>
        <v>187.96547370260609</v>
      </c>
      <c r="N299" s="12">
        <f>HLOOKUP(B299,[6]C6_LMA_DIAG!$S$26:$AF$29,2,FALSE)</f>
        <v>98.93</v>
      </c>
      <c r="O299" s="12">
        <f>HLOOKUP(B299,[1]C6_LMA_DIAG!$S$27:$AF$30,2,FALSE)</f>
        <v>14</v>
      </c>
      <c r="P299" s="12">
        <v>229</v>
      </c>
    </row>
    <row r="300" spans="1:16" x14ac:dyDescent="0.3">
      <c r="A300" s="13" t="s">
        <v>66</v>
      </c>
      <c r="B300" s="13" t="s">
        <v>55</v>
      </c>
      <c r="C300" s="13" t="s">
        <v>51</v>
      </c>
      <c r="D300" s="13" t="s">
        <v>52</v>
      </c>
      <c r="E300" s="13" t="s">
        <v>40</v>
      </c>
      <c r="F300" s="13" t="s">
        <v>7</v>
      </c>
      <c r="G300" s="13" t="s">
        <v>9</v>
      </c>
      <c r="H300" s="14"/>
      <c r="I300" s="14"/>
      <c r="J300" s="14"/>
      <c r="K300" s="14"/>
      <c r="L300" s="12">
        <f>HLOOKUP(B300,[4]C5_LMA_DIAG!$P$24:$AB$28,3,FALSE)</f>
        <v>156985.30351032759</v>
      </c>
      <c r="M300" s="12">
        <f>HLOOKUP(B300,[5]C6_LMA_DIAG!$P$23:$AB$26,3,FALSE)</f>
        <v>171818.06472734161</v>
      </c>
      <c r="N300" s="12">
        <f>HLOOKUP(B300,[6]C6_LMA_DIAG!$S$26:$AF$29,3,FALSE)</f>
        <v>168747.15</v>
      </c>
      <c r="O300" s="14">
        <f>HLOOKUP(B286,[1]C6_LMA_DIAG!$S$27:$AF$30,3,FALSE)</f>
        <v>238589</v>
      </c>
      <c r="P300" s="14">
        <v>237408</v>
      </c>
    </row>
    <row r="301" spans="1:16" x14ac:dyDescent="0.3">
      <c r="A301" s="13" t="s">
        <v>66</v>
      </c>
      <c r="B301" s="13" t="s">
        <v>56</v>
      </c>
      <c r="C301" s="13" t="s">
        <v>51</v>
      </c>
      <c r="D301" s="13" t="s">
        <v>52</v>
      </c>
      <c r="E301" s="13" t="s">
        <v>40</v>
      </c>
      <c r="F301" s="13" t="s">
        <v>7</v>
      </c>
      <c r="G301" s="13" t="s">
        <v>9</v>
      </c>
      <c r="H301" s="14"/>
      <c r="I301" s="14"/>
      <c r="J301" s="14"/>
      <c r="K301" s="14"/>
      <c r="L301" s="12">
        <f>HLOOKUP(B301,[4]C5_LMA_DIAG!$P$24:$AB$28,3,FALSE)</f>
        <v>128781.09792298365</v>
      </c>
      <c r="M301" s="12">
        <f>HLOOKUP(B301,[5]C6_LMA_DIAG!$P$23:$AB$26,3,FALSE)</f>
        <v>137113.47066473463</v>
      </c>
      <c r="N301" s="12">
        <f>HLOOKUP(B301,[6]C6_LMA_DIAG!$S$26:$AF$29,3,FALSE)</f>
        <v>89292.55</v>
      </c>
      <c r="O301" s="14">
        <f>HLOOKUP(B287,[1]C6_LMA_DIAG!$S$27:$AF$30,3,FALSE)</f>
        <v>94486</v>
      </c>
      <c r="P301" s="14">
        <v>101389</v>
      </c>
    </row>
    <row r="302" spans="1:16" x14ac:dyDescent="0.3">
      <c r="A302" s="13" t="s">
        <v>66</v>
      </c>
      <c r="B302" s="13" t="s">
        <v>57</v>
      </c>
      <c r="C302" s="13" t="s">
        <v>51</v>
      </c>
      <c r="D302" s="13" t="s">
        <v>52</v>
      </c>
      <c r="E302" s="13" t="s">
        <v>40</v>
      </c>
      <c r="F302" s="13" t="s">
        <v>7</v>
      </c>
      <c r="G302" s="13" t="s">
        <v>9</v>
      </c>
      <c r="H302" s="14"/>
      <c r="I302" s="14"/>
      <c r="J302" s="14"/>
      <c r="K302" s="14"/>
      <c r="L302" s="12">
        <f>HLOOKUP(B302,[4]C5_LMA_DIAG!$P$24:$AB$28,3,FALSE)</f>
        <v>218547.60702544407</v>
      </c>
      <c r="M302" s="12">
        <f>HLOOKUP(B302,[5]C6_LMA_DIAG!$P$23:$AB$26,3,FALSE)</f>
        <v>241732.41006313125</v>
      </c>
      <c r="N302" s="12">
        <f>HLOOKUP(B302,[6]C6_LMA_DIAG!$S$26:$AF$29,3,FALSE)</f>
        <v>56821.17</v>
      </c>
      <c r="O302" s="14">
        <f>HLOOKUP(B288,[1]C6_LMA_DIAG!$S$27:$AF$30,3,FALSE)</f>
        <v>40428</v>
      </c>
      <c r="P302" s="14">
        <v>135497</v>
      </c>
    </row>
    <row r="303" spans="1:16" x14ac:dyDescent="0.3">
      <c r="A303" s="13" t="s">
        <v>66</v>
      </c>
      <c r="B303" s="13" t="s">
        <v>58</v>
      </c>
      <c r="C303" s="13" t="s">
        <v>51</v>
      </c>
      <c r="D303" s="13" t="s">
        <v>52</v>
      </c>
      <c r="E303" s="13" t="s">
        <v>40</v>
      </c>
      <c r="F303" s="13" t="s">
        <v>7</v>
      </c>
      <c r="G303" s="13" t="s">
        <v>9</v>
      </c>
      <c r="H303" s="14"/>
      <c r="I303" s="14"/>
      <c r="J303" s="14"/>
      <c r="K303" s="14"/>
      <c r="L303" s="12">
        <f>HLOOKUP(B303,[4]C5_LMA_DIAG!$P$24:$AB$28,3,FALSE)</f>
        <v>50852.740949618601</v>
      </c>
      <c r="M303" s="12">
        <f>HLOOKUP(B303,[5]C6_LMA_DIAG!$P$23:$AB$26,3,FALSE)</f>
        <v>54636.276676399706</v>
      </c>
      <c r="N303" s="12">
        <f>HLOOKUP(B303,[6]C6_LMA_DIAG!$S$26:$AF$29,3,FALSE)</f>
        <v>37609.96</v>
      </c>
      <c r="O303" s="14">
        <f>HLOOKUP(B289,[1]C6_LMA_DIAG!$S$27:$AF$30,3,FALSE)</f>
        <v>35313</v>
      </c>
      <c r="P303" s="14">
        <v>39812</v>
      </c>
    </row>
    <row r="304" spans="1:16" x14ac:dyDescent="0.3">
      <c r="A304" s="13" t="s">
        <v>66</v>
      </c>
      <c r="B304" s="13" t="s">
        <v>59</v>
      </c>
      <c r="C304" s="13" t="s">
        <v>51</v>
      </c>
      <c r="D304" s="13" t="s">
        <v>52</v>
      </c>
      <c r="E304" s="13" t="s">
        <v>40</v>
      </c>
      <c r="F304" s="13" t="s">
        <v>7</v>
      </c>
      <c r="G304" s="13" t="s">
        <v>9</v>
      </c>
      <c r="H304" s="14"/>
      <c r="I304" s="14"/>
      <c r="J304" s="14"/>
      <c r="K304" s="14"/>
      <c r="L304" s="12">
        <f>HLOOKUP(B304,[4]C5_LMA_DIAG!$P$24:$AB$28,3,FALSE)</f>
        <v>97012.054100756388</v>
      </c>
      <c r="M304" s="12">
        <f>HLOOKUP(B304,[5]C6_LMA_DIAG!$P$23:$AB$26,3,FALSE)</f>
        <v>92023.78418005869</v>
      </c>
      <c r="N304" s="12">
        <f>HLOOKUP(B304,[6]C6_LMA_DIAG!$S$26:$AF$29,3,FALSE)</f>
        <v>35877.11</v>
      </c>
      <c r="O304" s="14">
        <f>HLOOKUP(B290,[1]C6_LMA_DIAG!$S$27:$AF$30,3,FALSE)</f>
        <v>24141</v>
      </c>
      <c r="P304" s="14">
        <v>41492</v>
      </c>
    </row>
    <row r="305" spans="1:16" x14ac:dyDescent="0.3">
      <c r="A305" s="13" t="s">
        <v>66</v>
      </c>
      <c r="B305" s="13" t="s">
        <v>60</v>
      </c>
      <c r="C305" s="13" t="s">
        <v>51</v>
      </c>
      <c r="D305" s="13" t="s">
        <v>52</v>
      </c>
      <c r="E305" s="13" t="s">
        <v>40</v>
      </c>
      <c r="F305" s="13" t="s">
        <v>7</v>
      </c>
      <c r="G305" s="13" t="s">
        <v>9</v>
      </c>
      <c r="H305" s="14"/>
      <c r="I305" s="14"/>
      <c r="J305" s="14"/>
      <c r="K305" s="14"/>
      <c r="L305" s="12">
        <f>HLOOKUP(B305,[4]C5_LMA_DIAG!$P$24:$AB$28,3,FALSE)</f>
        <v>70881.443738262242</v>
      </c>
      <c r="M305" s="12">
        <f>HLOOKUP(B305,[5]C6_LMA_DIAG!$P$23:$AB$26,3,FALSE)</f>
        <v>82092.452159349908</v>
      </c>
      <c r="N305" s="12">
        <f>HLOOKUP(B305,[6]C6_LMA_DIAG!$S$26:$AF$29,3,FALSE)</f>
        <v>38942.57</v>
      </c>
      <c r="O305" s="14">
        <f>HLOOKUP(B291,[1]C6_LMA_DIAG!$S$27:$AF$30,3,FALSE)</f>
        <v>37496</v>
      </c>
      <c r="P305" s="14">
        <v>51130</v>
      </c>
    </row>
    <row r="306" spans="1:16" x14ac:dyDescent="0.3">
      <c r="A306" s="13" t="s">
        <v>66</v>
      </c>
      <c r="B306" s="13" t="s">
        <v>61</v>
      </c>
      <c r="C306" s="13" t="s">
        <v>51</v>
      </c>
      <c r="D306" s="13" t="s">
        <v>52</v>
      </c>
      <c r="E306" s="13" t="s">
        <v>40</v>
      </c>
      <c r="F306" s="13" t="s">
        <v>7</v>
      </c>
      <c r="G306" s="13" t="s">
        <v>9</v>
      </c>
      <c r="H306" s="14"/>
      <c r="I306" s="14"/>
      <c r="J306" s="14"/>
      <c r="K306" s="14"/>
      <c r="L306" s="12">
        <f>HLOOKUP(B306,[4]C5_LMA_DIAG!$P$24:$AB$28,3,FALSE)</f>
        <v>48976.272701877155</v>
      </c>
      <c r="M306" s="12">
        <f>HLOOKUP(B306,[5]C6_LMA_DIAG!$P$23:$AB$26,3,FALSE)</f>
        <v>46542.013465081232</v>
      </c>
      <c r="N306" s="12">
        <f>HLOOKUP(B306,[6]C6_LMA_DIAG!$S$26:$AF$29,3,FALSE)</f>
        <v>35700.230000000003</v>
      </c>
      <c r="O306" s="14">
        <f>HLOOKUP(B292,[1]C6_LMA_DIAG!$S$27:$AF$30,3,FALSE)</f>
        <v>30633</v>
      </c>
      <c r="P306" s="14">
        <v>32490</v>
      </c>
    </row>
    <row r="307" spans="1:16" x14ac:dyDescent="0.3">
      <c r="A307" s="13" t="s">
        <v>66</v>
      </c>
      <c r="B307" s="13" t="s">
        <v>62</v>
      </c>
      <c r="C307" s="13" t="s">
        <v>51</v>
      </c>
      <c r="D307" s="13" t="s">
        <v>52</v>
      </c>
      <c r="E307" s="13" t="s">
        <v>40</v>
      </c>
      <c r="F307" s="13" t="s">
        <v>7</v>
      </c>
      <c r="G307" s="13" t="s">
        <v>9</v>
      </c>
      <c r="H307" s="14"/>
      <c r="I307" s="14"/>
      <c r="J307" s="14"/>
      <c r="K307" s="14"/>
      <c r="L307" s="12">
        <f>HLOOKUP(B307,[4]C5_LMA_DIAG!$P$24:$AB$28,3,FALSE)</f>
        <v>43766.703276311091</v>
      </c>
      <c r="M307" s="12">
        <f>HLOOKUP(B307,[5]C6_LMA_DIAG!$P$23:$AB$26,3,FALSE)</f>
        <v>44596.277116206598</v>
      </c>
      <c r="N307" s="12">
        <f>HLOOKUP(B307,[6]C6_LMA_DIAG!$S$26:$AF$29,3,FALSE)</f>
        <v>25904.25</v>
      </c>
      <c r="O307" s="14">
        <f>HLOOKUP(B293,[1]C6_LMA_DIAG!$S$27:$AF$30,3,FALSE)</f>
        <v>25371</v>
      </c>
      <c r="P307" s="14">
        <v>30428</v>
      </c>
    </row>
    <row r="308" spans="1:16" x14ac:dyDescent="0.3">
      <c r="A308" s="13" t="s">
        <v>66</v>
      </c>
      <c r="B308" s="13" t="s">
        <v>63</v>
      </c>
      <c r="C308" s="13" t="s">
        <v>51</v>
      </c>
      <c r="D308" s="13" t="s">
        <v>52</v>
      </c>
      <c r="E308" s="13" t="s">
        <v>40</v>
      </c>
      <c r="F308" s="13" t="s">
        <v>7</v>
      </c>
      <c r="G308" s="13" t="s">
        <v>9</v>
      </c>
      <c r="H308" s="14"/>
      <c r="I308" s="14"/>
      <c r="J308" s="14"/>
      <c r="K308" s="14"/>
      <c r="L308" s="12">
        <f>HLOOKUP(B308,[4]C5_LMA_DIAG!$P$24:$AB$28,3,FALSE)</f>
        <v>29990.386669997592</v>
      </c>
      <c r="M308" s="12">
        <f>HLOOKUP(B308,[5]C6_LMA_DIAG!$P$23:$AB$26,3,FALSE)</f>
        <v>31523.865812295666</v>
      </c>
      <c r="N308" s="12">
        <f>HLOOKUP(B308,[6]C6_LMA_DIAG!$S$26:$AF$29,3,FALSE)</f>
        <v>25653.919999999998</v>
      </c>
      <c r="O308" s="14">
        <f>HLOOKUP(B294,[1]C6_LMA_DIAG!$S$27:$AF$30,3,FALSE)</f>
        <v>21080</v>
      </c>
      <c r="P308" s="14">
        <v>22562</v>
      </c>
    </row>
    <row r="309" spans="1:16" x14ac:dyDescent="0.3">
      <c r="A309" s="13" t="s">
        <v>66</v>
      </c>
      <c r="B309" s="13" t="s">
        <v>64</v>
      </c>
      <c r="C309" s="13" t="s">
        <v>51</v>
      </c>
      <c r="D309" s="13" t="s">
        <v>52</v>
      </c>
      <c r="E309" s="13" t="s">
        <v>40</v>
      </c>
      <c r="F309" s="13" t="s">
        <v>7</v>
      </c>
      <c r="G309" s="13" t="s">
        <v>9</v>
      </c>
      <c r="H309" s="14"/>
      <c r="I309" s="14"/>
      <c r="J309" s="14"/>
      <c r="K309" s="14"/>
      <c r="L309" s="12">
        <f>HLOOKUP(B309,[4]C5_LMA_DIAG!$P$24:$AB$28,3,FALSE)</f>
        <v>12912.569393640208</v>
      </c>
      <c r="M309" s="12">
        <f>HLOOKUP(B309,[5]C6_LMA_DIAG!$P$23:$AB$26,3,FALSE)</f>
        <v>13523.234744744528</v>
      </c>
      <c r="N309" s="12">
        <f>HLOOKUP(B309,[6]C6_LMA_DIAG!$S$26:$AF$29,3,FALSE)</f>
        <v>9083.9500000000007</v>
      </c>
      <c r="O309" s="14">
        <f>HLOOKUP(B295,[1]C6_LMA_DIAG!$S$27:$AF$30,3,FALSE)</f>
        <v>8006</v>
      </c>
      <c r="P309" s="14">
        <v>8694</v>
      </c>
    </row>
    <row r="310" spans="1:16" x14ac:dyDescent="0.3">
      <c r="A310" s="13" t="s">
        <v>66</v>
      </c>
      <c r="B310" s="13" t="s">
        <v>70</v>
      </c>
      <c r="C310" s="13" t="s">
        <v>51</v>
      </c>
      <c r="D310" s="13" t="s">
        <v>52</v>
      </c>
      <c r="E310" s="13" t="s">
        <v>40</v>
      </c>
      <c r="F310" s="13" t="s">
        <v>7</v>
      </c>
      <c r="G310" s="13" t="s">
        <v>9</v>
      </c>
      <c r="H310" s="14"/>
      <c r="I310" s="14"/>
      <c r="J310" s="14"/>
      <c r="K310" s="14"/>
      <c r="L310" s="12">
        <v>0</v>
      </c>
      <c r="M310" s="12">
        <v>0</v>
      </c>
      <c r="N310" s="12">
        <f>HLOOKUP(B310,[6]C6_LMA_DIAG!$S$26:$AF$29,3,FALSE)</f>
        <v>84924.46</v>
      </c>
      <c r="O310" s="14">
        <f>HLOOKUP(B296,[1]C6_LMA_DIAG!$S$27:$AF$30,3,FALSE)</f>
        <v>92873</v>
      </c>
      <c r="P310" s="14">
        <v>197224</v>
      </c>
    </row>
    <row r="311" spans="1:16" x14ac:dyDescent="0.3">
      <c r="A311" s="13"/>
      <c r="B311" s="13" t="s">
        <v>71</v>
      </c>
      <c r="C311" s="13" t="s">
        <v>51</v>
      </c>
      <c r="D311" s="13" t="s">
        <v>52</v>
      </c>
      <c r="E311" s="13" t="s">
        <v>40</v>
      </c>
      <c r="F311" s="13" t="s">
        <v>7</v>
      </c>
      <c r="G311" s="13" t="s">
        <v>9</v>
      </c>
      <c r="H311" s="14"/>
      <c r="I311" s="14"/>
      <c r="J311" s="14"/>
      <c r="K311" s="14"/>
      <c r="L311" s="12">
        <v>0</v>
      </c>
      <c r="M311" s="12">
        <v>0</v>
      </c>
      <c r="N311" s="12">
        <f>HLOOKUP(B311,[6]C6_LMA_DIAG!$S$26:$AF$29,3,FALSE)</f>
        <v>56750.720000000001</v>
      </c>
      <c r="O311" s="14">
        <f>HLOOKUP(B297,[1]C6_LMA_DIAG!$S$27:$AF$30,3,FALSE)</f>
        <v>45708</v>
      </c>
      <c r="P311" s="14">
        <v>0</v>
      </c>
    </row>
    <row r="312" spans="1:16" x14ac:dyDescent="0.3">
      <c r="A312" s="13" t="s">
        <v>66</v>
      </c>
      <c r="B312" s="13" t="s">
        <v>65</v>
      </c>
      <c r="C312" s="13" t="s">
        <v>51</v>
      </c>
      <c r="D312" s="13" t="s">
        <v>52</v>
      </c>
      <c r="E312" s="13" t="s">
        <v>40</v>
      </c>
      <c r="F312" s="13" t="s">
        <v>7</v>
      </c>
      <c r="G312" s="13" t="s">
        <v>9</v>
      </c>
      <c r="H312" s="14"/>
      <c r="I312" s="14"/>
      <c r="J312" s="14"/>
      <c r="K312" s="14"/>
      <c r="L312" s="12">
        <f>HLOOKUP(B312,[4]C5_LMA_DIAG!$P$24:$AB$28,3,FALSE)</f>
        <v>123207.37026489679</v>
      </c>
      <c r="M312" s="12">
        <f>HLOOKUP(B312,[5]C6_LMA_DIAG!$P$23:$AB$26,3,FALSE)</f>
        <v>131348.2171510125</v>
      </c>
      <c r="N312" s="12">
        <f>HLOOKUP(B312,[6]C6_LMA_DIAG!$S$26:$AF$29,3,FALSE)</f>
        <v>76655.960000000006</v>
      </c>
      <c r="O312" s="14">
        <f>HLOOKUP(B298,[1]C6_LMA_DIAG!$S$27:$AF$30,3,FALSE)</f>
        <v>85605</v>
      </c>
      <c r="P312" s="14">
        <v>91936</v>
      </c>
    </row>
    <row r="313" spans="1:16" x14ac:dyDescent="0.3">
      <c r="A313" s="13" t="s">
        <v>66</v>
      </c>
      <c r="B313" s="13" t="s">
        <v>19</v>
      </c>
      <c r="C313" s="13" t="s">
        <v>51</v>
      </c>
      <c r="D313" s="13" t="s">
        <v>52</v>
      </c>
      <c r="E313" s="13" t="s">
        <v>40</v>
      </c>
      <c r="F313" s="13" t="s">
        <v>7</v>
      </c>
      <c r="G313" s="13" t="s">
        <v>9</v>
      </c>
      <c r="H313" s="14"/>
      <c r="I313" s="14"/>
      <c r="J313" s="14"/>
      <c r="K313" s="14"/>
      <c r="L313" s="12">
        <f>HLOOKUP(B313,[4]C5_LMA_DIAG!$P$24:$AB$28,3,FALSE)</f>
        <v>72.229732070240061</v>
      </c>
      <c r="M313" s="12">
        <f>HLOOKUP(B313,[5]C6_LMA_DIAG!$P$23:$AB$26,3,FALSE)</f>
        <v>355.37222371898963</v>
      </c>
      <c r="N313" s="12">
        <f>HLOOKUP(B313,[6]C6_LMA_DIAG!$S$26:$AF$29,3,FALSE)</f>
        <v>154.4</v>
      </c>
      <c r="O313" s="14">
        <f>HLOOKUP(B299,[1]C6_LMA_DIAG!$S$27:$AF$30,3,FALSE)</f>
        <v>21</v>
      </c>
      <c r="P313" s="14">
        <v>237</v>
      </c>
    </row>
    <row r="314" spans="1:16" x14ac:dyDescent="0.3">
      <c r="A314" s="11" t="s">
        <v>66</v>
      </c>
      <c r="B314" s="11" t="s">
        <v>55</v>
      </c>
      <c r="C314" s="11" t="s">
        <v>51</v>
      </c>
      <c r="D314" s="11" t="s">
        <v>52</v>
      </c>
      <c r="E314" s="11" t="s">
        <v>40</v>
      </c>
      <c r="F314" s="11" t="s">
        <v>67</v>
      </c>
      <c r="G314" s="11" t="s">
        <v>9</v>
      </c>
      <c r="H314" s="12"/>
      <c r="I314" s="12"/>
      <c r="J314" s="12"/>
      <c r="K314" s="12"/>
      <c r="L314" s="12">
        <f>HLOOKUP(B314,[4]C5_LMA_DIAG!$P$24:$AB$28,4,FALSE)+HLOOKUP(B314,[4]C5_LMA_DIAG!$P$24:$AB$28,5,FALSE)</f>
        <v>0</v>
      </c>
      <c r="M314" s="12">
        <f>HLOOKUP(B314,[5]C6_LMA_DIAG!$P$23:$AB$26,4,FALSE)</f>
        <v>0</v>
      </c>
      <c r="N314" s="12">
        <f>HLOOKUP(B314,[6]C6_LMA_DIAG!$S$26:$AF$29,4,FALSE)</f>
        <v>4.5</v>
      </c>
      <c r="O314" s="12">
        <f>HLOOKUP(B286,[1]C6_LMA_DIAG!$S$27:$AF$30,4,FALSE)</f>
        <v>6</v>
      </c>
      <c r="P314" s="12">
        <v>0</v>
      </c>
    </row>
    <row r="315" spans="1:16" x14ac:dyDescent="0.3">
      <c r="A315" s="11" t="s">
        <v>66</v>
      </c>
      <c r="B315" s="11" t="s">
        <v>56</v>
      </c>
      <c r="C315" s="11" t="s">
        <v>51</v>
      </c>
      <c r="D315" s="11" t="s">
        <v>52</v>
      </c>
      <c r="E315" s="11" t="s">
        <v>40</v>
      </c>
      <c r="F315" s="11" t="s">
        <v>67</v>
      </c>
      <c r="G315" s="11" t="s">
        <v>9</v>
      </c>
      <c r="H315" s="12"/>
      <c r="I315" s="12"/>
      <c r="J315" s="12"/>
      <c r="K315" s="12"/>
      <c r="L315" s="12">
        <f>HLOOKUP(B315,[4]C5_LMA_DIAG!$P$24:$AB$28,4,FALSE)+HLOOKUP(B315,[4]C5_LMA_DIAG!$P$24:$AB$28,5,FALSE)</f>
        <v>0</v>
      </c>
      <c r="M315" s="12">
        <f>HLOOKUP(B315,[5]C6_LMA_DIAG!$P$23:$AB$26,4,FALSE)</f>
        <v>0</v>
      </c>
      <c r="N315" s="12">
        <f>HLOOKUP(B315,[6]C6_LMA_DIAG!$S$26:$AF$29,4,FALSE)</f>
        <v>1.5</v>
      </c>
      <c r="O315" s="12">
        <f>HLOOKUP(B287,[1]C6_LMA_DIAG!$S$27:$AF$30,4,FALSE)</f>
        <v>1</v>
      </c>
      <c r="P315" s="12">
        <v>0</v>
      </c>
    </row>
    <row r="316" spans="1:16" x14ac:dyDescent="0.3">
      <c r="A316" s="11" t="s">
        <v>66</v>
      </c>
      <c r="B316" s="11" t="s">
        <v>57</v>
      </c>
      <c r="C316" s="11" t="s">
        <v>51</v>
      </c>
      <c r="D316" s="11" t="s">
        <v>52</v>
      </c>
      <c r="E316" s="11" t="s">
        <v>40</v>
      </c>
      <c r="F316" s="11" t="s">
        <v>67</v>
      </c>
      <c r="G316" s="11" t="s">
        <v>9</v>
      </c>
      <c r="H316" s="12"/>
      <c r="I316" s="12"/>
      <c r="J316" s="12"/>
      <c r="K316" s="12"/>
      <c r="L316" s="12">
        <f>HLOOKUP(B316,[4]C5_LMA_DIAG!$P$24:$AB$28,4,FALSE)+HLOOKUP(B316,[4]C5_LMA_DIAG!$P$24:$AB$28,5,FALSE)</f>
        <v>0</v>
      </c>
      <c r="M316" s="12">
        <f>HLOOKUP(B316,[5]C6_LMA_DIAG!$P$23:$AB$26,4,FALSE)</f>
        <v>0</v>
      </c>
      <c r="N316" s="12">
        <f>HLOOKUP(B316,[6]C6_LMA_DIAG!$S$26:$AF$29,4,FALSE)</f>
        <v>1.5</v>
      </c>
      <c r="O316" s="12">
        <f>HLOOKUP(B288,[1]C6_LMA_DIAG!$S$27:$AF$30,4,FALSE)</f>
        <v>0</v>
      </c>
      <c r="P316" s="12">
        <v>0</v>
      </c>
    </row>
    <row r="317" spans="1:16" x14ac:dyDescent="0.3">
      <c r="A317" s="11" t="s">
        <v>66</v>
      </c>
      <c r="B317" s="11" t="s">
        <v>58</v>
      </c>
      <c r="C317" s="11" t="s">
        <v>51</v>
      </c>
      <c r="D317" s="11" t="s">
        <v>52</v>
      </c>
      <c r="E317" s="11" t="s">
        <v>40</v>
      </c>
      <c r="F317" s="11" t="s">
        <v>67</v>
      </c>
      <c r="G317" s="11" t="s">
        <v>9</v>
      </c>
      <c r="H317" s="12"/>
      <c r="I317" s="12"/>
      <c r="J317" s="12"/>
      <c r="K317" s="12"/>
      <c r="L317" s="12">
        <f>HLOOKUP(B317,[4]C5_LMA_DIAG!$P$24:$AB$28,4,FALSE)+HLOOKUP(B317,[4]C5_LMA_DIAG!$P$24:$AB$28,5,FALSE)</f>
        <v>0</v>
      </c>
      <c r="M317" s="12">
        <f>HLOOKUP(B317,[5]C6_LMA_DIAG!$P$23:$AB$26,4,FALSE)</f>
        <v>0</v>
      </c>
      <c r="N317" s="12">
        <f>HLOOKUP(B317,[6]C6_LMA_DIAG!$S$26:$AF$29,4,FALSE)</f>
        <v>0</v>
      </c>
      <c r="O317" s="12">
        <f>HLOOKUP(B289,[1]C6_LMA_DIAG!$S$27:$AF$30,4,FALSE)</f>
        <v>9</v>
      </c>
      <c r="P317" s="12">
        <v>1</v>
      </c>
    </row>
    <row r="318" spans="1:16" x14ac:dyDescent="0.3">
      <c r="A318" s="11" t="s">
        <v>66</v>
      </c>
      <c r="B318" s="11" t="s">
        <v>59</v>
      </c>
      <c r="C318" s="11" t="s">
        <v>51</v>
      </c>
      <c r="D318" s="11" t="s">
        <v>52</v>
      </c>
      <c r="E318" s="11" t="s">
        <v>40</v>
      </c>
      <c r="F318" s="11" t="s">
        <v>67</v>
      </c>
      <c r="G318" s="11" t="s">
        <v>9</v>
      </c>
      <c r="H318" s="12"/>
      <c r="I318" s="12"/>
      <c r="J318" s="12"/>
      <c r="K318" s="12"/>
      <c r="L318" s="12">
        <f>HLOOKUP(B318,[4]C5_LMA_DIAG!$P$24:$AB$28,4,FALSE)+HLOOKUP(B318,[4]C5_LMA_DIAG!$P$24:$AB$28,5,FALSE)</f>
        <v>0</v>
      </c>
      <c r="M318" s="12">
        <f>HLOOKUP(B318,[5]C6_LMA_DIAG!$P$23:$AB$26,4,FALSE)</f>
        <v>0</v>
      </c>
      <c r="N318" s="12">
        <f>HLOOKUP(B318,[6]C6_LMA_DIAG!$S$26:$AF$29,4,FALSE)</f>
        <v>0</v>
      </c>
      <c r="O318" s="12">
        <f>HLOOKUP(B290,[1]C6_LMA_DIAG!$S$27:$AF$30,4,FALSE)</f>
        <v>0</v>
      </c>
      <c r="P318" s="12">
        <v>0</v>
      </c>
    </row>
    <row r="319" spans="1:16" x14ac:dyDescent="0.3">
      <c r="A319" s="11" t="s">
        <v>66</v>
      </c>
      <c r="B319" s="11" t="s">
        <v>60</v>
      </c>
      <c r="C319" s="11" t="s">
        <v>51</v>
      </c>
      <c r="D319" s="11" t="s">
        <v>52</v>
      </c>
      <c r="E319" s="11" t="s">
        <v>40</v>
      </c>
      <c r="F319" s="11" t="s">
        <v>67</v>
      </c>
      <c r="G319" s="11" t="s">
        <v>9</v>
      </c>
      <c r="H319" s="12"/>
      <c r="I319" s="12"/>
      <c r="J319" s="12"/>
      <c r="K319" s="12"/>
      <c r="L319" s="12">
        <f>HLOOKUP(B319,[4]C5_LMA_DIAG!$P$24:$AB$28,4,FALSE)+HLOOKUP(B319,[4]C5_LMA_DIAG!$P$24:$AB$28,5,FALSE)</f>
        <v>0</v>
      </c>
      <c r="M319" s="12">
        <f>HLOOKUP(B319,[5]C6_LMA_DIAG!$P$23:$AB$26,4,FALSE)</f>
        <v>0</v>
      </c>
      <c r="N319" s="12">
        <f>HLOOKUP(B319,[6]C6_LMA_DIAG!$S$26:$AF$29,4,FALSE)</f>
        <v>0</v>
      </c>
      <c r="O319" s="12">
        <f>HLOOKUP(B291,[1]C6_LMA_DIAG!$S$27:$AF$30,4,FALSE)</f>
        <v>1</v>
      </c>
      <c r="P319" s="12">
        <v>0</v>
      </c>
    </row>
    <row r="320" spans="1:16" x14ac:dyDescent="0.3">
      <c r="A320" s="11" t="s">
        <v>66</v>
      </c>
      <c r="B320" s="11" t="s">
        <v>61</v>
      </c>
      <c r="C320" s="11" t="s">
        <v>51</v>
      </c>
      <c r="D320" s="11" t="s">
        <v>52</v>
      </c>
      <c r="E320" s="11" t="s">
        <v>40</v>
      </c>
      <c r="F320" s="11" t="s">
        <v>67</v>
      </c>
      <c r="G320" s="11" t="s">
        <v>9</v>
      </c>
      <c r="H320" s="12"/>
      <c r="I320" s="12"/>
      <c r="J320" s="12"/>
      <c r="K320" s="12"/>
      <c r="L320" s="12">
        <f>HLOOKUP(B320,[4]C5_LMA_DIAG!$P$24:$AB$28,4,FALSE)+HLOOKUP(B320,[4]C5_LMA_DIAG!$P$24:$AB$28,5,FALSE)</f>
        <v>0</v>
      </c>
      <c r="M320" s="12">
        <f>HLOOKUP(B320,[5]C6_LMA_DIAG!$P$23:$AB$26,4,FALSE)</f>
        <v>0</v>
      </c>
      <c r="N320" s="12">
        <f>HLOOKUP(B320,[6]C6_LMA_DIAG!$S$26:$AF$29,4,FALSE)</f>
        <v>8.99</v>
      </c>
      <c r="O320" s="12">
        <f>HLOOKUP(B292,[1]C6_LMA_DIAG!$S$27:$AF$30,4,FALSE)</f>
        <v>7</v>
      </c>
      <c r="P320" s="12">
        <v>0</v>
      </c>
    </row>
    <row r="321" spans="1:16" x14ac:dyDescent="0.3">
      <c r="A321" s="11" t="s">
        <v>66</v>
      </c>
      <c r="B321" s="11" t="s">
        <v>62</v>
      </c>
      <c r="C321" s="11" t="s">
        <v>51</v>
      </c>
      <c r="D321" s="11" t="s">
        <v>52</v>
      </c>
      <c r="E321" s="11" t="s">
        <v>40</v>
      </c>
      <c r="F321" s="11" t="s">
        <v>67</v>
      </c>
      <c r="G321" s="11" t="s">
        <v>9</v>
      </c>
      <c r="H321" s="12"/>
      <c r="I321" s="12"/>
      <c r="J321" s="12"/>
      <c r="K321" s="12"/>
      <c r="L321" s="12">
        <f>HLOOKUP(B321,[4]C5_LMA_DIAG!$P$24:$AB$28,4,FALSE)+HLOOKUP(B321,[4]C5_LMA_DIAG!$P$24:$AB$28,5,FALSE)</f>
        <v>0</v>
      </c>
      <c r="M321" s="12">
        <f>HLOOKUP(B321,[5]C6_LMA_DIAG!$P$23:$AB$26,4,FALSE)</f>
        <v>0</v>
      </c>
      <c r="N321" s="12">
        <f>HLOOKUP(B321,[6]C6_LMA_DIAG!$S$26:$AF$29,4,FALSE)</f>
        <v>1.5</v>
      </c>
      <c r="O321" s="12">
        <f>HLOOKUP(B293,[1]C6_LMA_DIAG!$S$27:$AF$30,4,FALSE)</f>
        <v>0</v>
      </c>
      <c r="P321" s="12">
        <v>0</v>
      </c>
    </row>
    <row r="322" spans="1:16" x14ac:dyDescent="0.3">
      <c r="A322" s="11" t="s">
        <v>66</v>
      </c>
      <c r="B322" s="11" t="s">
        <v>63</v>
      </c>
      <c r="C322" s="11" t="s">
        <v>51</v>
      </c>
      <c r="D322" s="11" t="s">
        <v>52</v>
      </c>
      <c r="E322" s="11" t="s">
        <v>40</v>
      </c>
      <c r="F322" s="11" t="s">
        <v>67</v>
      </c>
      <c r="G322" s="11" t="s">
        <v>9</v>
      </c>
      <c r="H322" s="12"/>
      <c r="I322" s="12"/>
      <c r="J322" s="12"/>
      <c r="K322" s="12"/>
      <c r="L322" s="12">
        <f>HLOOKUP(B322,[4]C5_LMA_DIAG!$P$24:$AB$28,4,FALSE)+HLOOKUP(B322,[4]C5_LMA_DIAG!$P$24:$AB$28,5,FALSE)</f>
        <v>0</v>
      </c>
      <c r="M322" s="12">
        <f>HLOOKUP(B322,[5]C6_LMA_DIAG!$P$23:$AB$26,4,FALSE)</f>
        <v>0</v>
      </c>
      <c r="N322" s="12">
        <f>HLOOKUP(B322,[6]C6_LMA_DIAG!$S$26:$AF$29,4,FALSE)</f>
        <v>0</v>
      </c>
      <c r="O322" s="12">
        <f>HLOOKUP(B294,[1]C6_LMA_DIAG!$S$27:$AF$30,4,FALSE)</f>
        <v>0</v>
      </c>
      <c r="P322" s="12">
        <v>0</v>
      </c>
    </row>
    <row r="323" spans="1:16" x14ac:dyDescent="0.3">
      <c r="A323" s="11" t="s">
        <v>66</v>
      </c>
      <c r="B323" s="11" t="s">
        <v>64</v>
      </c>
      <c r="C323" s="11" t="s">
        <v>51</v>
      </c>
      <c r="D323" s="11" t="s">
        <v>52</v>
      </c>
      <c r="E323" s="11" t="s">
        <v>40</v>
      </c>
      <c r="F323" s="11" t="s">
        <v>67</v>
      </c>
      <c r="G323" s="11" t="s">
        <v>9</v>
      </c>
      <c r="H323" s="12"/>
      <c r="I323" s="12"/>
      <c r="J323" s="12"/>
      <c r="K323" s="12"/>
      <c r="L323" s="12">
        <f>HLOOKUP(B323,[4]C5_LMA_DIAG!$P$24:$AB$28,4,FALSE)+HLOOKUP(B323,[4]C5_LMA_DIAG!$P$24:$AB$28,5,FALSE)</f>
        <v>0</v>
      </c>
      <c r="M323" s="12">
        <f>HLOOKUP(B323,[5]C6_LMA_DIAG!$P$23:$AB$26,4,FALSE)</f>
        <v>0</v>
      </c>
      <c r="N323" s="12">
        <f>HLOOKUP(B323,[6]C6_LMA_DIAG!$S$26:$AF$29,4,FALSE)</f>
        <v>0</v>
      </c>
      <c r="O323" s="12">
        <f>HLOOKUP(B295,[1]C6_LMA_DIAG!$S$27:$AF$30,4,FALSE)</f>
        <v>0</v>
      </c>
      <c r="P323" s="12">
        <v>0</v>
      </c>
    </row>
    <row r="324" spans="1:16" x14ac:dyDescent="0.3">
      <c r="A324" s="11" t="s">
        <v>66</v>
      </c>
      <c r="B324" s="11" t="s">
        <v>70</v>
      </c>
      <c r="C324" s="11" t="s">
        <v>51</v>
      </c>
      <c r="D324" s="11" t="s">
        <v>52</v>
      </c>
      <c r="E324" s="11" t="s">
        <v>40</v>
      </c>
      <c r="F324" s="11" t="s">
        <v>67</v>
      </c>
      <c r="G324" s="11" t="s">
        <v>9</v>
      </c>
      <c r="H324" s="12"/>
      <c r="I324" s="12"/>
      <c r="J324" s="12"/>
      <c r="K324" s="12"/>
      <c r="L324" s="12">
        <v>0</v>
      </c>
      <c r="M324" s="12">
        <v>0</v>
      </c>
      <c r="N324" s="12">
        <f>HLOOKUP(B324,[6]C6_LMA_DIAG!$S$26:$AF$29,4,FALSE)</f>
        <v>6</v>
      </c>
      <c r="O324" s="12">
        <f>HLOOKUP(B296,[1]C6_LMA_DIAG!$S$27:$AF$30,4,FALSE)</f>
        <v>2</v>
      </c>
      <c r="P324" s="12">
        <v>1</v>
      </c>
    </row>
    <row r="325" spans="1:16" x14ac:dyDescent="0.3">
      <c r="A325" s="11"/>
      <c r="B325" s="11" t="s">
        <v>71</v>
      </c>
      <c r="C325" s="11" t="s">
        <v>51</v>
      </c>
      <c r="D325" s="11" t="s">
        <v>52</v>
      </c>
      <c r="E325" s="11" t="s">
        <v>40</v>
      </c>
      <c r="F325" s="11" t="s">
        <v>67</v>
      </c>
      <c r="G325" s="11" t="s">
        <v>9</v>
      </c>
      <c r="H325" s="12"/>
      <c r="I325" s="12"/>
      <c r="J325" s="12"/>
      <c r="K325" s="12"/>
      <c r="L325" s="12">
        <v>0</v>
      </c>
      <c r="M325" s="12">
        <v>0</v>
      </c>
      <c r="N325" s="12">
        <f>HLOOKUP(B325,[6]C6_LMA_DIAG!$S$26:$AF$29,4,FALSE)</f>
        <v>8.99</v>
      </c>
      <c r="O325" s="12">
        <f>HLOOKUP(B297,[1]C6_LMA_DIAG!$S$27:$AF$30,4,FALSE)</f>
        <v>14</v>
      </c>
      <c r="P325" s="12">
        <v>0</v>
      </c>
    </row>
    <row r="326" spans="1:16" x14ac:dyDescent="0.3">
      <c r="A326" s="11" t="s">
        <v>66</v>
      </c>
      <c r="B326" s="11" t="s">
        <v>65</v>
      </c>
      <c r="C326" s="11" t="s">
        <v>51</v>
      </c>
      <c r="D326" s="11" t="s">
        <v>52</v>
      </c>
      <c r="E326" s="11" t="s">
        <v>40</v>
      </c>
      <c r="F326" s="11" t="s">
        <v>67</v>
      </c>
      <c r="G326" s="11" t="s">
        <v>9</v>
      </c>
      <c r="H326" s="12"/>
      <c r="I326" s="12"/>
      <c r="J326" s="12"/>
      <c r="K326" s="12"/>
      <c r="L326" s="12">
        <f>HLOOKUP(B326,[4]C5_LMA_DIAG!$P$24:$AB$28,4,FALSE)+HLOOKUP(B326,[4]C5_LMA_DIAG!$P$24:$AB$28,5,FALSE)</f>
        <v>0</v>
      </c>
      <c r="M326" s="12">
        <f>HLOOKUP(B326,[5]C6_LMA_DIAG!$P$23:$AB$26,4,FALSE)</f>
        <v>0</v>
      </c>
      <c r="N326" s="12">
        <f>HLOOKUP(B326,[6]C6_LMA_DIAG!$S$26:$AF$29,4,FALSE)</f>
        <v>3</v>
      </c>
      <c r="O326" s="12">
        <f>HLOOKUP(B298,[1]C6_LMA_DIAG!$S$27:$AF$30,4,FALSE)</f>
        <v>3</v>
      </c>
      <c r="P326" s="12">
        <v>1</v>
      </c>
    </row>
    <row r="327" spans="1:16" x14ac:dyDescent="0.3">
      <c r="A327" s="24" t="s">
        <v>66</v>
      </c>
      <c r="B327" s="24" t="s">
        <v>19</v>
      </c>
      <c r="C327" s="24" t="s">
        <v>51</v>
      </c>
      <c r="D327" s="24" t="s">
        <v>52</v>
      </c>
      <c r="E327" s="24" t="s">
        <v>40</v>
      </c>
      <c r="F327" s="24" t="s">
        <v>67</v>
      </c>
      <c r="G327" s="24" t="s">
        <v>9</v>
      </c>
      <c r="H327" s="25"/>
      <c r="I327" s="25"/>
      <c r="J327" s="25"/>
      <c r="K327" s="25"/>
      <c r="L327" s="12">
        <f>HLOOKUP(B327,[4]C5_LMA_DIAG!$P$24:$AB$28,4,FALSE)+HLOOKUP(B327,[4]C5_LMA_DIAG!$P$24:$AB$28,5,FALSE)</f>
        <v>0</v>
      </c>
      <c r="M327" s="12">
        <f>HLOOKUP(B327,[5]C6_LMA_DIAG!$P$23:$AB$26,4,FALSE)</f>
        <v>0</v>
      </c>
      <c r="N327" s="12">
        <f>HLOOKUP(B327,[6]C6_LMA_DIAG!$S$26:$AF$29,4,FALSE)</f>
        <v>0</v>
      </c>
      <c r="O327" s="12">
        <f>HLOOKUP(B299,[1]C6_LMA_DIAG!$S$27:$AF$30,4,FALSE)</f>
        <v>0</v>
      </c>
      <c r="P327" s="25">
        <v>0</v>
      </c>
    </row>
    <row r="328" spans="1:16" x14ac:dyDescent="0.3">
      <c r="A328" s="17" t="s">
        <v>68</v>
      </c>
      <c r="B328" s="17" t="s">
        <v>55</v>
      </c>
      <c r="C328" s="17" t="s">
        <v>51</v>
      </c>
      <c r="D328" s="17" t="s">
        <v>52</v>
      </c>
      <c r="E328" s="17" t="s">
        <v>12</v>
      </c>
      <c r="F328" s="17" t="s">
        <v>20</v>
      </c>
      <c r="G328" s="17" t="s">
        <v>1</v>
      </c>
      <c r="H328" s="19"/>
      <c r="I328" s="19"/>
      <c r="J328" s="19"/>
      <c r="K328" s="19"/>
      <c r="L328" s="19" cm="1">
        <f t="array" ref="L328">_xlfn.XLOOKUP(E328,[4]C5_LMA_DIAG!$A$35:$A$43,_xlfn.XLOOKUP(B328,[4]C5_LMA_DIAG!$A$35:$M$35,[4]C5_LMA_DIAG!$A$35:$M$43))</f>
        <v>3510</v>
      </c>
      <c r="M328" s="19" cm="1">
        <f t="array" ref="M328">_xlfn.XLOOKUP(E328,[5]C6_LMA_DIAG!$A$32:$A$40, _xlfn.XLOOKUP(B328,[5]C6_LMA_DIAG!$A$32:$M$32,[5]C6_LMA_DIAG!$A$32:$M$40))</f>
        <v>3922</v>
      </c>
      <c r="N328" s="19">
        <f>HLOOKUP(B328,[6]C6_LMA_DIAG!$B$36:$O$44,2,FALSE)</f>
        <v>3897</v>
      </c>
      <c r="O328" s="19">
        <f>HLOOKUP(B328,[1]C5_LMT_DIAG!$B$37:$O$45,2,FALSE)</f>
        <v>7120</v>
      </c>
      <c r="P328" s="19" cm="1">
        <f t="array" ref="P328:P439">_xlfn.TOCOL([7]C6_LMA_DIAG!$B$37:$O$44)</f>
        <v>11346</v>
      </c>
    </row>
    <row r="329" spans="1:16" x14ac:dyDescent="0.3">
      <c r="A329" s="17" t="s">
        <v>68</v>
      </c>
      <c r="B329" s="17" t="s">
        <v>56</v>
      </c>
      <c r="C329" s="17" t="s">
        <v>51</v>
      </c>
      <c r="D329" s="17" t="s">
        <v>52</v>
      </c>
      <c r="E329" s="17" t="s">
        <v>12</v>
      </c>
      <c r="F329" s="17" t="s">
        <v>20</v>
      </c>
      <c r="G329" s="17" t="s">
        <v>1</v>
      </c>
      <c r="H329" s="19"/>
      <c r="I329" s="19"/>
      <c r="J329" s="19"/>
      <c r="K329" s="19"/>
      <c r="L329" s="19" cm="1">
        <f t="array" ref="L329">_xlfn.XLOOKUP(E329,[4]C5_LMA_DIAG!$A$35:$A$43,_xlfn.XLOOKUP(B329,[4]C5_LMA_DIAG!$A$35:$M$35,[4]C5_LMA_DIAG!$A$35:$M$43))</f>
        <v>5000</v>
      </c>
      <c r="M329" s="19" cm="1">
        <f t="array" ref="M329">_xlfn.XLOOKUP(E329,[5]C6_LMA_DIAG!$A$32:$A$40, _xlfn.XLOOKUP(B329,[5]C6_LMA_DIAG!$A$32:$M$32,[5]C6_LMA_DIAG!$A$32:$M$40))</f>
        <v>4629</v>
      </c>
      <c r="N329" s="19">
        <f>HLOOKUP(B329,[6]C6_LMA_DIAG!$B$36:$O$44,2,FALSE)</f>
        <v>3417</v>
      </c>
      <c r="O329" s="19">
        <f>HLOOKUP(B329,[1]C5_LMT_DIAG!$B$37:$O$45,2,FALSE)</f>
        <v>7014</v>
      </c>
      <c r="P329" s="19">
        <v>7538</v>
      </c>
    </row>
    <row r="330" spans="1:16" x14ac:dyDescent="0.3">
      <c r="A330" s="17" t="s">
        <v>68</v>
      </c>
      <c r="B330" s="17" t="s">
        <v>57</v>
      </c>
      <c r="C330" s="17" t="s">
        <v>51</v>
      </c>
      <c r="D330" s="17" t="s">
        <v>52</v>
      </c>
      <c r="E330" s="17" t="s">
        <v>12</v>
      </c>
      <c r="F330" s="17" t="s">
        <v>20</v>
      </c>
      <c r="G330" s="17" t="s">
        <v>1</v>
      </c>
      <c r="H330" s="19"/>
      <c r="I330" s="19"/>
      <c r="J330" s="19"/>
      <c r="K330" s="19"/>
      <c r="L330" s="19" cm="1">
        <f t="array" ref="L330">_xlfn.XLOOKUP(E330,[4]C5_LMA_DIAG!$A$35:$A$43,_xlfn.XLOOKUP(B330,[4]C5_LMA_DIAG!$A$35:$M$35,[4]C5_LMA_DIAG!$A$35:$M$43))</f>
        <v>4397</v>
      </c>
      <c r="M330" s="19" cm="1">
        <f t="array" ref="M330">_xlfn.XLOOKUP(E330,[5]C6_LMA_DIAG!$A$32:$A$40, _xlfn.XLOOKUP(B330,[5]C6_LMA_DIAG!$A$32:$M$32,[5]C6_LMA_DIAG!$A$32:$M$40))</f>
        <v>4615</v>
      </c>
      <c r="N330" s="19">
        <f>HLOOKUP(B330,[6]C6_LMA_DIAG!$B$36:$O$44,2,FALSE)</f>
        <v>2460</v>
      </c>
      <c r="O330" s="19">
        <f>HLOOKUP(B330,[1]C5_LMT_DIAG!$B$37:$O$45,2,FALSE)</f>
        <v>2813</v>
      </c>
      <c r="P330" s="19">
        <v>7361</v>
      </c>
    </row>
    <row r="331" spans="1:16" x14ac:dyDescent="0.3">
      <c r="A331" s="17" t="s">
        <v>68</v>
      </c>
      <c r="B331" s="17" t="s">
        <v>58</v>
      </c>
      <c r="C331" s="17" t="s">
        <v>51</v>
      </c>
      <c r="D331" s="17" t="s">
        <v>52</v>
      </c>
      <c r="E331" s="17" t="s">
        <v>12</v>
      </c>
      <c r="F331" s="17" t="s">
        <v>20</v>
      </c>
      <c r="G331" s="17" t="s">
        <v>1</v>
      </c>
      <c r="H331" s="19"/>
      <c r="I331" s="19"/>
      <c r="J331" s="19"/>
      <c r="K331" s="19"/>
      <c r="L331" s="19" cm="1">
        <f t="array" ref="L331">_xlfn.XLOOKUP(E331,[4]C5_LMA_DIAG!$A$35:$A$43,_xlfn.XLOOKUP(B331,[4]C5_LMA_DIAG!$A$35:$M$35,[4]C5_LMA_DIAG!$A$35:$M$43))</f>
        <v>3918</v>
      </c>
      <c r="M331" s="19" cm="1">
        <f t="array" ref="M331">_xlfn.XLOOKUP(E331,[5]C6_LMA_DIAG!$A$32:$A$40, _xlfn.XLOOKUP(B331,[5]C6_LMA_DIAG!$A$32:$M$32,[5]C6_LMA_DIAG!$A$32:$M$40))</f>
        <v>3772</v>
      </c>
      <c r="N331" s="19">
        <f>HLOOKUP(B331,[6]C6_LMA_DIAG!$B$36:$O$44,2,FALSE)</f>
        <v>2600</v>
      </c>
      <c r="O331" s="19">
        <f>HLOOKUP(B331,[1]C5_LMT_DIAG!$B$37:$O$45,2,FALSE)</f>
        <v>4865</v>
      </c>
      <c r="P331" s="19">
        <v>5478</v>
      </c>
    </row>
    <row r="332" spans="1:16" x14ac:dyDescent="0.3">
      <c r="A332" s="17" t="s">
        <v>68</v>
      </c>
      <c r="B332" s="17" t="s">
        <v>59</v>
      </c>
      <c r="C332" s="17" t="s">
        <v>51</v>
      </c>
      <c r="D332" s="17" t="s">
        <v>52</v>
      </c>
      <c r="E332" s="17" t="s">
        <v>12</v>
      </c>
      <c r="F332" s="17" t="s">
        <v>20</v>
      </c>
      <c r="G332" s="17" t="s">
        <v>1</v>
      </c>
      <c r="H332" s="19"/>
      <c r="I332" s="19"/>
      <c r="J332" s="19"/>
      <c r="K332" s="19"/>
      <c r="L332" s="19" cm="1">
        <f t="array" ref="L332">_xlfn.XLOOKUP(E332,[4]C5_LMA_DIAG!$A$35:$A$43,_xlfn.XLOOKUP(B332,[4]C5_LMA_DIAG!$A$35:$M$35,[4]C5_LMA_DIAG!$A$35:$M$43))</f>
        <v>3024</v>
      </c>
      <c r="M332" s="19" cm="1">
        <f t="array" ref="M332">_xlfn.XLOOKUP(E332,[5]C6_LMA_DIAG!$A$32:$A$40, _xlfn.XLOOKUP(B332,[5]C6_LMA_DIAG!$A$32:$M$32,[5]C6_LMA_DIAG!$A$32:$M$40))</f>
        <v>2765</v>
      </c>
      <c r="N332" s="19">
        <f>HLOOKUP(B332,[6]C6_LMA_DIAG!$B$36:$O$44,2,FALSE)</f>
        <v>1684</v>
      </c>
      <c r="O332" s="19">
        <f>HLOOKUP(B332,[1]C5_LMT_DIAG!$B$37:$O$45,2,FALSE)</f>
        <v>1891</v>
      </c>
      <c r="P332" s="19">
        <v>2648</v>
      </c>
    </row>
    <row r="333" spans="1:16" x14ac:dyDescent="0.3">
      <c r="A333" s="17" t="s">
        <v>68</v>
      </c>
      <c r="B333" s="17" t="s">
        <v>60</v>
      </c>
      <c r="C333" s="17" t="s">
        <v>51</v>
      </c>
      <c r="D333" s="17" t="s">
        <v>52</v>
      </c>
      <c r="E333" s="17" t="s">
        <v>12</v>
      </c>
      <c r="F333" s="17" t="s">
        <v>20</v>
      </c>
      <c r="G333" s="17" t="s">
        <v>1</v>
      </c>
      <c r="H333" s="19"/>
      <c r="I333" s="19"/>
      <c r="J333" s="19"/>
      <c r="K333" s="19"/>
      <c r="L333" s="19" cm="1">
        <f t="array" ref="L333">_xlfn.XLOOKUP(E333,[4]C5_LMA_DIAG!$A$35:$A$43,_xlfn.XLOOKUP(B333,[4]C5_LMA_DIAG!$A$35:$M$35,[4]C5_LMA_DIAG!$A$35:$M$43))</f>
        <v>1648</v>
      </c>
      <c r="M333" s="19" cm="1">
        <f t="array" ref="M333">_xlfn.XLOOKUP(E333,[5]C6_LMA_DIAG!$A$32:$A$40, _xlfn.XLOOKUP(B333,[5]C6_LMA_DIAG!$A$32:$M$32,[5]C6_LMA_DIAG!$A$32:$M$40))</f>
        <v>1889</v>
      </c>
      <c r="N333" s="19">
        <f>HLOOKUP(B333,[6]C6_LMA_DIAG!$B$36:$O$44,2,FALSE)</f>
        <v>1195</v>
      </c>
      <c r="O333" s="19">
        <f>HLOOKUP(B333,[1]C5_LMT_DIAG!$B$37:$O$45,2,FALSE)</f>
        <v>2130</v>
      </c>
      <c r="P333" s="19">
        <v>2556</v>
      </c>
    </row>
    <row r="334" spans="1:16" x14ac:dyDescent="0.3">
      <c r="A334" s="17" t="s">
        <v>68</v>
      </c>
      <c r="B334" s="17" t="s">
        <v>61</v>
      </c>
      <c r="C334" s="17" t="s">
        <v>51</v>
      </c>
      <c r="D334" s="17" t="s">
        <v>52</v>
      </c>
      <c r="E334" s="17" t="s">
        <v>12</v>
      </c>
      <c r="F334" s="17" t="s">
        <v>20</v>
      </c>
      <c r="G334" s="17" t="s">
        <v>1</v>
      </c>
      <c r="H334" s="19"/>
      <c r="I334" s="19"/>
      <c r="J334" s="19"/>
      <c r="K334" s="19"/>
      <c r="L334" s="19" cm="1">
        <f t="array" ref="L334">_xlfn.XLOOKUP(E334,[4]C5_LMA_DIAG!$A$35:$A$43,_xlfn.XLOOKUP(B334,[4]C5_LMA_DIAG!$A$35:$M$35,[4]C5_LMA_DIAG!$A$35:$M$43))</f>
        <v>1370</v>
      </c>
      <c r="M334" s="19" cm="1">
        <f t="array" ref="M334">_xlfn.XLOOKUP(E334,[5]C6_LMA_DIAG!$A$32:$A$40, _xlfn.XLOOKUP(B334,[5]C6_LMA_DIAG!$A$32:$M$32,[5]C6_LMA_DIAG!$A$32:$M$40))</f>
        <v>1091</v>
      </c>
      <c r="N334" s="19">
        <f>HLOOKUP(B334,[6]C6_LMA_DIAG!$B$36:$O$44,2,FALSE)</f>
        <v>624</v>
      </c>
      <c r="O334" s="19">
        <f>HLOOKUP(B334,[1]C5_LMT_DIAG!$B$37:$O$45,2,FALSE)</f>
        <v>783</v>
      </c>
      <c r="P334" s="19">
        <v>860</v>
      </c>
    </row>
    <row r="335" spans="1:16" x14ac:dyDescent="0.3">
      <c r="A335" s="17" t="s">
        <v>68</v>
      </c>
      <c r="B335" s="17" t="s">
        <v>62</v>
      </c>
      <c r="C335" s="17" t="s">
        <v>51</v>
      </c>
      <c r="D335" s="17" t="s">
        <v>52</v>
      </c>
      <c r="E335" s="17" t="s">
        <v>12</v>
      </c>
      <c r="F335" s="17" t="s">
        <v>20</v>
      </c>
      <c r="G335" s="17" t="s">
        <v>1</v>
      </c>
      <c r="H335" s="19"/>
      <c r="I335" s="19"/>
      <c r="J335" s="19"/>
      <c r="K335" s="19"/>
      <c r="L335" s="19" cm="1">
        <f t="array" ref="L335">_xlfn.XLOOKUP(E335,[4]C5_LMA_DIAG!$A$35:$A$43,_xlfn.XLOOKUP(B335,[4]C5_LMA_DIAG!$A$35:$M$35,[4]C5_LMA_DIAG!$A$35:$M$43))</f>
        <v>880</v>
      </c>
      <c r="M335" s="19" cm="1">
        <f t="array" ref="M335">_xlfn.XLOOKUP(E335,[5]C6_LMA_DIAG!$A$32:$A$40, _xlfn.XLOOKUP(B335,[5]C6_LMA_DIAG!$A$32:$M$32,[5]C6_LMA_DIAG!$A$32:$M$40))</f>
        <v>771</v>
      </c>
      <c r="N335" s="19">
        <f>HLOOKUP(B335,[6]C6_LMA_DIAG!$B$36:$O$44,2,FALSE)</f>
        <v>490</v>
      </c>
      <c r="O335" s="19">
        <f>HLOOKUP(B335,[1]C5_LMT_DIAG!$B$37:$O$45,2,FALSE)</f>
        <v>815</v>
      </c>
      <c r="P335" s="19">
        <v>983</v>
      </c>
    </row>
    <row r="336" spans="1:16" x14ac:dyDescent="0.3">
      <c r="A336" s="17" t="s">
        <v>68</v>
      </c>
      <c r="B336" s="17" t="s">
        <v>63</v>
      </c>
      <c r="C336" s="17" t="s">
        <v>51</v>
      </c>
      <c r="D336" s="17" t="s">
        <v>52</v>
      </c>
      <c r="E336" s="17" t="s">
        <v>12</v>
      </c>
      <c r="F336" s="17" t="s">
        <v>20</v>
      </c>
      <c r="G336" s="17" t="s">
        <v>1</v>
      </c>
      <c r="H336" s="19"/>
      <c r="I336" s="19"/>
      <c r="J336" s="19"/>
      <c r="K336" s="19"/>
      <c r="L336" s="19" cm="1">
        <f t="array" ref="L336">_xlfn.XLOOKUP(E336,[4]C5_LMA_DIAG!$A$35:$A$43,_xlfn.XLOOKUP(B336,[4]C5_LMA_DIAG!$A$35:$M$35,[4]C5_LMA_DIAG!$A$35:$M$43))</f>
        <v>127</v>
      </c>
      <c r="M336" s="19" cm="1">
        <f t="array" ref="M336">_xlfn.XLOOKUP(E336,[5]C6_LMA_DIAG!$A$32:$A$40, _xlfn.XLOOKUP(B336,[5]C6_LMA_DIAG!$A$32:$M$32,[5]C6_LMA_DIAG!$A$32:$M$40))</f>
        <v>103</v>
      </c>
      <c r="N336" s="19">
        <f>HLOOKUP(B336,[6]C6_LMA_DIAG!$B$36:$O$44,2,FALSE)</f>
        <v>110</v>
      </c>
      <c r="O336" s="19">
        <f>HLOOKUP(B336,[1]C5_LMT_DIAG!$B$37:$O$45,2,FALSE)</f>
        <v>98</v>
      </c>
      <c r="P336" s="19">
        <v>149</v>
      </c>
    </row>
    <row r="337" spans="1:16" x14ac:dyDescent="0.3">
      <c r="A337" s="17" t="s">
        <v>68</v>
      </c>
      <c r="B337" s="17" t="s">
        <v>64</v>
      </c>
      <c r="C337" s="17" t="s">
        <v>51</v>
      </c>
      <c r="D337" s="17" t="s">
        <v>52</v>
      </c>
      <c r="E337" s="17" t="s">
        <v>12</v>
      </c>
      <c r="F337" s="17" t="s">
        <v>20</v>
      </c>
      <c r="G337" s="17" t="s">
        <v>1</v>
      </c>
      <c r="H337" s="19"/>
      <c r="I337" s="19"/>
      <c r="J337" s="19"/>
      <c r="K337" s="19"/>
      <c r="L337" s="19" cm="1">
        <f t="array" ref="L337">_xlfn.XLOOKUP(E337,[4]C5_LMA_DIAG!$A$35:$A$43,_xlfn.XLOOKUP(B337,[4]C5_LMA_DIAG!$A$35:$M$35,[4]C5_LMA_DIAG!$A$35:$M$43))</f>
        <v>154</v>
      </c>
      <c r="M337" s="19" cm="1">
        <f t="array" ref="M337">_xlfn.XLOOKUP(E337,[5]C6_LMA_DIAG!$A$32:$A$40, _xlfn.XLOOKUP(B337,[5]C6_LMA_DIAG!$A$32:$M$32,[5]C6_LMA_DIAG!$A$32:$M$40))</f>
        <v>161</v>
      </c>
      <c r="N337" s="19">
        <f>HLOOKUP(B337,[6]C6_LMA_DIAG!$B$36:$O$44,2,FALSE)</f>
        <v>94</v>
      </c>
      <c r="O337" s="19">
        <f>HLOOKUP(B337,[1]C5_LMT_DIAG!$B$37:$O$45,2,FALSE)</f>
        <v>159</v>
      </c>
      <c r="P337" s="19">
        <v>171</v>
      </c>
    </row>
    <row r="338" spans="1:16" x14ac:dyDescent="0.3">
      <c r="A338" s="17" t="s">
        <v>68</v>
      </c>
      <c r="B338" s="17" t="s">
        <v>70</v>
      </c>
      <c r="C338" s="17" t="s">
        <v>51</v>
      </c>
      <c r="D338" s="17" t="s">
        <v>52</v>
      </c>
      <c r="E338" s="17" t="s">
        <v>12</v>
      </c>
      <c r="F338" s="17" t="s">
        <v>20</v>
      </c>
      <c r="G338" s="17" t="s">
        <v>1</v>
      </c>
      <c r="H338" s="19"/>
      <c r="I338" s="19"/>
      <c r="J338" s="19"/>
      <c r="K338" s="19"/>
      <c r="L338" s="19">
        <v>0</v>
      </c>
      <c r="M338" s="19">
        <v>0</v>
      </c>
      <c r="N338" s="19">
        <f>HLOOKUP(B338,[6]C6_LMA_DIAG!$B$36:$O$44,2,FALSE)</f>
        <v>8410</v>
      </c>
      <c r="O338" s="19">
        <f>HLOOKUP(B338,[1]C5_LMT_DIAG!$B$37:$O$45,2,FALSE)</f>
        <v>25694</v>
      </c>
      <c r="P338" s="19">
        <v>19406</v>
      </c>
    </row>
    <row r="339" spans="1:16" x14ac:dyDescent="0.3">
      <c r="A339" s="17"/>
      <c r="B339" s="17" t="s">
        <v>71</v>
      </c>
      <c r="C339" s="17" t="s">
        <v>51</v>
      </c>
      <c r="D339" s="17" t="s">
        <v>52</v>
      </c>
      <c r="E339" s="17" t="s">
        <v>12</v>
      </c>
      <c r="F339" s="17" t="s">
        <v>20</v>
      </c>
      <c r="G339" s="17" t="s">
        <v>1</v>
      </c>
      <c r="H339" s="19"/>
      <c r="I339" s="19"/>
      <c r="J339" s="19"/>
      <c r="K339" s="19"/>
      <c r="L339" s="19">
        <v>0</v>
      </c>
      <c r="M339" s="19">
        <v>0</v>
      </c>
      <c r="N339" s="19">
        <f>HLOOKUP(B339,[6]C6_LMA_DIAG!$B$36:$O$44,2,FALSE)</f>
        <v>180</v>
      </c>
      <c r="O339" s="19">
        <f>HLOOKUP(B339,[1]C5_LMT_DIAG!$B$37:$O$45,2,FALSE)</f>
        <v>155</v>
      </c>
      <c r="P339" s="19">
        <v>0</v>
      </c>
    </row>
    <row r="340" spans="1:16" x14ac:dyDescent="0.3">
      <c r="A340" s="17" t="s">
        <v>68</v>
      </c>
      <c r="B340" s="17" t="s">
        <v>65</v>
      </c>
      <c r="C340" s="17" t="s">
        <v>51</v>
      </c>
      <c r="D340" s="17" t="s">
        <v>52</v>
      </c>
      <c r="E340" s="17" t="s">
        <v>12</v>
      </c>
      <c r="F340" s="17" t="s">
        <v>20</v>
      </c>
      <c r="G340" s="17" t="s">
        <v>1</v>
      </c>
      <c r="H340" s="19"/>
      <c r="I340" s="19"/>
      <c r="J340" s="19"/>
      <c r="K340" s="19"/>
      <c r="L340" s="19" cm="1">
        <f t="array" ref="L340">_xlfn.XLOOKUP(E340,[4]C5_LMA_DIAG!$A$35:$A$43,_xlfn.XLOOKUP(B340,[4]C5_LMA_DIAG!$A$35:$M$35,[4]C5_LMA_DIAG!$A$35:$M$43))</f>
        <v>3143</v>
      </c>
      <c r="M340" s="19" cm="1">
        <f t="array" ref="M340">_xlfn.XLOOKUP(E340,[5]C6_LMA_DIAG!$A$32:$A$40, _xlfn.XLOOKUP(B340,[5]C6_LMA_DIAG!$A$32:$M$32,[5]C6_LMA_DIAG!$A$32:$M$40))</f>
        <v>3101</v>
      </c>
      <c r="N340" s="19">
        <f>HLOOKUP(B340,[6]C6_LMA_DIAG!$B$36:$O$44,2,FALSE)</f>
        <v>2056</v>
      </c>
      <c r="O340" s="19">
        <f>HLOOKUP(B340,[1]C5_LMT_DIAG!$B$37:$O$45,2,FALSE)</f>
        <v>3440</v>
      </c>
      <c r="P340" s="19">
        <v>4090</v>
      </c>
    </row>
    <row r="341" spans="1:16" x14ac:dyDescent="0.3">
      <c r="A341" s="17" t="s">
        <v>68</v>
      </c>
      <c r="B341" s="17" t="s">
        <v>19</v>
      </c>
      <c r="C341" s="17" t="s">
        <v>51</v>
      </c>
      <c r="D341" s="17" t="s">
        <v>52</v>
      </c>
      <c r="E341" s="17" t="s">
        <v>12</v>
      </c>
      <c r="F341" s="17" t="s">
        <v>20</v>
      </c>
      <c r="G341" s="17" t="s">
        <v>1</v>
      </c>
      <c r="H341" s="19"/>
      <c r="I341" s="19"/>
      <c r="J341" s="19"/>
      <c r="K341" s="19"/>
      <c r="L341" s="19" cm="1">
        <f t="array" ref="L341">_xlfn.XLOOKUP(E341,[4]C5_LMA_DIAG!$A$35:$A$43,_xlfn.XLOOKUP(B341,[4]C5_LMA_DIAG!$A$35:$M$35,[4]C5_LMA_DIAG!$A$35:$M$43))</f>
        <v>0</v>
      </c>
      <c r="M341" s="19" cm="1">
        <f t="array" ref="M341">_xlfn.XLOOKUP(E341,[5]C6_LMA_DIAG!$A$32:$A$40, _xlfn.XLOOKUP(B341,[5]C6_LMA_DIAG!$A$32:$M$32,[5]C6_LMA_DIAG!$A$32:$M$40))</f>
        <v>7</v>
      </c>
      <c r="N341" s="19">
        <f>HLOOKUP(B341,[6]C6_LMA_DIAG!$B$36:$O$44,2,FALSE)</f>
        <v>0</v>
      </c>
      <c r="O341" s="19">
        <f>HLOOKUP(B341,[1]C5_LMT_DIAG!$B$37:$O$45,2,FALSE)</f>
        <v>0</v>
      </c>
      <c r="P341" s="19">
        <v>0</v>
      </c>
    </row>
    <row r="342" spans="1:16" x14ac:dyDescent="0.3">
      <c r="A342" s="18" t="s">
        <v>68</v>
      </c>
      <c r="B342" s="18" t="s">
        <v>55</v>
      </c>
      <c r="C342" s="18" t="s">
        <v>51</v>
      </c>
      <c r="D342" s="18" t="s">
        <v>52</v>
      </c>
      <c r="E342" s="18" t="s">
        <v>13</v>
      </c>
      <c r="F342" s="18" t="s">
        <v>20</v>
      </c>
      <c r="G342" s="18" t="s">
        <v>1</v>
      </c>
      <c r="H342" s="20"/>
      <c r="I342" s="20"/>
      <c r="J342" s="20"/>
      <c r="K342" s="20"/>
      <c r="L342" s="19" cm="1">
        <f t="array" ref="L342">_xlfn.XLOOKUP(E342,[4]C5_LMA_DIAG!$A$35:$A$43,_xlfn.XLOOKUP(B342,[4]C5_LMA_DIAG!$A$35:$M$35,[4]C5_LMA_DIAG!$A$35:$M$43))</f>
        <v>68129</v>
      </c>
      <c r="M342" s="19" cm="1">
        <f t="array" ref="M342">_xlfn.XLOOKUP(E342,[5]C6_LMA_DIAG!$A$32:$A$40, _xlfn.XLOOKUP(B342,[5]C6_LMA_DIAG!$A$32:$M$32,[5]C6_LMA_DIAG!$A$32:$M$40))</f>
        <v>76671</v>
      </c>
      <c r="N342" s="19">
        <f>HLOOKUP(B342,[6]C6_LMA_DIAG!$B$36:$O$44,3,FALSE)</f>
        <v>76754</v>
      </c>
      <c r="O342" s="20">
        <f>HLOOKUP(B328,[1]C5_LMT_DIAG!$B$37:$O$45,3,FALSE)</f>
        <v>132895</v>
      </c>
      <c r="P342" s="20">
        <v>155813</v>
      </c>
    </row>
    <row r="343" spans="1:16" x14ac:dyDescent="0.3">
      <c r="A343" s="18" t="s">
        <v>68</v>
      </c>
      <c r="B343" s="18" t="s">
        <v>56</v>
      </c>
      <c r="C343" s="18" t="s">
        <v>51</v>
      </c>
      <c r="D343" s="18" t="s">
        <v>52</v>
      </c>
      <c r="E343" s="18" t="s">
        <v>13</v>
      </c>
      <c r="F343" s="18" t="s">
        <v>20</v>
      </c>
      <c r="G343" s="18" t="s">
        <v>1</v>
      </c>
      <c r="H343" s="20"/>
      <c r="I343" s="20"/>
      <c r="J343" s="20"/>
      <c r="K343" s="20"/>
      <c r="L343" s="19" cm="1">
        <f t="array" ref="L343">_xlfn.XLOOKUP(E343,[4]C5_LMA_DIAG!$A$35:$A$43,_xlfn.XLOOKUP(B343,[4]C5_LMA_DIAG!$A$35:$M$35,[4]C5_LMA_DIAG!$A$35:$M$43))</f>
        <v>54431</v>
      </c>
      <c r="M343" s="19" cm="1">
        <f t="array" ref="M343">_xlfn.XLOOKUP(E343,[5]C6_LMA_DIAG!$A$32:$A$40, _xlfn.XLOOKUP(B343,[5]C6_LMA_DIAG!$A$32:$M$32,[5]C6_LMA_DIAG!$A$32:$M$40))</f>
        <v>56398</v>
      </c>
      <c r="N343" s="19">
        <f>HLOOKUP(B343,[6]C6_LMA_DIAG!$B$36:$O$44,3,FALSE)</f>
        <v>41062</v>
      </c>
      <c r="O343" s="20">
        <f>HLOOKUP(B329,[1]C5_LMT_DIAG!$B$37:$O$45,3,FALSE)</f>
        <v>68080</v>
      </c>
      <c r="P343" s="20">
        <v>68461</v>
      </c>
    </row>
    <row r="344" spans="1:16" x14ac:dyDescent="0.3">
      <c r="A344" s="18" t="s">
        <v>68</v>
      </c>
      <c r="B344" s="18" t="s">
        <v>57</v>
      </c>
      <c r="C344" s="18" t="s">
        <v>51</v>
      </c>
      <c r="D344" s="18" t="s">
        <v>52</v>
      </c>
      <c r="E344" s="18" t="s">
        <v>13</v>
      </c>
      <c r="F344" s="18" t="s">
        <v>20</v>
      </c>
      <c r="G344" s="18" t="s">
        <v>1</v>
      </c>
      <c r="H344" s="20"/>
      <c r="I344" s="20"/>
      <c r="J344" s="20"/>
      <c r="K344" s="20"/>
      <c r="L344" s="19" cm="1">
        <f t="array" ref="L344">_xlfn.XLOOKUP(E344,[4]C5_LMA_DIAG!$A$35:$A$43,_xlfn.XLOOKUP(B344,[4]C5_LMA_DIAG!$A$35:$M$35,[4]C5_LMA_DIAG!$A$35:$M$43))</f>
        <v>43895</v>
      </c>
      <c r="M344" s="19" cm="1">
        <f t="array" ref="M344">_xlfn.XLOOKUP(E344,[5]C6_LMA_DIAG!$A$32:$A$40, _xlfn.XLOOKUP(B344,[5]C6_LMA_DIAG!$A$32:$M$32,[5]C6_LMA_DIAG!$A$32:$M$40))</f>
        <v>47550</v>
      </c>
      <c r="N344" s="19">
        <f>HLOOKUP(B344,[6]C6_LMA_DIAG!$B$36:$O$44,3,FALSE)</f>
        <v>24546</v>
      </c>
      <c r="O344" s="20">
        <f>HLOOKUP(B330,[1]C5_LMT_DIAG!$B$37:$O$45,3,FALSE)</f>
        <v>22498</v>
      </c>
      <c r="P344" s="20">
        <v>54619</v>
      </c>
    </row>
    <row r="345" spans="1:16" x14ac:dyDescent="0.3">
      <c r="A345" s="18" t="s">
        <v>68</v>
      </c>
      <c r="B345" s="18" t="s">
        <v>58</v>
      </c>
      <c r="C345" s="18" t="s">
        <v>51</v>
      </c>
      <c r="D345" s="18" t="s">
        <v>52</v>
      </c>
      <c r="E345" s="18" t="s">
        <v>13</v>
      </c>
      <c r="F345" s="18" t="s">
        <v>20</v>
      </c>
      <c r="G345" s="18" t="s">
        <v>1</v>
      </c>
      <c r="H345" s="20"/>
      <c r="I345" s="20"/>
      <c r="J345" s="20"/>
      <c r="K345" s="20"/>
      <c r="L345" s="19" cm="1">
        <f t="array" ref="L345">_xlfn.XLOOKUP(E345,[4]C5_LMA_DIAG!$A$35:$A$43,_xlfn.XLOOKUP(B345,[4]C5_LMA_DIAG!$A$35:$M$35,[4]C5_LMA_DIAG!$A$35:$M$43))</f>
        <v>29912</v>
      </c>
      <c r="M345" s="19" cm="1">
        <f t="array" ref="M345">_xlfn.XLOOKUP(E345,[5]C6_LMA_DIAG!$A$32:$A$40, _xlfn.XLOOKUP(B345,[5]C6_LMA_DIAG!$A$32:$M$32,[5]C6_LMA_DIAG!$A$32:$M$40))</f>
        <v>32168</v>
      </c>
      <c r="N345" s="19">
        <f>HLOOKUP(B345,[6]C6_LMA_DIAG!$B$36:$O$44,3,FALSE)</f>
        <v>23831</v>
      </c>
      <c r="O345" s="20">
        <f>HLOOKUP(B331,[1]C5_LMT_DIAG!$B$37:$O$45,3,FALSE)</f>
        <v>36342</v>
      </c>
      <c r="P345" s="20">
        <v>38304</v>
      </c>
    </row>
    <row r="346" spans="1:16" x14ac:dyDescent="0.3">
      <c r="A346" s="18" t="s">
        <v>68</v>
      </c>
      <c r="B346" s="18" t="s">
        <v>59</v>
      </c>
      <c r="C346" s="18" t="s">
        <v>51</v>
      </c>
      <c r="D346" s="18" t="s">
        <v>52</v>
      </c>
      <c r="E346" s="18" t="s">
        <v>13</v>
      </c>
      <c r="F346" s="18" t="s">
        <v>20</v>
      </c>
      <c r="G346" s="18" t="s">
        <v>1</v>
      </c>
      <c r="H346" s="20"/>
      <c r="I346" s="20"/>
      <c r="J346" s="20"/>
      <c r="K346" s="20"/>
      <c r="L346" s="19" cm="1">
        <f t="array" ref="L346">_xlfn.XLOOKUP(E346,[4]C5_LMA_DIAG!$A$35:$A$43,_xlfn.XLOOKUP(B346,[4]C5_LMA_DIAG!$A$35:$M$35,[4]C5_LMA_DIAG!$A$35:$M$43))</f>
        <v>30194</v>
      </c>
      <c r="M346" s="19" cm="1">
        <f t="array" ref="M346">_xlfn.XLOOKUP(E346,[5]C6_LMA_DIAG!$A$32:$A$40, _xlfn.XLOOKUP(B346,[5]C6_LMA_DIAG!$A$32:$M$32,[5]C6_LMA_DIAG!$A$32:$M$40))</f>
        <v>30758</v>
      </c>
      <c r="N346" s="19">
        <f>HLOOKUP(B346,[6]C6_LMA_DIAG!$B$36:$O$44,3,FALSE)</f>
        <v>17501</v>
      </c>
      <c r="O346" s="20">
        <f>HLOOKUP(B332,[1]C5_LMT_DIAG!$B$37:$O$45,3,FALSE)</f>
        <v>17461</v>
      </c>
      <c r="P346" s="20">
        <v>23923</v>
      </c>
    </row>
    <row r="347" spans="1:16" x14ac:dyDescent="0.3">
      <c r="A347" s="18" t="s">
        <v>68</v>
      </c>
      <c r="B347" s="18" t="s">
        <v>60</v>
      </c>
      <c r="C347" s="18" t="s">
        <v>51</v>
      </c>
      <c r="D347" s="18" t="s">
        <v>52</v>
      </c>
      <c r="E347" s="18" t="s">
        <v>13</v>
      </c>
      <c r="F347" s="18" t="s">
        <v>20</v>
      </c>
      <c r="G347" s="18" t="s">
        <v>1</v>
      </c>
      <c r="H347" s="20"/>
      <c r="I347" s="20"/>
      <c r="J347" s="20"/>
      <c r="K347" s="20"/>
      <c r="L347" s="19" cm="1">
        <f t="array" ref="L347">_xlfn.XLOOKUP(E347,[4]C5_LMA_DIAG!$A$35:$A$43,_xlfn.XLOOKUP(B347,[4]C5_LMA_DIAG!$A$35:$M$35,[4]C5_LMA_DIAG!$A$35:$M$43))</f>
        <v>15916</v>
      </c>
      <c r="M347" s="19" cm="1">
        <f t="array" ref="M347">_xlfn.XLOOKUP(E347,[5]C6_LMA_DIAG!$A$32:$A$40, _xlfn.XLOOKUP(B347,[5]C6_LMA_DIAG!$A$32:$M$32,[5]C6_LMA_DIAG!$A$32:$M$40))</f>
        <v>18567</v>
      </c>
      <c r="N347" s="19">
        <f>HLOOKUP(B347,[6]C6_LMA_DIAG!$B$36:$O$44,3,FALSE)</f>
        <v>11918</v>
      </c>
      <c r="O347" s="20">
        <f>HLOOKUP(B333,[1]C5_LMT_DIAG!$B$37:$O$45,3,FALSE)</f>
        <v>17684</v>
      </c>
      <c r="P347" s="20">
        <v>20548</v>
      </c>
    </row>
    <row r="348" spans="1:16" x14ac:dyDescent="0.3">
      <c r="A348" s="18" t="s">
        <v>68</v>
      </c>
      <c r="B348" s="18" t="s">
        <v>61</v>
      </c>
      <c r="C348" s="18" t="s">
        <v>51</v>
      </c>
      <c r="D348" s="18" t="s">
        <v>52</v>
      </c>
      <c r="E348" s="18" t="s">
        <v>13</v>
      </c>
      <c r="F348" s="18" t="s">
        <v>20</v>
      </c>
      <c r="G348" s="18" t="s">
        <v>1</v>
      </c>
      <c r="H348" s="20"/>
      <c r="I348" s="20"/>
      <c r="J348" s="20"/>
      <c r="K348" s="20"/>
      <c r="L348" s="19" cm="1">
        <f t="array" ref="L348">_xlfn.XLOOKUP(E348,[4]C5_LMA_DIAG!$A$35:$A$43,_xlfn.XLOOKUP(B348,[4]C5_LMA_DIAG!$A$35:$M$35,[4]C5_LMA_DIAG!$A$35:$M$43))</f>
        <v>18848</v>
      </c>
      <c r="M348" s="19" cm="1">
        <f t="array" ref="M348">_xlfn.XLOOKUP(E348,[5]C6_LMA_DIAG!$A$32:$A$40, _xlfn.XLOOKUP(B348,[5]C6_LMA_DIAG!$A$32:$M$32,[5]C6_LMA_DIAG!$A$32:$M$40))</f>
        <v>17724</v>
      </c>
      <c r="N348" s="19">
        <f>HLOOKUP(B348,[6]C6_LMA_DIAG!$B$36:$O$44,3,FALSE)</f>
        <v>13089</v>
      </c>
      <c r="O348" s="20">
        <f>HLOOKUP(B334,[1]C5_LMT_DIAG!$B$37:$O$45,3,FALSE)</f>
        <v>12581</v>
      </c>
      <c r="P348" s="20">
        <v>14135</v>
      </c>
    </row>
    <row r="349" spans="1:16" x14ac:dyDescent="0.3">
      <c r="A349" s="18" t="s">
        <v>68</v>
      </c>
      <c r="B349" s="18" t="s">
        <v>62</v>
      </c>
      <c r="C349" s="18" t="s">
        <v>51</v>
      </c>
      <c r="D349" s="18" t="s">
        <v>52</v>
      </c>
      <c r="E349" s="18" t="s">
        <v>13</v>
      </c>
      <c r="F349" s="18" t="s">
        <v>20</v>
      </c>
      <c r="G349" s="18" t="s">
        <v>1</v>
      </c>
      <c r="H349" s="20"/>
      <c r="I349" s="20"/>
      <c r="J349" s="20"/>
      <c r="K349" s="20"/>
      <c r="L349" s="19" cm="1">
        <f t="array" ref="L349">_xlfn.XLOOKUP(E349,[4]C5_LMA_DIAG!$A$35:$A$43,_xlfn.XLOOKUP(B349,[4]C5_LMA_DIAG!$A$35:$M$35,[4]C5_LMA_DIAG!$A$35:$M$43))</f>
        <v>9385</v>
      </c>
      <c r="M349" s="19" cm="1">
        <f t="array" ref="M349">_xlfn.XLOOKUP(E349,[5]C6_LMA_DIAG!$A$32:$A$40, _xlfn.XLOOKUP(B349,[5]C6_LMA_DIAG!$A$32:$M$32,[5]C6_LMA_DIAG!$A$32:$M$40))</f>
        <v>9071</v>
      </c>
      <c r="N349" s="19">
        <f>HLOOKUP(B349,[6]C6_LMA_DIAG!$B$36:$O$44,3,FALSE)</f>
        <v>5467</v>
      </c>
      <c r="O349" s="20">
        <f>HLOOKUP(B335,[1]C5_LMT_DIAG!$B$37:$O$45,3,FALSE)</f>
        <v>7290</v>
      </c>
      <c r="P349" s="20">
        <v>8213</v>
      </c>
    </row>
    <row r="350" spans="1:16" x14ac:dyDescent="0.3">
      <c r="A350" s="18" t="s">
        <v>68</v>
      </c>
      <c r="B350" s="18" t="s">
        <v>63</v>
      </c>
      <c r="C350" s="18" t="s">
        <v>51</v>
      </c>
      <c r="D350" s="18" t="s">
        <v>52</v>
      </c>
      <c r="E350" s="18" t="s">
        <v>13</v>
      </c>
      <c r="F350" s="18" t="s">
        <v>20</v>
      </c>
      <c r="G350" s="18" t="s">
        <v>1</v>
      </c>
      <c r="H350" s="20"/>
      <c r="I350" s="20"/>
      <c r="J350" s="20"/>
      <c r="K350" s="20"/>
      <c r="L350" s="19" cm="1">
        <f t="array" ref="L350">_xlfn.XLOOKUP(E350,[4]C5_LMA_DIAG!$A$35:$A$43,_xlfn.XLOOKUP(B350,[4]C5_LMA_DIAG!$A$35:$M$35,[4]C5_LMA_DIAG!$A$35:$M$43))</f>
        <v>1329</v>
      </c>
      <c r="M350" s="19" cm="1">
        <f t="array" ref="M350">_xlfn.XLOOKUP(E350,[5]C6_LMA_DIAG!$A$32:$A$40, _xlfn.XLOOKUP(B350,[5]C6_LMA_DIAG!$A$32:$M$32,[5]C6_LMA_DIAG!$A$32:$M$40))</f>
        <v>1416</v>
      </c>
      <c r="N350" s="19">
        <f>HLOOKUP(B350,[6]C6_LMA_DIAG!$B$36:$O$44,3,FALSE)</f>
        <v>1049</v>
      </c>
      <c r="O350" s="20">
        <f>HLOOKUP(B336,[1]C5_LMT_DIAG!$B$37:$O$45,3,FALSE)</f>
        <v>1416</v>
      </c>
      <c r="P350" s="20">
        <v>1420</v>
      </c>
    </row>
    <row r="351" spans="1:16" x14ac:dyDescent="0.3">
      <c r="A351" s="18" t="s">
        <v>68</v>
      </c>
      <c r="B351" s="18" t="s">
        <v>64</v>
      </c>
      <c r="C351" s="18" t="s">
        <v>51</v>
      </c>
      <c r="D351" s="18" t="s">
        <v>52</v>
      </c>
      <c r="E351" s="18" t="s">
        <v>13</v>
      </c>
      <c r="F351" s="18" t="s">
        <v>20</v>
      </c>
      <c r="G351" s="18" t="s">
        <v>1</v>
      </c>
      <c r="H351" s="20"/>
      <c r="I351" s="20"/>
      <c r="J351" s="20"/>
      <c r="K351" s="20"/>
      <c r="L351" s="19" cm="1">
        <f t="array" ref="L351">_xlfn.XLOOKUP(E351,[4]C5_LMA_DIAG!$A$35:$A$43,_xlfn.XLOOKUP(B351,[4]C5_LMA_DIAG!$A$35:$M$35,[4]C5_LMA_DIAG!$A$35:$M$43))</f>
        <v>1650</v>
      </c>
      <c r="M351" s="19" cm="1">
        <f t="array" ref="M351">_xlfn.XLOOKUP(E351,[5]C6_LMA_DIAG!$A$32:$A$40, _xlfn.XLOOKUP(B351,[5]C6_LMA_DIAG!$A$32:$M$32,[5]C6_LMA_DIAG!$A$32:$M$40))</f>
        <v>1690</v>
      </c>
      <c r="N351" s="19">
        <f>HLOOKUP(B351,[6]C6_LMA_DIAG!$B$36:$O$44,3,FALSE)</f>
        <v>1256</v>
      </c>
      <c r="O351" s="20">
        <f>HLOOKUP(B337,[1]C5_LMT_DIAG!$B$37:$O$45,3,FALSE)</f>
        <v>1561</v>
      </c>
      <c r="P351" s="20">
        <v>1636</v>
      </c>
    </row>
    <row r="352" spans="1:16" x14ac:dyDescent="0.3">
      <c r="A352" s="18" t="s">
        <v>68</v>
      </c>
      <c r="B352" s="18" t="s">
        <v>70</v>
      </c>
      <c r="C352" s="18" t="s">
        <v>51</v>
      </c>
      <c r="D352" s="18" t="s">
        <v>52</v>
      </c>
      <c r="E352" s="18" t="s">
        <v>13</v>
      </c>
      <c r="F352" s="18" t="s">
        <v>20</v>
      </c>
      <c r="G352" s="18" t="s">
        <v>1</v>
      </c>
      <c r="H352" s="20"/>
      <c r="I352" s="20"/>
      <c r="J352" s="20"/>
      <c r="K352" s="20"/>
      <c r="L352" s="19">
        <v>0</v>
      </c>
      <c r="M352" s="19">
        <v>0</v>
      </c>
      <c r="N352" s="19">
        <f>HLOOKUP(B352,[6]C6_LMA_DIAG!$B$36:$O$44,3,FALSE)</f>
        <v>70770</v>
      </c>
      <c r="O352" s="20">
        <f>HLOOKUP(B338,[1]C5_LMT_DIAG!$B$37:$O$45,3,FALSE)</f>
        <v>163572</v>
      </c>
      <c r="P352" s="20">
        <v>123347</v>
      </c>
    </row>
    <row r="353" spans="1:16" x14ac:dyDescent="0.3">
      <c r="A353" s="18"/>
      <c r="B353" s="18" t="s">
        <v>71</v>
      </c>
      <c r="C353" s="18" t="s">
        <v>51</v>
      </c>
      <c r="D353" s="18" t="s">
        <v>52</v>
      </c>
      <c r="E353" s="18" t="s">
        <v>13</v>
      </c>
      <c r="F353" s="18" t="s">
        <v>20</v>
      </c>
      <c r="G353" s="18" t="s">
        <v>1</v>
      </c>
      <c r="H353" s="20"/>
      <c r="I353" s="20"/>
      <c r="J353" s="20"/>
      <c r="K353" s="20"/>
      <c r="L353" s="19">
        <v>0</v>
      </c>
      <c r="M353" s="19">
        <v>0</v>
      </c>
      <c r="N353" s="19">
        <f>HLOOKUP(B353,[6]C6_LMA_DIAG!$B$36:$O$44,3,FALSE)</f>
        <v>10583</v>
      </c>
      <c r="O353" s="20">
        <f>HLOOKUP(B339,[1]C5_LMT_DIAG!$B$37:$O$45,3,FALSE)</f>
        <v>13129</v>
      </c>
      <c r="P353" s="20">
        <v>0</v>
      </c>
    </row>
    <row r="354" spans="1:16" x14ac:dyDescent="0.3">
      <c r="A354" s="18" t="s">
        <v>68</v>
      </c>
      <c r="B354" s="18" t="s">
        <v>65</v>
      </c>
      <c r="C354" s="18" t="s">
        <v>51</v>
      </c>
      <c r="D354" s="18" t="s">
        <v>52</v>
      </c>
      <c r="E354" s="18" t="s">
        <v>13</v>
      </c>
      <c r="F354" s="18" t="s">
        <v>20</v>
      </c>
      <c r="G354" s="18" t="s">
        <v>1</v>
      </c>
      <c r="H354" s="20"/>
      <c r="I354" s="20"/>
      <c r="J354" s="20"/>
      <c r="K354" s="20"/>
      <c r="L354" s="19" cm="1">
        <f t="array" ref="L354">_xlfn.XLOOKUP(E354,[4]C5_LMA_DIAG!$A$35:$A$43,_xlfn.XLOOKUP(B354,[4]C5_LMA_DIAG!$A$35:$M$35,[4]C5_LMA_DIAG!$A$35:$M$43))</f>
        <v>32406</v>
      </c>
      <c r="M354" s="19" cm="1">
        <f t="array" ref="M354">_xlfn.XLOOKUP(E354,[5]C6_LMA_DIAG!$A$32:$A$40, _xlfn.XLOOKUP(B354,[5]C6_LMA_DIAG!$A$32:$M$32,[5]C6_LMA_DIAG!$A$32:$M$40))</f>
        <v>32841</v>
      </c>
      <c r="N354" s="19">
        <f>HLOOKUP(B354,[6]C6_LMA_DIAG!$B$36:$O$44,3,FALSE)</f>
        <v>23413</v>
      </c>
      <c r="O354" s="20">
        <f>HLOOKUP(B340,[1]C5_LMT_DIAG!$B$37:$O$45,3,FALSE)</f>
        <v>31726</v>
      </c>
      <c r="P354" s="20">
        <v>34546</v>
      </c>
    </row>
    <row r="355" spans="1:16" x14ac:dyDescent="0.3">
      <c r="A355" s="18" t="s">
        <v>68</v>
      </c>
      <c r="B355" s="18" t="s">
        <v>19</v>
      </c>
      <c r="C355" s="18" t="s">
        <v>51</v>
      </c>
      <c r="D355" s="18" t="s">
        <v>52</v>
      </c>
      <c r="E355" s="18" t="s">
        <v>13</v>
      </c>
      <c r="F355" s="18" t="s">
        <v>20</v>
      </c>
      <c r="G355" s="18" t="s">
        <v>1</v>
      </c>
      <c r="H355" s="20"/>
      <c r="I355" s="20"/>
      <c r="J355" s="20"/>
      <c r="K355" s="20"/>
      <c r="L355" s="19" cm="1">
        <f t="array" ref="L355">_xlfn.XLOOKUP(E355,[4]C5_LMA_DIAG!$A$35:$A$43,_xlfn.XLOOKUP(B355,[4]C5_LMA_DIAG!$A$35:$M$35,[4]C5_LMA_DIAG!$A$35:$M$43))</f>
        <v>2</v>
      </c>
      <c r="M355" s="19" cm="1">
        <f t="array" ref="M355">_xlfn.XLOOKUP(E355,[5]C6_LMA_DIAG!$A$32:$A$40, _xlfn.XLOOKUP(B355,[5]C6_LMA_DIAG!$A$32:$M$32,[5]C6_LMA_DIAG!$A$32:$M$40))</f>
        <v>20</v>
      </c>
      <c r="N355" s="19">
        <f>HLOOKUP(B355,[6]C6_LMA_DIAG!$B$36:$O$44,3,FALSE)</f>
        <v>0</v>
      </c>
      <c r="O355" s="20">
        <f>HLOOKUP(B341,[1]C5_LMT_DIAG!$B$37:$O$45,3,FALSE)</f>
        <v>11</v>
      </c>
      <c r="P355" s="20">
        <v>0</v>
      </c>
    </row>
    <row r="356" spans="1:16" x14ac:dyDescent="0.3">
      <c r="A356" s="17" t="s">
        <v>68</v>
      </c>
      <c r="B356" s="17" t="s">
        <v>55</v>
      </c>
      <c r="C356" s="17" t="s">
        <v>51</v>
      </c>
      <c r="D356" s="17" t="s">
        <v>52</v>
      </c>
      <c r="E356" s="17" t="s">
        <v>14</v>
      </c>
      <c r="F356" s="17" t="s">
        <v>20</v>
      </c>
      <c r="G356" s="17" t="s">
        <v>1</v>
      </c>
      <c r="H356" s="19"/>
      <c r="I356" s="19"/>
      <c r="J356" s="19"/>
      <c r="K356" s="19"/>
      <c r="L356" s="19" cm="1">
        <f t="array" ref="L356">_xlfn.XLOOKUP(E356,[4]C5_LMA_DIAG!$A$35:$A$43,_xlfn.XLOOKUP(B356,[4]C5_LMA_DIAG!$A$35:$M$35,[4]C5_LMA_DIAG!$A$35:$M$43))</f>
        <v>318636</v>
      </c>
      <c r="M356" s="19" cm="1">
        <f t="array" ref="M356">_xlfn.XLOOKUP(E356,[5]C6_LMA_DIAG!$A$32:$A$40, _xlfn.XLOOKUP(B356,[5]C6_LMA_DIAG!$A$32:$M$32,[5]C6_LMA_DIAG!$A$32:$M$40))</f>
        <v>363658</v>
      </c>
      <c r="N356" s="19">
        <f>HLOOKUP(B356,[6]C6_LMA_DIAG!$B$36:$O$44,4,FALSE)</f>
        <v>379600</v>
      </c>
      <c r="O356" s="19">
        <f>HLOOKUP(B328,[1]C5_LMT_DIAG!$B$37:$O$45,4,FALSE)</f>
        <v>695717</v>
      </c>
      <c r="P356" s="19">
        <v>756871</v>
      </c>
    </row>
    <row r="357" spans="1:16" x14ac:dyDescent="0.3">
      <c r="A357" s="17" t="s">
        <v>68</v>
      </c>
      <c r="B357" s="17" t="s">
        <v>56</v>
      </c>
      <c r="C357" s="17" t="s">
        <v>51</v>
      </c>
      <c r="D357" s="17" t="s">
        <v>52</v>
      </c>
      <c r="E357" s="17" t="s">
        <v>14</v>
      </c>
      <c r="F357" s="17" t="s">
        <v>20</v>
      </c>
      <c r="G357" s="17" t="s">
        <v>1</v>
      </c>
      <c r="H357" s="19"/>
      <c r="I357" s="19"/>
      <c r="J357" s="19"/>
      <c r="K357" s="19"/>
      <c r="L357" s="19" cm="1">
        <f t="array" ref="L357">_xlfn.XLOOKUP(E357,[4]C5_LMA_DIAG!$A$35:$A$43,_xlfn.XLOOKUP(B357,[4]C5_LMA_DIAG!$A$35:$M$35,[4]C5_LMA_DIAG!$A$35:$M$43))</f>
        <v>208283</v>
      </c>
      <c r="M357" s="19" cm="1">
        <f t="array" ref="M357">_xlfn.XLOOKUP(E357,[5]C6_LMA_DIAG!$A$32:$A$40, _xlfn.XLOOKUP(B357,[5]C6_LMA_DIAG!$A$32:$M$32,[5]C6_LMA_DIAG!$A$32:$M$40))</f>
        <v>223085</v>
      </c>
      <c r="N357" s="19">
        <f>HLOOKUP(B357,[6]C6_LMA_DIAG!$B$36:$O$44,4,FALSE)</f>
        <v>168408</v>
      </c>
      <c r="O357" s="19">
        <f>HLOOKUP(B329,[1]C5_LMT_DIAG!$B$37:$O$45,4,FALSE)</f>
        <v>271319</v>
      </c>
      <c r="P357" s="19">
        <v>273252</v>
      </c>
    </row>
    <row r="358" spans="1:16" x14ac:dyDescent="0.3">
      <c r="A358" s="17" t="s">
        <v>68</v>
      </c>
      <c r="B358" s="17" t="s">
        <v>57</v>
      </c>
      <c r="C358" s="17" t="s">
        <v>51</v>
      </c>
      <c r="D358" s="17" t="s">
        <v>52</v>
      </c>
      <c r="E358" s="17" t="s">
        <v>14</v>
      </c>
      <c r="F358" s="17" t="s">
        <v>20</v>
      </c>
      <c r="G358" s="17" t="s">
        <v>1</v>
      </c>
      <c r="H358" s="19"/>
      <c r="I358" s="19"/>
      <c r="J358" s="19"/>
      <c r="K358" s="19"/>
      <c r="L358" s="19" cm="1">
        <f t="array" ref="L358">_xlfn.XLOOKUP(E358,[4]C5_LMA_DIAG!$A$35:$A$43,_xlfn.XLOOKUP(B358,[4]C5_LMA_DIAG!$A$35:$M$35,[4]C5_LMA_DIAG!$A$35:$M$43))</f>
        <v>166628</v>
      </c>
      <c r="M358" s="19" cm="1">
        <f t="array" ref="M358">_xlfn.XLOOKUP(E358,[5]C6_LMA_DIAG!$A$32:$A$40, _xlfn.XLOOKUP(B358,[5]C6_LMA_DIAG!$A$32:$M$32,[5]C6_LMA_DIAG!$A$32:$M$40))</f>
        <v>186198</v>
      </c>
      <c r="N358" s="19">
        <f>HLOOKUP(B358,[6]C6_LMA_DIAG!$B$36:$O$44,4,FALSE)</f>
        <v>88508</v>
      </c>
      <c r="O358" s="19">
        <f>HLOOKUP(B330,[1]C5_LMT_DIAG!$B$37:$O$45,4,FALSE)</f>
        <v>80383</v>
      </c>
      <c r="P358" s="19">
        <v>203032</v>
      </c>
    </row>
    <row r="359" spans="1:16" x14ac:dyDescent="0.3">
      <c r="A359" s="17" t="s">
        <v>68</v>
      </c>
      <c r="B359" s="17" t="s">
        <v>58</v>
      </c>
      <c r="C359" s="17" t="s">
        <v>51</v>
      </c>
      <c r="D359" s="17" t="s">
        <v>52</v>
      </c>
      <c r="E359" s="17" t="s">
        <v>14</v>
      </c>
      <c r="F359" s="17" t="s">
        <v>20</v>
      </c>
      <c r="G359" s="17" t="s">
        <v>1</v>
      </c>
      <c r="H359" s="19"/>
      <c r="I359" s="19"/>
      <c r="J359" s="19"/>
      <c r="K359" s="19"/>
      <c r="L359" s="19" cm="1">
        <f t="array" ref="L359">_xlfn.XLOOKUP(E359,[4]C5_LMA_DIAG!$A$35:$A$43,_xlfn.XLOOKUP(B359,[4]C5_LMA_DIAG!$A$35:$M$35,[4]C5_LMA_DIAG!$A$35:$M$43))</f>
        <v>78933</v>
      </c>
      <c r="M359" s="19" cm="1">
        <f t="array" ref="M359">_xlfn.XLOOKUP(E359,[5]C6_LMA_DIAG!$A$32:$A$40, _xlfn.XLOOKUP(B359,[5]C6_LMA_DIAG!$A$32:$M$32,[5]C6_LMA_DIAG!$A$32:$M$40))</f>
        <v>89645</v>
      </c>
      <c r="N359" s="19">
        <f>HLOOKUP(B359,[6]C6_LMA_DIAG!$B$36:$O$44,4,FALSE)</f>
        <v>69423</v>
      </c>
      <c r="O359" s="19">
        <f>HLOOKUP(B331,[1]C5_LMT_DIAG!$B$37:$O$45,4,FALSE)</f>
        <v>102709</v>
      </c>
      <c r="P359" s="19">
        <v>112536</v>
      </c>
    </row>
    <row r="360" spans="1:16" x14ac:dyDescent="0.3">
      <c r="A360" s="17" t="s">
        <v>68</v>
      </c>
      <c r="B360" s="17" t="s">
        <v>59</v>
      </c>
      <c r="C360" s="17" t="s">
        <v>51</v>
      </c>
      <c r="D360" s="17" t="s">
        <v>52</v>
      </c>
      <c r="E360" s="17" t="s">
        <v>14</v>
      </c>
      <c r="F360" s="17" t="s">
        <v>20</v>
      </c>
      <c r="G360" s="17" t="s">
        <v>1</v>
      </c>
      <c r="H360" s="19"/>
      <c r="I360" s="19"/>
      <c r="J360" s="19"/>
      <c r="K360" s="19"/>
      <c r="L360" s="19" cm="1">
        <f t="array" ref="L360">_xlfn.XLOOKUP(E360,[4]C5_LMA_DIAG!$A$35:$A$43,_xlfn.XLOOKUP(B360,[4]C5_LMA_DIAG!$A$35:$M$35,[4]C5_LMA_DIAG!$A$35:$M$43))</f>
        <v>101888</v>
      </c>
      <c r="M360" s="19" cm="1">
        <f t="array" ref="M360">_xlfn.XLOOKUP(E360,[5]C6_LMA_DIAG!$A$32:$A$40, _xlfn.XLOOKUP(B360,[5]C6_LMA_DIAG!$A$32:$M$32,[5]C6_LMA_DIAG!$A$32:$M$40))</f>
        <v>101355</v>
      </c>
      <c r="N360" s="19">
        <f>HLOOKUP(B360,[6]C6_LMA_DIAG!$B$36:$O$44,4,FALSE)</f>
        <v>60359</v>
      </c>
      <c r="O360" s="19">
        <f>HLOOKUP(B332,[1]C5_LMT_DIAG!$B$37:$O$45,4,FALSE)</f>
        <v>59581</v>
      </c>
      <c r="P360" s="19">
        <v>86579</v>
      </c>
    </row>
    <row r="361" spans="1:16" x14ac:dyDescent="0.3">
      <c r="A361" s="17" t="s">
        <v>68</v>
      </c>
      <c r="B361" s="17" t="s">
        <v>60</v>
      </c>
      <c r="C361" s="17" t="s">
        <v>51</v>
      </c>
      <c r="D361" s="17" t="s">
        <v>52</v>
      </c>
      <c r="E361" s="17" t="s">
        <v>14</v>
      </c>
      <c r="F361" s="17" t="s">
        <v>20</v>
      </c>
      <c r="G361" s="17" t="s">
        <v>1</v>
      </c>
      <c r="H361" s="19"/>
      <c r="I361" s="19"/>
      <c r="J361" s="19"/>
      <c r="K361" s="19"/>
      <c r="L361" s="19" cm="1">
        <f t="array" ref="L361">_xlfn.XLOOKUP(E361,[4]C5_LMA_DIAG!$A$35:$A$43,_xlfn.XLOOKUP(B361,[4]C5_LMA_DIAG!$A$35:$M$35,[4]C5_LMA_DIAG!$A$35:$M$43))</f>
        <v>55502</v>
      </c>
      <c r="M361" s="19" cm="1">
        <f t="array" ref="M361">_xlfn.XLOOKUP(E361,[5]C6_LMA_DIAG!$A$32:$A$40, _xlfn.XLOOKUP(B361,[5]C6_LMA_DIAG!$A$32:$M$32,[5]C6_LMA_DIAG!$A$32:$M$40))</f>
        <v>66067</v>
      </c>
      <c r="N361" s="19">
        <f>HLOOKUP(B361,[6]C6_LMA_DIAG!$B$36:$O$44,4,FALSE)</f>
        <v>42538</v>
      </c>
      <c r="O361" s="19">
        <f>HLOOKUP(B333,[1]C5_LMT_DIAG!$B$37:$O$45,4,FALSE)</f>
        <v>61495</v>
      </c>
      <c r="P361" s="19">
        <v>74879</v>
      </c>
    </row>
    <row r="362" spans="1:16" x14ac:dyDescent="0.3">
      <c r="A362" s="17" t="s">
        <v>68</v>
      </c>
      <c r="B362" s="17" t="s">
        <v>61</v>
      </c>
      <c r="C362" s="17" t="s">
        <v>51</v>
      </c>
      <c r="D362" s="17" t="s">
        <v>52</v>
      </c>
      <c r="E362" s="17" t="s">
        <v>14</v>
      </c>
      <c r="F362" s="17" t="s">
        <v>20</v>
      </c>
      <c r="G362" s="17" t="s">
        <v>1</v>
      </c>
      <c r="H362" s="19"/>
      <c r="I362" s="19"/>
      <c r="J362" s="19"/>
      <c r="K362" s="19"/>
      <c r="L362" s="19" cm="1">
        <f t="array" ref="L362">_xlfn.XLOOKUP(E362,[4]C5_LMA_DIAG!$A$35:$A$43,_xlfn.XLOOKUP(B362,[4]C5_LMA_DIAG!$A$35:$M$35,[4]C5_LMA_DIAG!$A$35:$M$43))</f>
        <v>73535</v>
      </c>
      <c r="M362" s="19" cm="1">
        <f t="array" ref="M362">_xlfn.XLOOKUP(E362,[5]C6_LMA_DIAG!$A$32:$A$40, _xlfn.XLOOKUP(B362,[5]C6_LMA_DIAG!$A$32:$M$32,[5]C6_LMA_DIAG!$A$32:$M$40))</f>
        <v>72200</v>
      </c>
      <c r="N362" s="19">
        <f>HLOOKUP(B362,[6]C6_LMA_DIAG!$B$36:$O$44,4,FALSE)</f>
        <v>54554</v>
      </c>
      <c r="O362" s="19">
        <f>HLOOKUP(B334,[1]C5_LMT_DIAG!$B$37:$O$45,4,FALSE)</f>
        <v>57303</v>
      </c>
      <c r="P362" s="19">
        <v>65518</v>
      </c>
    </row>
    <row r="363" spans="1:16" x14ac:dyDescent="0.3">
      <c r="A363" s="17" t="s">
        <v>68</v>
      </c>
      <c r="B363" s="17" t="s">
        <v>62</v>
      </c>
      <c r="C363" s="17" t="s">
        <v>51</v>
      </c>
      <c r="D363" s="17" t="s">
        <v>52</v>
      </c>
      <c r="E363" s="17" t="s">
        <v>14</v>
      </c>
      <c r="F363" s="17" t="s">
        <v>20</v>
      </c>
      <c r="G363" s="17" t="s">
        <v>1</v>
      </c>
      <c r="H363" s="19"/>
      <c r="I363" s="19"/>
      <c r="J363" s="19"/>
      <c r="K363" s="19"/>
      <c r="L363" s="19" cm="1">
        <f t="array" ref="L363">_xlfn.XLOOKUP(E363,[4]C5_LMA_DIAG!$A$35:$A$43,_xlfn.XLOOKUP(B363,[4]C5_LMA_DIAG!$A$35:$M$35,[4]C5_LMA_DIAG!$A$35:$M$43))</f>
        <v>35260</v>
      </c>
      <c r="M363" s="19" cm="1">
        <f t="array" ref="M363">_xlfn.XLOOKUP(E363,[5]C6_LMA_DIAG!$A$32:$A$40, _xlfn.XLOOKUP(B363,[5]C6_LMA_DIAG!$A$32:$M$32,[5]C6_LMA_DIAG!$A$32:$M$40))</f>
        <v>35929</v>
      </c>
      <c r="N363" s="19">
        <f>HLOOKUP(B363,[6]C6_LMA_DIAG!$B$36:$O$44,4,FALSE)</f>
        <v>23205</v>
      </c>
      <c r="O363" s="19">
        <f>HLOOKUP(B335,[1]C5_LMT_DIAG!$B$37:$O$45,4,FALSE)</f>
        <v>31499</v>
      </c>
      <c r="P363" s="19">
        <v>35386</v>
      </c>
    </row>
    <row r="364" spans="1:16" x14ac:dyDescent="0.3">
      <c r="A364" s="17" t="s">
        <v>68</v>
      </c>
      <c r="B364" s="17" t="s">
        <v>63</v>
      </c>
      <c r="C364" s="17" t="s">
        <v>51</v>
      </c>
      <c r="D364" s="17" t="s">
        <v>52</v>
      </c>
      <c r="E364" s="17" t="s">
        <v>14</v>
      </c>
      <c r="F364" s="17" t="s">
        <v>20</v>
      </c>
      <c r="G364" s="17" t="s">
        <v>1</v>
      </c>
      <c r="H364" s="19"/>
      <c r="I364" s="19"/>
      <c r="J364" s="19"/>
      <c r="K364" s="19"/>
      <c r="L364" s="19" cm="1">
        <f t="array" ref="L364">_xlfn.XLOOKUP(E364,[4]C5_LMA_DIAG!$A$35:$A$43,_xlfn.XLOOKUP(B364,[4]C5_LMA_DIAG!$A$35:$M$35,[4]C5_LMA_DIAG!$A$35:$M$43))</f>
        <v>9118</v>
      </c>
      <c r="M364" s="19" cm="1">
        <f t="array" ref="M364">_xlfn.XLOOKUP(E364,[5]C6_LMA_DIAG!$A$32:$A$40, _xlfn.XLOOKUP(B364,[5]C6_LMA_DIAG!$A$32:$M$32,[5]C6_LMA_DIAG!$A$32:$M$40))</f>
        <v>9192</v>
      </c>
      <c r="N364" s="19">
        <f>HLOOKUP(B364,[6]C6_LMA_DIAG!$B$36:$O$44,4,FALSE)</f>
        <v>7922</v>
      </c>
      <c r="O364" s="19">
        <f>HLOOKUP(B336,[1]C5_LMT_DIAG!$B$37:$O$45,4,FALSE)</f>
        <v>10626</v>
      </c>
      <c r="P364" s="19">
        <v>10144</v>
      </c>
    </row>
    <row r="365" spans="1:16" x14ac:dyDescent="0.3">
      <c r="A365" s="17" t="s">
        <v>68</v>
      </c>
      <c r="B365" s="17" t="s">
        <v>64</v>
      </c>
      <c r="C365" s="17" t="s">
        <v>51</v>
      </c>
      <c r="D365" s="17" t="s">
        <v>52</v>
      </c>
      <c r="E365" s="17" t="s">
        <v>14</v>
      </c>
      <c r="F365" s="17" t="s">
        <v>20</v>
      </c>
      <c r="G365" s="17" t="s">
        <v>1</v>
      </c>
      <c r="H365" s="19"/>
      <c r="I365" s="19"/>
      <c r="J365" s="19"/>
      <c r="K365" s="19"/>
      <c r="L365" s="19" cm="1">
        <f t="array" ref="L365">_xlfn.XLOOKUP(E365,[4]C5_LMA_DIAG!$A$35:$A$43,_xlfn.XLOOKUP(B365,[4]C5_LMA_DIAG!$A$35:$M$35,[4]C5_LMA_DIAG!$A$35:$M$43))</f>
        <v>8921</v>
      </c>
      <c r="M365" s="19" cm="1">
        <f t="array" ref="M365">_xlfn.XLOOKUP(E365,[5]C6_LMA_DIAG!$A$32:$A$40, _xlfn.XLOOKUP(B365,[5]C6_LMA_DIAG!$A$32:$M$32,[5]C6_LMA_DIAG!$A$32:$M$40))</f>
        <v>9315</v>
      </c>
      <c r="N365" s="19">
        <f>HLOOKUP(B365,[6]C6_LMA_DIAG!$B$36:$O$44,4,FALSE)</f>
        <v>7867</v>
      </c>
      <c r="O365" s="19">
        <f>HLOOKUP(B337,[1]C5_LMT_DIAG!$B$37:$O$45,4,FALSE)</f>
        <v>10785</v>
      </c>
      <c r="P365" s="19">
        <v>9668</v>
      </c>
    </row>
    <row r="366" spans="1:16" x14ac:dyDescent="0.3">
      <c r="A366" s="17" t="s">
        <v>68</v>
      </c>
      <c r="B366" s="17" t="s">
        <v>70</v>
      </c>
      <c r="C366" s="17" t="s">
        <v>51</v>
      </c>
      <c r="D366" s="17" t="s">
        <v>52</v>
      </c>
      <c r="E366" s="17" t="s">
        <v>14</v>
      </c>
      <c r="F366" s="17" t="s">
        <v>20</v>
      </c>
      <c r="G366" s="17" t="s">
        <v>1</v>
      </c>
      <c r="H366" s="19"/>
      <c r="I366" s="19"/>
      <c r="J366" s="19"/>
      <c r="K366" s="19"/>
      <c r="L366" s="19">
        <v>0</v>
      </c>
      <c r="M366" s="19">
        <v>0</v>
      </c>
      <c r="N366" s="19">
        <f>HLOOKUP(B366,[6]C6_LMA_DIAG!$B$36:$O$44,4,FALSE)</f>
        <v>212127</v>
      </c>
      <c r="O366" s="19">
        <f>HLOOKUP(B338,[1]C5_LMT_DIAG!$B$37:$O$45,4,FALSE)</f>
        <v>446849</v>
      </c>
      <c r="P366" s="19">
        <v>400168</v>
      </c>
    </row>
    <row r="367" spans="1:16" x14ac:dyDescent="0.3">
      <c r="A367" s="17"/>
      <c r="B367" s="17" t="s">
        <v>71</v>
      </c>
      <c r="C367" s="17" t="s">
        <v>51</v>
      </c>
      <c r="D367" s="17" t="s">
        <v>52</v>
      </c>
      <c r="E367" s="17" t="s">
        <v>14</v>
      </c>
      <c r="F367" s="17" t="s">
        <v>20</v>
      </c>
      <c r="G367" s="17" t="s">
        <v>1</v>
      </c>
      <c r="H367" s="19"/>
      <c r="I367" s="19"/>
      <c r="J367" s="19"/>
      <c r="K367" s="19"/>
      <c r="L367" s="19">
        <v>0</v>
      </c>
      <c r="M367" s="19">
        <v>0</v>
      </c>
      <c r="N367" s="19">
        <f>HLOOKUP(B367,[6]C6_LMA_DIAG!$B$36:$O$44,4,FALSE)</f>
        <v>60581</v>
      </c>
      <c r="O367" s="19">
        <f>HLOOKUP(B339,[1]C5_LMT_DIAG!$B$37:$O$45,4,FALSE)</f>
        <v>82376</v>
      </c>
      <c r="P367" s="19">
        <v>0</v>
      </c>
    </row>
    <row r="368" spans="1:16" x14ac:dyDescent="0.3">
      <c r="A368" s="17" t="s">
        <v>68</v>
      </c>
      <c r="B368" s="17" t="s">
        <v>65</v>
      </c>
      <c r="C368" s="17" t="s">
        <v>51</v>
      </c>
      <c r="D368" s="17" t="s">
        <v>52</v>
      </c>
      <c r="E368" s="17" t="s">
        <v>14</v>
      </c>
      <c r="F368" s="17" t="s">
        <v>20</v>
      </c>
      <c r="G368" s="17" t="s">
        <v>1</v>
      </c>
      <c r="H368" s="19"/>
      <c r="I368" s="19"/>
      <c r="J368" s="19"/>
      <c r="K368" s="19"/>
      <c r="L368" s="19" cm="1">
        <f t="array" ref="L368">_xlfn.XLOOKUP(E368,[4]C5_LMA_DIAG!$A$35:$A$43,_xlfn.XLOOKUP(B368,[4]C5_LMA_DIAG!$A$35:$M$35,[4]C5_LMA_DIAG!$A$35:$M$43))</f>
        <v>118244</v>
      </c>
      <c r="M368" s="19" cm="1">
        <f t="array" ref="M368">_xlfn.XLOOKUP(E368,[5]C6_LMA_DIAG!$A$32:$A$40, _xlfn.XLOOKUP(B368,[5]C6_LMA_DIAG!$A$32:$M$32,[5]C6_LMA_DIAG!$A$32:$M$40))</f>
        <v>124008</v>
      </c>
      <c r="N368" s="19">
        <f>HLOOKUP(B368,[6]C6_LMA_DIAG!$B$36:$O$44,4,FALSE)</f>
        <v>92585</v>
      </c>
      <c r="O368" s="19">
        <f>HLOOKUP(B340,[1]C5_LMT_DIAG!$B$37:$O$45,4,FALSE)</f>
        <v>125924</v>
      </c>
      <c r="P368" s="19">
        <v>140482</v>
      </c>
    </row>
    <row r="369" spans="1:16" x14ac:dyDescent="0.3">
      <c r="A369" s="17" t="s">
        <v>68</v>
      </c>
      <c r="B369" s="17" t="s">
        <v>19</v>
      </c>
      <c r="C369" s="17" t="s">
        <v>51</v>
      </c>
      <c r="D369" s="17" t="s">
        <v>52</v>
      </c>
      <c r="E369" s="17" t="s">
        <v>14</v>
      </c>
      <c r="F369" s="17" t="s">
        <v>20</v>
      </c>
      <c r="G369" s="17" t="s">
        <v>1</v>
      </c>
      <c r="H369" s="19"/>
      <c r="I369" s="19"/>
      <c r="J369" s="19"/>
      <c r="K369" s="19"/>
      <c r="L369" s="19" cm="1">
        <f t="array" ref="L369">_xlfn.XLOOKUP(E369,[4]C5_LMA_DIAG!$A$35:$A$43,_xlfn.XLOOKUP(B369,[4]C5_LMA_DIAG!$A$35:$M$35,[4]C5_LMA_DIAG!$A$35:$M$43))</f>
        <v>14</v>
      </c>
      <c r="M369" s="19" cm="1">
        <f t="array" ref="M369">_xlfn.XLOOKUP(E369,[5]C6_LMA_DIAG!$A$32:$A$40, _xlfn.XLOOKUP(B369,[5]C6_LMA_DIAG!$A$32:$M$32,[5]C6_LMA_DIAG!$A$32:$M$40))</f>
        <v>25</v>
      </c>
      <c r="N369" s="19">
        <f>HLOOKUP(B369,[6]C6_LMA_DIAG!$B$36:$O$44,4,FALSE)</f>
        <v>0</v>
      </c>
      <c r="O369" s="19">
        <f>HLOOKUP(B341,[1]C5_LMT_DIAG!$B$37:$O$45,4,FALSE)</f>
        <v>84</v>
      </c>
      <c r="P369" s="19">
        <v>0</v>
      </c>
    </row>
    <row r="370" spans="1:16" x14ac:dyDescent="0.3">
      <c r="A370" s="18" t="s">
        <v>68</v>
      </c>
      <c r="B370" s="18" t="s">
        <v>55</v>
      </c>
      <c r="C370" s="18" t="s">
        <v>51</v>
      </c>
      <c r="D370" s="18" t="s">
        <v>52</v>
      </c>
      <c r="E370" s="18" t="s">
        <v>15</v>
      </c>
      <c r="F370" s="18" t="s">
        <v>20</v>
      </c>
      <c r="G370" s="18" t="s">
        <v>1</v>
      </c>
      <c r="H370" s="20"/>
      <c r="I370" s="20"/>
      <c r="J370" s="20"/>
      <c r="K370" s="20"/>
      <c r="L370" s="19" cm="1">
        <f t="array" ref="L370">_xlfn.XLOOKUP(E370,[4]C5_LMA_DIAG!$A$35:$A$43,_xlfn.XLOOKUP(B370,[4]C5_LMA_DIAG!$A$35:$M$35,[4]C5_LMA_DIAG!$A$35:$M$43))</f>
        <v>242676</v>
      </c>
      <c r="M370" s="19" cm="1">
        <f t="array" ref="M370">_xlfn.XLOOKUP(E370,[5]C6_LMA_DIAG!$A$32:$A$40, _xlfn.XLOOKUP(B370,[5]C6_LMA_DIAG!$A$32:$M$32,[5]C6_LMA_DIAG!$A$32:$M$40))</f>
        <v>271036</v>
      </c>
      <c r="N370" s="19">
        <f>HLOOKUP(B370,[6]C6_LMA_DIAG!$B$36:$O$44,5,FALSE)</f>
        <v>289455</v>
      </c>
      <c r="O370" s="20">
        <f>HLOOKUP(B328,[1]C5_LMT_DIAG!$B$37:$O$45,5,FALSE)</f>
        <v>534159</v>
      </c>
      <c r="P370" s="20">
        <v>556878</v>
      </c>
    </row>
    <row r="371" spans="1:16" x14ac:dyDescent="0.3">
      <c r="A371" s="18" t="s">
        <v>68</v>
      </c>
      <c r="B371" s="18" t="s">
        <v>56</v>
      </c>
      <c r="C371" s="18" t="s">
        <v>51</v>
      </c>
      <c r="D371" s="18" t="s">
        <v>52</v>
      </c>
      <c r="E371" s="18" t="s">
        <v>15</v>
      </c>
      <c r="F371" s="18" t="s">
        <v>20</v>
      </c>
      <c r="G371" s="18" t="s">
        <v>1</v>
      </c>
      <c r="H371" s="20"/>
      <c r="I371" s="20"/>
      <c r="J371" s="20"/>
      <c r="K371" s="20"/>
      <c r="L371" s="19" cm="1">
        <f t="array" ref="L371">_xlfn.XLOOKUP(E371,[4]C5_LMA_DIAG!$A$35:$A$43,_xlfn.XLOOKUP(B371,[4]C5_LMA_DIAG!$A$35:$M$35,[4]C5_LMA_DIAG!$A$35:$M$43))</f>
        <v>205841</v>
      </c>
      <c r="M371" s="19" cm="1">
        <f t="array" ref="M371">_xlfn.XLOOKUP(E371,[5]C6_LMA_DIAG!$A$32:$A$40, _xlfn.XLOOKUP(B371,[5]C6_LMA_DIAG!$A$32:$M$32,[5]C6_LMA_DIAG!$A$32:$M$40))</f>
        <v>216298</v>
      </c>
      <c r="N371" s="19">
        <f>HLOOKUP(B371,[6]C6_LMA_DIAG!$B$36:$O$44,5,FALSE)</f>
        <v>173307</v>
      </c>
      <c r="O371" s="20">
        <f>HLOOKUP(B329,[1]C5_LMT_DIAG!$B$37:$O$45,5,FALSE)</f>
        <v>279197</v>
      </c>
      <c r="P371" s="20">
        <v>272761</v>
      </c>
    </row>
    <row r="372" spans="1:16" x14ac:dyDescent="0.3">
      <c r="A372" s="18" t="s">
        <v>68</v>
      </c>
      <c r="B372" s="18" t="s">
        <v>57</v>
      </c>
      <c r="C372" s="18" t="s">
        <v>51</v>
      </c>
      <c r="D372" s="18" t="s">
        <v>52</v>
      </c>
      <c r="E372" s="18" t="s">
        <v>15</v>
      </c>
      <c r="F372" s="18" t="s">
        <v>20</v>
      </c>
      <c r="G372" s="18" t="s">
        <v>1</v>
      </c>
      <c r="H372" s="20"/>
      <c r="I372" s="20"/>
      <c r="J372" s="20"/>
      <c r="K372" s="20"/>
      <c r="L372" s="19" cm="1">
        <f t="array" ref="L372">_xlfn.XLOOKUP(E372,[4]C5_LMA_DIAG!$A$35:$A$43,_xlfn.XLOOKUP(B372,[4]C5_LMA_DIAG!$A$35:$M$35,[4]C5_LMA_DIAG!$A$35:$M$43))</f>
        <v>125454</v>
      </c>
      <c r="M372" s="19" cm="1">
        <f t="array" ref="M372">_xlfn.XLOOKUP(E372,[5]C6_LMA_DIAG!$A$32:$A$40, _xlfn.XLOOKUP(B372,[5]C6_LMA_DIAG!$A$32:$M$32,[5]C6_LMA_DIAG!$A$32:$M$40))</f>
        <v>135255</v>
      </c>
      <c r="N372" s="19">
        <f>HLOOKUP(B372,[6]C6_LMA_DIAG!$B$36:$O$44,5,FALSE)</f>
        <v>67285</v>
      </c>
      <c r="O372" s="20">
        <f>HLOOKUP(B330,[1]C5_LMT_DIAG!$B$37:$O$45,5,FALSE)</f>
        <v>61242</v>
      </c>
      <c r="P372" s="20">
        <v>146227</v>
      </c>
    </row>
    <row r="373" spans="1:16" x14ac:dyDescent="0.3">
      <c r="A373" s="18" t="s">
        <v>68</v>
      </c>
      <c r="B373" s="18" t="s">
        <v>58</v>
      </c>
      <c r="C373" s="18" t="s">
        <v>51</v>
      </c>
      <c r="D373" s="18" t="s">
        <v>52</v>
      </c>
      <c r="E373" s="18" t="s">
        <v>15</v>
      </c>
      <c r="F373" s="18" t="s">
        <v>20</v>
      </c>
      <c r="G373" s="18" t="s">
        <v>1</v>
      </c>
      <c r="H373" s="20"/>
      <c r="I373" s="20"/>
      <c r="J373" s="20"/>
      <c r="K373" s="20"/>
      <c r="L373" s="19" cm="1">
        <f t="array" ref="L373">_xlfn.XLOOKUP(E373,[4]C5_LMA_DIAG!$A$35:$A$43,_xlfn.XLOOKUP(B373,[4]C5_LMA_DIAG!$A$35:$M$35,[4]C5_LMA_DIAG!$A$35:$M$43))</f>
        <v>63005</v>
      </c>
      <c r="M373" s="19" cm="1">
        <f t="array" ref="M373">_xlfn.XLOOKUP(E373,[5]C6_LMA_DIAG!$A$32:$A$40, _xlfn.XLOOKUP(B373,[5]C6_LMA_DIAG!$A$32:$M$32,[5]C6_LMA_DIAG!$A$32:$M$40))</f>
        <v>69881</v>
      </c>
      <c r="N373" s="19">
        <f>HLOOKUP(B373,[6]C6_LMA_DIAG!$B$36:$O$44,5,FALSE)</f>
        <v>56332</v>
      </c>
      <c r="O373" s="20">
        <f>HLOOKUP(B331,[1]C5_LMT_DIAG!$B$37:$O$45,5,FALSE)</f>
        <v>80062</v>
      </c>
      <c r="P373" s="20">
        <v>87901</v>
      </c>
    </row>
    <row r="374" spans="1:16" x14ac:dyDescent="0.3">
      <c r="A374" s="18" t="s">
        <v>68</v>
      </c>
      <c r="B374" s="18" t="s">
        <v>59</v>
      </c>
      <c r="C374" s="18" t="s">
        <v>51</v>
      </c>
      <c r="D374" s="18" t="s">
        <v>52</v>
      </c>
      <c r="E374" s="18" t="s">
        <v>15</v>
      </c>
      <c r="F374" s="18" t="s">
        <v>20</v>
      </c>
      <c r="G374" s="18" t="s">
        <v>1</v>
      </c>
      <c r="H374" s="20"/>
      <c r="I374" s="20"/>
      <c r="J374" s="20"/>
      <c r="K374" s="20"/>
      <c r="L374" s="19" cm="1">
        <f t="array" ref="L374">_xlfn.XLOOKUP(E374,[4]C5_LMA_DIAG!$A$35:$A$43,_xlfn.XLOOKUP(B374,[4]C5_LMA_DIAG!$A$35:$M$35,[4]C5_LMA_DIAG!$A$35:$M$43))</f>
        <v>58159</v>
      </c>
      <c r="M374" s="19" cm="1">
        <f t="array" ref="M374">_xlfn.XLOOKUP(E374,[5]C6_LMA_DIAG!$A$32:$A$40, _xlfn.XLOOKUP(B374,[5]C6_LMA_DIAG!$A$32:$M$32,[5]C6_LMA_DIAG!$A$32:$M$40))</f>
        <v>57554</v>
      </c>
      <c r="N374" s="19">
        <f>HLOOKUP(B374,[6]C6_LMA_DIAG!$B$36:$O$44,5,FALSE)</f>
        <v>36669</v>
      </c>
      <c r="O374" s="20">
        <f>HLOOKUP(B332,[1]C5_LMT_DIAG!$B$37:$O$45,5,FALSE)</f>
        <v>35629</v>
      </c>
      <c r="P374" s="20">
        <v>51260</v>
      </c>
    </row>
    <row r="375" spans="1:16" x14ac:dyDescent="0.3">
      <c r="A375" s="18" t="s">
        <v>68</v>
      </c>
      <c r="B375" s="18" t="s">
        <v>60</v>
      </c>
      <c r="C375" s="18" t="s">
        <v>51</v>
      </c>
      <c r="D375" s="18" t="s">
        <v>52</v>
      </c>
      <c r="E375" s="18" t="s">
        <v>15</v>
      </c>
      <c r="F375" s="18" t="s">
        <v>20</v>
      </c>
      <c r="G375" s="18" t="s">
        <v>1</v>
      </c>
      <c r="H375" s="20"/>
      <c r="I375" s="20"/>
      <c r="J375" s="20"/>
      <c r="K375" s="20"/>
      <c r="L375" s="19" cm="1">
        <f t="array" ref="L375">_xlfn.XLOOKUP(E375,[4]C5_LMA_DIAG!$A$35:$A$43,_xlfn.XLOOKUP(B375,[4]C5_LMA_DIAG!$A$35:$M$35,[4]C5_LMA_DIAG!$A$35:$M$43))</f>
        <v>44224</v>
      </c>
      <c r="M375" s="19" cm="1">
        <f t="array" ref="M375">_xlfn.XLOOKUP(E375,[5]C6_LMA_DIAG!$A$32:$A$40, _xlfn.XLOOKUP(B375,[5]C6_LMA_DIAG!$A$32:$M$32,[5]C6_LMA_DIAG!$A$32:$M$40))</f>
        <v>50628</v>
      </c>
      <c r="N375" s="19">
        <f>HLOOKUP(B375,[6]C6_LMA_DIAG!$B$36:$O$44,5,FALSE)</f>
        <v>33682</v>
      </c>
      <c r="O375" s="20">
        <f>HLOOKUP(B333,[1]C5_LMT_DIAG!$B$37:$O$45,5,FALSE)</f>
        <v>48768</v>
      </c>
      <c r="P375" s="20">
        <v>59354</v>
      </c>
    </row>
    <row r="376" spans="1:16" x14ac:dyDescent="0.3">
      <c r="A376" s="18" t="s">
        <v>68</v>
      </c>
      <c r="B376" s="18" t="s">
        <v>61</v>
      </c>
      <c r="C376" s="18" t="s">
        <v>51</v>
      </c>
      <c r="D376" s="18" t="s">
        <v>52</v>
      </c>
      <c r="E376" s="18" t="s">
        <v>15</v>
      </c>
      <c r="F376" s="18" t="s">
        <v>20</v>
      </c>
      <c r="G376" s="18" t="s">
        <v>1</v>
      </c>
      <c r="H376" s="20"/>
      <c r="I376" s="20"/>
      <c r="J376" s="20"/>
      <c r="K376" s="20"/>
      <c r="L376" s="19" cm="1">
        <f t="array" ref="L376">_xlfn.XLOOKUP(E376,[4]C5_LMA_DIAG!$A$35:$A$43,_xlfn.XLOOKUP(B376,[4]C5_LMA_DIAG!$A$35:$M$35,[4]C5_LMA_DIAG!$A$35:$M$43))</f>
        <v>27993</v>
      </c>
      <c r="M376" s="19" cm="1">
        <f t="array" ref="M376">_xlfn.XLOOKUP(E376,[5]C6_LMA_DIAG!$A$32:$A$40, _xlfn.XLOOKUP(B376,[5]C6_LMA_DIAG!$A$32:$M$32,[5]C6_LMA_DIAG!$A$32:$M$40))</f>
        <v>26067</v>
      </c>
      <c r="N376" s="19">
        <f>HLOOKUP(B376,[6]C6_LMA_DIAG!$B$36:$O$44,5,FALSE)</f>
        <v>20588</v>
      </c>
      <c r="O376" s="20">
        <f>HLOOKUP(B334,[1]C5_LMT_DIAG!$B$37:$O$45,5,FALSE)</f>
        <v>21511</v>
      </c>
      <c r="P376" s="20">
        <v>25183</v>
      </c>
    </row>
    <row r="377" spans="1:16" x14ac:dyDescent="0.3">
      <c r="A377" s="18" t="s">
        <v>68</v>
      </c>
      <c r="B377" s="18" t="s">
        <v>62</v>
      </c>
      <c r="C377" s="18" t="s">
        <v>51</v>
      </c>
      <c r="D377" s="18" t="s">
        <v>52</v>
      </c>
      <c r="E377" s="18" t="s">
        <v>15</v>
      </c>
      <c r="F377" s="18" t="s">
        <v>20</v>
      </c>
      <c r="G377" s="18" t="s">
        <v>1</v>
      </c>
      <c r="H377" s="20"/>
      <c r="I377" s="20"/>
      <c r="J377" s="20"/>
      <c r="K377" s="20"/>
      <c r="L377" s="19" cm="1">
        <f t="array" ref="L377">_xlfn.XLOOKUP(E377,[4]C5_LMA_DIAG!$A$35:$A$43,_xlfn.XLOOKUP(B377,[4]C5_LMA_DIAG!$A$35:$M$35,[4]C5_LMA_DIAG!$A$35:$M$43))</f>
        <v>31487</v>
      </c>
      <c r="M377" s="19" cm="1">
        <f t="array" ref="M377">_xlfn.XLOOKUP(E377,[5]C6_LMA_DIAG!$A$32:$A$40, _xlfn.XLOOKUP(B377,[5]C6_LMA_DIAG!$A$32:$M$32,[5]C6_LMA_DIAG!$A$32:$M$40))</f>
        <v>31685</v>
      </c>
      <c r="N377" s="19">
        <f>HLOOKUP(B377,[6]C6_LMA_DIAG!$B$36:$O$44,5,FALSE)</f>
        <v>21785</v>
      </c>
      <c r="O377" s="20">
        <f>HLOOKUP(B335,[1]C5_LMT_DIAG!$B$37:$O$45,5,FALSE)</f>
        <v>29593</v>
      </c>
      <c r="P377" s="20">
        <v>33382</v>
      </c>
    </row>
    <row r="378" spans="1:16" x14ac:dyDescent="0.3">
      <c r="A378" s="18" t="s">
        <v>68</v>
      </c>
      <c r="B378" s="18" t="s">
        <v>63</v>
      </c>
      <c r="C378" s="18" t="s">
        <v>51</v>
      </c>
      <c r="D378" s="18" t="s">
        <v>52</v>
      </c>
      <c r="E378" s="18" t="s">
        <v>15</v>
      </c>
      <c r="F378" s="18" t="s">
        <v>20</v>
      </c>
      <c r="G378" s="18" t="s">
        <v>1</v>
      </c>
      <c r="H378" s="20"/>
      <c r="I378" s="20"/>
      <c r="J378" s="20"/>
      <c r="K378" s="20"/>
      <c r="L378" s="19" cm="1">
        <f t="array" ref="L378">_xlfn.XLOOKUP(E378,[4]C5_LMA_DIAG!$A$35:$A$43,_xlfn.XLOOKUP(B378,[4]C5_LMA_DIAG!$A$35:$M$35,[4]C5_LMA_DIAG!$A$35:$M$43))</f>
        <v>16951</v>
      </c>
      <c r="M378" s="19" cm="1">
        <f t="array" ref="M378">_xlfn.XLOOKUP(E378,[5]C6_LMA_DIAG!$A$32:$A$40, _xlfn.XLOOKUP(B378,[5]C6_LMA_DIAG!$A$32:$M$32,[5]C6_LMA_DIAG!$A$32:$M$40))</f>
        <v>17490</v>
      </c>
      <c r="N378" s="19">
        <f>HLOOKUP(B378,[6]C6_LMA_DIAG!$B$36:$O$44,5,FALSE)</f>
        <v>14828</v>
      </c>
      <c r="O378" s="20">
        <f>HLOOKUP(B336,[1]C5_LMT_DIAG!$B$37:$O$45,5,FALSE)</f>
        <v>18437</v>
      </c>
      <c r="P378" s="20">
        <v>19754</v>
      </c>
    </row>
    <row r="379" spans="1:16" x14ac:dyDescent="0.3">
      <c r="A379" s="18" t="s">
        <v>68</v>
      </c>
      <c r="B379" s="18" t="s">
        <v>64</v>
      </c>
      <c r="C379" s="18" t="s">
        <v>51</v>
      </c>
      <c r="D379" s="18" t="s">
        <v>52</v>
      </c>
      <c r="E379" s="18" t="s">
        <v>15</v>
      </c>
      <c r="F379" s="18" t="s">
        <v>20</v>
      </c>
      <c r="G379" s="18" t="s">
        <v>1</v>
      </c>
      <c r="H379" s="20"/>
      <c r="I379" s="20"/>
      <c r="J379" s="20"/>
      <c r="K379" s="20"/>
      <c r="L379" s="19" cm="1">
        <f t="array" ref="L379">_xlfn.XLOOKUP(E379,[4]C5_LMA_DIAG!$A$35:$A$43,_xlfn.XLOOKUP(B379,[4]C5_LMA_DIAG!$A$35:$M$35,[4]C5_LMA_DIAG!$A$35:$M$43))</f>
        <v>15039</v>
      </c>
      <c r="M379" s="19" cm="1">
        <f t="array" ref="M379">_xlfn.XLOOKUP(E379,[5]C6_LMA_DIAG!$A$32:$A$40, _xlfn.XLOOKUP(B379,[5]C6_LMA_DIAG!$A$32:$M$32,[5]C6_LMA_DIAG!$A$32:$M$40))</f>
        <v>15449</v>
      </c>
      <c r="N379" s="19">
        <f>HLOOKUP(B379,[6]C6_LMA_DIAG!$B$36:$O$44,5,FALSE)</f>
        <v>13027</v>
      </c>
      <c r="O379" s="20">
        <f>HLOOKUP(B337,[1]C5_LMT_DIAG!$B$37:$O$45,5,FALSE)</f>
        <v>18030</v>
      </c>
      <c r="P379" s="20">
        <v>17295</v>
      </c>
    </row>
    <row r="380" spans="1:16" x14ac:dyDescent="0.3">
      <c r="A380" s="18" t="s">
        <v>68</v>
      </c>
      <c r="B380" s="18" t="s">
        <v>70</v>
      </c>
      <c r="C380" s="18" t="s">
        <v>51</v>
      </c>
      <c r="D380" s="18" t="s">
        <v>52</v>
      </c>
      <c r="E380" s="18" t="s">
        <v>15</v>
      </c>
      <c r="F380" s="18" t="s">
        <v>20</v>
      </c>
      <c r="G380" s="18" t="s">
        <v>1</v>
      </c>
      <c r="H380" s="20"/>
      <c r="I380" s="20"/>
      <c r="J380" s="20"/>
      <c r="K380" s="20"/>
      <c r="L380" s="19">
        <v>0</v>
      </c>
      <c r="M380" s="19">
        <v>0</v>
      </c>
      <c r="N380" s="19">
        <f>HLOOKUP(B380,[6]C6_LMA_DIAG!$B$36:$O$44,5,FALSE)</f>
        <v>152124</v>
      </c>
      <c r="O380" s="20">
        <f>HLOOKUP(B338,[1]C5_LMT_DIAG!$B$37:$O$45,5,FALSE)</f>
        <v>310728</v>
      </c>
      <c r="P380" s="20">
        <v>287670</v>
      </c>
    </row>
    <row r="381" spans="1:16" x14ac:dyDescent="0.3">
      <c r="A381" s="18"/>
      <c r="B381" s="18" t="s">
        <v>71</v>
      </c>
      <c r="C381" s="18" t="s">
        <v>51</v>
      </c>
      <c r="D381" s="18" t="s">
        <v>52</v>
      </c>
      <c r="E381" s="18" t="s">
        <v>15</v>
      </c>
      <c r="F381" s="18" t="s">
        <v>20</v>
      </c>
      <c r="G381" s="18" t="s">
        <v>1</v>
      </c>
      <c r="H381" s="20"/>
      <c r="I381" s="20"/>
      <c r="J381" s="20"/>
      <c r="K381" s="20"/>
      <c r="L381" s="19">
        <v>0</v>
      </c>
      <c r="M381" s="19">
        <v>0</v>
      </c>
      <c r="N381" s="19">
        <f>HLOOKUP(B381,[6]C6_LMA_DIAG!$B$36:$O$44,5,FALSE)</f>
        <v>23338</v>
      </c>
      <c r="O381" s="20">
        <f>HLOOKUP(B339,[1]C5_LMT_DIAG!$B$37:$O$45,5,FALSE)</f>
        <v>32521</v>
      </c>
      <c r="P381" s="20">
        <v>0</v>
      </c>
    </row>
    <row r="382" spans="1:16" x14ac:dyDescent="0.3">
      <c r="A382" s="18" t="s">
        <v>68</v>
      </c>
      <c r="B382" s="18" t="s">
        <v>65</v>
      </c>
      <c r="C382" s="18" t="s">
        <v>51</v>
      </c>
      <c r="D382" s="18" t="s">
        <v>52</v>
      </c>
      <c r="E382" s="18" t="s">
        <v>15</v>
      </c>
      <c r="F382" s="18" t="s">
        <v>20</v>
      </c>
      <c r="G382" s="18" t="s">
        <v>1</v>
      </c>
      <c r="H382" s="20"/>
      <c r="I382" s="20"/>
      <c r="J382" s="20"/>
      <c r="K382" s="20"/>
      <c r="L382" s="19" cm="1">
        <f t="array" ref="L382">_xlfn.XLOOKUP(E382,[4]C5_LMA_DIAG!$A$35:$A$43,_xlfn.XLOOKUP(B382,[4]C5_LMA_DIAG!$A$35:$M$35,[4]C5_LMA_DIAG!$A$35:$M$43))</f>
        <v>104541</v>
      </c>
      <c r="M382" s="19" cm="1">
        <f t="array" ref="M382">_xlfn.XLOOKUP(E382,[5]C6_LMA_DIAG!$A$32:$A$40, _xlfn.XLOOKUP(B382,[5]C6_LMA_DIAG!$A$32:$M$32,[5]C6_LMA_DIAG!$A$32:$M$40))</f>
        <v>110708</v>
      </c>
      <c r="N382" s="19">
        <f>HLOOKUP(B382,[6]C6_LMA_DIAG!$B$36:$O$44,5,FALSE)</f>
        <v>84186</v>
      </c>
      <c r="O382" s="20">
        <f>HLOOKUP(B340,[1]C5_LMT_DIAG!$B$37:$O$45,5,FALSE)</f>
        <v>120473</v>
      </c>
      <c r="P382" s="20">
        <v>129491</v>
      </c>
    </row>
    <row r="383" spans="1:16" x14ac:dyDescent="0.3">
      <c r="A383" s="18" t="s">
        <v>68</v>
      </c>
      <c r="B383" s="18" t="s">
        <v>19</v>
      </c>
      <c r="C383" s="18" t="s">
        <v>51</v>
      </c>
      <c r="D383" s="18" t="s">
        <v>52</v>
      </c>
      <c r="E383" s="18" t="s">
        <v>15</v>
      </c>
      <c r="F383" s="18" t="s">
        <v>20</v>
      </c>
      <c r="G383" s="18" t="s">
        <v>1</v>
      </c>
      <c r="H383" s="20"/>
      <c r="I383" s="20"/>
      <c r="J383" s="20"/>
      <c r="K383" s="20"/>
      <c r="L383" s="19" cm="1">
        <f t="array" ref="L383">_xlfn.XLOOKUP(E383,[4]C5_LMA_DIAG!$A$35:$A$43,_xlfn.XLOOKUP(B383,[4]C5_LMA_DIAG!$A$35:$M$35,[4]C5_LMA_DIAG!$A$35:$M$43))</f>
        <v>3</v>
      </c>
      <c r="M383" s="19" cm="1">
        <f t="array" ref="M383">_xlfn.XLOOKUP(E383,[5]C6_LMA_DIAG!$A$32:$A$40, _xlfn.XLOOKUP(B383,[5]C6_LMA_DIAG!$A$32:$M$32,[5]C6_LMA_DIAG!$A$32:$M$40))</f>
        <v>22</v>
      </c>
      <c r="N383" s="19">
        <f>HLOOKUP(B383,[6]C6_LMA_DIAG!$B$36:$O$44,5,FALSE)</f>
        <v>1</v>
      </c>
      <c r="O383" s="20">
        <f>HLOOKUP(B341,[1]C5_LMT_DIAG!$B$37:$O$45,5,FALSE)</f>
        <v>38</v>
      </c>
      <c r="P383" s="20">
        <v>0</v>
      </c>
    </row>
    <row r="384" spans="1:16" x14ac:dyDescent="0.3">
      <c r="A384" s="17" t="s">
        <v>68</v>
      </c>
      <c r="B384" s="17" t="s">
        <v>55</v>
      </c>
      <c r="C384" s="17" t="s">
        <v>51</v>
      </c>
      <c r="D384" s="17" t="s">
        <v>52</v>
      </c>
      <c r="E384" s="17" t="s">
        <v>16</v>
      </c>
      <c r="F384" s="17" t="s">
        <v>20</v>
      </c>
      <c r="G384" s="17" t="s">
        <v>1</v>
      </c>
      <c r="H384" s="19"/>
      <c r="I384" s="19"/>
      <c r="J384" s="19"/>
      <c r="K384" s="19"/>
      <c r="L384" s="19" cm="1">
        <f t="array" ref="L384">_xlfn.XLOOKUP(E384,[4]C5_LMA_DIAG!$A$35:$A$43,_xlfn.XLOOKUP(B384,[4]C5_LMA_DIAG!$A$35:$M$35,[4]C5_LMA_DIAG!$A$35:$M$43))</f>
        <v>153086</v>
      </c>
      <c r="M384" s="19" cm="1">
        <f t="array" ref="M384">_xlfn.XLOOKUP(E384,[5]C6_LMA_DIAG!$A$32:$A$40, _xlfn.XLOOKUP(B384,[5]C6_LMA_DIAG!$A$32:$M$32,[5]C6_LMA_DIAG!$A$32:$M$40))</f>
        <v>167610</v>
      </c>
      <c r="N384" s="19">
        <f>HLOOKUP(B384,[6]C6_LMA_DIAG!$B$36:$O$44,6,FALSE)</f>
        <v>195999</v>
      </c>
      <c r="O384" s="19">
        <f>HLOOKUP(B328,[1]C5_LMT_DIAG!$B$37:$O$45,6,FALSE)</f>
        <v>342636</v>
      </c>
      <c r="P384" s="19">
        <v>323904</v>
      </c>
    </row>
    <row r="385" spans="1:16" x14ac:dyDescent="0.3">
      <c r="A385" s="17" t="s">
        <v>68</v>
      </c>
      <c r="B385" s="17" t="s">
        <v>56</v>
      </c>
      <c r="C385" s="17" t="s">
        <v>51</v>
      </c>
      <c r="D385" s="17" t="s">
        <v>52</v>
      </c>
      <c r="E385" s="17" t="s">
        <v>16</v>
      </c>
      <c r="F385" s="17" t="s">
        <v>20</v>
      </c>
      <c r="G385" s="17" t="s">
        <v>1</v>
      </c>
      <c r="H385" s="19"/>
      <c r="I385" s="19"/>
      <c r="J385" s="19"/>
      <c r="K385" s="19"/>
      <c r="L385" s="19" cm="1">
        <f t="array" ref="L385">_xlfn.XLOOKUP(E385,[4]C5_LMA_DIAG!$A$35:$A$43,_xlfn.XLOOKUP(B385,[4]C5_LMA_DIAG!$A$35:$M$35,[4]C5_LMA_DIAG!$A$35:$M$43))</f>
        <v>225050</v>
      </c>
      <c r="M385" s="19" cm="1">
        <f t="array" ref="M385">_xlfn.XLOOKUP(E385,[5]C6_LMA_DIAG!$A$32:$A$40, _xlfn.XLOOKUP(B385,[5]C6_LMA_DIAG!$A$32:$M$32,[5]C6_LMA_DIAG!$A$32:$M$40))</f>
        <v>232842</v>
      </c>
      <c r="N385" s="19">
        <f>HLOOKUP(B385,[6]C6_LMA_DIAG!$B$36:$O$44,6,FALSE)</f>
        <v>193776</v>
      </c>
      <c r="O385" s="19">
        <f>HLOOKUP(B329,[1]C5_LMT_DIAG!$B$37:$O$45,6,FALSE)</f>
        <v>312702</v>
      </c>
      <c r="P385" s="19">
        <v>292390</v>
      </c>
    </row>
    <row r="386" spans="1:16" x14ac:dyDescent="0.3">
      <c r="A386" s="17" t="s">
        <v>68</v>
      </c>
      <c r="B386" s="17" t="s">
        <v>57</v>
      </c>
      <c r="C386" s="17" t="s">
        <v>51</v>
      </c>
      <c r="D386" s="17" t="s">
        <v>52</v>
      </c>
      <c r="E386" s="17" t="s">
        <v>16</v>
      </c>
      <c r="F386" s="17" t="s">
        <v>20</v>
      </c>
      <c r="G386" s="17" t="s">
        <v>1</v>
      </c>
      <c r="H386" s="19"/>
      <c r="I386" s="19"/>
      <c r="J386" s="19"/>
      <c r="K386" s="19"/>
      <c r="L386" s="19" cm="1">
        <f t="array" ref="L386">_xlfn.XLOOKUP(E386,[4]C5_LMA_DIAG!$A$35:$A$43,_xlfn.XLOOKUP(B386,[4]C5_LMA_DIAG!$A$35:$M$35,[4]C5_LMA_DIAG!$A$35:$M$43))</f>
        <v>99426</v>
      </c>
      <c r="M386" s="19" cm="1">
        <f t="array" ref="M386">_xlfn.XLOOKUP(E386,[5]C6_LMA_DIAG!$A$32:$A$40, _xlfn.XLOOKUP(B386,[5]C6_LMA_DIAG!$A$32:$M$32,[5]C6_LMA_DIAG!$A$32:$M$40))</f>
        <v>106174</v>
      </c>
      <c r="N386" s="19">
        <f>HLOOKUP(B386,[6]C6_LMA_DIAG!$B$36:$O$44,6,FALSE)</f>
        <v>57338</v>
      </c>
      <c r="O386" s="19">
        <f>HLOOKUP(B330,[1]C5_LMT_DIAG!$B$37:$O$45,6,FALSE)</f>
        <v>51536</v>
      </c>
      <c r="P386" s="19">
        <v>104875</v>
      </c>
    </row>
    <row r="387" spans="1:16" x14ac:dyDescent="0.3">
      <c r="A387" s="17" t="s">
        <v>68</v>
      </c>
      <c r="B387" s="17" t="s">
        <v>58</v>
      </c>
      <c r="C387" s="17" t="s">
        <v>51</v>
      </c>
      <c r="D387" s="17" t="s">
        <v>52</v>
      </c>
      <c r="E387" s="17" t="s">
        <v>16</v>
      </c>
      <c r="F387" s="17" t="s">
        <v>20</v>
      </c>
      <c r="G387" s="17" t="s">
        <v>1</v>
      </c>
      <c r="H387" s="19"/>
      <c r="I387" s="19"/>
      <c r="J387" s="19"/>
      <c r="K387" s="19"/>
      <c r="L387" s="19" cm="1">
        <f t="array" ref="L387">_xlfn.XLOOKUP(E387,[4]C5_LMA_DIAG!$A$35:$A$43,_xlfn.XLOOKUP(B387,[4]C5_LMA_DIAG!$A$35:$M$35,[4]C5_LMA_DIAG!$A$35:$M$43))</f>
        <v>63082</v>
      </c>
      <c r="M387" s="19" cm="1">
        <f t="array" ref="M387">_xlfn.XLOOKUP(E387,[5]C6_LMA_DIAG!$A$32:$A$40, _xlfn.XLOOKUP(B387,[5]C6_LMA_DIAG!$A$32:$M$32,[5]C6_LMA_DIAG!$A$32:$M$40))</f>
        <v>70894</v>
      </c>
      <c r="N387" s="19">
        <f>HLOOKUP(B387,[6]C6_LMA_DIAG!$B$36:$O$44,6,FALSE)</f>
        <v>59715</v>
      </c>
      <c r="O387" s="19">
        <f>HLOOKUP(B331,[1]C5_LMT_DIAG!$B$37:$O$45,6,FALSE)</f>
        <v>83287</v>
      </c>
      <c r="P387" s="19">
        <v>86448</v>
      </c>
    </row>
    <row r="388" spans="1:16" x14ac:dyDescent="0.3">
      <c r="A388" s="17" t="s">
        <v>68</v>
      </c>
      <c r="B388" s="17" t="s">
        <v>59</v>
      </c>
      <c r="C388" s="17" t="s">
        <v>51</v>
      </c>
      <c r="D388" s="17" t="s">
        <v>52</v>
      </c>
      <c r="E388" s="17" t="s">
        <v>16</v>
      </c>
      <c r="F388" s="17" t="s">
        <v>20</v>
      </c>
      <c r="G388" s="17" t="s">
        <v>1</v>
      </c>
      <c r="H388" s="19"/>
      <c r="I388" s="19"/>
      <c r="J388" s="19"/>
      <c r="K388" s="19"/>
      <c r="L388" s="19" cm="1">
        <f t="array" ref="L388">_xlfn.XLOOKUP(E388,[4]C5_LMA_DIAG!$A$35:$A$43,_xlfn.XLOOKUP(B388,[4]C5_LMA_DIAG!$A$35:$M$35,[4]C5_LMA_DIAG!$A$35:$M$43))</f>
        <v>35911</v>
      </c>
      <c r="M388" s="19" cm="1">
        <f t="array" ref="M388">_xlfn.XLOOKUP(E388,[5]C6_LMA_DIAG!$A$32:$A$40, _xlfn.XLOOKUP(B388,[5]C6_LMA_DIAG!$A$32:$M$32,[5]C6_LMA_DIAG!$A$32:$M$40))</f>
        <v>34768</v>
      </c>
      <c r="N388" s="19">
        <f>HLOOKUP(B388,[6]C6_LMA_DIAG!$B$36:$O$44,6,FALSE)</f>
        <v>25314</v>
      </c>
      <c r="O388" s="19">
        <f>HLOOKUP(B332,[1]C5_LMT_DIAG!$B$37:$O$45,6,FALSE)</f>
        <v>23924</v>
      </c>
      <c r="P388" s="19">
        <v>29915</v>
      </c>
    </row>
    <row r="389" spans="1:16" x14ac:dyDescent="0.3">
      <c r="A389" s="17" t="s">
        <v>68</v>
      </c>
      <c r="B389" s="17" t="s">
        <v>60</v>
      </c>
      <c r="C389" s="17" t="s">
        <v>51</v>
      </c>
      <c r="D389" s="17" t="s">
        <v>52</v>
      </c>
      <c r="E389" s="17" t="s">
        <v>16</v>
      </c>
      <c r="F389" s="17" t="s">
        <v>20</v>
      </c>
      <c r="G389" s="17" t="s">
        <v>1</v>
      </c>
      <c r="H389" s="19"/>
      <c r="I389" s="19"/>
      <c r="J389" s="19"/>
      <c r="K389" s="19"/>
      <c r="L389" s="19" cm="1">
        <f t="array" ref="L389">_xlfn.XLOOKUP(E389,[4]C5_LMA_DIAG!$A$35:$A$43,_xlfn.XLOOKUP(B389,[4]C5_LMA_DIAG!$A$35:$M$35,[4]C5_LMA_DIAG!$A$35:$M$43))</f>
        <v>37783</v>
      </c>
      <c r="M389" s="19" cm="1">
        <f t="array" ref="M389">_xlfn.XLOOKUP(E389,[5]C6_LMA_DIAG!$A$32:$A$40, _xlfn.XLOOKUP(B389,[5]C6_LMA_DIAG!$A$32:$M$32,[5]C6_LMA_DIAG!$A$32:$M$40))</f>
        <v>40940</v>
      </c>
      <c r="N389" s="19">
        <f>HLOOKUP(B389,[6]C6_LMA_DIAG!$B$36:$O$44,6,FALSE)</f>
        <v>29233</v>
      </c>
      <c r="O389" s="19">
        <f>HLOOKUP(B333,[1]C5_LMT_DIAG!$B$37:$O$45,6,FALSE)</f>
        <v>42191</v>
      </c>
      <c r="P389" s="19">
        <v>47214</v>
      </c>
    </row>
    <row r="390" spans="1:16" x14ac:dyDescent="0.3">
      <c r="A390" s="17" t="s">
        <v>68</v>
      </c>
      <c r="B390" s="17" t="s">
        <v>61</v>
      </c>
      <c r="C390" s="17" t="s">
        <v>51</v>
      </c>
      <c r="D390" s="17" t="s">
        <v>52</v>
      </c>
      <c r="E390" s="17" t="s">
        <v>16</v>
      </c>
      <c r="F390" s="17" t="s">
        <v>20</v>
      </c>
      <c r="G390" s="17" t="s">
        <v>1</v>
      </c>
      <c r="H390" s="19"/>
      <c r="I390" s="19"/>
      <c r="J390" s="19"/>
      <c r="K390" s="19"/>
      <c r="L390" s="19" cm="1">
        <f t="array" ref="L390">_xlfn.XLOOKUP(E390,[4]C5_LMA_DIAG!$A$35:$A$43,_xlfn.XLOOKUP(B390,[4]C5_LMA_DIAG!$A$35:$M$35,[4]C5_LMA_DIAG!$A$35:$M$43))</f>
        <v>612</v>
      </c>
      <c r="M390" s="19" cm="1">
        <f t="array" ref="M390">_xlfn.XLOOKUP(E390,[5]C6_LMA_DIAG!$A$32:$A$40, _xlfn.XLOOKUP(B390,[5]C6_LMA_DIAG!$A$32:$M$32,[5]C6_LMA_DIAG!$A$32:$M$40))</f>
        <v>611</v>
      </c>
      <c r="N390" s="19">
        <f>HLOOKUP(B390,[6]C6_LMA_DIAG!$B$36:$O$44,6,FALSE)</f>
        <v>418</v>
      </c>
      <c r="O390" s="19">
        <f>HLOOKUP(B334,[1]C5_LMT_DIAG!$B$37:$O$45,6,FALSE)</f>
        <v>452</v>
      </c>
      <c r="P390" s="19">
        <v>543</v>
      </c>
    </row>
    <row r="391" spans="1:16" x14ac:dyDescent="0.3">
      <c r="A391" s="17" t="s">
        <v>68</v>
      </c>
      <c r="B391" s="17" t="s">
        <v>62</v>
      </c>
      <c r="C391" s="17" t="s">
        <v>51</v>
      </c>
      <c r="D391" s="17" t="s">
        <v>52</v>
      </c>
      <c r="E391" s="17" t="s">
        <v>16</v>
      </c>
      <c r="F391" s="17" t="s">
        <v>20</v>
      </c>
      <c r="G391" s="17" t="s">
        <v>1</v>
      </c>
      <c r="H391" s="19"/>
      <c r="I391" s="19"/>
      <c r="J391" s="19"/>
      <c r="K391" s="19"/>
      <c r="L391" s="19" cm="1">
        <f t="array" ref="L391">_xlfn.XLOOKUP(E391,[4]C5_LMA_DIAG!$A$35:$A$43,_xlfn.XLOOKUP(B391,[4]C5_LMA_DIAG!$A$35:$M$35,[4]C5_LMA_DIAG!$A$35:$M$43))</f>
        <v>26876</v>
      </c>
      <c r="M391" s="19" cm="1">
        <f t="array" ref="M391">_xlfn.XLOOKUP(E391,[5]C6_LMA_DIAG!$A$32:$A$40, _xlfn.XLOOKUP(B391,[5]C6_LMA_DIAG!$A$32:$M$32,[5]C6_LMA_DIAG!$A$32:$M$40))</f>
        <v>26134</v>
      </c>
      <c r="N391" s="19">
        <f>HLOOKUP(B391,[6]C6_LMA_DIAG!$B$36:$O$44,6,FALSE)</f>
        <v>19515</v>
      </c>
      <c r="O391" s="19">
        <f>HLOOKUP(B335,[1]C5_LMT_DIAG!$B$37:$O$45,6,FALSE)</f>
        <v>25074</v>
      </c>
      <c r="P391" s="19">
        <v>27026</v>
      </c>
    </row>
    <row r="392" spans="1:16" x14ac:dyDescent="0.3">
      <c r="A392" s="17" t="s">
        <v>68</v>
      </c>
      <c r="B392" s="17" t="s">
        <v>63</v>
      </c>
      <c r="C392" s="17" t="s">
        <v>51</v>
      </c>
      <c r="D392" s="17" t="s">
        <v>52</v>
      </c>
      <c r="E392" s="17" t="s">
        <v>16</v>
      </c>
      <c r="F392" s="17" t="s">
        <v>20</v>
      </c>
      <c r="G392" s="17" t="s">
        <v>1</v>
      </c>
      <c r="H392" s="19"/>
      <c r="I392" s="19"/>
      <c r="J392" s="19"/>
      <c r="K392" s="19"/>
      <c r="L392" s="19" cm="1">
        <f t="array" ref="L392">_xlfn.XLOOKUP(E392,[4]C5_LMA_DIAG!$A$35:$A$43,_xlfn.XLOOKUP(B392,[4]C5_LMA_DIAG!$A$35:$M$35,[4]C5_LMA_DIAG!$A$35:$M$43))</f>
        <v>27235</v>
      </c>
      <c r="M392" s="19" cm="1">
        <f t="array" ref="M392">_xlfn.XLOOKUP(E392,[5]C6_LMA_DIAG!$A$32:$A$40, _xlfn.XLOOKUP(B392,[5]C6_LMA_DIAG!$A$32:$M$32,[5]C6_LMA_DIAG!$A$32:$M$40))</f>
        <v>27879</v>
      </c>
      <c r="N392" s="19">
        <f>HLOOKUP(B392,[6]C6_LMA_DIAG!$B$36:$O$44,6,FALSE)</f>
        <v>22659</v>
      </c>
      <c r="O392" s="19">
        <f>HLOOKUP(B336,[1]C5_LMT_DIAG!$B$37:$O$45,6,FALSE)</f>
        <v>27377</v>
      </c>
      <c r="P392" s="19">
        <v>29060</v>
      </c>
    </row>
    <row r="393" spans="1:16" x14ac:dyDescent="0.3">
      <c r="A393" s="17" t="s">
        <v>68</v>
      </c>
      <c r="B393" s="17" t="s">
        <v>64</v>
      </c>
      <c r="C393" s="17" t="s">
        <v>51</v>
      </c>
      <c r="D393" s="17" t="s">
        <v>52</v>
      </c>
      <c r="E393" s="17" t="s">
        <v>16</v>
      </c>
      <c r="F393" s="17" t="s">
        <v>20</v>
      </c>
      <c r="G393" s="17" t="s">
        <v>1</v>
      </c>
      <c r="H393" s="19"/>
      <c r="I393" s="19"/>
      <c r="J393" s="19"/>
      <c r="K393" s="19"/>
      <c r="L393" s="19" cm="1">
        <f t="array" ref="L393">_xlfn.XLOOKUP(E393,[4]C5_LMA_DIAG!$A$35:$A$43,_xlfn.XLOOKUP(B393,[4]C5_LMA_DIAG!$A$35:$M$35,[4]C5_LMA_DIAG!$A$35:$M$43))</f>
        <v>26293</v>
      </c>
      <c r="M393" s="19" cm="1">
        <f t="array" ref="M393">_xlfn.XLOOKUP(E393,[5]C6_LMA_DIAG!$A$32:$A$40, _xlfn.XLOOKUP(B393,[5]C6_LMA_DIAG!$A$32:$M$32,[5]C6_LMA_DIAG!$A$32:$M$40))</f>
        <v>26204</v>
      </c>
      <c r="N393" s="19">
        <f>HLOOKUP(B393,[6]C6_LMA_DIAG!$B$36:$O$44,6,FALSE)</f>
        <v>23996</v>
      </c>
      <c r="O393" s="19">
        <f>HLOOKUP(B337,[1]C5_LMT_DIAG!$B$37:$O$45,6,FALSE)</f>
        <v>30433</v>
      </c>
      <c r="P393" s="19">
        <v>29492</v>
      </c>
    </row>
    <row r="394" spans="1:16" x14ac:dyDescent="0.3">
      <c r="A394" s="17" t="s">
        <v>68</v>
      </c>
      <c r="B394" s="17" t="s">
        <v>70</v>
      </c>
      <c r="C394" s="17" t="s">
        <v>51</v>
      </c>
      <c r="D394" s="17" t="s">
        <v>52</v>
      </c>
      <c r="E394" s="17" t="s">
        <v>16</v>
      </c>
      <c r="F394" s="17" t="s">
        <v>20</v>
      </c>
      <c r="G394" s="17" t="s">
        <v>1</v>
      </c>
      <c r="H394" s="19"/>
      <c r="I394" s="19"/>
      <c r="J394" s="19"/>
      <c r="K394" s="19"/>
      <c r="L394" s="19">
        <v>0</v>
      </c>
      <c r="M394" s="19">
        <v>0</v>
      </c>
      <c r="N394" s="19">
        <f>HLOOKUP(B394,[6]C6_LMA_DIAG!$B$36:$O$44,6,FALSE)</f>
        <v>131034</v>
      </c>
      <c r="O394" s="19">
        <f>HLOOKUP(B338,[1]C5_LMT_DIAG!$B$37:$O$45,6,FALSE)</f>
        <v>243249</v>
      </c>
      <c r="P394" s="19">
        <v>214102</v>
      </c>
    </row>
    <row r="395" spans="1:16" x14ac:dyDescent="0.3">
      <c r="A395" s="17"/>
      <c r="B395" s="17" t="s">
        <v>71</v>
      </c>
      <c r="C395" s="17" t="s">
        <v>51</v>
      </c>
      <c r="D395" s="17" t="s">
        <v>52</v>
      </c>
      <c r="E395" s="17" t="s">
        <v>16</v>
      </c>
      <c r="F395" s="17" t="s">
        <v>20</v>
      </c>
      <c r="G395" s="17" t="s">
        <v>1</v>
      </c>
      <c r="H395" s="19"/>
      <c r="I395" s="19"/>
      <c r="J395" s="19"/>
      <c r="K395" s="19"/>
      <c r="L395" s="19">
        <v>0</v>
      </c>
      <c r="M395" s="19">
        <v>0</v>
      </c>
      <c r="N395" s="19">
        <f>HLOOKUP(B395,[6]C6_LMA_DIAG!$B$36:$O$44,6,FALSE)</f>
        <v>362</v>
      </c>
      <c r="O395" s="19">
        <f>HLOOKUP(B339,[1]C5_LMT_DIAG!$B$37:$O$45,6,FALSE)</f>
        <v>511</v>
      </c>
      <c r="P395" s="19">
        <v>0</v>
      </c>
    </row>
    <row r="396" spans="1:16" x14ac:dyDescent="0.3">
      <c r="A396" s="17" t="s">
        <v>68</v>
      </c>
      <c r="B396" s="17" t="s">
        <v>65</v>
      </c>
      <c r="C396" s="17" t="s">
        <v>51</v>
      </c>
      <c r="D396" s="17" t="s">
        <v>52</v>
      </c>
      <c r="E396" s="17" t="s">
        <v>16</v>
      </c>
      <c r="F396" s="17" t="s">
        <v>20</v>
      </c>
      <c r="G396" s="17" t="s">
        <v>1</v>
      </c>
      <c r="H396" s="19"/>
      <c r="I396" s="19"/>
      <c r="J396" s="19"/>
      <c r="K396" s="19"/>
      <c r="L396" s="19" cm="1">
        <f t="array" ref="L396">_xlfn.XLOOKUP(E396,[4]C5_LMA_DIAG!$A$35:$A$43,_xlfn.XLOOKUP(B396,[4]C5_LMA_DIAG!$A$35:$M$35,[4]C5_LMA_DIAG!$A$35:$M$43))</f>
        <v>101658</v>
      </c>
      <c r="M396" s="19" cm="1">
        <f t="array" ref="M396">_xlfn.XLOOKUP(E396,[5]C6_LMA_DIAG!$A$32:$A$40, _xlfn.XLOOKUP(B396,[5]C6_LMA_DIAG!$A$32:$M$32,[5]C6_LMA_DIAG!$A$32:$M$40))</f>
        <v>107440</v>
      </c>
      <c r="N396" s="19">
        <f>HLOOKUP(B396,[6]C6_LMA_DIAG!$B$36:$O$44,6,FALSE)</f>
        <v>86098</v>
      </c>
      <c r="O396" s="19">
        <f>HLOOKUP(B340,[1]C5_LMT_DIAG!$B$37:$O$45,6,FALSE)</f>
        <v>121925</v>
      </c>
      <c r="P396" s="19">
        <v>122803</v>
      </c>
    </row>
    <row r="397" spans="1:16" x14ac:dyDescent="0.3">
      <c r="A397" s="17" t="s">
        <v>68</v>
      </c>
      <c r="B397" s="17" t="s">
        <v>19</v>
      </c>
      <c r="C397" s="17" t="s">
        <v>51</v>
      </c>
      <c r="D397" s="17" t="s">
        <v>52</v>
      </c>
      <c r="E397" s="17" t="s">
        <v>16</v>
      </c>
      <c r="F397" s="17" t="s">
        <v>20</v>
      </c>
      <c r="G397" s="17" t="s">
        <v>1</v>
      </c>
      <c r="H397" s="19"/>
      <c r="I397" s="19"/>
      <c r="J397" s="19"/>
      <c r="K397" s="19"/>
      <c r="L397" s="19" cm="1">
        <f t="array" ref="L397">_xlfn.XLOOKUP(E397,[4]C5_LMA_DIAG!$A$35:$A$43,_xlfn.XLOOKUP(B397,[4]C5_LMA_DIAG!$A$35:$M$35,[4]C5_LMA_DIAG!$A$35:$M$43))</f>
        <v>8</v>
      </c>
      <c r="M397" s="19" cm="1">
        <f t="array" ref="M397">_xlfn.XLOOKUP(E397,[5]C6_LMA_DIAG!$A$32:$A$40, _xlfn.XLOOKUP(B397,[5]C6_LMA_DIAG!$A$32:$M$32,[5]C6_LMA_DIAG!$A$32:$M$40))</f>
        <v>29</v>
      </c>
      <c r="N397" s="19">
        <f>HLOOKUP(B397,[6]C6_LMA_DIAG!$B$36:$O$44,6,FALSE)</f>
        <v>0</v>
      </c>
      <c r="O397" s="19">
        <f>HLOOKUP(B341,[1]C5_LMT_DIAG!$B$37:$O$45,6,FALSE)</f>
        <v>27</v>
      </c>
      <c r="P397" s="19">
        <v>0</v>
      </c>
    </row>
    <row r="398" spans="1:16" x14ac:dyDescent="0.3">
      <c r="A398" s="18" t="s">
        <v>68</v>
      </c>
      <c r="B398" s="18" t="s">
        <v>55</v>
      </c>
      <c r="C398" s="18" t="s">
        <v>51</v>
      </c>
      <c r="D398" s="18" t="s">
        <v>52</v>
      </c>
      <c r="E398" s="18" t="s">
        <v>17</v>
      </c>
      <c r="F398" s="18" t="s">
        <v>20</v>
      </c>
      <c r="G398" s="18" t="s">
        <v>1</v>
      </c>
      <c r="H398" s="20"/>
      <c r="I398" s="20"/>
      <c r="J398" s="20"/>
      <c r="K398" s="20"/>
      <c r="L398" s="19" cm="1">
        <f t="array" ref="L398">_xlfn.XLOOKUP(E398,[4]C5_LMA_DIAG!$A$35:$A$43,_xlfn.XLOOKUP(B398,[4]C5_LMA_DIAG!$A$35:$M$35,[4]C5_LMA_DIAG!$A$35:$M$43))</f>
        <v>91549</v>
      </c>
      <c r="M398" s="19" cm="1">
        <f t="array" ref="M398">_xlfn.XLOOKUP(E398,[5]C6_LMA_DIAG!$A$32:$A$40, _xlfn.XLOOKUP(B398,[5]C6_LMA_DIAG!$A$32:$M$32,[5]C6_LMA_DIAG!$A$32:$M$40))</f>
        <v>102288</v>
      </c>
      <c r="N398" s="19">
        <f>HLOOKUP(B398,[6]C6_LMA_DIAG!$B$36:$O$44,7,FALSE)</f>
        <v>134700</v>
      </c>
      <c r="O398" s="20">
        <f>HLOOKUP(B328,[1]C5_LMT_DIAG!$B$37:$O$45,7,FALSE)</f>
        <v>218543</v>
      </c>
      <c r="P398" s="20">
        <v>200968</v>
      </c>
    </row>
    <row r="399" spans="1:16" x14ac:dyDescent="0.3">
      <c r="A399" s="18" t="s">
        <v>68</v>
      </c>
      <c r="B399" s="18" t="s">
        <v>56</v>
      </c>
      <c r="C399" s="18" t="s">
        <v>51</v>
      </c>
      <c r="D399" s="18" t="s">
        <v>52</v>
      </c>
      <c r="E399" s="18" t="s">
        <v>17</v>
      </c>
      <c r="F399" s="18" t="s">
        <v>20</v>
      </c>
      <c r="G399" s="18" t="s">
        <v>1</v>
      </c>
      <c r="H399" s="20"/>
      <c r="I399" s="20"/>
      <c r="J399" s="20"/>
      <c r="K399" s="20"/>
      <c r="L399" s="19" cm="1">
        <f t="array" ref="L399">_xlfn.XLOOKUP(E399,[4]C5_LMA_DIAG!$A$35:$A$43,_xlfn.XLOOKUP(B399,[4]C5_LMA_DIAG!$A$35:$M$35,[4]C5_LMA_DIAG!$A$35:$M$43))</f>
        <v>170356</v>
      </c>
      <c r="M399" s="19" cm="1">
        <f t="array" ref="M399">_xlfn.XLOOKUP(E399,[5]C6_LMA_DIAG!$A$32:$A$40, _xlfn.XLOOKUP(B399,[5]C6_LMA_DIAG!$A$32:$M$32,[5]C6_LMA_DIAG!$A$32:$M$40))</f>
        <v>184282</v>
      </c>
      <c r="N399" s="19">
        <f>HLOOKUP(B399,[6]C6_LMA_DIAG!$B$36:$O$44,7,FALSE)</f>
        <v>158544</v>
      </c>
      <c r="O399" s="20">
        <f>HLOOKUP(B329,[1]C5_LMT_DIAG!$B$37:$O$45,7,FALSE)</f>
        <v>253404</v>
      </c>
      <c r="P399" s="20">
        <v>252114</v>
      </c>
    </row>
    <row r="400" spans="1:16" x14ac:dyDescent="0.3">
      <c r="A400" s="18" t="s">
        <v>68</v>
      </c>
      <c r="B400" s="18" t="s">
        <v>57</v>
      </c>
      <c r="C400" s="18" t="s">
        <v>51</v>
      </c>
      <c r="D400" s="18" t="s">
        <v>52</v>
      </c>
      <c r="E400" s="18" t="s">
        <v>17</v>
      </c>
      <c r="F400" s="18" t="s">
        <v>20</v>
      </c>
      <c r="G400" s="18" t="s">
        <v>1</v>
      </c>
      <c r="H400" s="20"/>
      <c r="I400" s="20"/>
      <c r="J400" s="20"/>
      <c r="K400" s="20"/>
      <c r="L400" s="19" cm="1">
        <f t="array" ref="L400">_xlfn.XLOOKUP(E400,[4]C5_LMA_DIAG!$A$35:$A$43,_xlfn.XLOOKUP(B400,[4]C5_LMA_DIAG!$A$35:$M$35,[4]C5_LMA_DIAG!$A$35:$M$43))</f>
        <v>72598</v>
      </c>
      <c r="M400" s="19" cm="1">
        <f t="array" ref="M400">_xlfn.XLOOKUP(E400,[5]C6_LMA_DIAG!$A$32:$A$40, _xlfn.XLOOKUP(B400,[5]C6_LMA_DIAG!$A$32:$M$32,[5]C6_LMA_DIAG!$A$32:$M$40))</f>
        <v>75901</v>
      </c>
      <c r="N400" s="19">
        <f>HLOOKUP(B400,[6]C6_LMA_DIAG!$B$36:$O$44,7,FALSE)</f>
        <v>44368</v>
      </c>
      <c r="O400" s="20">
        <f>HLOOKUP(B330,[1]C5_LMT_DIAG!$B$37:$O$45,7,FALSE)</f>
        <v>37285</v>
      </c>
      <c r="P400" s="20">
        <v>75492</v>
      </c>
    </row>
    <row r="401" spans="1:16" x14ac:dyDescent="0.3">
      <c r="A401" s="18" t="s">
        <v>68</v>
      </c>
      <c r="B401" s="18" t="s">
        <v>58</v>
      </c>
      <c r="C401" s="18" t="s">
        <v>51</v>
      </c>
      <c r="D401" s="18" t="s">
        <v>52</v>
      </c>
      <c r="E401" s="18" t="s">
        <v>17</v>
      </c>
      <c r="F401" s="18" t="s">
        <v>20</v>
      </c>
      <c r="G401" s="18" t="s">
        <v>1</v>
      </c>
      <c r="H401" s="20"/>
      <c r="I401" s="20"/>
      <c r="J401" s="20"/>
      <c r="K401" s="20"/>
      <c r="L401" s="19" cm="1">
        <f t="array" ref="L401">_xlfn.XLOOKUP(E401,[4]C5_LMA_DIAG!$A$35:$A$43,_xlfn.XLOOKUP(B401,[4]C5_LMA_DIAG!$A$35:$M$35,[4]C5_LMA_DIAG!$A$35:$M$43))</f>
        <v>48103</v>
      </c>
      <c r="M401" s="19" cm="1">
        <f t="array" ref="M401">_xlfn.XLOOKUP(E401,[5]C6_LMA_DIAG!$A$32:$A$40, _xlfn.XLOOKUP(B401,[5]C6_LMA_DIAG!$A$32:$M$32,[5]C6_LMA_DIAG!$A$32:$M$40))</f>
        <v>55774</v>
      </c>
      <c r="N401" s="19">
        <f>HLOOKUP(B401,[6]C6_LMA_DIAG!$B$36:$O$44,7,FALSE)</f>
        <v>50136</v>
      </c>
      <c r="O401" s="20">
        <f>HLOOKUP(B331,[1]C5_LMT_DIAG!$B$37:$O$45,7,FALSE)</f>
        <v>70484</v>
      </c>
      <c r="P401" s="20">
        <v>75546</v>
      </c>
    </row>
    <row r="402" spans="1:16" x14ac:dyDescent="0.3">
      <c r="A402" s="18" t="s">
        <v>68</v>
      </c>
      <c r="B402" s="18" t="s">
        <v>59</v>
      </c>
      <c r="C402" s="18" t="s">
        <v>51</v>
      </c>
      <c r="D402" s="18" t="s">
        <v>52</v>
      </c>
      <c r="E402" s="18" t="s">
        <v>17</v>
      </c>
      <c r="F402" s="18" t="s">
        <v>20</v>
      </c>
      <c r="G402" s="18" t="s">
        <v>1</v>
      </c>
      <c r="H402" s="20"/>
      <c r="I402" s="20"/>
      <c r="J402" s="20"/>
      <c r="K402" s="20"/>
      <c r="L402" s="19" cm="1">
        <f t="array" ref="L402">_xlfn.XLOOKUP(E402,[4]C5_LMA_DIAG!$A$35:$A$43,_xlfn.XLOOKUP(B402,[4]C5_LMA_DIAG!$A$35:$M$35,[4]C5_LMA_DIAG!$A$35:$M$43))</f>
        <v>20905</v>
      </c>
      <c r="M402" s="19" cm="1">
        <f t="array" ref="M402">_xlfn.XLOOKUP(E402,[5]C6_LMA_DIAG!$A$32:$A$40, _xlfn.XLOOKUP(B402,[5]C6_LMA_DIAG!$A$32:$M$32,[5]C6_LMA_DIAG!$A$32:$M$40))</f>
        <v>21027</v>
      </c>
      <c r="N402" s="19">
        <f>HLOOKUP(B402,[6]C6_LMA_DIAG!$B$36:$O$44,7,FALSE)</f>
        <v>16219</v>
      </c>
      <c r="O402" s="20">
        <f>HLOOKUP(B332,[1]C5_LMT_DIAG!$B$37:$O$45,7,FALSE)</f>
        <v>15252</v>
      </c>
      <c r="P402" s="20">
        <v>19715</v>
      </c>
    </row>
    <row r="403" spans="1:16" x14ac:dyDescent="0.3">
      <c r="A403" s="18" t="s">
        <v>68</v>
      </c>
      <c r="B403" s="18" t="s">
        <v>60</v>
      </c>
      <c r="C403" s="18" t="s">
        <v>51</v>
      </c>
      <c r="D403" s="18" t="s">
        <v>52</v>
      </c>
      <c r="E403" s="18" t="s">
        <v>17</v>
      </c>
      <c r="F403" s="18" t="s">
        <v>20</v>
      </c>
      <c r="G403" s="18" t="s">
        <v>1</v>
      </c>
      <c r="H403" s="20"/>
      <c r="I403" s="20"/>
      <c r="J403" s="20"/>
      <c r="K403" s="20"/>
      <c r="L403" s="19" cm="1">
        <f t="array" ref="L403">_xlfn.XLOOKUP(E403,[4]C5_LMA_DIAG!$A$35:$A$43,_xlfn.XLOOKUP(B403,[4]C5_LMA_DIAG!$A$35:$M$35,[4]C5_LMA_DIAG!$A$35:$M$43))</f>
        <v>28644</v>
      </c>
      <c r="M403" s="19" cm="1">
        <f t="array" ref="M403">_xlfn.XLOOKUP(E403,[5]C6_LMA_DIAG!$A$32:$A$40, _xlfn.XLOOKUP(B403,[5]C6_LMA_DIAG!$A$32:$M$32,[5]C6_LMA_DIAG!$A$32:$M$40))</f>
        <v>31120</v>
      </c>
      <c r="N403" s="19">
        <f>HLOOKUP(B403,[6]C6_LMA_DIAG!$B$36:$O$44,7,FALSE)</f>
        <v>23149</v>
      </c>
      <c r="O403" s="20">
        <f>HLOOKUP(B333,[1]C5_LMT_DIAG!$B$37:$O$45,7,FALSE)</f>
        <v>32624</v>
      </c>
      <c r="P403" s="20">
        <v>38161</v>
      </c>
    </row>
    <row r="404" spans="1:16" x14ac:dyDescent="0.3">
      <c r="A404" s="18" t="s">
        <v>68</v>
      </c>
      <c r="B404" s="18" t="s">
        <v>61</v>
      </c>
      <c r="C404" s="18" t="s">
        <v>51</v>
      </c>
      <c r="D404" s="18" t="s">
        <v>52</v>
      </c>
      <c r="E404" s="18" t="s">
        <v>17</v>
      </c>
      <c r="F404" s="18" t="s">
        <v>20</v>
      </c>
      <c r="G404" s="18" t="s">
        <v>1</v>
      </c>
      <c r="H404" s="20"/>
      <c r="I404" s="20"/>
      <c r="J404" s="20"/>
      <c r="K404" s="20"/>
      <c r="L404" s="19" cm="1">
        <f t="array" ref="L404">_xlfn.XLOOKUP(E404,[4]C5_LMA_DIAG!$A$35:$A$43,_xlfn.XLOOKUP(B404,[4]C5_LMA_DIAG!$A$35:$M$35,[4]C5_LMA_DIAG!$A$35:$M$43))</f>
        <v>106</v>
      </c>
      <c r="M404" s="19" cm="1">
        <f t="array" ref="M404">_xlfn.XLOOKUP(E404,[5]C6_LMA_DIAG!$A$32:$A$40, _xlfn.XLOOKUP(B404,[5]C6_LMA_DIAG!$A$32:$M$32,[5]C6_LMA_DIAG!$A$32:$M$40))</f>
        <v>70</v>
      </c>
      <c r="N404" s="19">
        <f>HLOOKUP(B404,[6]C6_LMA_DIAG!$B$36:$O$44,7,FALSE)</f>
        <v>60</v>
      </c>
      <c r="O404" s="20">
        <f>HLOOKUP(B334,[1]C5_LMT_DIAG!$B$37:$O$45,7,FALSE)</f>
        <v>68</v>
      </c>
      <c r="P404" s="20">
        <v>55</v>
      </c>
    </row>
    <row r="405" spans="1:16" x14ac:dyDescent="0.3">
      <c r="A405" s="18" t="s">
        <v>68</v>
      </c>
      <c r="B405" s="18" t="s">
        <v>62</v>
      </c>
      <c r="C405" s="18" t="s">
        <v>51</v>
      </c>
      <c r="D405" s="18" t="s">
        <v>52</v>
      </c>
      <c r="E405" s="18" t="s">
        <v>17</v>
      </c>
      <c r="F405" s="18" t="s">
        <v>20</v>
      </c>
      <c r="G405" s="18" t="s">
        <v>1</v>
      </c>
      <c r="H405" s="20"/>
      <c r="I405" s="20"/>
      <c r="J405" s="20"/>
      <c r="K405" s="20"/>
      <c r="L405" s="19" cm="1">
        <f t="array" ref="L405">_xlfn.XLOOKUP(E405,[4]C5_LMA_DIAG!$A$35:$A$43,_xlfn.XLOOKUP(B405,[4]C5_LMA_DIAG!$A$35:$M$35,[4]C5_LMA_DIAG!$A$35:$M$43))</f>
        <v>18705</v>
      </c>
      <c r="M405" s="19" cm="1">
        <f t="array" ref="M405">_xlfn.XLOOKUP(E405,[5]C6_LMA_DIAG!$A$32:$A$40, _xlfn.XLOOKUP(B405,[5]C6_LMA_DIAG!$A$32:$M$32,[5]C6_LMA_DIAG!$A$32:$M$40))</f>
        <v>19118</v>
      </c>
      <c r="N405" s="19">
        <f>HLOOKUP(B405,[6]C6_LMA_DIAG!$B$36:$O$44,7,FALSE)</f>
        <v>14945</v>
      </c>
      <c r="O405" s="20">
        <f>HLOOKUP(B335,[1]C5_LMT_DIAG!$B$37:$O$45,7,FALSE)</f>
        <v>19522</v>
      </c>
      <c r="P405" s="20">
        <v>21893</v>
      </c>
    </row>
    <row r="406" spans="1:16" x14ac:dyDescent="0.3">
      <c r="A406" s="18" t="s">
        <v>68</v>
      </c>
      <c r="B406" s="18" t="s">
        <v>63</v>
      </c>
      <c r="C406" s="18" t="s">
        <v>51</v>
      </c>
      <c r="D406" s="18" t="s">
        <v>52</v>
      </c>
      <c r="E406" s="18" t="s">
        <v>17</v>
      </c>
      <c r="F406" s="18" t="s">
        <v>20</v>
      </c>
      <c r="G406" s="18" t="s">
        <v>1</v>
      </c>
      <c r="H406" s="20"/>
      <c r="I406" s="20"/>
      <c r="J406" s="20"/>
      <c r="K406" s="20"/>
      <c r="L406" s="19" cm="1">
        <f t="array" ref="L406">_xlfn.XLOOKUP(E406,[4]C5_LMA_DIAG!$A$35:$A$43,_xlfn.XLOOKUP(B406,[4]C5_LMA_DIAG!$A$35:$M$35,[4]C5_LMA_DIAG!$A$35:$M$43))</f>
        <v>29192</v>
      </c>
      <c r="M406" s="19" cm="1">
        <f t="array" ref="M406">_xlfn.XLOOKUP(E406,[5]C6_LMA_DIAG!$A$32:$A$40, _xlfn.XLOOKUP(B406,[5]C6_LMA_DIAG!$A$32:$M$32,[5]C6_LMA_DIAG!$A$32:$M$40))</f>
        <v>30748</v>
      </c>
      <c r="N406" s="19">
        <f>HLOOKUP(B406,[6]C6_LMA_DIAG!$B$36:$O$44,7,FALSE)</f>
        <v>27317</v>
      </c>
      <c r="O406" s="20">
        <f>HLOOKUP(B336,[1]C5_LMT_DIAG!$B$37:$O$45,7,FALSE)</f>
        <v>30732</v>
      </c>
      <c r="P406" s="20">
        <v>33313</v>
      </c>
    </row>
    <row r="407" spans="1:16" x14ac:dyDescent="0.3">
      <c r="A407" s="18" t="s">
        <v>68</v>
      </c>
      <c r="B407" s="18" t="s">
        <v>64</v>
      </c>
      <c r="C407" s="18" t="s">
        <v>51</v>
      </c>
      <c r="D407" s="18" t="s">
        <v>52</v>
      </c>
      <c r="E407" s="18" t="s">
        <v>17</v>
      </c>
      <c r="F407" s="18" t="s">
        <v>20</v>
      </c>
      <c r="G407" s="18" t="s">
        <v>1</v>
      </c>
      <c r="H407" s="20"/>
      <c r="I407" s="20"/>
      <c r="J407" s="20"/>
      <c r="K407" s="20"/>
      <c r="L407" s="19" cm="1">
        <f t="array" ref="L407">_xlfn.XLOOKUP(E407,[4]C5_LMA_DIAG!$A$35:$A$43,_xlfn.XLOOKUP(B407,[4]C5_LMA_DIAG!$A$35:$M$35,[4]C5_LMA_DIAG!$A$35:$M$43))</f>
        <v>34783</v>
      </c>
      <c r="M407" s="19" cm="1">
        <f t="array" ref="M407">_xlfn.XLOOKUP(E407,[5]C6_LMA_DIAG!$A$32:$A$40, _xlfn.XLOOKUP(B407,[5]C6_LMA_DIAG!$A$32:$M$32,[5]C6_LMA_DIAG!$A$32:$M$40))</f>
        <v>36016</v>
      </c>
      <c r="N407" s="19">
        <f>HLOOKUP(B407,[6]C6_LMA_DIAG!$B$36:$O$44,7,FALSE)</f>
        <v>34300</v>
      </c>
      <c r="O407" s="20">
        <f>HLOOKUP(B337,[1]C5_LMT_DIAG!$B$37:$O$45,7,FALSE)</f>
        <v>43715</v>
      </c>
      <c r="P407" s="20">
        <v>43149</v>
      </c>
    </row>
    <row r="408" spans="1:16" x14ac:dyDescent="0.3">
      <c r="A408" s="18" t="s">
        <v>68</v>
      </c>
      <c r="B408" s="18" t="s">
        <v>70</v>
      </c>
      <c r="C408" s="18" t="s">
        <v>51</v>
      </c>
      <c r="D408" s="18" t="s">
        <v>52</v>
      </c>
      <c r="E408" s="18" t="s">
        <v>17</v>
      </c>
      <c r="F408" s="18" t="s">
        <v>20</v>
      </c>
      <c r="G408" s="18" t="s">
        <v>1</v>
      </c>
      <c r="H408" s="20"/>
      <c r="I408" s="20"/>
      <c r="J408" s="20"/>
      <c r="K408" s="20"/>
      <c r="L408" s="19">
        <v>0</v>
      </c>
      <c r="M408" s="19">
        <v>0</v>
      </c>
      <c r="N408" s="19">
        <f>HLOOKUP(B408,[6]C6_LMA_DIAG!$B$36:$O$44,7,FALSE)</f>
        <v>81928</v>
      </c>
      <c r="O408" s="20">
        <f>HLOOKUP(B338,[1]C5_LMT_DIAG!$B$37:$O$45,7,FALSE)</f>
        <v>143964</v>
      </c>
      <c r="P408" s="20">
        <v>137461</v>
      </c>
    </row>
    <row r="409" spans="1:16" x14ac:dyDescent="0.3">
      <c r="A409" s="18"/>
      <c r="B409" s="18" t="s">
        <v>71</v>
      </c>
      <c r="C409" s="18" t="s">
        <v>51</v>
      </c>
      <c r="D409" s="18" t="s">
        <v>52</v>
      </c>
      <c r="E409" s="18" t="s">
        <v>17</v>
      </c>
      <c r="F409" s="18" t="s">
        <v>20</v>
      </c>
      <c r="G409" s="18" t="s">
        <v>1</v>
      </c>
      <c r="H409" s="20"/>
      <c r="I409" s="20"/>
      <c r="J409" s="20"/>
      <c r="K409" s="20"/>
      <c r="L409" s="19">
        <v>0</v>
      </c>
      <c r="M409" s="19">
        <v>0</v>
      </c>
      <c r="N409" s="19">
        <f>HLOOKUP(B409,[6]C6_LMA_DIAG!$B$36:$O$44,7,FALSE)</f>
        <v>0</v>
      </c>
      <c r="O409" s="20">
        <f>HLOOKUP(B339,[1]C5_LMT_DIAG!$B$37:$O$45,7,FALSE)</f>
        <v>9</v>
      </c>
      <c r="P409" s="20">
        <v>0</v>
      </c>
    </row>
    <row r="410" spans="1:16" x14ac:dyDescent="0.3">
      <c r="A410" s="18" t="s">
        <v>68</v>
      </c>
      <c r="B410" s="18" t="s">
        <v>65</v>
      </c>
      <c r="C410" s="18" t="s">
        <v>51</v>
      </c>
      <c r="D410" s="18" t="s">
        <v>52</v>
      </c>
      <c r="E410" s="18" t="s">
        <v>17</v>
      </c>
      <c r="F410" s="18" t="s">
        <v>20</v>
      </c>
      <c r="G410" s="18" t="s">
        <v>1</v>
      </c>
      <c r="H410" s="20"/>
      <c r="I410" s="20"/>
      <c r="J410" s="20"/>
      <c r="K410" s="20"/>
      <c r="L410" s="19" cm="1">
        <f t="array" ref="L410">_xlfn.XLOOKUP(E410,[4]C5_LMA_DIAG!$A$35:$A$43,_xlfn.XLOOKUP(B410,[4]C5_LMA_DIAG!$A$35:$M$35,[4]C5_LMA_DIAG!$A$35:$M$43))</f>
        <v>80408</v>
      </c>
      <c r="M410" s="19" cm="1">
        <f t="array" ref="M410">_xlfn.XLOOKUP(E410,[5]C6_LMA_DIAG!$A$32:$A$40, _xlfn.XLOOKUP(B410,[5]C6_LMA_DIAG!$A$32:$M$32,[5]C6_LMA_DIAG!$A$32:$M$40))</f>
        <v>86522</v>
      </c>
      <c r="N410" s="19">
        <f>HLOOKUP(B410,[6]C6_LMA_DIAG!$B$36:$O$44,7,FALSE)</f>
        <v>73290</v>
      </c>
      <c r="O410" s="20">
        <f>HLOOKUP(B340,[1]C5_LMT_DIAG!$B$37:$O$45,7,FALSE)</f>
        <v>101423</v>
      </c>
      <c r="P410" s="20">
        <v>104519</v>
      </c>
    </row>
    <row r="411" spans="1:16" x14ac:dyDescent="0.3">
      <c r="A411" s="18" t="s">
        <v>68</v>
      </c>
      <c r="B411" s="18" t="s">
        <v>19</v>
      </c>
      <c r="C411" s="18" t="s">
        <v>51</v>
      </c>
      <c r="D411" s="18" t="s">
        <v>52</v>
      </c>
      <c r="E411" s="18" t="s">
        <v>17</v>
      </c>
      <c r="F411" s="18" t="s">
        <v>20</v>
      </c>
      <c r="G411" s="18" t="s">
        <v>1</v>
      </c>
      <c r="H411" s="20"/>
      <c r="I411" s="20"/>
      <c r="J411" s="20"/>
      <c r="K411" s="20"/>
      <c r="L411" s="19" cm="1">
        <f t="array" ref="L411">_xlfn.XLOOKUP(E411,[4]C5_LMA_DIAG!$A$35:$A$43,_xlfn.XLOOKUP(B411,[4]C5_LMA_DIAG!$A$35:$M$35,[4]C5_LMA_DIAG!$A$35:$M$43))</f>
        <v>7</v>
      </c>
      <c r="M411" s="19" cm="1">
        <f t="array" ref="M411">_xlfn.XLOOKUP(E411,[5]C6_LMA_DIAG!$A$32:$A$40, _xlfn.XLOOKUP(B411,[5]C6_LMA_DIAG!$A$32:$M$32,[5]C6_LMA_DIAG!$A$32:$M$40))</f>
        <v>23</v>
      </c>
      <c r="N411" s="19">
        <f>HLOOKUP(B411,[6]C6_LMA_DIAG!$B$36:$O$44,7,FALSE)</f>
        <v>0</v>
      </c>
      <c r="O411" s="20">
        <f>HLOOKUP(B341,[1]C5_LMT_DIAG!$B$37:$O$45,7,FALSE)</f>
        <v>33</v>
      </c>
      <c r="P411" s="20">
        <v>0</v>
      </c>
    </row>
    <row r="412" spans="1:16" x14ac:dyDescent="0.3">
      <c r="A412" s="17" t="s">
        <v>68</v>
      </c>
      <c r="B412" s="17" t="s">
        <v>55</v>
      </c>
      <c r="C412" s="17" t="s">
        <v>51</v>
      </c>
      <c r="D412" s="17" t="s">
        <v>52</v>
      </c>
      <c r="E412" s="17" t="s">
        <v>18</v>
      </c>
      <c r="F412" s="17" t="s">
        <v>20</v>
      </c>
      <c r="G412" s="17" t="s">
        <v>1</v>
      </c>
      <c r="H412" s="19"/>
      <c r="I412" s="19"/>
      <c r="J412" s="19"/>
      <c r="K412" s="19"/>
      <c r="L412" s="19" cm="1">
        <f t="array" ref="L412">_xlfn.XLOOKUP(E412,[4]C5_LMA_DIAG!$A$35:$A$43,_xlfn.XLOOKUP(B412,[4]C5_LMA_DIAG!$A$35:$M$35,[4]C5_LMA_DIAG!$A$35:$M$43))</f>
        <v>17962</v>
      </c>
      <c r="M412" s="19" cm="1">
        <f t="array" ref="M412">_xlfn.XLOOKUP(E412,[5]C6_LMA_DIAG!$A$32:$A$40, _xlfn.XLOOKUP(B412,[5]C6_LMA_DIAG!$A$32:$M$32,[5]C6_LMA_DIAG!$A$32:$M$40))</f>
        <v>21262</v>
      </c>
      <c r="N412" s="19">
        <f>HLOOKUP(B412,[6]C6_LMA_DIAG!$B$36:$O$44,8,FALSE)</f>
        <v>41575</v>
      </c>
      <c r="O412" s="19">
        <f>HLOOKUP(B328,[1]C5_LMT_DIAG!$B$37:$O$45,8,FALSE)</f>
        <v>51970</v>
      </c>
      <c r="P412" s="19">
        <v>46397</v>
      </c>
    </row>
    <row r="413" spans="1:16" x14ac:dyDescent="0.3">
      <c r="A413" s="17" t="s">
        <v>68</v>
      </c>
      <c r="B413" s="17" t="s">
        <v>56</v>
      </c>
      <c r="C413" s="17" t="s">
        <v>51</v>
      </c>
      <c r="D413" s="17" t="s">
        <v>52</v>
      </c>
      <c r="E413" s="17" t="s">
        <v>18</v>
      </c>
      <c r="F413" s="17" t="s">
        <v>20</v>
      </c>
      <c r="G413" s="17" t="s">
        <v>1</v>
      </c>
      <c r="H413" s="19"/>
      <c r="I413" s="19"/>
      <c r="J413" s="19"/>
      <c r="K413" s="19"/>
      <c r="L413" s="19" cm="1">
        <f t="array" ref="L413">_xlfn.XLOOKUP(E413,[4]C5_LMA_DIAG!$A$35:$A$43,_xlfn.XLOOKUP(B413,[4]C5_LMA_DIAG!$A$35:$M$35,[4]C5_LMA_DIAG!$A$35:$M$43))</f>
        <v>41951</v>
      </c>
      <c r="M413" s="19" cm="1">
        <f t="array" ref="M413">_xlfn.XLOOKUP(E413,[5]C6_LMA_DIAG!$A$32:$A$40, _xlfn.XLOOKUP(B413,[5]C6_LMA_DIAG!$A$32:$M$32,[5]C6_LMA_DIAG!$A$32:$M$40))</f>
        <v>48154</v>
      </c>
      <c r="N413" s="19">
        <f>HLOOKUP(B413,[6]C6_LMA_DIAG!$B$36:$O$44,8,FALSE)</f>
        <v>43828</v>
      </c>
      <c r="O413" s="19">
        <f>HLOOKUP(B329,[1]C5_LMT_DIAG!$B$37:$O$45,8,FALSE)</f>
        <v>61784</v>
      </c>
      <c r="P413" s="19">
        <v>66389</v>
      </c>
    </row>
    <row r="414" spans="1:16" x14ac:dyDescent="0.3">
      <c r="A414" s="17" t="s">
        <v>68</v>
      </c>
      <c r="B414" s="17" t="s">
        <v>57</v>
      </c>
      <c r="C414" s="17" t="s">
        <v>51</v>
      </c>
      <c r="D414" s="17" t="s">
        <v>52</v>
      </c>
      <c r="E414" s="17" t="s">
        <v>18</v>
      </c>
      <c r="F414" s="17" t="s">
        <v>20</v>
      </c>
      <c r="G414" s="17" t="s">
        <v>1</v>
      </c>
      <c r="H414" s="19"/>
      <c r="I414" s="19"/>
      <c r="J414" s="19"/>
      <c r="K414" s="19"/>
      <c r="L414" s="19" cm="1">
        <f t="array" ref="L414">_xlfn.XLOOKUP(E414,[4]C5_LMA_DIAG!$A$35:$A$43,_xlfn.XLOOKUP(B414,[4]C5_LMA_DIAG!$A$35:$M$35,[4]C5_LMA_DIAG!$A$35:$M$43))</f>
        <v>19888</v>
      </c>
      <c r="M414" s="19" cm="1">
        <f t="array" ref="M414">_xlfn.XLOOKUP(E414,[5]C6_LMA_DIAG!$A$32:$A$40, _xlfn.XLOOKUP(B414,[5]C6_LMA_DIAG!$A$32:$M$32,[5]C6_LMA_DIAG!$A$32:$M$40))</f>
        <v>22187</v>
      </c>
      <c r="N414" s="19">
        <f>HLOOKUP(B414,[6]C6_LMA_DIAG!$B$36:$O$44,8,FALSE)</f>
        <v>13002</v>
      </c>
      <c r="O414" s="19">
        <f>HLOOKUP(B330,[1]C5_LMT_DIAG!$B$37:$O$45,8,FALSE)</f>
        <v>10591</v>
      </c>
      <c r="P414" s="19">
        <v>20823</v>
      </c>
    </row>
    <row r="415" spans="1:16" x14ac:dyDescent="0.3">
      <c r="A415" s="17" t="s">
        <v>68</v>
      </c>
      <c r="B415" s="17" t="s">
        <v>58</v>
      </c>
      <c r="C415" s="17" t="s">
        <v>51</v>
      </c>
      <c r="D415" s="17" t="s">
        <v>52</v>
      </c>
      <c r="E415" s="17" t="s">
        <v>18</v>
      </c>
      <c r="F415" s="17" t="s">
        <v>20</v>
      </c>
      <c r="G415" s="17" t="s">
        <v>1</v>
      </c>
      <c r="H415" s="19"/>
      <c r="I415" s="19"/>
      <c r="J415" s="19"/>
      <c r="K415" s="19"/>
      <c r="L415" s="19" cm="1">
        <f t="array" ref="L415">_xlfn.XLOOKUP(E415,[4]C5_LMA_DIAG!$A$35:$A$43,_xlfn.XLOOKUP(B415,[4]C5_LMA_DIAG!$A$35:$M$35,[4]C5_LMA_DIAG!$A$35:$M$43))</f>
        <v>12676</v>
      </c>
      <c r="M415" s="19" cm="1">
        <f t="array" ref="M415">_xlfn.XLOOKUP(E415,[5]C6_LMA_DIAG!$A$32:$A$40, _xlfn.XLOOKUP(B415,[5]C6_LMA_DIAG!$A$32:$M$32,[5]C6_LMA_DIAG!$A$32:$M$40))</f>
        <v>15200</v>
      </c>
      <c r="N415" s="19">
        <f>HLOOKUP(B415,[6]C6_LMA_DIAG!$B$36:$O$44,8,FALSE)</f>
        <v>12942</v>
      </c>
      <c r="O415" s="19">
        <f>HLOOKUP(B331,[1]C5_LMT_DIAG!$B$37:$O$45,8,FALSE)</f>
        <v>16621</v>
      </c>
      <c r="P415" s="19">
        <v>19007</v>
      </c>
    </row>
    <row r="416" spans="1:16" x14ac:dyDescent="0.3">
      <c r="A416" s="17" t="s">
        <v>68</v>
      </c>
      <c r="B416" s="17" t="s">
        <v>59</v>
      </c>
      <c r="C416" s="17" t="s">
        <v>51</v>
      </c>
      <c r="D416" s="17" t="s">
        <v>52</v>
      </c>
      <c r="E416" s="17" t="s">
        <v>18</v>
      </c>
      <c r="F416" s="17" t="s">
        <v>20</v>
      </c>
      <c r="G416" s="17" t="s">
        <v>1</v>
      </c>
      <c r="H416" s="19"/>
      <c r="I416" s="19"/>
      <c r="J416" s="19"/>
      <c r="K416" s="19"/>
      <c r="L416" s="19" cm="1">
        <f t="array" ref="L416">_xlfn.XLOOKUP(E416,[4]C5_LMA_DIAG!$A$35:$A$43,_xlfn.XLOOKUP(B416,[4]C5_LMA_DIAG!$A$35:$M$35,[4]C5_LMA_DIAG!$A$35:$M$43))</f>
        <v>4219</v>
      </c>
      <c r="M416" s="19" cm="1">
        <f t="array" ref="M416">_xlfn.XLOOKUP(E416,[5]C6_LMA_DIAG!$A$32:$A$40, _xlfn.XLOOKUP(B416,[5]C6_LMA_DIAG!$A$32:$M$32,[5]C6_LMA_DIAG!$A$32:$M$40))</f>
        <v>4418</v>
      </c>
      <c r="N416" s="19">
        <f>HLOOKUP(B416,[6]C6_LMA_DIAG!$B$36:$O$44,8,FALSE)</f>
        <v>3206</v>
      </c>
      <c r="O416" s="19">
        <f>HLOOKUP(B332,[1]C5_LMT_DIAG!$B$37:$O$45,8,FALSE)</f>
        <v>3296</v>
      </c>
      <c r="P416" s="19">
        <v>4446</v>
      </c>
    </row>
    <row r="417" spans="1:16" x14ac:dyDescent="0.3">
      <c r="A417" s="17" t="s">
        <v>68</v>
      </c>
      <c r="B417" s="17" t="s">
        <v>60</v>
      </c>
      <c r="C417" s="17" t="s">
        <v>51</v>
      </c>
      <c r="D417" s="17" t="s">
        <v>52</v>
      </c>
      <c r="E417" s="17" t="s">
        <v>18</v>
      </c>
      <c r="F417" s="17" t="s">
        <v>20</v>
      </c>
      <c r="G417" s="17" t="s">
        <v>1</v>
      </c>
      <c r="H417" s="19"/>
      <c r="I417" s="19"/>
      <c r="J417" s="19"/>
      <c r="K417" s="19"/>
      <c r="L417" s="19" cm="1">
        <f t="array" ref="L417">_xlfn.XLOOKUP(E417,[4]C5_LMA_DIAG!$A$35:$A$43,_xlfn.XLOOKUP(B417,[4]C5_LMA_DIAG!$A$35:$M$35,[4]C5_LMA_DIAG!$A$35:$M$43))</f>
        <v>8041</v>
      </c>
      <c r="M417" s="19" cm="1">
        <f t="array" ref="M417">_xlfn.XLOOKUP(E417,[5]C6_LMA_DIAG!$A$32:$A$40, _xlfn.XLOOKUP(B417,[5]C6_LMA_DIAG!$A$32:$M$32,[5]C6_LMA_DIAG!$A$32:$M$40))</f>
        <v>9268</v>
      </c>
      <c r="N417" s="19">
        <f>HLOOKUP(B417,[6]C6_LMA_DIAG!$B$36:$O$44,8,FALSE)</f>
        <v>6645</v>
      </c>
      <c r="O417" s="19">
        <f>HLOOKUP(B333,[1]C5_LMT_DIAG!$B$37:$O$45,8,FALSE)</f>
        <v>8844</v>
      </c>
      <c r="P417" s="19">
        <v>11203</v>
      </c>
    </row>
    <row r="418" spans="1:16" x14ac:dyDescent="0.3">
      <c r="A418" s="17" t="s">
        <v>68</v>
      </c>
      <c r="B418" s="17" t="s">
        <v>61</v>
      </c>
      <c r="C418" s="17" t="s">
        <v>51</v>
      </c>
      <c r="D418" s="17" t="s">
        <v>52</v>
      </c>
      <c r="E418" s="17" t="s">
        <v>18</v>
      </c>
      <c r="F418" s="17" t="s">
        <v>20</v>
      </c>
      <c r="G418" s="17" t="s">
        <v>1</v>
      </c>
      <c r="H418" s="19"/>
      <c r="I418" s="19"/>
      <c r="J418" s="19"/>
      <c r="K418" s="19"/>
      <c r="L418" s="19" cm="1">
        <f t="array" ref="L418">_xlfn.XLOOKUP(E418,[4]C5_LMA_DIAG!$A$35:$A$43,_xlfn.XLOOKUP(B418,[4]C5_LMA_DIAG!$A$35:$M$35,[4]C5_LMA_DIAG!$A$35:$M$43))</f>
        <v>36</v>
      </c>
      <c r="M418" s="19" cm="1">
        <f t="array" ref="M418">_xlfn.XLOOKUP(E418,[5]C6_LMA_DIAG!$A$32:$A$40, _xlfn.XLOOKUP(B418,[5]C6_LMA_DIAG!$A$32:$M$32,[5]C6_LMA_DIAG!$A$32:$M$40))</f>
        <v>104</v>
      </c>
      <c r="N418" s="19">
        <f>HLOOKUP(B418,[6]C6_LMA_DIAG!$B$36:$O$44,8,FALSE)</f>
        <v>19</v>
      </c>
      <c r="O418" s="19">
        <f>HLOOKUP(B334,[1]C5_LMT_DIAG!$B$37:$O$45,8,FALSE)</f>
        <v>17</v>
      </c>
      <c r="P418" s="19">
        <v>10</v>
      </c>
    </row>
    <row r="419" spans="1:16" x14ac:dyDescent="0.3">
      <c r="A419" s="17" t="s">
        <v>68</v>
      </c>
      <c r="B419" s="17" t="s">
        <v>62</v>
      </c>
      <c r="C419" s="17" t="s">
        <v>51</v>
      </c>
      <c r="D419" s="17" t="s">
        <v>52</v>
      </c>
      <c r="E419" s="17" t="s">
        <v>18</v>
      </c>
      <c r="F419" s="17" t="s">
        <v>20</v>
      </c>
      <c r="G419" s="17" t="s">
        <v>1</v>
      </c>
      <c r="H419" s="19"/>
      <c r="I419" s="19"/>
      <c r="J419" s="19"/>
      <c r="K419" s="19"/>
      <c r="L419" s="19" cm="1">
        <f t="array" ref="L419">_xlfn.XLOOKUP(E419,[4]C5_LMA_DIAG!$A$35:$A$43,_xlfn.XLOOKUP(B419,[4]C5_LMA_DIAG!$A$35:$M$35,[4]C5_LMA_DIAG!$A$35:$M$43))</f>
        <v>6736</v>
      </c>
      <c r="M419" s="19" cm="1">
        <f t="array" ref="M419">_xlfn.XLOOKUP(E419,[5]C6_LMA_DIAG!$A$32:$A$40, _xlfn.XLOOKUP(B419,[5]C6_LMA_DIAG!$A$32:$M$32,[5]C6_LMA_DIAG!$A$32:$M$40))</f>
        <v>7543</v>
      </c>
      <c r="N419" s="19">
        <f>HLOOKUP(B419,[6]C6_LMA_DIAG!$B$36:$O$44,8,FALSE)</f>
        <v>6314</v>
      </c>
      <c r="O419" s="19">
        <f>HLOOKUP(B335,[1]C5_LMT_DIAG!$B$37:$O$45,8,FALSE)</f>
        <v>7145</v>
      </c>
      <c r="P419" s="19">
        <v>8453</v>
      </c>
    </row>
    <row r="420" spans="1:16" x14ac:dyDescent="0.3">
      <c r="A420" s="17" t="s">
        <v>68</v>
      </c>
      <c r="B420" s="17" t="s">
        <v>63</v>
      </c>
      <c r="C420" s="17" t="s">
        <v>51</v>
      </c>
      <c r="D420" s="17" t="s">
        <v>52</v>
      </c>
      <c r="E420" s="17" t="s">
        <v>18</v>
      </c>
      <c r="F420" s="17" t="s">
        <v>20</v>
      </c>
      <c r="G420" s="17" t="s">
        <v>1</v>
      </c>
      <c r="H420" s="19"/>
      <c r="I420" s="19"/>
      <c r="J420" s="19"/>
      <c r="K420" s="19"/>
      <c r="L420" s="19" cm="1">
        <f t="array" ref="L420">_xlfn.XLOOKUP(E420,[4]C5_LMA_DIAG!$A$35:$A$43,_xlfn.XLOOKUP(B420,[4]C5_LMA_DIAG!$A$35:$M$35,[4]C5_LMA_DIAG!$A$35:$M$43))</f>
        <v>14250</v>
      </c>
      <c r="M420" s="19" cm="1">
        <f t="array" ref="M420">_xlfn.XLOOKUP(E420,[5]C6_LMA_DIAG!$A$32:$A$40, _xlfn.XLOOKUP(B420,[5]C6_LMA_DIAG!$A$32:$M$32,[5]C6_LMA_DIAG!$A$32:$M$40))</f>
        <v>16107</v>
      </c>
      <c r="N420" s="19">
        <f>HLOOKUP(B420,[6]C6_LMA_DIAG!$B$36:$O$44,8,FALSE)</f>
        <v>15189</v>
      </c>
      <c r="O420" s="19">
        <f>HLOOKUP(B336,[1]C5_LMT_DIAG!$B$37:$O$45,8,FALSE)</f>
        <v>15921</v>
      </c>
      <c r="P420" s="19">
        <v>17024</v>
      </c>
    </row>
    <row r="421" spans="1:16" x14ac:dyDescent="0.3">
      <c r="A421" s="17" t="s">
        <v>68</v>
      </c>
      <c r="B421" s="17" t="s">
        <v>64</v>
      </c>
      <c r="C421" s="17" t="s">
        <v>51</v>
      </c>
      <c r="D421" s="17" t="s">
        <v>52</v>
      </c>
      <c r="E421" s="17" t="s">
        <v>18</v>
      </c>
      <c r="F421" s="17" t="s">
        <v>20</v>
      </c>
      <c r="G421" s="17" t="s">
        <v>1</v>
      </c>
      <c r="H421" s="19"/>
      <c r="I421" s="19"/>
      <c r="J421" s="19"/>
      <c r="K421" s="19"/>
      <c r="L421" s="19" cm="1">
        <f t="array" ref="L421">_xlfn.XLOOKUP(E421,[4]C5_LMA_DIAG!$A$35:$A$43,_xlfn.XLOOKUP(B421,[4]C5_LMA_DIAG!$A$35:$M$35,[4]C5_LMA_DIAG!$A$35:$M$43))</f>
        <v>17434</v>
      </c>
      <c r="M421" s="19" cm="1">
        <f t="array" ref="M421">_xlfn.XLOOKUP(E421,[5]C6_LMA_DIAG!$A$32:$A$40, _xlfn.XLOOKUP(B421,[5]C6_LMA_DIAG!$A$32:$M$32,[5]C6_LMA_DIAG!$A$32:$M$40))</f>
        <v>19427</v>
      </c>
      <c r="N421" s="19">
        <f>HLOOKUP(B421,[6]C6_LMA_DIAG!$B$36:$O$44,8,FALSE)</f>
        <v>19707</v>
      </c>
      <c r="O421" s="19">
        <f>HLOOKUP(B337,[1]C5_LMT_DIAG!$B$37:$O$45,8,FALSE)</f>
        <v>21943</v>
      </c>
      <c r="P421" s="19">
        <v>21631</v>
      </c>
    </row>
    <row r="422" spans="1:16" x14ac:dyDescent="0.3">
      <c r="A422" s="17" t="s">
        <v>68</v>
      </c>
      <c r="B422" s="17" t="s">
        <v>70</v>
      </c>
      <c r="C422" s="17" t="s">
        <v>51</v>
      </c>
      <c r="D422" s="17" t="s">
        <v>52</v>
      </c>
      <c r="E422" s="17" t="s">
        <v>18</v>
      </c>
      <c r="F422" s="17" t="s">
        <v>20</v>
      </c>
      <c r="G422" s="17" t="s">
        <v>1</v>
      </c>
      <c r="H422" s="19"/>
      <c r="I422" s="19"/>
      <c r="J422" s="19"/>
      <c r="K422" s="19"/>
      <c r="L422" s="19">
        <v>0</v>
      </c>
      <c r="M422" s="19">
        <v>0</v>
      </c>
      <c r="N422" s="19">
        <f>HLOOKUP(B422,[6]C6_LMA_DIAG!$B$36:$O$44,8,FALSE)</f>
        <v>16623</v>
      </c>
      <c r="O422" s="19">
        <f>HLOOKUP(B338,[1]C5_LMT_DIAG!$B$37:$O$45,8,FALSE)</f>
        <v>26805</v>
      </c>
      <c r="P422" s="19">
        <v>28572</v>
      </c>
    </row>
    <row r="423" spans="1:16" x14ac:dyDescent="0.3">
      <c r="A423" s="17"/>
      <c r="B423" s="17" t="s">
        <v>71</v>
      </c>
      <c r="C423" s="17" t="s">
        <v>51</v>
      </c>
      <c r="D423" s="17" t="s">
        <v>52</v>
      </c>
      <c r="E423" s="17" t="s">
        <v>18</v>
      </c>
      <c r="F423" s="17" t="s">
        <v>20</v>
      </c>
      <c r="G423" s="17" t="s">
        <v>1</v>
      </c>
      <c r="H423" s="19"/>
      <c r="I423" s="19"/>
      <c r="J423" s="19"/>
      <c r="K423" s="19"/>
      <c r="L423" s="19">
        <v>0</v>
      </c>
      <c r="M423" s="19">
        <v>0</v>
      </c>
      <c r="N423" s="19">
        <f>HLOOKUP(B423,[6]C6_LMA_DIAG!$B$36:$O$44,8,FALSE)</f>
        <v>0</v>
      </c>
      <c r="O423" s="19">
        <f>HLOOKUP(B339,[1]C5_LMT_DIAG!$B$37:$O$45,8,FALSE)</f>
        <v>1</v>
      </c>
      <c r="P423" s="19">
        <v>0</v>
      </c>
    </row>
    <row r="424" spans="1:16" x14ac:dyDescent="0.3">
      <c r="A424" s="17" t="s">
        <v>68</v>
      </c>
      <c r="B424" s="17" t="s">
        <v>65</v>
      </c>
      <c r="C424" s="17" t="s">
        <v>51</v>
      </c>
      <c r="D424" s="17" t="s">
        <v>52</v>
      </c>
      <c r="E424" s="17" t="s">
        <v>18</v>
      </c>
      <c r="F424" s="17" t="s">
        <v>20</v>
      </c>
      <c r="G424" s="17" t="s">
        <v>1</v>
      </c>
      <c r="H424" s="19"/>
      <c r="I424" s="19"/>
      <c r="J424" s="19"/>
      <c r="K424" s="19"/>
      <c r="L424" s="19" cm="1">
        <f t="array" ref="L424">_xlfn.XLOOKUP(E424,[4]C5_LMA_DIAG!$A$35:$A$43,_xlfn.XLOOKUP(B424,[4]C5_LMA_DIAG!$A$35:$M$35,[4]C5_LMA_DIAG!$A$35:$M$43))</f>
        <v>26430</v>
      </c>
      <c r="M424" s="19" cm="1">
        <f t="array" ref="M424">_xlfn.XLOOKUP(E424,[5]C6_LMA_DIAG!$A$32:$A$40, _xlfn.XLOOKUP(B424,[5]C6_LMA_DIAG!$A$32:$M$32,[5]C6_LMA_DIAG!$A$32:$M$40))</f>
        <v>28625</v>
      </c>
      <c r="N424" s="19">
        <f>HLOOKUP(B424,[6]C6_LMA_DIAG!$B$36:$O$44,8,FALSE)</f>
        <v>24099</v>
      </c>
      <c r="O424" s="19">
        <f>HLOOKUP(B340,[1]C5_LMT_DIAG!$B$37:$O$45,8,FALSE)</f>
        <v>30055</v>
      </c>
      <c r="P424" s="19">
        <v>32581</v>
      </c>
    </row>
    <row r="425" spans="1:16" x14ac:dyDescent="0.3">
      <c r="A425" s="17" t="s">
        <v>68</v>
      </c>
      <c r="B425" s="17" t="s">
        <v>19</v>
      </c>
      <c r="C425" s="17" t="s">
        <v>51</v>
      </c>
      <c r="D425" s="17" t="s">
        <v>52</v>
      </c>
      <c r="E425" s="17" t="s">
        <v>18</v>
      </c>
      <c r="F425" s="17" t="s">
        <v>20</v>
      </c>
      <c r="G425" s="17" t="s">
        <v>1</v>
      </c>
      <c r="H425" s="19"/>
      <c r="I425" s="19"/>
      <c r="J425" s="19"/>
      <c r="K425" s="19"/>
      <c r="L425" s="19" cm="1">
        <f t="array" ref="L425">_xlfn.XLOOKUP(E425,[4]C5_LMA_DIAG!$A$35:$A$43,_xlfn.XLOOKUP(B425,[4]C5_LMA_DIAG!$A$35:$M$35,[4]C5_LMA_DIAG!$A$35:$M$43))</f>
        <v>2</v>
      </c>
      <c r="M425" s="19" cm="1">
        <f t="array" ref="M425">_xlfn.XLOOKUP(E425,[5]C6_LMA_DIAG!$A$32:$A$40, _xlfn.XLOOKUP(B425,[5]C6_LMA_DIAG!$A$32:$M$32,[5]C6_LMA_DIAG!$A$32:$M$40))</f>
        <v>5</v>
      </c>
      <c r="N425" s="19">
        <f>HLOOKUP(B425,[6]C6_LMA_DIAG!$B$36:$O$44,8,FALSE)</f>
        <v>0</v>
      </c>
      <c r="O425" s="19">
        <f>HLOOKUP(B341,[1]C5_LMT_DIAG!$B$37:$O$45,8,FALSE)</f>
        <v>17</v>
      </c>
      <c r="P425" s="19">
        <v>0</v>
      </c>
    </row>
    <row r="426" spans="1:16" x14ac:dyDescent="0.3">
      <c r="A426" s="18" t="s">
        <v>68</v>
      </c>
      <c r="B426" s="18" t="s">
        <v>55</v>
      </c>
      <c r="C426" s="18" t="s">
        <v>51</v>
      </c>
      <c r="D426" s="18" t="s">
        <v>52</v>
      </c>
      <c r="E426" s="18" t="s">
        <v>19</v>
      </c>
      <c r="F426" s="18" t="s">
        <v>20</v>
      </c>
      <c r="G426" s="18" t="s">
        <v>1</v>
      </c>
      <c r="H426" s="20"/>
      <c r="I426" s="20"/>
      <c r="J426" s="20"/>
      <c r="K426" s="20"/>
      <c r="L426" s="19" cm="1">
        <f t="array" ref="L426">_xlfn.XLOOKUP(E426,[4]C5_LMA_DIAG!$A$35:$A$43,_xlfn.XLOOKUP(B426,[4]C5_LMA_DIAG!$A$35:$M$35,[4]C5_LMA_DIAG!$A$35:$M$43))</f>
        <v>0</v>
      </c>
      <c r="M426" s="19" cm="1">
        <f t="array" ref="M426">_xlfn.XLOOKUP(E426,[5]C6_LMA_DIAG!$A$32:$A$40, _xlfn.XLOOKUP(B426,[5]C6_LMA_DIAG!$A$32:$M$32,[5]C6_LMA_DIAG!$A$32:$M$40))</f>
        <v>0</v>
      </c>
      <c r="N426" s="19">
        <f>HLOOKUP(B426,[6]C6_LMA_DIAG!$B$36:$O$44,9,FALSE)</f>
        <v>0</v>
      </c>
      <c r="O426" s="19">
        <f>HLOOKUP(B426,[1]C5_LMT_DIAG!$B$37:$O$45,9,FALSE)</f>
        <v>0</v>
      </c>
      <c r="P426" s="20">
        <v>0</v>
      </c>
    </row>
    <row r="427" spans="1:16" x14ac:dyDescent="0.3">
      <c r="A427" s="18" t="s">
        <v>68</v>
      </c>
      <c r="B427" s="18" t="s">
        <v>56</v>
      </c>
      <c r="C427" s="18" t="s">
        <v>51</v>
      </c>
      <c r="D427" s="18" t="s">
        <v>52</v>
      </c>
      <c r="E427" s="18" t="s">
        <v>19</v>
      </c>
      <c r="F427" s="18" t="s">
        <v>20</v>
      </c>
      <c r="G427" s="18" t="s">
        <v>1</v>
      </c>
      <c r="H427" s="20"/>
      <c r="I427" s="20"/>
      <c r="J427" s="20"/>
      <c r="K427" s="20"/>
      <c r="L427" s="19" cm="1">
        <f t="array" ref="L427">_xlfn.XLOOKUP(E427,[4]C5_LMA_DIAG!$A$35:$A$43,_xlfn.XLOOKUP(B427,[4]C5_LMA_DIAG!$A$35:$M$35,[4]C5_LMA_DIAG!$A$35:$M$43))</f>
        <v>0</v>
      </c>
      <c r="M427" s="19" cm="1">
        <f t="array" ref="M427">_xlfn.XLOOKUP(E427,[5]C6_LMA_DIAG!$A$32:$A$40, _xlfn.XLOOKUP(B427,[5]C6_LMA_DIAG!$A$32:$M$32,[5]C6_LMA_DIAG!$A$32:$M$40))</f>
        <v>0</v>
      </c>
      <c r="N427" s="19">
        <f>HLOOKUP(B427,[6]C6_LMA_DIAG!$B$36:$O$44,9,FALSE)</f>
        <v>0</v>
      </c>
      <c r="O427" s="19">
        <f>HLOOKUP(B427,[1]C5_LMT_DIAG!$B$37:$O$45,9,FALSE)</f>
        <v>0</v>
      </c>
      <c r="P427" s="20">
        <v>0</v>
      </c>
    </row>
    <row r="428" spans="1:16" x14ac:dyDescent="0.3">
      <c r="A428" s="18" t="s">
        <v>68</v>
      </c>
      <c r="B428" s="18" t="s">
        <v>57</v>
      </c>
      <c r="C428" s="18" t="s">
        <v>51</v>
      </c>
      <c r="D428" s="18" t="s">
        <v>52</v>
      </c>
      <c r="E428" s="18" t="s">
        <v>19</v>
      </c>
      <c r="F428" s="18" t="s">
        <v>20</v>
      </c>
      <c r="G428" s="18" t="s">
        <v>1</v>
      </c>
      <c r="H428" s="20"/>
      <c r="I428" s="20"/>
      <c r="J428" s="20"/>
      <c r="K428" s="20"/>
      <c r="L428" s="19" cm="1">
        <f t="array" ref="L428">_xlfn.XLOOKUP(E428,[4]C5_LMA_DIAG!$A$35:$A$43,_xlfn.XLOOKUP(B428,[4]C5_LMA_DIAG!$A$35:$M$35,[4]C5_LMA_DIAG!$A$35:$M$43))</f>
        <v>0</v>
      </c>
      <c r="M428" s="19" cm="1">
        <f t="array" ref="M428">_xlfn.XLOOKUP(E428,[5]C6_LMA_DIAG!$A$32:$A$40, _xlfn.XLOOKUP(B428,[5]C6_LMA_DIAG!$A$32:$M$32,[5]C6_LMA_DIAG!$A$32:$M$40))</f>
        <v>0</v>
      </c>
      <c r="N428" s="19">
        <f>HLOOKUP(B428,[6]C6_LMA_DIAG!$B$36:$O$44,9,FALSE)</f>
        <v>0</v>
      </c>
      <c r="O428" s="19">
        <f>HLOOKUP(B428,[1]C5_LMT_DIAG!$B$37:$O$45,9,FALSE)</f>
        <v>0</v>
      </c>
      <c r="P428" s="20">
        <v>0</v>
      </c>
    </row>
    <row r="429" spans="1:16" x14ac:dyDescent="0.3">
      <c r="A429" s="18" t="s">
        <v>68</v>
      </c>
      <c r="B429" s="18" t="s">
        <v>58</v>
      </c>
      <c r="C429" s="18" t="s">
        <v>51</v>
      </c>
      <c r="D429" s="18" t="s">
        <v>52</v>
      </c>
      <c r="E429" s="18" t="s">
        <v>19</v>
      </c>
      <c r="F429" s="18" t="s">
        <v>20</v>
      </c>
      <c r="G429" s="18" t="s">
        <v>1</v>
      </c>
      <c r="H429" s="20"/>
      <c r="I429" s="20"/>
      <c r="J429" s="20"/>
      <c r="K429" s="20"/>
      <c r="L429" s="19" cm="1">
        <f t="array" ref="L429">_xlfn.XLOOKUP(E429,[4]C5_LMA_DIAG!$A$35:$A$43,_xlfn.XLOOKUP(B429,[4]C5_LMA_DIAG!$A$35:$M$35,[4]C5_LMA_DIAG!$A$35:$M$43))</f>
        <v>0</v>
      </c>
      <c r="M429" s="19" cm="1">
        <f t="array" ref="M429">_xlfn.XLOOKUP(E429,[5]C6_LMA_DIAG!$A$32:$A$40, _xlfn.XLOOKUP(B429,[5]C6_LMA_DIAG!$A$32:$M$32,[5]C6_LMA_DIAG!$A$32:$M$40))</f>
        <v>0</v>
      </c>
      <c r="N429" s="19">
        <f>HLOOKUP(B429,[6]C6_LMA_DIAG!$B$36:$O$44,9,FALSE)</f>
        <v>0</v>
      </c>
      <c r="O429" s="19">
        <f>HLOOKUP(B429,[1]C5_LMT_DIAG!$B$37:$O$45,9,FALSE)</f>
        <v>0</v>
      </c>
      <c r="P429" s="20">
        <v>0</v>
      </c>
    </row>
    <row r="430" spans="1:16" x14ac:dyDescent="0.3">
      <c r="A430" s="18" t="s">
        <v>68</v>
      </c>
      <c r="B430" s="18" t="s">
        <v>59</v>
      </c>
      <c r="C430" s="18" t="s">
        <v>51</v>
      </c>
      <c r="D430" s="18" t="s">
        <v>52</v>
      </c>
      <c r="E430" s="18" t="s">
        <v>19</v>
      </c>
      <c r="F430" s="18" t="s">
        <v>20</v>
      </c>
      <c r="G430" s="18" t="s">
        <v>1</v>
      </c>
      <c r="H430" s="20"/>
      <c r="I430" s="20"/>
      <c r="J430" s="20"/>
      <c r="K430" s="20"/>
      <c r="L430" s="19" cm="1">
        <f t="array" ref="L430">_xlfn.XLOOKUP(E430,[4]C5_LMA_DIAG!$A$35:$A$43,_xlfn.XLOOKUP(B430,[4]C5_LMA_DIAG!$A$35:$M$35,[4]C5_LMA_DIAG!$A$35:$M$43))</f>
        <v>0</v>
      </c>
      <c r="M430" s="19" cm="1">
        <f t="array" ref="M430">_xlfn.XLOOKUP(E430,[5]C6_LMA_DIAG!$A$32:$A$40, _xlfn.XLOOKUP(B430,[5]C6_LMA_DIAG!$A$32:$M$32,[5]C6_LMA_DIAG!$A$32:$M$40))</f>
        <v>0</v>
      </c>
      <c r="N430" s="19">
        <f>HLOOKUP(B430,[6]C6_LMA_DIAG!$B$36:$O$44,9,FALSE)</f>
        <v>0</v>
      </c>
      <c r="O430" s="19">
        <f>HLOOKUP(B430,[1]C5_LMT_DIAG!$B$37:$O$45,9,FALSE)</f>
        <v>0</v>
      </c>
      <c r="P430" s="20">
        <v>0</v>
      </c>
    </row>
    <row r="431" spans="1:16" x14ac:dyDescent="0.3">
      <c r="A431" s="18" t="s">
        <v>68</v>
      </c>
      <c r="B431" s="18" t="s">
        <v>60</v>
      </c>
      <c r="C431" s="18" t="s">
        <v>51</v>
      </c>
      <c r="D431" s="18" t="s">
        <v>52</v>
      </c>
      <c r="E431" s="18" t="s">
        <v>19</v>
      </c>
      <c r="F431" s="18" t="s">
        <v>20</v>
      </c>
      <c r="G431" s="18" t="s">
        <v>1</v>
      </c>
      <c r="H431" s="20"/>
      <c r="I431" s="20"/>
      <c r="J431" s="20"/>
      <c r="K431" s="20"/>
      <c r="L431" s="19" cm="1">
        <f t="array" ref="L431">_xlfn.XLOOKUP(E431,[4]C5_LMA_DIAG!$A$35:$A$43,_xlfn.XLOOKUP(B431,[4]C5_LMA_DIAG!$A$35:$M$35,[4]C5_LMA_DIAG!$A$35:$M$43))</f>
        <v>0</v>
      </c>
      <c r="M431" s="19" cm="1">
        <f t="array" ref="M431">_xlfn.XLOOKUP(E431,[5]C6_LMA_DIAG!$A$32:$A$40, _xlfn.XLOOKUP(B431,[5]C6_LMA_DIAG!$A$32:$M$32,[5]C6_LMA_DIAG!$A$32:$M$40))</f>
        <v>0</v>
      </c>
      <c r="N431" s="19">
        <f>HLOOKUP(B431,[6]C6_LMA_DIAG!$B$36:$O$44,9,FALSE)</f>
        <v>0</v>
      </c>
      <c r="O431" s="19">
        <f>HLOOKUP(B431,[1]C5_LMT_DIAG!$B$37:$O$45,9,FALSE)</f>
        <v>0</v>
      </c>
      <c r="P431" s="20">
        <v>0</v>
      </c>
    </row>
    <row r="432" spans="1:16" x14ac:dyDescent="0.3">
      <c r="A432" s="18" t="s">
        <v>68</v>
      </c>
      <c r="B432" s="18" t="s">
        <v>61</v>
      </c>
      <c r="C432" s="18" t="s">
        <v>51</v>
      </c>
      <c r="D432" s="18" t="s">
        <v>52</v>
      </c>
      <c r="E432" s="18" t="s">
        <v>19</v>
      </c>
      <c r="F432" s="18" t="s">
        <v>20</v>
      </c>
      <c r="G432" s="18" t="s">
        <v>1</v>
      </c>
      <c r="H432" s="20"/>
      <c r="I432" s="20"/>
      <c r="J432" s="20"/>
      <c r="K432" s="20"/>
      <c r="L432" s="19" cm="1">
        <f t="array" ref="L432">_xlfn.XLOOKUP(E432,[4]C5_LMA_DIAG!$A$35:$A$43,_xlfn.XLOOKUP(B432,[4]C5_LMA_DIAG!$A$35:$M$35,[4]C5_LMA_DIAG!$A$35:$M$43))</f>
        <v>0</v>
      </c>
      <c r="M432" s="19" cm="1">
        <f t="array" ref="M432">_xlfn.XLOOKUP(E432,[5]C6_LMA_DIAG!$A$32:$A$40, _xlfn.XLOOKUP(B432,[5]C6_LMA_DIAG!$A$32:$M$32,[5]C6_LMA_DIAG!$A$32:$M$40))</f>
        <v>0</v>
      </c>
      <c r="N432" s="19">
        <f>HLOOKUP(B432,[6]C6_LMA_DIAG!$B$36:$O$44,9,FALSE)</f>
        <v>0</v>
      </c>
      <c r="O432" s="19">
        <f>HLOOKUP(B432,[1]C5_LMT_DIAG!$B$37:$O$45,9,FALSE)</f>
        <v>0</v>
      </c>
      <c r="P432" s="20">
        <v>0</v>
      </c>
    </row>
    <row r="433" spans="1:16" x14ac:dyDescent="0.3">
      <c r="A433" s="18" t="s">
        <v>68</v>
      </c>
      <c r="B433" s="18" t="s">
        <v>62</v>
      </c>
      <c r="C433" s="18" t="s">
        <v>51</v>
      </c>
      <c r="D433" s="18" t="s">
        <v>52</v>
      </c>
      <c r="E433" s="18" t="s">
        <v>19</v>
      </c>
      <c r="F433" s="18" t="s">
        <v>20</v>
      </c>
      <c r="G433" s="18" t="s">
        <v>1</v>
      </c>
      <c r="H433" s="20"/>
      <c r="I433" s="20"/>
      <c r="J433" s="20"/>
      <c r="K433" s="20"/>
      <c r="L433" s="19" cm="1">
        <f t="array" ref="L433">_xlfn.XLOOKUP(E433,[4]C5_LMA_DIAG!$A$35:$A$43,_xlfn.XLOOKUP(B433,[4]C5_LMA_DIAG!$A$35:$M$35,[4]C5_LMA_DIAG!$A$35:$M$43))</f>
        <v>0</v>
      </c>
      <c r="M433" s="19" cm="1">
        <f t="array" ref="M433">_xlfn.XLOOKUP(E433,[5]C6_LMA_DIAG!$A$32:$A$40, _xlfn.XLOOKUP(B433,[5]C6_LMA_DIAG!$A$32:$M$32,[5]C6_LMA_DIAG!$A$32:$M$40))</f>
        <v>0</v>
      </c>
      <c r="N433" s="19">
        <f>HLOOKUP(B433,[6]C6_LMA_DIAG!$B$36:$O$44,9,FALSE)</f>
        <v>0</v>
      </c>
      <c r="O433" s="19">
        <f>HLOOKUP(B433,[1]C5_LMT_DIAG!$B$37:$O$45,9,FALSE)</f>
        <v>0</v>
      </c>
      <c r="P433" s="20">
        <v>0</v>
      </c>
    </row>
    <row r="434" spans="1:16" x14ac:dyDescent="0.3">
      <c r="A434" s="18" t="s">
        <v>68</v>
      </c>
      <c r="B434" s="18" t="s">
        <v>63</v>
      </c>
      <c r="C434" s="18" t="s">
        <v>51</v>
      </c>
      <c r="D434" s="18" t="s">
        <v>52</v>
      </c>
      <c r="E434" s="18" t="s">
        <v>19</v>
      </c>
      <c r="F434" s="18" t="s">
        <v>20</v>
      </c>
      <c r="G434" s="18" t="s">
        <v>1</v>
      </c>
      <c r="H434" s="20"/>
      <c r="I434" s="20"/>
      <c r="J434" s="20"/>
      <c r="K434" s="20"/>
      <c r="L434" s="19" cm="1">
        <f t="array" ref="L434">_xlfn.XLOOKUP(E434,[4]C5_LMA_DIAG!$A$35:$A$43,_xlfn.XLOOKUP(B434,[4]C5_LMA_DIAG!$A$35:$M$35,[4]C5_LMA_DIAG!$A$35:$M$43))</f>
        <v>0</v>
      </c>
      <c r="M434" s="19" cm="1">
        <f t="array" ref="M434">_xlfn.XLOOKUP(E434,[5]C6_LMA_DIAG!$A$32:$A$40, _xlfn.XLOOKUP(B434,[5]C6_LMA_DIAG!$A$32:$M$32,[5]C6_LMA_DIAG!$A$32:$M$40))</f>
        <v>0</v>
      </c>
      <c r="N434" s="19">
        <f>HLOOKUP(B434,[6]C6_LMA_DIAG!$B$36:$O$44,9,FALSE)</f>
        <v>0</v>
      </c>
      <c r="O434" s="19">
        <f>HLOOKUP(B434,[1]C5_LMT_DIAG!$B$37:$O$45,9,FALSE)</f>
        <v>0</v>
      </c>
      <c r="P434" s="20">
        <v>0</v>
      </c>
    </row>
    <row r="435" spans="1:16" x14ac:dyDescent="0.3">
      <c r="A435" s="18" t="s">
        <v>68</v>
      </c>
      <c r="B435" s="18" t="s">
        <v>64</v>
      </c>
      <c r="C435" s="18" t="s">
        <v>51</v>
      </c>
      <c r="D435" s="18" t="s">
        <v>52</v>
      </c>
      <c r="E435" s="18" t="s">
        <v>19</v>
      </c>
      <c r="F435" s="18" t="s">
        <v>20</v>
      </c>
      <c r="G435" s="18" t="s">
        <v>1</v>
      </c>
      <c r="H435" s="20"/>
      <c r="I435" s="20"/>
      <c r="J435" s="20"/>
      <c r="K435" s="20"/>
      <c r="L435" s="19" cm="1">
        <f t="array" ref="L435">_xlfn.XLOOKUP(E435,[4]C5_LMA_DIAG!$A$35:$A$43,_xlfn.XLOOKUP(B435,[4]C5_LMA_DIAG!$A$35:$M$35,[4]C5_LMA_DIAG!$A$35:$M$43))</f>
        <v>0</v>
      </c>
      <c r="M435" s="19" cm="1">
        <f t="array" ref="M435">_xlfn.XLOOKUP(E435,[5]C6_LMA_DIAG!$A$32:$A$40, _xlfn.XLOOKUP(B435,[5]C6_LMA_DIAG!$A$32:$M$32,[5]C6_LMA_DIAG!$A$32:$M$40))</f>
        <v>0</v>
      </c>
      <c r="N435" s="19">
        <f>HLOOKUP(B435,[6]C6_LMA_DIAG!$B$36:$O$44,9,FALSE)</f>
        <v>0</v>
      </c>
      <c r="O435" s="19">
        <f>HLOOKUP(B435,[1]C5_LMT_DIAG!$B$37:$O$45,9,FALSE)</f>
        <v>0</v>
      </c>
      <c r="P435" s="20">
        <v>0</v>
      </c>
    </row>
    <row r="436" spans="1:16" x14ac:dyDescent="0.3">
      <c r="A436" s="18" t="s">
        <v>68</v>
      </c>
      <c r="B436" s="18" t="s">
        <v>70</v>
      </c>
      <c r="C436" s="18" t="s">
        <v>51</v>
      </c>
      <c r="D436" s="18" t="s">
        <v>52</v>
      </c>
      <c r="E436" s="18" t="s">
        <v>19</v>
      </c>
      <c r="F436" s="18" t="s">
        <v>20</v>
      </c>
      <c r="G436" s="18" t="s">
        <v>1</v>
      </c>
      <c r="H436" s="20"/>
      <c r="I436" s="20"/>
      <c r="J436" s="20"/>
      <c r="K436" s="20"/>
      <c r="L436" s="19">
        <v>0</v>
      </c>
      <c r="M436" s="19">
        <v>0</v>
      </c>
      <c r="N436" s="19">
        <f>HLOOKUP(B436,[6]C6_LMA_DIAG!$B$36:$O$44,9,FALSE)</f>
        <v>0</v>
      </c>
      <c r="O436" s="19">
        <f>HLOOKUP(B436,[1]C5_LMT_DIAG!$B$37:$O$45,9,FALSE)</f>
        <v>0</v>
      </c>
      <c r="P436" s="20">
        <v>0</v>
      </c>
    </row>
    <row r="437" spans="1:16" x14ac:dyDescent="0.3">
      <c r="A437" s="18"/>
      <c r="B437" s="18" t="s">
        <v>71</v>
      </c>
      <c r="C437" s="18" t="s">
        <v>51</v>
      </c>
      <c r="D437" s="18" t="s">
        <v>52</v>
      </c>
      <c r="E437" s="18" t="s">
        <v>19</v>
      </c>
      <c r="F437" s="18" t="s">
        <v>20</v>
      </c>
      <c r="G437" s="18" t="s">
        <v>1</v>
      </c>
      <c r="H437" s="20"/>
      <c r="I437" s="20"/>
      <c r="J437" s="20"/>
      <c r="K437" s="20"/>
      <c r="L437" s="19">
        <v>0</v>
      </c>
      <c r="M437" s="19">
        <v>0</v>
      </c>
      <c r="N437" s="19">
        <f>HLOOKUP(B437,[6]C6_LMA_DIAG!$B$36:$O$44,9,FALSE)</f>
        <v>0</v>
      </c>
      <c r="O437" s="19">
        <f>HLOOKUP(B437,[1]C5_LMT_DIAG!$B$37:$O$45,9,FALSE)</f>
        <v>0</v>
      </c>
      <c r="P437" s="20">
        <v>0</v>
      </c>
    </row>
    <row r="438" spans="1:16" x14ac:dyDescent="0.3">
      <c r="A438" s="18" t="s">
        <v>68</v>
      </c>
      <c r="B438" s="18" t="s">
        <v>65</v>
      </c>
      <c r="C438" s="18" t="s">
        <v>51</v>
      </c>
      <c r="D438" s="18" t="s">
        <v>52</v>
      </c>
      <c r="E438" s="18" t="s">
        <v>19</v>
      </c>
      <c r="F438" s="18" t="s">
        <v>20</v>
      </c>
      <c r="G438" s="18" t="s">
        <v>1</v>
      </c>
      <c r="H438" s="20"/>
      <c r="I438" s="20"/>
      <c r="J438" s="20"/>
      <c r="K438" s="20"/>
      <c r="L438" s="19" cm="1">
        <f t="array" ref="L438">_xlfn.XLOOKUP(E438,[4]C5_LMA_DIAG!$A$35:$A$43,_xlfn.XLOOKUP(B438,[4]C5_LMA_DIAG!$A$35:$M$35,[4]C5_LMA_DIAG!$A$35:$M$43))</f>
        <v>0</v>
      </c>
      <c r="M438" s="19" cm="1">
        <f t="array" ref="M438">_xlfn.XLOOKUP(E438,[5]C6_LMA_DIAG!$A$32:$A$40, _xlfn.XLOOKUP(B438,[5]C6_LMA_DIAG!$A$32:$M$32,[5]C6_LMA_DIAG!$A$32:$M$40))</f>
        <v>0</v>
      </c>
      <c r="N438" s="19">
        <f>HLOOKUP(B438,[6]C6_LMA_DIAG!$B$36:$O$44,9,FALSE)</f>
        <v>0</v>
      </c>
      <c r="O438" s="19">
        <f>HLOOKUP(B438,[1]C5_LMT_DIAG!$B$37:$O$45,9,FALSE)</f>
        <v>0</v>
      </c>
      <c r="P438" s="20">
        <v>0</v>
      </c>
    </row>
    <row r="439" spans="1:16" x14ac:dyDescent="0.3">
      <c r="A439" s="18" t="s">
        <v>68</v>
      </c>
      <c r="B439" s="18" t="s">
        <v>19</v>
      </c>
      <c r="C439" s="18" t="s">
        <v>51</v>
      </c>
      <c r="D439" s="18" t="s">
        <v>52</v>
      </c>
      <c r="E439" s="18" t="s">
        <v>19</v>
      </c>
      <c r="F439" s="18" t="s">
        <v>20</v>
      </c>
      <c r="G439" s="18" t="s">
        <v>1</v>
      </c>
      <c r="H439" s="20"/>
      <c r="I439" s="20"/>
      <c r="J439" s="20"/>
      <c r="K439" s="20"/>
      <c r="L439" s="19" cm="1">
        <f t="array" ref="L439">_xlfn.XLOOKUP(E439,[4]C5_LMA_DIAG!$A$35:$A$43,_xlfn.XLOOKUP(B439,[4]C5_LMA_DIAG!$A$35:$M$35,[4]C5_LMA_DIAG!$A$35:$M$43))</f>
        <v>0</v>
      </c>
      <c r="M439" s="19" cm="1">
        <f t="array" ref="M439">_xlfn.XLOOKUP(E439,[5]C6_LMA_DIAG!$A$32:$A$40, _xlfn.XLOOKUP(B439,[5]C6_LMA_DIAG!$A$32:$M$32,[5]C6_LMA_DIAG!$A$32:$M$40))</f>
        <v>0</v>
      </c>
      <c r="N439" s="19">
        <f>HLOOKUP(B439,[6]C6_LMA_DIAG!$B$36:$O$44,9,FALSE)</f>
        <v>0</v>
      </c>
      <c r="O439" s="19">
        <f>HLOOKUP(B439,[1]C5_LMT_DIAG!$B$37:$O$45,9,FALSE)</f>
        <v>0</v>
      </c>
      <c r="P439" s="20">
        <v>0</v>
      </c>
    </row>
    <row r="440" spans="1:16" x14ac:dyDescent="0.3">
      <c r="A440" s="17" t="s">
        <v>68</v>
      </c>
      <c r="B440" s="17" t="s">
        <v>55</v>
      </c>
      <c r="C440" s="17" t="s">
        <v>51</v>
      </c>
      <c r="D440" s="17" t="s">
        <v>52</v>
      </c>
      <c r="E440" s="17" t="s">
        <v>12</v>
      </c>
      <c r="F440" s="17" t="s">
        <v>20</v>
      </c>
      <c r="G440" s="17" t="s">
        <v>9</v>
      </c>
      <c r="H440" s="19"/>
      <c r="I440" s="19"/>
      <c r="J440" s="19"/>
      <c r="K440" s="19"/>
      <c r="L440" s="19" cm="1">
        <f t="array" ref="L440">_xlfn.XLOOKUP(E440,[4]C5_LMA_DIAG!$P$35:$P$43,_xlfn.XLOOKUP(B440,[4]C5_LMA_DIAG!$P$35:$AB$35,[4]C5_LMA_DIAG!$P$35:$AB$43))</f>
        <v>203.14612144755017</v>
      </c>
      <c r="M440" s="19" cm="1">
        <f t="array" ref="M440">_xlfn.XLOOKUP(E440,[5]C6_LMA_DIAG!$P$32:$P$40,_xlfn.XLOOKUP(B440,[5]C6_LMA_DIAG!$P$32:$AB$32,[5]C6_LMA_DIAG!$P$32:$AB$40))</f>
        <v>226.14596054844796</v>
      </c>
      <c r="N440" s="19">
        <f>HLOOKUP(B440,[6]C6_LMA_DIAG!$S$36:$AF$44,2,FALSE)</f>
        <v>169.39</v>
      </c>
      <c r="O440" s="20">
        <f>HLOOKUP(B440,[1]C5_LMT_DIAG!$S$37:$AF$45,2,FALSE)</f>
        <v>124</v>
      </c>
      <c r="P440" s="19" cm="1">
        <f t="array" ref="P440:P551">_xlfn.TOCOL([7]C6_LMA_DIAG!$T$37:$AG$44)</f>
        <v>147</v>
      </c>
    </row>
    <row r="441" spans="1:16" x14ac:dyDescent="0.3">
      <c r="A441" s="17" t="s">
        <v>68</v>
      </c>
      <c r="B441" s="17" t="s">
        <v>56</v>
      </c>
      <c r="C441" s="17" t="s">
        <v>51</v>
      </c>
      <c r="D441" s="17" t="s">
        <v>52</v>
      </c>
      <c r="E441" s="17" t="s">
        <v>12</v>
      </c>
      <c r="F441" s="17" t="s">
        <v>20</v>
      </c>
      <c r="G441" s="17" t="s">
        <v>9</v>
      </c>
      <c r="H441" s="19"/>
      <c r="I441" s="19"/>
      <c r="J441" s="19"/>
      <c r="K441" s="19"/>
      <c r="L441" s="19" cm="1">
        <f t="array" ref="L441">_xlfn.XLOOKUP(E441,[4]C5_LMA_DIAG!$P$35:$P$43,_xlfn.XLOOKUP(B441,[4]C5_LMA_DIAG!$P$35:$AB$35,[4]C5_LMA_DIAG!$P$35:$AB$43))</f>
        <v>281.39499785697689</v>
      </c>
      <c r="M441" s="19" cm="1">
        <f t="array" ref="M441">_xlfn.XLOOKUP(E441,[5]C6_LMA_DIAG!$P$32:$P$40,_xlfn.XLOOKUP(B441,[5]C6_LMA_DIAG!$P$32:$AB$32,[5]C6_LMA_DIAG!$P$32:$AB$40))</f>
        <v>230.5514013383528</v>
      </c>
      <c r="N441" s="19">
        <f>HLOOKUP(B441,[6]C6_LMA_DIAG!$S$36:$AF$44,2,FALSE)</f>
        <v>155.9</v>
      </c>
      <c r="O441" s="20">
        <f>HLOOKUP(B441,[1]C5_LMT_DIAG!$S$37:$AF$45,2,FALSE)</f>
        <v>71</v>
      </c>
      <c r="P441" s="19">
        <v>58</v>
      </c>
    </row>
    <row r="442" spans="1:16" x14ac:dyDescent="0.3">
      <c r="A442" s="17" t="s">
        <v>68</v>
      </c>
      <c r="B442" s="17" t="s">
        <v>57</v>
      </c>
      <c r="C442" s="17" t="s">
        <v>51</v>
      </c>
      <c r="D442" s="17" t="s">
        <v>52</v>
      </c>
      <c r="E442" s="17" t="s">
        <v>12</v>
      </c>
      <c r="F442" s="17" t="s">
        <v>20</v>
      </c>
      <c r="G442" s="17" t="s">
        <v>9</v>
      </c>
      <c r="H442" s="19"/>
      <c r="I442" s="19"/>
      <c r="J442" s="19"/>
      <c r="K442" s="19"/>
      <c r="L442" s="19" cm="1">
        <f t="array" ref="L442">_xlfn.XLOOKUP(E442,[4]C5_LMA_DIAG!$P$35:$P$43,_xlfn.XLOOKUP(B442,[4]C5_LMA_DIAG!$P$35:$AB$35,[4]C5_LMA_DIAG!$P$35:$AB$43))</f>
        <v>368.67259077518366</v>
      </c>
      <c r="M442" s="19" cm="1">
        <f t="array" ref="M442">_xlfn.XLOOKUP(E442,[5]C6_LMA_DIAG!$P$32:$P$40,_xlfn.XLOOKUP(B442,[5]C6_LMA_DIAG!$P$32:$AB$32,[5]C6_LMA_DIAG!$P$32:$AB$40))</f>
        <v>402.36359214464113</v>
      </c>
      <c r="N442" s="19">
        <f>HLOOKUP(B442,[6]C6_LMA_DIAG!$S$36:$AF$44,2,FALSE)</f>
        <v>161.88999999999999</v>
      </c>
      <c r="O442" s="20">
        <f>HLOOKUP(B442,[1]C5_LMT_DIAG!$S$37:$AF$45,2,FALSE)</f>
        <v>63</v>
      </c>
      <c r="P442" s="19">
        <v>80</v>
      </c>
    </row>
    <row r="443" spans="1:16" x14ac:dyDescent="0.3">
      <c r="A443" s="17" t="s">
        <v>68</v>
      </c>
      <c r="B443" s="17" t="s">
        <v>58</v>
      </c>
      <c r="C443" s="17" t="s">
        <v>51</v>
      </c>
      <c r="D443" s="17" t="s">
        <v>52</v>
      </c>
      <c r="E443" s="17" t="s">
        <v>12</v>
      </c>
      <c r="F443" s="17" t="s">
        <v>20</v>
      </c>
      <c r="G443" s="17" t="s">
        <v>9</v>
      </c>
      <c r="H443" s="19"/>
      <c r="I443" s="19"/>
      <c r="J443" s="19"/>
      <c r="K443" s="19"/>
      <c r="L443" s="19" cm="1">
        <f t="array" ref="L443">_xlfn.XLOOKUP(E443,[4]C5_LMA_DIAG!$P$35:$P$43,_xlfn.XLOOKUP(B443,[4]C5_LMA_DIAG!$P$35:$AB$35,[4]C5_LMA_DIAG!$P$35:$AB$43))</f>
        <v>249.79449007624689</v>
      </c>
      <c r="M443" s="19" cm="1">
        <f t="array" ref="M443">_xlfn.XLOOKUP(E443,[5]C6_LMA_DIAG!$P$32:$P$40,_xlfn.XLOOKUP(B443,[5]C6_LMA_DIAG!$P$32:$AB$32,[5]C6_LMA_DIAG!$P$32:$AB$40))</f>
        <v>239.36228291816244</v>
      </c>
      <c r="N443" s="19">
        <f>HLOOKUP(B443,[6]C6_LMA_DIAG!$S$36:$AF$44,2,FALSE)</f>
        <v>134.91</v>
      </c>
      <c r="O443" s="20">
        <f>HLOOKUP(B443,[1]C5_LMT_DIAG!$S$37:$AF$45,2,FALSE)</f>
        <v>48</v>
      </c>
      <c r="P443" s="19">
        <v>51</v>
      </c>
    </row>
    <row r="444" spans="1:16" x14ac:dyDescent="0.3">
      <c r="A444" s="17" t="s">
        <v>68</v>
      </c>
      <c r="B444" s="17" t="s">
        <v>59</v>
      </c>
      <c r="C444" s="17" t="s">
        <v>51</v>
      </c>
      <c r="D444" s="17" t="s">
        <v>52</v>
      </c>
      <c r="E444" s="17" t="s">
        <v>12</v>
      </c>
      <c r="F444" s="17" t="s">
        <v>20</v>
      </c>
      <c r="G444" s="17" t="s">
        <v>9</v>
      </c>
      <c r="H444" s="19"/>
      <c r="I444" s="19"/>
      <c r="J444" s="19"/>
      <c r="K444" s="19"/>
      <c r="L444" s="19" cm="1">
        <f t="array" ref="L444">_xlfn.XLOOKUP(E444,[4]C5_LMA_DIAG!$P$35:$P$43,_xlfn.XLOOKUP(B444,[4]C5_LMA_DIAG!$P$35:$AB$35,[4]C5_LMA_DIAG!$P$35:$AB$43))</f>
        <v>231.73705705868687</v>
      </c>
      <c r="M444" s="19" cm="1">
        <f t="array" ref="M444">_xlfn.XLOOKUP(E444,[5]C6_LMA_DIAG!$P$32:$P$40,_xlfn.XLOOKUP(B444,[5]C6_LMA_DIAG!$P$32:$AB$32,[5]C6_LMA_DIAG!$P$32:$AB$40))</f>
        <v>214.39811844203507</v>
      </c>
      <c r="N444" s="19">
        <f>HLOOKUP(B444,[6]C6_LMA_DIAG!$S$36:$AF$44,2,FALSE)</f>
        <v>79.45</v>
      </c>
      <c r="O444" s="20">
        <f>HLOOKUP(B444,[1]C5_LMT_DIAG!$S$37:$AF$45,2,FALSE)</f>
        <v>31</v>
      </c>
      <c r="P444" s="19">
        <v>26</v>
      </c>
    </row>
    <row r="445" spans="1:16" x14ac:dyDescent="0.3">
      <c r="A445" s="17" t="s">
        <v>68</v>
      </c>
      <c r="B445" s="17" t="s">
        <v>60</v>
      </c>
      <c r="C445" s="17" t="s">
        <v>51</v>
      </c>
      <c r="D445" s="17" t="s">
        <v>52</v>
      </c>
      <c r="E445" s="17" t="s">
        <v>12</v>
      </c>
      <c r="F445" s="17" t="s">
        <v>20</v>
      </c>
      <c r="G445" s="17" t="s">
        <v>9</v>
      </c>
      <c r="H445" s="19"/>
      <c r="I445" s="19"/>
      <c r="J445" s="19"/>
      <c r="K445" s="19"/>
      <c r="L445" s="19" cm="1">
        <f t="array" ref="L445">_xlfn.XLOOKUP(E445,[4]C5_LMA_DIAG!$P$35:$P$43,_xlfn.XLOOKUP(B445,[4]C5_LMA_DIAG!$P$35:$AB$35,[4]C5_LMA_DIAG!$P$35:$AB$43))</f>
        <v>145.9642502252768</v>
      </c>
      <c r="M445" s="19" cm="1">
        <f t="array" ref="M445">_xlfn.XLOOKUP(E445,[5]C6_LMA_DIAG!$P$32:$P$40,_xlfn.XLOOKUP(B445,[5]C6_LMA_DIAG!$P$32:$AB$32,[5]C6_LMA_DIAG!$P$32:$AB$40))</f>
        <v>149.78498685676422</v>
      </c>
      <c r="N445" s="19">
        <f>HLOOKUP(B445,[6]C6_LMA_DIAG!$S$36:$AF$44,2,FALSE)</f>
        <v>52.47</v>
      </c>
      <c r="O445" s="20">
        <f>HLOOKUP(B445,[1]C5_LMT_DIAG!$S$37:$AF$45,2,FALSE)</f>
        <v>40</v>
      </c>
      <c r="P445" s="19">
        <v>24</v>
      </c>
    </row>
    <row r="446" spans="1:16" x14ac:dyDescent="0.3">
      <c r="A446" s="17" t="s">
        <v>68</v>
      </c>
      <c r="B446" s="17" t="s">
        <v>61</v>
      </c>
      <c r="C446" s="17" t="s">
        <v>51</v>
      </c>
      <c r="D446" s="17" t="s">
        <v>52</v>
      </c>
      <c r="E446" s="17" t="s">
        <v>12</v>
      </c>
      <c r="F446" s="17" t="s">
        <v>20</v>
      </c>
      <c r="G446" s="17" t="s">
        <v>9</v>
      </c>
      <c r="H446" s="19"/>
      <c r="I446" s="19"/>
      <c r="J446" s="19"/>
      <c r="K446" s="19"/>
      <c r="L446" s="19" cm="1">
        <f t="array" ref="L446">_xlfn.XLOOKUP(E446,[4]C5_LMA_DIAG!$P$35:$P$43,_xlfn.XLOOKUP(B446,[4]C5_LMA_DIAG!$P$35:$AB$35,[4]C5_LMA_DIAG!$P$35:$AB$43))</f>
        <v>13.543074763170011</v>
      </c>
      <c r="M446" s="19" cm="1">
        <f t="array" ref="M446">_xlfn.XLOOKUP(E446,[5]C6_LMA_DIAG!$P$32:$P$40,_xlfn.XLOOKUP(B446,[5]C6_LMA_DIAG!$P$32:$AB$32,[5]C6_LMA_DIAG!$P$32:$AB$40))</f>
        <v>20.558723686222542</v>
      </c>
      <c r="N446" s="19">
        <f>HLOOKUP(B446,[6]C6_LMA_DIAG!$S$36:$AF$44,2,FALSE)</f>
        <v>10.49</v>
      </c>
      <c r="O446" s="20">
        <f>HLOOKUP(B446,[1]C5_LMT_DIAG!$S$37:$AF$45,2,FALSE)</f>
        <v>12</v>
      </c>
      <c r="P446" s="19">
        <v>2</v>
      </c>
    </row>
    <row r="447" spans="1:16" x14ac:dyDescent="0.3">
      <c r="A447" s="17" t="s">
        <v>68</v>
      </c>
      <c r="B447" s="17" t="s">
        <v>62</v>
      </c>
      <c r="C447" s="17" t="s">
        <v>51</v>
      </c>
      <c r="D447" s="17" t="s">
        <v>52</v>
      </c>
      <c r="E447" s="17" t="s">
        <v>12</v>
      </c>
      <c r="F447" s="17" t="s">
        <v>20</v>
      </c>
      <c r="G447" s="17" t="s">
        <v>9</v>
      </c>
      <c r="H447" s="19"/>
      <c r="I447" s="19"/>
      <c r="J447" s="19"/>
      <c r="K447" s="19"/>
      <c r="L447" s="19" cm="1">
        <f t="array" ref="L447">_xlfn.XLOOKUP(E447,[4]C5_LMA_DIAG!$P$35:$P$43,_xlfn.XLOOKUP(B447,[4]C5_LMA_DIAG!$P$35:$AB$35,[4]C5_LMA_DIAG!$P$35:$AB$43))</f>
        <v>39.124438204713371</v>
      </c>
      <c r="M447" s="19" cm="1">
        <f t="array" ref="M447">_xlfn.XLOOKUP(E447,[5]C6_LMA_DIAG!$P$32:$P$40,_xlfn.XLOOKUP(B447,[5]C6_LMA_DIAG!$P$32:$AB$32,[5]C6_LMA_DIAG!$P$32:$AB$40))</f>
        <v>35.243526319238647</v>
      </c>
      <c r="N447" s="19">
        <f>HLOOKUP(B447,[6]C6_LMA_DIAG!$S$36:$AF$44,2,FALSE)</f>
        <v>10.49</v>
      </c>
      <c r="O447" s="20">
        <f>HLOOKUP(B447,[1]C5_LMT_DIAG!$S$37:$AF$45,2,FALSE)</f>
        <v>22</v>
      </c>
      <c r="P447" s="19">
        <v>11</v>
      </c>
    </row>
    <row r="448" spans="1:16" x14ac:dyDescent="0.3">
      <c r="A448" s="17" t="s">
        <v>68</v>
      </c>
      <c r="B448" s="17" t="s">
        <v>63</v>
      </c>
      <c r="C448" s="17" t="s">
        <v>51</v>
      </c>
      <c r="D448" s="17" t="s">
        <v>52</v>
      </c>
      <c r="E448" s="17" t="s">
        <v>12</v>
      </c>
      <c r="F448" s="17" t="s">
        <v>20</v>
      </c>
      <c r="G448" s="17" t="s">
        <v>9</v>
      </c>
      <c r="H448" s="19"/>
      <c r="I448" s="19"/>
      <c r="J448" s="19"/>
      <c r="K448" s="19"/>
      <c r="L448" s="19" cm="1">
        <f t="array" ref="L448">_xlfn.XLOOKUP(E448,[4]C5_LMA_DIAG!$P$35:$P$43,_xlfn.XLOOKUP(B448,[4]C5_LMA_DIAG!$P$35:$AB$35,[4]C5_LMA_DIAG!$P$35:$AB$43))</f>
        <v>10.533502593576676</v>
      </c>
      <c r="M448" s="19" cm="1">
        <f t="array" ref="M448">_xlfn.XLOOKUP(E448,[5]C6_LMA_DIAG!$P$32:$P$40,_xlfn.XLOOKUP(B448,[5]C6_LMA_DIAG!$P$32:$AB$32,[5]C6_LMA_DIAG!$P$32:$AB$40))</f>
        <v>1.4684802633016101</v>
      </c>
      <c r="N448" s="19">
        <f>HLOOKUP(B448,[6]C6_LMA_DIAG!$S$36:$AF$44,2,FALSE)</f>
        <v>1.5</v>
      </c>
      <c r="O448" s="20">
        <f>HLOOKUP(B448,[1]C5_LMT_DIAG!$S$37:$AF$45,2,FALSE)</f>
        <v>2</v>
      </c>
      <c r="P448" s="19">
        <v>0</v>
      </c>
    </row>
    <row r="449" spans="1:16" x14ac:dyDescent="0.3">
      <c r="A449" s="17" t="s">
        <v>68</v>
      </c>
      <c r="B449" s="17" t="s">
        <v>64</v>
      </c>
      <c r="C449" s="17" t="s">
        <v>51</v>
      </c>
      <c r="D449" s="17" t="s">
        <v>52</v>
      </c>
      <c r="E449" s="17" t="s">
        <v>12</v>
      </c>
      <c r="F449" s="17" t="s">
        <v>20</v>
      </c>
      <c r="G449" s="17" t="s">
        <v>9</v>
      </c>
      <c r="H449" s="19"/>
      <c r="I449" s="19"/>
      <c r="J449" s="19"/>
      <c r="K449" s="19"/>
      <c r="L449" s="19" cm="1">
        <f t="array" ref="L449">_xlfn.XLOOKUP(E449,[4]C5_LMA_DIAG!$P$35:$P$43,_xlfn.XLOOKUP(B449,[4]C5_LMA_DIAG!$P$35:$AB$35,[4]C5_LMA_DIAG!$P$35:$AB$43))</f>
        <v>13.543074763170011</v>
      </c>
      <c r="M449" s="19" cm="1">
        <f t="array" ref="M449">_xlfn.XLOOKUP(E449,[5]C6_LMA_DIAG!$P$32:$P$40,_xlfn.XLOOKUP(B449,[5]C6_LMA_DIAG!$P$32:$AB$32,[5]C6_LMA_DIAG!$P$32:$AB$40))</f>
        <v>10.279361843111271</v>
      </c>
      <c r="N449" s="19">
        <f>HLOOKUP(B449,[6]C6_LMA_DIAG!$S$36:$AF$44,2,FALSE)</f>
        <v>4.5</v>
      </c>
      <c r="O449" s="20">
        <f>HLOOKUP(B449,[1]C5_LMT_DIAG!$S$37:$AF$45,2,FALSE)</f>
        <v>0</v>
      </c>
      <c r="P449" s="19">
        <v>1</v>
      </c>
    </row>
    <row r="450" spans="1:16" x14ac:dyDescent="0.3">
      <c r="A450" s="17" t="s">
        <v>68</v>
      </c>
      <c r="B450" s="17" t="s">
        <v>70</v>
      </c>
      <c r="C450" s="17" t="s">
        <v>51</v>
      </c>
      <c r="D450" s="17" t="s">
        <v>52</v>
      </c>
      <c r="E450" s="17" t="s">
        <v>12</v>
      </c>
      <c r="F450" s="17" t="s">
        <v>20</v>
      </c>
      <c r="G450" s="17" t="s">
        <v>9</v>
      </c>
      <c r="H450" s="19"/>
      <c r="I450" s="19"/>
      <c r="J450" s="19"/>
      <c r="K450" s="19"/>
      <c r="L450" s="19">
        <v>0</v>
      </c>
      <c r="M450" s="19">
        <v>0</v>
      </c>
      <c r="N450" s="19">
        <f>HLOOKUP(B450,[6]C6_LMA_DIAG!$S$36:$AF$44,2,FALSE)</f>
        <v>310.29000000000002</v>
      </c>
      <c r="O450" s="20">
        <f>HLOOKUP(B450,[1]C5_LMT_DIAG!$S$37:$AF$45,2,FALSE)</f>
        <v>211</v>
      </c>
      <c r="P450" s="19">
        <v>115</v>
      </c>
    </row>
    <row r="451" spans="1:16" x14ac:dyDescent="0.3">
      <c r="A451" s="17"/>
      <c r="B451" s="17" t="s">
        <v>71</v>
      </c>
      <c r="C451" s="17" t="s">
        <v>51</v>
      </c>
      <c r="D451" s="17" t="s">
        <v>52</v>
      </c>
      <c r="E451" s="17" t="s">
        <v>12</v>
      </c>
      <c r="F451" s="17" t="s">
        <v>20</v>
      </c>
      <c r="G451" s="17" t="s">
        <v>9</v>
      </c>
      <c r="H451" s="19"/>
      <c r="I451" s="19"/>
      <c r="J451" s="19"/>
      <c r="K451" s="19"/>
      <c r="L451" s="19">
        <v>0</v>
      </c>
      <c r="M451" s="19">
        <v>0</v>
      </c>
      <c r="N451" s="19">
        <f>HLOOKUP(B451,[6]C6_LMA_DIAG!$S$36:$AF$44,2,FALSE)</f>
        <v>6</v>
      </c>
      <c r="O451" s="20">
        <f>HLOOKUP(B451,[1]C5_LMT_DIAG!$S$37:$AF$45,2,FALSE)</f>
        <v>10</v>
      </c>
      <c r="P451" s="19">
        <v>0</v>
      </c>
    </row>
    <row r="452" spans="1:16" x14ac:dyDescent="0.3">
      <c r="A452" s="17" t="s">
        <v>68</v>
      </c>
      <c r="B452" s="17" t="s">
        <v>65</v>
      </c>
      <c r="C452" s="17" t="s">
        <v>51</v>
      </c>
      <c r="D452" s="17" t="s">
        <v>52</v>
      </c>
      <c r="E452" s="17" t="s">
        <v>12</v>
      </c>
      <c r="F452" s="17" t="s">
        <v>20</v>
      </c>
      <c r="G452" s="17" t="s">
        <v>9</v>
      </c>
      <c r="H452" s="19"/>
      <c r="I452" s="19"/>
      <c r="J452" s="19"/>
      <c r="K452" s="19"/>
      <c r="L452" s="19" cm="1">
        <f t="array" ref="L452">_xlfn.XLOOKUP(E452,[4]C5_LMA_DIAG!$P$35:$P$43,_xlfn.XLOOKUP(B452,[4]C5_LMA_DIAG!$P$35:$AB$35,[4]C5_LMA_DIAG!$P$35:$AB$43))</f>
        <v>270.86149526340029</v>
      </c>
      <c r="M452" s="19" cm="1">
        <f t="array" ref="M452">_xlfn.XLOOKUP(E452,[5]C6_LMA_DIAG!$P$32:$P$40,_xlfn.XLOOKUP(B452,[5]C6_LMA_DIAG!$P$32:$AB$32,[5]C6_LMA_DIAG!$P$32:$AB$40))</f>
        <v>180.62307238609804</v>
      </c>
      <c r="N452" s="19">
        <f>HLOOKUP(B452,[6]C6_LMA_DIAG!$S$36:$AF$44,2,FALSE)</f>
        <v>86.94</v>
      </c>
      <c r="O452" s="20">
        <f>HLOOKUP(B452,[1]C5_LMT_DIAG!$S$37:$AF$45,2,FALSE)</f>
        <v>65</v>
      </c>
      <c r="P452" s="19">
        <v>57</v>
      </c>
    </row>
    <row r="453" spans="1:16" x14ac:dyDescent="0.3">
      <c r="A453" s="17" t="s">
        <v>68</v>
      </c>
      <c r="B453" s="17" t="s">
        <v>19</v>
      </c>
      <c r="C453" s="17" t="s">
        <v>51</v>
      </c>
      <c r="D453" s="17" t="s">
        <v>52</v>
      </c>
      <c r="E453" s="17" t="s">
        <v>12</v>
      </c>
      <c r="F453" s="17" t="s">
        <v>20</v>
      </c>
      <c r="G453" s="17" t="s">
        <v>9</v>
      </c>
      <c r="H453" s="19"/>
      <c r="I453" s="19"/>
      <c r="J453" s="19"/>
      <c r="K453" s="19"/>
      <c r="L453" s="19" cm="1">
        <f t="array" ref="L453">_xlfn.XLOOKUP(E453,[4]C5_LMA_DIAG!$P$35:$P$43,_xlfn.XLOOKUP(B453,[4]C5_LMA_DIAG!$P$35:$AB$35,[4]C5_LMA_DIAG!$P$35:$AB$43))</f>
        <v>0</v>
      </c>
      <c r="M453" s="19" cm="1">
        <f t="array" ref="M453">_xlfn.XLOOKUP(E453,[5]C6_LMA_DIAG!$P$32:$P$40,_xlfn.XLOOKUP(B453,[5]C6_LMA_DIAG!$P$32:$AB$32,[5]C6_LMA_DIAG!$P$32:$AB$40))</f>
        <v>1.4684802633016101</v>
      </c>
      <c r="N453" s="19">
        <f>HLOOKUP(B453,[6]C6_LMA_DIAG!$S$36:$AF$44,2,FALSE)</f>
        <v>0</v>
      </c>
      <c r="O453" s="20">
        <f>HLOOKUP(B453,[1]C5_LMT_DIAG!$S$37:$AF$45,2,FALSE)</f>
        <v>0</v>
      </c>
      <c r="P453" s="19">
        <v>0</v>
      </c>
    </row>
    <row r="454" spans="1:16" x14ac:dyDescent="0.3">
      <c r="A454" s="18" t="s">
        <v>68</v>
      </c>
      <c r="B454" s="18" t="s">
        <v>55</v>
      </c>
      <c r="C454" s="18" t="s">
        <v>51</v>
      </c>
      <c r="D454" s="18" t="s">
        <v>52</v>
      </c>
      <c r="E454" s="18" t="s">
        <v>13</v>
      </c>
      <c r="F454" s="18" t="s">
        <v>20</v>
      </c>
      <c r="G454" s="18" t="s">
        <v>9</v>
      </c>
      <c r="H454" s="20"/>
      <c r="I454" s="20"/>
      <c r="J454" s="20"/>
      <c r="K454" s="20"/>
      <c r="L454" s="19" cm="1">
        <f t="array" ref="L454">_xlfn.XLOOKUP(E454,[4]C5_LMA_DIAG!$P$35:$P$43,_xlfn.XLOOKUP(B454,[4]C5_LMA_DIAG!$P$35:$AB$35,[4]C5_LMA_DIAG!$P$35:$AB$43))</f>
        <v>8136.3783604955843</v>
      </c>
      <c r="M454" s="19" cm="1">
        <f t="array" ref="M454">_xlfn.XLOOKUP(E454,[5]C6_LMA_DIAG!$P$32:$P$40,_xlfn.XLOOKUP(B454,[5]C6_LMA_DIAG!$P$32:$AB$32,[5]C6_LMA_DIAG!$P$32:$AB$40))</f>
        <v>8407.0495074017181</v>
      </c>
      <c r="N454" s="19">
        <f>HLOOKUP(B454,[6]C6_LMA_DIAG!$S$36:$AF$44,3,FALSE)</f>
        <v>7523.49</v>
      </c>
      <c r="O454" s="20">
        <f>HLOOKUP(B454,[1]C5_LMT_DIAG!$S$37:$AF$45,3,FALSE)</f>
        <v>10193</v>
      </c>
      <c r="P454" s="20">
        <v>6149</v>
      </c>
    </row>
    <row r="455" spans="1:16" x14ac:dyDescent="0.3">
      <c r="A455" s="18" t="s">
        <v>68</v>
      </c>
      <c r="B455" s="18" t="s">
        <v>56</v>
      </c>
      <c r="C455" s="18" t="s">
        <v>51</v>
      </c>
      <c r="D455" s="18" t="s">
        <v>52</v>
      </c>
      <c r="E455" s="18" t="s">
        <v>13</v>
      </c>
      <c r="F455" s="18" t="s">
        <v>20</v>
      </c>
      <c r="G455" s="18" t="s">
        <v>9</v>
      </c>
      <c r="H455" s="20"/>
      <c r="I455" s="20"/>
      <c r="J455" s="20"/>
      <c r="K455" s="20"/>
      <c r="L455" s="19" cm="1">
        <f t="array" ref="L455">_xlfn.XLOOKUP(E455,[4]C5_LMA_DIAG!$P$35:$P$43,_xlfn.XLOOKUP(B455,[4]C5_LMA_DIAG!$P$35:$AB$35,[4]C5_LMA_DIAG!$P$35:$AB$43))</f>
        <v>9060.3170165607389</v>
      </c>
      <c r="M455" s="19" cm="1">
        <f t="array" ref="M455">_xlfn.XLOOKUP(E455,[5]C6_LMA_DIAG!$P$32:$P$40,_xlfn.XLOOKUP(B455,[5]C6_LMA_DIAG!$P$32:$AB$32,[5]C6_LMA_DIAG!$P$32:$AB$40))</f>
        <v>8459.9147968805755</v>
      </c>
      <c r="N455" s="19">
        <f>HLOOKUP(B455,[6]C6_LMA_DIAG!$S$36:$AF$44,3,FALSE)</f>
        <v>5520.82</v>
      </c>
      <c r="O455" s="20">
        <f>HLOOKUP(B455,[1]C5_LMT_DIAG!$S$37:$AF$45,3,FALSE)</f>
        <v>4940</v>
      </c>
      <c r="P455" s="20">
        <v>3045</v>
      </c>
    </row>
    <row r="456" spans="1:16" x14ac:dyDescent="0.3">
      <c r="A456" s="18" t="s">
        <v>68</v>
      </c>
      <c r="B456" s="18" t="s">
        <v>57</v>
      </c>
      <c r="C456" s="18" t="s">
        <v>51</v>
      </c>
      <c r="D456" s="18" t="s">
        <v>52</v>
      </c>
      <c r="E456" s="18" t="s">
        <v>13</v>
      </c>
      <c r="F456" s="18" t="s">
        <v>20</v>
      </c>
      <c r="G456" s="18" t="s">
        <v>9</v>
      </c>
      <c r="H456" s="20"/>
      <c r="I456" s="20"/>
      <c r="J456" s="20"/>
      <c r="K456" s="20"/>
      <c r="L456" s="19" cm="1">
        <f t="array" ref="L456">_xlfn.XLOOKUP(E456,[4]C5_LMA_DIAG!$P$35:$P$43,_xlfn.XLOOKUP(B456,[4]C5_LMA_DIAG!$P$35:$AB$35,[4]C5_LMA_DIAG!$P$35:$AB$43))</f>
        <v>12277.549665856015</v>
      </c>
      <c r="M456" s="19" cm="1">
        <f t="array" ref="M456">_xlfn.XLOOKUP(E456,[5]C6_LMA_DIAG!$P$32:$P$40,_xlfn.XLOOKUP(B456,[5]C6_LMA_DIAG!$P$32:$AB$32,[5]C6_LMA_DIAG!$P$32:$AB$40))</f>
        <v>12490.893119643495</v>
      </c>
      <c r="N456" s="19">
        <f>HLOOKUP(B456,[6]C6_LMA_DIAG!$S$36:$AF$44,3,FALSE)</f>
        <v>4991.68</v>
      </c>
      <c r="O456" s="20">
        <f>HLOOKUP(B456,[1]C5_LMT_DIAG!$S$37:$AF$45,3,FALSE)</f>
        <v>2184</v>
      </c>
      <c r="P456" s="20">
        <v>3466</v>
      </c>
    </row>
    <row r="457" spans="1:16" x14ac:dyDescent="0.3">
      <c r="A457" s="18" t="s">
        <v>68</v>
      </c>
      <c r="B457" s="18" t="s">
        <v>58</v>
      </c>
      <c r="C457" s="18" t="s">
        <v>51</v>
      </c>
      <c r="D457" s="18" t="s">
        <v>52</v>
      </c>
      <c r="E457" s="18" t="s">
        <v>13</v>
      </c>
      <c r="F457" s="18" t="s">
        <v>20</v>
      </c>
      <c r="G457" s="18" t="s">
        <v>9</v>
      </c>
      <c r="H457" s="20"/>
      <c r="I457" s="20"/>
      <c r="J457" s="20"/>
      <c r="K457" s="20"/>
      <c r="L457" s="19" cm="1">
        <f t="array" ref="L457">_xlfn.XLOOKUP(E457,[4]C5_LMA_DIAG!$P$35:$P$43,_xlfn.XLOOKUP(B457,[4]C5_LMA_DIAG!$P$35:$AB$35,[4]C5_LMA_DIAG!$P$35:$AB$43))</f>
        <v>7328.3082329597728</v>
      </c>
      <c r="M457" s="19" cm="1">
        <f t="array" ref="M457">_xlfn.XLOOKUP(E457,[5]C6_LMA_DIAG!$P$32:$P$40,_xlfn.XLOOKUP(B457,[5]C6_LMA_DIAG!$P$32:$AB$32,[5]C6_LMA_DIAG!$P$32:$AB$40))</f>
        <v>7125.0662375394122</v>
      </c>
      <c r="N457" s="19">
        <f>HLOOKUP(B457,[6]C6_LMA_DIAG!$S$36:$AF$44,3,FALSE)</f>
        <v>3903.4</v>
      </c>
      <c r="O457" s="20">
        <f>HLOOKUP(B457,[1]C5_LMT_DIAG!$S$37:$AF$45,3,FALSE)</f>
        <v>3135</v>
      </c>
      <c r="P457" s="20">
        <v>2277</v>
      </c>
    </row>
    <row r="458" spans="1:16" x14ac:dyDescent="0.3">
      <c r="A458" s="18" t="s">
        <v>68</v>
      </c>
      <c r="B458" s="18" t="s">
        <v>59</v>
      </c>
      <c r="C458" s="18" t="s">
        <v>51</v>
      </c>
      <c r="D458" s="18" t="s">
        <v>52</v>
      </c>
      <c r="E458" s="18" t="s">
        <v>13</v>
      </c>
      <c r="F458" s="18" t="s">
        <v>20</v>
      </c>
      <c r="G458" s="18" t="s">
        <v>9</v>
      </c>
      <c r="H458" s="20"/>
      <c r="I458" s="20"/>
      <c r="J458" s="20"/>
      <c r="K458" s="20"/>
      <c r="L458" s="19" cm="1">
        <f t="array" ref="L458">_xlfn.XLOOKUP(E458,[4]C5_LMA_DIAG!$P$35:$P$43,_xlfn.XLOOKUP(B458,[4]C5_LMA_DIAG!$P$35:$AB$35,[4]C5_LMA_DIAG!$P$35:$AB$43))</f>
        <v>9552.3820662892485</v>
      </c>
      <c r="M458" s="19" cm="1">
        <f t="array" ref="M458">_xlfn.XLOOKUP(E458,[5]C6_LMA_DIAG!$P$32:$P$40,_xlfn.XLOOKUP(B458,[5]C6_LMA_DIAG!$P$32:$AB$32,[5]C6_LMA_DIAG!$P$32:$AB$40))</f>
        <v>8185.308987643175</v>
      </c>
      <c r="N458" s="19">
        <f>HLOOKUP(B458,[6]C6_LMA_DIAG!$S$36:$AF$44,3,FALSE)</f>
        <v>3549.64</v>
      </c>
      <c r="O458" s="20">
        <f>HLOOKUP(B458,[1]C5_LMT_DIAG!$S$37:$AF$45,3,FALSE)</f>
        <v>1564</v>
      </c>
      <c r="P458" s="20">
        <v>1410</v>
      </c>
    </row>
    <row r="459" spans="1:16" x14ac:dyDescent="0.3">
      <c r="A459" s="18" t="s">
        <v>68</v>
      </c>
      <c r="B459" s="18" t="s">
        <v>60</v>
      </c>
      <c r="C459" s="18" t="s">
        <v>51</v>
      </c>
      <c r="D459" s="18" t="s">
        <v>52</v>
      </c>
      <c r="E459" s="18" t="s">
        <v>13</v>
      </c>
      <c r="F459" s="18" t="s">
        <v>20</v>
      </c>
      <c r="G459" s="18" t="s">
        <v>9</v>
      </c>
      <c r="H459" s="20"/>
      <c r="I459" s="20"/>
      <c r="J459" s="20"/>
      <c r="K459" s="20"/>
      <c r="L459" s="19" cm="1">
        <f t="array" ref="L459">_xlfn.XLOOKUP(E459,[4]C5_LMA_DIAG!$P$35:$P$43,_xlfn.XLOOKUP(B459,[4]C5_LMA_DIAG!$P$35:$AB$35,[4]C5_LMA_DIAG!$P$35:$AB$43))</f>
        <v>4776.1910331446243</v>
      </c>
      <c r="M459" s="19" cm="1">
        <f t="array" ref="M459">_xlfn.XLOOKUP(E459,[5]C6_LMA_DIAG!$P$32:$P$40,_xlfn.XLOOKUP(B459,[5]C6_LMA_DIAG!$P$32:$AB$32,[5]C6_LMA_DIAG!$P$32:$AB$40))</f>
        <v>5105.9058754996986</v>
      </c>
      <c r="N459" s="19">
        <f>HLOOKUP(B459,[6]C6_LMA_DIAG!$S$36:$AF$44,3,FALSE)</f>
        <v>2407.4</v>
      </c>
      <c r="O459" s="20">
        <f>HLOOKUP(B459,[1]C5_LMT_DIAG!$S$37:$AF$45,3,FALSE)</f>
        <v>1698</v>
      </c>
      <c r="P459" s="20">
        <v>1512</v>
      </c>
    </row>
    <row r="460" spans="1:16" x14ac:dyDescent="0.3">
      <c r="A460" s="18" t="s">
        <v>68</v>
      </c>
      <c r="B460" s="18" t="s">
        <v>61</v>
      </c>
      <c r="C460" s="18" t="s">
        <v>51</v>
      </c>
      <c r="D460" s="18" t="s">
        <v>52</v>
      </c>
      <c r="E460" s="18" t="s">
        <v>13</v>
      </c>
      <c r="F460" s="18" t="s">
        <v>20</v>
      </c>
      <c r="G460" s="18" t="s">
        <v>9</v>
      </c>
      <c r="H460" s="20"/>
      <c r="I460" s="20"/>
      <c r="J460" s="20"/>
      <c r="K460" s="20"/>
      <c r="L460" s="19" cm="1">
        <f t="array" ref="L460">_xlfn.XLOOKUP(E460,[4]C5_LMA_DIAG!$P$35:$P$43,_xlfn.XLOOKUP(B460,[4]C5_LMA_DIAG!$P$35:$AB$35,[4]C5_LMA_DIAG!$P$35:$AB$43))</f>
        <v>1741.037500109745</v>
      </c>
      <c r="M460" s="19" cm="1">
        <f t="array" ref="M460">_xlfn.XLOOKUP(E460,[5]C6_LMA_DIAG!$P$32:$P$40,_xlfn.XLOOKUP(B460,[5]C6_LMA_DIAG!$P$32:$AB$32,[5]C6_LMA_DIAG!$P$32:$AB$40))</f>
        <v>1223.2440593302413</v>
      </c>
      <c r="N460" s="19">
        <f>HLOOKUP(B460,[6]C6_LMA_DIAG!$S$36:$AF$44,3,FALSE)</f>
        <v>818.46</v>
      </c>
      <c r="O460" s="20">
        <f>HLOOKUP(B460,[1]C5_LMT_DIAG!$S$37:$AF$45,3,FALSE)</f>
        <v>623</v>
      </c>
      <c r="P460" s="20">
        <v>629</v>
      </c>
    </row>
    <row r="461" spans="1:16" x14ac:dyDescent="0.3">
      <c r="A461" s="18" t="s">
        <v>68</v>
      </c>
      <c r="B461" s="18" t="s">
        <v>62</v>
      </c>
      <c r="C461" s="18" t="s">
        <v>51</v>
      </c>
      <c r="D461" s="18" t="s">
        <v>52</v>
      </c>
      <c r="E461" s="18" t="s">
        <v>13</v>
      </c>
      <c r="F461" s="18" t="s">
        <v>20</v>
      </c>
      <c r="G461" s="18" t="s">
        <v>9</v>
      </c>
      <c r="H461" s="20"/>
      <c r="I461" s="20"/>
      <c r="J461" s="20"/>
      <c r="K461" s="20"/>
      <c r="L461" s="19" cm="1">
        <f t="array" ref="L461">_xlfn.XLOOKUP(E461,[4]C5_LMA_DIAG!$P$35:$P$43,_xlfn.XLOOKUP(B461,[4]C5_LMA_DIAG!$P$35:$AB$35,[4]C5_LMA_DIAG!$P$35:$AB$43))</f>
        <v>1540.9009508317881</v>
      </c>
      <c r="M461" s="19" cm="1">
        <f t="array" ref="M461">_xlfn.XLOOKUP(E461,[5]C6_LMA_DIAG!$P$32:$P$40,_xlfn.XLOOKUP(B461,[5]C6_LMA_DIAG!$P$32:$AB$32,[5]C6_LMA_DIAG!$P$32:$AB$40))</f>
        <v>1605.04892778866</v>
      </c>
      <c r="N461" s="19">
        <f>HLOOKUP(B461,[6]C6_LMA_DIAG!$S$36:$AF$44,3,FALSE)</f>
        <v>776.48</v>
      </c>
      <c r="O461" s="20">
        <f>HLOOKUP(B461,[1]C5_LMT_DIAG!$S$37:$AF$45,3,FALSE)</f>
        <v>560</v>
      </c>
      <c r="P461" s="20">
        <v>470</v>
      </c>
    </row>
    <row r="462" spans="1:16" x14ac:dyDescent="0.3">
      <c r="A462" s="18" t="s">
        <v>68</v>
      </c>
      <c r="B462" s="18" t="s">
        <v>63</v>
      </c>
      <c r="C462" s="18" t="s">
        <v>51</v>
      </c>
      <c r="D462" s="18" t="s">
        <v>52</v>
      </c>
      <c r="E462" s="18" t="s">
        <v>13</v>
      </c>
      <c r="F462" s="18" t="s">
        <v>20</v>
      </c>
      <c r="G462" s="18" t="s">
        <v>9</v>
      </c>
      <c r="H462" s="20"/>
      <c r="I462" s="20"/>
      <c r="J462" s="20"/>
      <c r="K462" s="20"/>
      <c r="L462" s="19" cm="1">
        <f t="array" ref="L462">_xlfn.XLOOKUP(E462,[4]C5_LMA_DIAG!$P$35:$P$43,_xlfn.XLOOKUP(B462,[4]C5_LMA_DIAG!$P$35:$AB$35,[4]C5_LMA_DIAG!$P$35:$AB$43))</f>
        <v>394.25395421672704</v>
      </c>
      <c r="M462" s="19" cm="1">
        <f t="array" ref="M462">_xlfn.XLOOKUP(E462,[5]C6_LMA_DIAG!$P$32:$P$40,_xlfn.XLOOKUP(B462,[5]C6_LMA_DIAG!$P$32:$AB$32,[5]C6_LMA_DIAG!$P$32:$AB$40))</f>
        <v>415.57991451435566</v>
      </c>
      <c r="N462" s="19">
        <f>HLOOKUP(B462,[6]C6_LMA_DIAG!$S$36:$AF$44,3,FALSE)</f>
        <v>212.86</v>
      </c>
      <c r="O462" s="20">
        <f>HLOOKUP(B462,[1]C5_LMT_DIAG!$S$37:$AF$45,3,FALSE)</f>
        <v>120</v>
      </c>
      <c r="P462" s="20">
        <v>111</v>
      </c>
    </row>
    <row r="463" spans="1:16" x14ac:dyDescent="0.3">
      <c r="A463" s="18" t="s">
        <v>68</v>
      </c>
      <c r="B463" s="18" t="s">
        <v>64</v>
      </c>
      <c r="C463" s="18" t="s">
        <v>51</v>
      </c>
      <c r="D463" s="18" t="s">
        <v>52</v>
      </c>
      <c r="E463" s="18" t="s">
        <v>13</v>
      </c>
      <c r="F463" s="18" t="s">
        <v>20</v>
      </c>
      <c r="G463" s="18" t="s">
        <v>9</v>
      </c>
      <c r="H463" s="20"/>
      <c r="I463" s="20"/>
      <c r="J463" s="20"/>
      <c r="K463" s="20"/>
      <c r="L463" s="19" cm="1">
        <f t="array" ref="L463">_xlfn.XLOOKUP(E463,[4]C5_LMA_DIAG!$P$35:$P$43,_xlfn.XLOOKUP(B463,[4]C5_LMA_DIAG!$P$35:$AB$35,[4]C5_LMA_DIAG!$P$35:$AB$43))</f>
        <v>376.19652119916702</v>
      </c>
      <c r="M463" s="19" cm="1">
        <f t="array" ref="M463">_xlfn.XLOOKUP(E463,[5]C6_LMA_DIAG!$P$32:$P$40,_xlfn.XLOOKUP(B463,[5]C6_LMA_DIAG!$P$32:$AB$32,[5]C6_LMA_DIAG!$P$32:$AB$40))</f>
        <v>393.5527105648315</v>
      </c>
      <c r="N463" s="19">
        <f>HLOOKUP(B463,[6]C6_LMA_DIAG!$S$36:$AF$44,3,FALSE)</f>
        <v>218.85</v>
      </c>
      <c r="O463" s="20">
        <f>HLOOKUP(B463,[1]C5_LMT_DIAG!$S$37:$AF$45,3,FALSE)</f>
        <v>157</v>
      </c>
      <c r="P463" s="20">
        <v>99</v>
      </c>
    </row>
    <row r="464" spans="1:16" x14ac:dyDescent="0.3">
      <c r="A464" s="18" t="s">
        <v>68</v>
      </c>
      <c r="B464" s="18" t="s">
        <v>70</v>
      </c>
      <c r="C464" s="18" t="s">
        <v>51</v>
      </c>
      <c r="D464" s="18" t="s">
        <v>52</v>
      </c>
      <c r="E464" s="18" t="s">
        <v>13</v>
      </c>
      <c r="F464" s="18" t="s">
        <v>20</v>
      </c>
      <c r="G464" s="18" t="s">
        <v>9</v>
      </c>
      <c r="H464" s="20"/>
      <c r="I464" s="20"/>
      <c r="J464" s="20"/>
      <c r="K464" s="20"/>
      <c r="L464" s="19">
        <v>0</v>
      </c>
      <c r="M464" s="19">
        <v>0</v>
      </c>
      <c r="N464" s="19">
        <f>HLOOKUP(B464,[6]C6_LMA_DIAG!$S$36:$AF$44,3,FALSE)</f>
        <v>10298.14</v>
      </c>
      <c r="O464" s="20">
        <f>HLOOKUP(B464,[1]C5_LMT_DIAG!$S$37:$AF$45,3,FALSE)</f>
        <v>8824</v>
      </c>
      <c r="P464" s="20">
        <v>6064</v>
      </c>
    </row>
    <row r="465" spans="1:16" x14ac:dyDescent="0.3">
      <c r="A465" s="18"/>
      <c r="B465" s="18" t="s">
        <v>71</v>
      </c>
      <c r="C465" s="18" t="s">
        <v>51</v>
      </c>
      <c r="D465" s="18" t="s">
        <v>52</v>
      </c>
      <c r="E465" s="18" t="s">
        <v>72</v>
      </c>
      <c r="F465" s="18" t="s">
        <v>20</v>
      </c>
      <c r="G465" s="18" t="s">
        <v>9</v>
      </c>
      <c r="H465" s="20"/>
      <c r="I465" s="20"/>
      <c r="J465" s="20"/>
      <c r="K465" s="20"/>
      <c r="L465" s="19">
        <v>0</v>
      </c>
      <c r="M465" s="19">
        <v>0</v>
      </c>
      <c r="N465" s="19">
        <f>HLOOKUP(B465,[6]C6_LMA_DIAG!$S$36:$AF$44,3,FALSE)</f>
        <v>712.03</v>
      </c>
      <c r="O465" s="20">
        <f>HLOOKUP(B465,[1]C5_LMT_DIAG!$S$37:$AF$45,3,FALSE)</f>
        <v>487</v>
      </c>
      <c r="P465" s="20">
        <v>0</v>
      </c>
    </row>
    <row r="466" spans="1:16" x14ac:dyDescent="0.3">
      <c r="A466" s="18" t="s">
        <v>68</v>
      </c>
      <c r="B466" s="18" t="s">
        <v>65</v>
      </c>
      <c r="C466" s="18" t="s">
        <v>51</v>
      </c>
      <c r="D466" s="18" t="s">
        <v>52</v>
      </c>
      <c r="E466" s="18" t="s">
        <v>13</v>
      </c>
      <c r="F466" s="18" t="s">
        <v>20</v>
      </c>
      <c r="G466" s="18" t="s">
        <v>9</v>
      </c>
      <c r="H466" s="20"/>
      <c r="I466" s="20"/>
      <c r="J466" s="20"/>
      <c r="K466" s="20"/>
      <c r="L466" s="19" cm="1">
        <f t="array" ref="L466">_xlfn.XLOOKUP(E466,[4]C5_LMA_DIAG!$P$35:$P$43,_xlfn.XLOOKUP(B466,[4]C5_LMA_DIAG!$P$35:$AB$35,[4]C5_LMA_DIAG!$P$35:$AB$43))</f>
        <v>7138.7051862753924</v>
      </c>
      <c r="M466" s="19" cm="1">
        <f t="array" ref="M466">_xlfn.XLOOKUP(E466,[5]C6_LMA_DIAG!$P$32:$P$40,_xlfn.XLOOKUP(B466,[5]C6_LMA_DIAG!$P$32:$AB$32,[5]C6_LMA_DIAG!$P$32:$AB$40))</f>
        <v>6699.2069611819452</v>
      </c>
      <c r="N466" s="19">
        <f>HLOOKUP(B466,[6]C6_LMA_DIAG!$S$36:$AF$44,3,FALSE)</f>
        <v>3805.97</v>
      </c>
      <c r="O466" s="20">
        <f>HLOOKUP(B466,[1]C5_LMT_DIAG!$S$37:$AF$45,3,FALSE)</f>
        <v>3384</v>
      </c>
      <c r="P466" s="20">
        <v>2011</v>
      </c>
    </row>
    <row r="467" spans="1:16" x14ac:dyDescent="0.3">
      <c r="A467" s="18" t="s">
        <v>68</v>
      </c>
      <c r="B467" s="18" t="s">
        <v>19</v>
      </c>
      <c r="C467" s="18" t="s">
        <v>51</v>
      </c>
      <c r="D467" s="18" t="s">
        <v>52</v>
      </c>
      <c r="E467" s="18" t="s">
        <v>13</v>
      </c>
      <c r="F467" s="18" t="s">
        <v>20</v>
      </c>
      <c r="G467" s="18" t="s">
        <v>9</v>
      </c>
      <c r="H467" s="20"/>
      <c r="I467" s="20"/>
      <c r="J467" s="20"/>
      <c r="K467" s="20"/>
      <c r="L467" s="19" cm="1">
        <f t="array" ref="L467">_xlfn.XLOOKUP(E467,[4]C5_LMA_DIAG!$P$35:$P$43,_xlfn.XLOOKUP(B467,[4]C5_LMA_DIAG!$P$35:$AB$35,[4]C5_LMA_DIAG!$P$35:$AB$43))</f>
        <v>3.0095721695933362</v>
      </c>
      <c r="M467" s="19" cm="1">
        <f t="array" ref="M467">_xlfn.XLOOKUP(E467,[5]C6_LMA_DIAG!$P$32:$P$40,_xlfn.XLOOKUP(B467,[5]C6_LMA_DIAG!$P$32:$AB$32,[5]C6_LMA_DIAG!$P$32:$AB$40))</f>
        <v>11.747842106412881</v>
      </c>
      <c r="N467" s="19">
        <f>HLOOKUP(B467,[6]C6_LMA_DIAG!$S$36:$AF$44,3,FALSE)</f>
        <v>4.5</v>
      </c>
      <c r="O467" s="20">
        <f>HLOOKUP(B467,[1]C5_LMT_DIAG!$S$37:$AF$45,3,FALSE)</f>
        <v>1</v>
      </c>
      <c r="P467" s="20">
        <v>5</v>
      </c>
    </row>
    <row r="468" spans="1:16" x14ac:dyDescent="0.3">
      <c r="A468" s="17" t="s">
        <v>68</v>
      </c>
      <c r="B468" s="17" t="s">
        <v>55</v>
      </c>
      <c r="C468" s="17" t="s">
        <v>51</v>
      </c>
      <c r="D468" s="17" t="s">
        <v>52</v>
      </c>
      <c r="E468" s="17" t="s">
        <v>14</v>
      </c>
      <c r="F468" s="17" t="s">
        <v>20</v>
      </c>
      <c r="G468" s="17" t="s">
        <v>9</v>
      </c>
      <c r="H468" s="19"/>
      <c r="I468" s="19"/>
      <c r="J468" s="19"/>
      <c r="K468" s="19"/>
      <c r="L468" s="19" cm="1">
        <f t="array" ref="L468">_xlfn.XLOOKUP(E468,[4]C5_LMA_DIAG!$P$35:$P$43,_xlfn.XLOOKUP(B468,[4]C5_LMA_DIAG!$P$35:$AB$35,[4]C5_LMA_DIAG!$P$35:$AB$43))</f>
        <v>92186.205126813467</v>
      </c>
      <c r="M468" s="19" cm="1">
        <f t="array" ref="M468">_xlfn.XLOOKUP(E468,[5]C6_LMA_DIAG!$P$32:$P$40,_xlfn.XLOOKUP(B468,[5]C6_LMA_DIAG!$P$32:$AB$32,[5]C6_LMA_DIAG!$P$32:$AB$40))</f>
        <v>103165.14393772802</v>
      </c>
      <c r="N468" s="19">
        <f>HLOOKUP(B468,[6]C6_LMA_DIAG!$S$36:$AF$44,4,FALSE)</f>
        <v>107521.91</v>
      </c>
      <c r="O468" s="20">
        <f>HLOOKUP(B468,[1]C5_LMT_DIAG!$S$37:$AF$45,4,FALSE)</f>
        <v>177072</v>
      </c>
      <c r="P468" s="19">
        <v>137887</v>
      </c>
    </row>
    <row r="469" spans="1:16" x14ac:dyDescent="0.3">
      <c r="A469" s="17" t="s">
        <v>68</v>
      </c>
      <c r="B469" s="17" t="s">
        <v>56</v>
      </c>
      <c r="C469" s="17" t="s">
        <v>51</v>
      </c>
      <c r="D469" s="17" t="s">
        <v>52</v>
      </c>
      <c r="E469" s="17" t="s">
        <v>14</v>
      </c>
      <c r="F469" s="17" t="s">
        <v>20</v>
      </c>
      <c r="G469" s="17" t="s">
        <v>9</v>
      </c>
      <c r="H469" s="19"/>
      <c r="I469" s="19"/>
      <c r="J469" s="19"/>
      <c r="K469" s="19"/>
      <c r="L469" s="19" cm="1">
        <f t="array" ref="L469">_xlfn.XLOOKUP(E469,[4]C5_LMA_DIAG!$P$35:$P$43,_xlfn.XLOOKUP(B469,[4]C5_LMA_DIAG!$P$35:$AB$35,[4]C5_LMA_DIAG!$P$35:$AB$43))</f>
        <v>83208.65134491655</v>
      </c>
      <c r="M469" s="19" cm="1">
        <f t="array" ref="M469">_xlfn.XLOOKUP(E469,[5]C6_LMA_DIAG!$P$32:$P$40,_xlfn.XLOOKUP(B469,[5]C6_LMA_DIAG!$P$32:$AB$32,[5]C6_LMA_DIAG!$P$32:$AB$40))</f>
        <v>88643.342613938396</v>
      </c>
      <c r="N469" s="19">
        <f>HLOOKUP(B469,[6]C6_LMA_DIAG!$S$36:$AF$44,4,FALSE)</f>
        <v>61814.35</v>
      </c>
      <c r="O469" s="20">
        <f>HLOOKUP(B469,[1]C5_LMT_DIAG!$S$37:$AF$45,4,FALSE)</f>
        <v>67911</v>
      </c>
      <c r="P469" s="19">
        <v>58480</v>
      </c>
    </row>
    <row r="470" spans="1:16" x14ac:dyDescent="0.3">
      <c r="A470" s="17" t="s">
        <v>68</v>
      </c>
      <c r="B470" s="17" t="s">
        <v>57</v>
      </c>
      <c r="C470" s="17" t="s">
        <v>51</v>
      </c>
      <c r="D470" s="17" t="s">
        <v>52</v>
      </c>
      <c r="E470" s="17" t="s">
        <v>14</v>
      </c>
      <c r="F470" s="17" t="s">
        <v>20</v>
      </c>
      <c r="G470" s="17" t="s">
        <v>9</v>
      </c>
      <c r="H470" s="19"/>
      <c r="I470" s="19"/>
      <c r="J470" s="19"/>
      <c r="K470" s="19"/>
      <c r="L470" s="19" cm="1">
        <f t="array" ref="L470">_xlfn.XLOOKUP(E470,[4]C5_LMA_DIAG!$P$35:$P$43,_xlfn.XLOOKUP(B470,[4]C5_LMA_DIAG!$P$35:$AB$35,[4]C5_LMA_DIAG!$P$35:$AB$43))</f>
        <v>140628.2787685878</v>
      </c>
      <c r="M470" s="19" cm="1">
        <f t="array" ref="M470">_xlfn.XLOOKUP(E470,[5]C6_LMA_DIAG!$P$32:$P$40,_xlfn.XLOOKUP(B470,[5]C6_LMA_DIAG!$P$32:$AB$32,[5]C6_LMA_DIAG!$P$32:$AB$40))</f>
        <v>157976.16976546063</v>
      </c>
      <c r="N470" s="19">
        <f>HLOOKUP(B470,[6]C6_LMA_DIAG!$S$36:$AF$44,4,FALSE)</f>
        <v>49792.35</v>
      </c>
      <c r="O470" s="20">
        <f>HLOOKUP(B470,[1]C5_LMT_DIAG!$S$37:$AF$45,4,FALSE)</f>
        <v>31282</v>
      </c>
      <c r="P470" s="19">
        <v>76099</v>
      </c>
    </row>
    <row r="471" spans="1:16" x14ac:dyDescent="0.3">
      <c r="A471" s="17" t="s">
        <v>68</v>
      </c>
      <c r="B471" s="17" t="s">
        <v>58</v>
      </c>
      <c r="C471" s="17" t="s">
        <v>51</v>
      </c>
      <c r="D471" s="17" t="s">
        <v>52</v>
      </c>
      <c r="E471" s="17" t="s">
        <v>14</v>
      </c>
      <c r="F471" s="17" t="s">
        <v>20</v>
      </c>
      <c r="G471" s="17" t="s">
        <v>9</v>
      </c>
      <c r="H471" s="19"/>
      <c r="I471" s="19"/>
      <c r="J471" s="19"/>
      <c r="K471" s="19"/>
      <c r="L471" s="19" cm="1">
        <f t="array" ref="L471">_xlfn.XLOOKUP(E471,[4]C5_LMA_DIAG!$P$35:$P$43,_xlfn.XLOOKUP(B471,[4]C5_LMA_DIAG!$P$35:$AB$35,[4]C5_LMA_DIAG!$P$35:$AB$43))</f>
        <v>53313.066198261149</v>
      </c>
      <c r="M471" s="19" cm="1">
        <f t="array" ref="M471">_xlfn.XLOOKUP(E471,[5]C6_LMA_DIAG!$P$32:$P$40,_xlfn.XLOOKUP(B471,[5]C6_LMA_DIAG!$P$32:$AB$32,[5]C6_LMA_DIAG!$P$32:$AB$40))</f>
        <v>56032.801406799539</v>
      </c>
      <c r="N471" s="19">
        <f>HLOOKUP(B471,[6]C6_LMA_DIAG!$S$36:$AF$44,4,FALSE)</f>
        <v>37121.29</v>
      </c>
      <c r="O471" s="20">
        <f>HLOOKUP(B471,[1]C5_LMT_DIAG!$S$37:$AF$45,4,FALSE)</f>
        <v>36642</v>
      </c>
      <c r="P471" s="19">
        <v>35884</v>
      </c>
    </row>
    <row r="472" spans="1:16" x14ac:dyDescent="0.3">
      <c r="A472" s="17" t="s">
        <v>68</v>
      </c>
      <c r="B472" s="17" t="s">
        <v>59</v>
      </c>
      <c r="C472" s="17" t="s">
        <v>51</v>
      </c>
      <c r="D472" s="17" t="s">
        <v>52</v>
      </c>
      <c r="E472" s="17" t="s">
        <v>14</v>
      </c>
      <c r="F472" s="17" t="s">
        <v>20</v>
      </c>
      <c r="G472" s="17" t="s">
        <v>9</v>
      </c>
      <c r="H472" s="19"/>
      <c r="I472" s="19"/>
      <c r="J472" s="19"/>
      <c r="K472" s="19"/>
      <c r="L472" s="19" cm="1">
        <f t="array" ref="L472">_xlfn.XLOOKUP(E472,[4]C5_LMA_DIAG!$P$35:$P$43,_xlfn.XLOOKUP(B472,[4]C5_LMA_DIAG!$P$35:$AB$35,[4]C5_LMA_DIAG!$P$35:$AB$43))</f>
        <v>91155.426658727767</v>
      </c>
      <c r="M472" s="19" cm="1">
        <f t="array" ref="M472">_xlfn.XLOOKUP(E472,[5]C6_LMA_DIAG!$P$32:$P$40,_xlfn.XLOOKUP(B472,[5]C6_LMA_DIAG!$P$32:$AB$32,[5]C6_LMA_DIAG!$P$32:$AB$40))</f>
        <v>84521.318514850776</v>
      </c>
      <c r="N472" s="19">
        <f>HLOOKUP(B472,[6]C6_LMA_DIAG!$S$36:$AF$44,4,FALSE)</f>
        <v>37236.71</v>
      </c>
      <c r="O472" s="20">
        <f>HLOOKUP(B472,[1]C5_LMT_DIAG!$S$37:$AF$45,4,FALSE)</f>
        <v>23148</v>
      </c>
      <c r="P472" s="19">
        <v>31656</v>
      </c>
    </row>
    <row r="473" spans="1:16" x14ac:dyDescent="0.3">
      <c r="A473" s="17" t="s">
        <v>68</v>
      </c>
      <c r="B473" s="17" t="s">
        <v>60</v>
      </c>
      <c r="C473" s="17" t="s">
        <v>51</v>
      </c>
      <c r="D473" s="17" t="s">
        <v>52</v>
      </c>
      <c r="E473" s="17" t="s">
        <v>14</v>
      </c>
      <c r="F473" s="17" t="s">
        <v>20</v>
      </c>
      <c r="G473" s="17" t="s">
        <v>9</v>
      </c>
      <c r="H473" s="19"/>
      <c r="I473" s="19"/>
      <c r="J473" s="19"/>
      <c r="K473" s="19"/>
      <c r="L473" s="19" cm="1">
        <f t="array" ref="L473">_xlfn.XLOOKUP(E473,[4]C5_LMA_DIAG!$P$35:$P$43,_xlfn.XLOOKUP(B473,[4]C5_LMA_DIAG!$P$35:$AB$35,[4]C5_LMA_DIAG!$P$35:$AB$43))</f>
        <v>51277.090625531258</v>
      </c>
      <c r="M473" s="19" cm="1">
        <f t="array" ref="M473">_xlfn.XLOOKUP(E473,[5]C6_LMA_DIAG!$P$32:$P$40,_xlfn.XLOOKUP(B473,[5]C6_LMA_DIAG!$P$32:$AB$32,[5]C6_LMA_DIAG!$P$32:$AB$40))</f>
        <v>61664.423216561212</v>
      </c>
      <c r="N473" s="19">
        <f>HLOOKUP(B473,[6]C6_LMA_DIAG!$S$36:$AF$44,4,FALSE)</f>
        <v>31477.54</v>
      </c>
      <c r="O473" s="20">
        <f>HLOOKUP(B473,[1]C5_LMT_DIAG!$S$37:$AF$45,4,FALSE)</f>
        <v>29253</v>
      </c>
      <c r="P473" s="19">
        <v>34198</v>
      </c>
    </row>
    <row r="474" spans="1:16" x14ac:dyDescent="0.3">
      <c r="A474" s="17" t="s">
        <v>68</v>
      </c>
      <c r="B474" s="17" t="s">
        <v>61</v>
      </c>
      <c r="C474" s="17" t="s">
        <v>51</v>
      </c>
      <c r="D474" s="17" t="s">
        <v>52</v>
      </c>
      <c r="E474" s="17" t="s">
        <v>14</v>
      </c>
      <c r="F474" s="17" t="s">
        <v>20</v>
      </c>
      <c r="G474" s="17" t="s">
        <v>9</v>
      </c>
      <c r="H474" s="19"/>
      <c r="I474" s="19"/>
      <c r="J474" s="19"/>
      <c r="K474" s="19"/>
      <c r="L474" s="19" cm="1">
        <f t="array" ref="L474">_xlfn.XLOOKUP(E474,[4]C5_LMA_DIAG!$P$35:$P$43,_xlfn.XLOOKUP(B474,[4]C5_LMA_DIAG!$P$35:$AB$35,[4]C5_LMA_DIAG!$P$35:$AB$43))</f>
        <v>31368.77072367134</v>
      </c>
      <c r="M474" s="19" cm="1">
        <f t="array" ref="M474">_xlfn.XLOOKUP(E474,[5]C6_LMA_DIAG!$P$32:$P$40,_xlfn.XLOOKUP(B474,[5]C6_LMA_DIAG!$P$32:$AB$32,[5]C6_LMA_DIAG!$P$32:$AB$40))</f>
        <v>29302.055173920326</v>
      </c>
      <c r="N474" s="19">
        <f>HLOOKUP(B474,[6]C6_LMA_DIAG!$S$36:$AF$44,4,FALSE)</f>
        <v>22134.26</v>
      </c>
      <c r="O474" s="20">
        <f>HLOOKUP(B474,[1]C5_LMT_DIAG!$S$37:$AF$45,4,FALSE)</f>
        <v>18223</v>
      </c>
      <c r="P474" s="19">
        <v>18482</v>
      </c>
    </row>
    <row r="475" spans="1:16" x14ac:dyDescent="0.3">
      <c r="A475" s="17" t="s">
        <v>68</v>
      </c>
      <c r="B475" s="17" t="s">
        <v>62</v>
      </c>
      <c r="C475" s="17" t="s">
        <v>51</v>
      </c>
      <c r="D475" s="17" t="s">
        <v>52</v>
      </c>
      <c r="E475" s="17" t="s">
        <v>14</v>
      </c>
      <c r="F475" s="17" t="s">
        <v>20</v>
      </c>
      <c r="G475" s="17" t="s">
        <v>9</v>
      </c>
      <c r="H475" s="19"/>
      <c r="I475" s="19"/>
      <c r="J475" s="19"/>
      <c r="K475" s="19"/>
      <c r="L475" s="19" cm="1">
        <f t="array" ref="L475">_xlfn.XLOOKUP(E475,[4]C5_LMA_DIAG!$P$35:$P$43,_xlfn.XLOOKUP(B475,[4]C5_LMA_DIAG!$P$35:$AB$35,[4]C5_LMA_DIAG!$P$35:$AB$43))</f>
        <v>20216.801049243233</v>
      </c>
      <c r="M475" s="19" cm="1">
        <f t="array" ref="M475">_xlfn.XLOOKUP(E475,[5]C6_LMA_DIAG!$P$32:$P$40,_xlfn.XLOOKUP(B475,[5]C6_LMA_DIAG!$P$32:$AB$32,[5]C6_LMA_DIAG!$P$32:$AB$40))</f>
        <v>20708.508673079308</v>
      </c>
      <c r="N475" s="19">
        <f>HLOOKUP(B475,[6]C6_LMA_DIAG!$S$36:$AF$44,4,FALSE)</f>
        <v>12871.93</v>
      </c>
      <c r="O475" s="20">
        <f>HLOOKUP(B475,[1]C5_LMT_DIAG!$S$37:$AF$45,4,FALSE)</f>
        <v>12206</v>
      </c>
      <c r="P475" s="19">
        <v>12628</v>
      </c>
    </row>
    <row r="476" spans="1:16" x14ac:dyDescent="0.3">
      <c r="A476" s="17" t="s">
        <v>68</v>
      </c>
      <c r="B476" s="17" t="s">
        <v>63</v>
      </c>
      <c r="C476" s="17" t="s">
        <v>51</v>
      </c>
      <c r="D476" s="17" t="s">
        <v>52</v>
      </c>
      <c r="E476" s="17" t="s">
        <v>14</v>
      </c>
      <c r="F476" s="17" t="s">
        <v>20</v>
      </c>
      <c r="G476" s="17" t="s">
        <v>9</v>
      </c>
      <c r="H476" s="19"/>
      <c r="I476" s="19"/>
      <c r="J476" s="19"/>
      <c r="K476" s="19"/>
      <c r="L476" s="19" cm="1">
        <f t="array" ref="L476">_xlfn.XLOOKUP(E476,[4]C5_LMA_DIAG!$P$35:$P$43,_xlfn.XLOOKUP(B476,[4]C5_LMA_DIAG!$P$35:$AB$35,[4]C5_LMA_DIAG!$P$35:$AB$43))</f>
        <v>6855.8054023336199</v>
      </c>
      <c r="M476" s="19" cm="1">
        <f t="array" ref="M476">_xlfn.XLOOKUP(E476,[5]C6_LMA_DIAG!$P$32:$P$40,_xlfn.XLOOKUP(B476,[5]C6_LMA_DIAG!$P$32:$AB$32,[5]C6_LMA_DIAG!$P$32:$AB$40))</f>
        <v>7390.8611651970041</v>
      </c>
      <c r="N476" s="19">
        <f>HLOOKUP(B476,[6]C6_LMA_DIAG!$S$36:$AF$44,4,FALSE)</f>
        <v>5775.65</v>
      </c>
      <c r="O476" s="20">
        <f>HLOOKUP(B476,[1]C5_LMT_DIAG!$S$37:$AF$45,4,FALSE)</f>
        <v>4924</v>
      </c>
      <c r="P476" s="19">
        <v>4548</v>
      </c>
    </row>
    <row r="477" spans="1:16" x14ac:dyDescent="0.3">
      <c r="A477" s="17" t="s">
        <v>68</v>
      </c>
      <c r="B477" s="17" t="s">
        <v>64</v>
      </c>
      <c r="C477" s="17" t="s">
        <v>51</v>
      </c>
      <c r="D477" s="17" t="s">
        <v>52</v>
      </c>
      <c r="E477" s="17" t="s">
        <v>14</v>
      </c>
      <c r="F477" s="17" t="s">
        <v>20</v>
      </c>
      <c r="G477" s="17" t="s">
        <v>9</v>
      </c>
      <c r="H477" s="19"/>
      <c r="I477" s="19"/>
      <c r="J477" s="19"/>
      <c r="K477" s="19"/>
      <c r="L477" s="19" cm="1">
        <f t="array" ref="L477">_xlfn.XLOOKUP(E477,[4]C5_LMA_DIAG!$P$35:$P$43,_xlfn.XLOOKUP(B477,[4]C5_LMA_DIAG!$P$35:$AB$35,[4]C5_LMA_DIAG!$P$35:$AB$43))</f>
        <v>5099.7200413759074</v>
      </c>
      <c r="M477" s="19" cm="1">
        <f t="array" ref="M477">_xlfn.XLOOKUP(E477,[5]C6_LMA_DIAG!$P$32:$P$40,_xlfn.XLOOKUP(B477,[5]C6_LMA_DIAG!$P$32:$AB$32,[5]C6_LMA_DIAG!$P$32:$AB$40))</f>
        <v>5483.305303168212</v>
      </c>
      <c r="N477" s="19">
        <f>HLOOKUP(B477,[6]C6_LMA_DIAG!$S$36:$AF$44,4,FALSE)</f>
        <v>4108.76</v>
      </c>
      <c r="O477" s="20">
        <f>HLOOKUP(B477,[1]C5_LMT_DIAG!$S$37:$AF$45,4,FALSE)</f>
        <v>3661</v>
      </c>
      <c r="P477" s="19">
        <v>3182</v>
      </c>
    </row>
    <row r="478" spans="1:16" x14ac:dyDescent="0.3">
      <c r="A478" s="17" t="s">
        <v>68</v>
      </c>
      <c r="B478" s="17" t="s">
        <v>70</v>
      </c>
      <c r="C478" s="17" t="s">
        <v>51</v>
      </c>
      <c r="D478" s="17" t="s">
        <v>52</v>
      </c>
      <c r="E478" s="17" t="s">
        <v>14</v>
      </c>
      <c r="F478" s="17" t="s">
        <v>20</v>
      </c>
      <c r="G478" s="17" t="s">
        <v>9</v>
      </c>
      <c r="H478" s="19"/>
      <c r="I478" s="19"/>
      <c r="J478" s="19"/>
      <c r="K478" s="19"/>
      <c r="L478" s="19">
        <v>0</v>
      </c>
      <c r="M478" s="19">
        <v>0</v>
      </c>
      <c r="N478" s="19">
        <f>HLOOKUP(B478,[6]C6_LMA_DIAG!$S$36:$AF$44,4,FALSE)</f>
        <v>100684.97</v>
      </c>
      <c r="O478" s="20">
        <f>HLOOKUP(B478,[1]C5_LMT_DIAG!$S$37:$AF$45,4,FALSE)</f>
        <v>104206</v>
      </c>
      <c r="P478" s="19">
        <v>132906</v>
      </c>
    </row>
    <row r="479" spans="1:16" x14ac:dyDescent="0.3">
      <c r="A479" s="17"/>
      <c r="B479" s="17" t="s">
        <v>71</v>
      </c>
      <c r="C479" s="17" t="s">
        <v>51</v>
      </c>
      <c r="D479" s="17" t="s">
        <v>52</v>
      </c>
      <c r="E479" s="17" t="s">
        <v>14</v>
      </c>
      <c r="F479" s="17" t="s">
        <v>20</v>
      </c>
      <c r="G479" s="17" t="s">
        <v>9</v>
      </c>
      <c r="H479" s="19"/>
      <c r="I479" s="19"/>
      <c r="J479" s="19"/>
      <c r="K479" s="19"/>
      <c r="L479" s="19">
        <v>0</v>
      </c>
      <c r="M479" s="19">
        <v>0</v>
      </c>
      <c r="N479" s="19">
        <f>HLOOKUP(B479,[6]C6_LMA_DIAG!$S$36:$AF$44,4,FALSE)</f>
        <v>31294.66</v>
      </c>
      <c r="O479" s="20">
        <f>HLOOKUP(B479,[1]C5_LMT_DIAG!$S$37:$AF$45,4,FALSE)</f>
        <v>26066</v>
      </c>
      <c r="P479" s="19">
        <v>0</v>
      </c>
    </row>
    <row r="480" spans="1:16" x14ac:dyDescent="0.3">
      <c r="A480" s="17" t="s">
        <v>68</v>
      </c>
      <c r="B480" s="17" t="s">
        <v>65</v>
      </c>
      <c r="C480" s="17" t="s">
        <v>51</v>
      </c>
      <c r="D480" s="17" t="s">
        <v>52</v>
      </c>
      <c r="E480" s="17" t="s">
        <v>14</v>
      </c>
      <c r="F480" s="17" t="s">
        <v>20</v>
      </c>
      <c r="G480" s="17" t="s">
        <v>9</v>
      </c>
      <c r="H480" s="19"/>
      <c r="I480" s="19"/>
      <c r="J480" s="19"/>
      <c r="K480" s="19"/>
      <c r="L480" s="19" cm="1">
        <f t="array" ref="L480">_xlfn.XLOOKUP(E480,[4]C5_LMA_DIAG!$P$35:$P$43,_xlfn.XLOOKUP(B480,[4]C5_LMA_DIAG!$P$35:$AB$35,[4]C5_LMA_DIAG!$P$35:$AB$43))</f>
        <v>73144.642009796444</v>
      </c>
      <c r="M480" s="19" cm="1">
        <f t="array" ref="M480">_xlfn.XLOOKUP(E480,[5]C6_LMA_DIAG!$P$32:$P$40,_xlfn.XLOOKUP(B480,[5]C6_LMA_DIAG!$P$32:$AB$32,[5]C6_LMA_DIAG!$P$32:$AB$40))</f>
        <v>78299.367639241857</v>
      </c>
      <c r="N480" s="19">
        <f>HLOOKUP(B480,[6]C6_LMA_DIAG!$S$36:$AF$44,4,FALSE)</f>
        <v>49312.67</v>
      </c>
      <c r="O480" s="20">
        <f>HLOOKUP(B480,[1]C5_LMT_DIAG!$S$37:$AF$45,4,FALSE)</f>
        <v>57539</v>
      </c>
      <c r="P480" s="19">
        <v>48303</v>
      </c>
    </row>
    <row r="481" spans="1:16" x14ac:dyDescent="0.3">
      <c r="A481" s="17" t="s">
        <v>68</v>
      </c>
      <c r="B481" s="17" t="s">
        <v>19</v>
      </c>
      <c r="C481" s="17" t="s">
        <v>51</v>
      </c>
      <c r="D481" s="17" t="s">
        <v>52</v>
      </c>
      <c r="E481" s="17" t="s">
        <v>14</v>
      </c>
      <c r="F481" s="17" t="s">
        <v>20</v>
      </c>
      <c r="G481" s="17" t="s">
        <v>9</v>
      </c>
      <c r="H481" s="19"/>
      <c r="I481" s="19"/>
      <c r="J481" s="19"/>
      <c r="K481" s="19"/>
      <c r="L481" s="19" cm="1">
        <f t="array" ref="L481">_xlfn.XLOOKUP(E481,[4]C5_LMA_DIAG!$P$35:$P$43,_xlfn.XLOOKUP(B481,[4]C5_LMA_DIAG!$P$35:$AB$35,[4]C5_LMA_DIAG!$P$35:$AB$43))</f>
        <v>37.619652119916701</v>
      </c>
      <c r="M481" s="19" cm="1">
        <f t="array" ref="M481">_xlfn.XLOOKUP(E481,[5]C6_LMA_DIAG!$P$32:$P$40,_xlfn.XLOOKUP(B481,[5]C6_LMA_DIAG!$P$32:$AB$32,[5]C6_LMA_DIAG!$P$32:$AB$40))</f>
        <v>221.74051975854312</v>
      </c>
      <c r="N481" s="19">
        <f>HLOOKUP(B481,[6]C6_LMA_DIAG!$S$36:$AF$44,4,FALSE)</f>
        <v>98.93</v>
      </c>
      <c r="O481" s="20">
        <f>HLOOKUP(B481,[1]C5_LMT_DIAG!$S$37:$AF$45,4,FALSE)</f>
        <v>12</v>
      </c>
      <c r="P481" s="19">
        <v>160</v>
      </c>
    </row>
    <row r="482" spans="1:16" x14ac:dyDescent="0.3">
      <c r="A482" s="18" t="s">
        <v>68</v>
      </c>
      <c r="B482" s="18" t="s">
        <v>55</v>
      </c>
      <c r="C482" s="18" t="s">
        <v>51</v>
      </c>
      <c r="D482" s="18" t="s">
        <v>52</v>
      </c>
      <c r="E482" s="18" t="s">
        <v>15</v>
      </c>
      <c r="F482" s="18" t="s">
        <v>20</v>
      </c>
      <c r="G482" s="18" t="s">
        <v>9</v>
      </c>
      <c r="H482" s="20"/>
      <c r="I482" s="20"/>
      <c r="J482" s="20"/>
      <c r="K482" s="20"/>
      <c r="L482" s="19" cm="1">
        <f t="array" ref="L482">_xlfn.XLOOKUP(E482,[4]C5_LMA_DIAG!$P$35:$P$43,_xlfn.XLOOKUP(B482,[4]C5_LMA_DIAG!$P$35:$AB$35,[4]C5_LMA_DIAG!$P$35:$AB$43))</f>
        <v>84209.334091306329</v>
      </c>
      <c r="M482" s="19" cm="1">
        <f t="array" ref="M482">_xlfn.XLOOKUP(E482,[5]C6_LMA_DIAG!$P$32:$P$40,_xlfn.XLOOKUP(B482,[5]C6_LMA_DIAG!$P$32:$AB$32,[5]C6_LMA_DIAG!$P$32:$AB$40))</f>
        <v>94973.961029031634</v>
      </c>
      <c r="N482" s="19">
        <f>HLOOKUP(B482,[6]C6_LMA_DIAG!$S$36:$AF$44,5,FALSE)</f>
        <v>102076.04</v>
      </c>
      <c r="O482" s="20">
        <f>HLOOKUP(B482,[1]C5_LMT_DIAG!$S$37:$AF$45,5,FALSE)</f>
        <v>173866</v>
      </c>
      <c r="P482" s="20">
        <v>141571</v>
      </c>
    </row>
    <row r="483" spans="1:16" x14ac:dyDescent="0.3">
      <c r="A483" s="18" t="s">
        <v>68</v>
      </c>
      <c r="B483" s="18" t="s">
        <v>56</v>
      </c>
      <c r="C483" s="18" t="s">
        <v>51</v>
      </c>
      <c r="D483" s="18" t="s">
        <v>52</v>
      </c>
      <c r="E483" s="18" t="s">
        <v>15</v>
      </c>
      <c r="F483" s="18" t="s">
        <v>20</v>
      </c>
      <c r="G483" s="18" t="s">
        <v>9</v>
      </c>
      <c r="H483" s="20"/>
      <c r="I483" s="20"/>
      <c r="J483" s="20"/>
      <c r="K483" s="20"/>
      <c r="L483" s="19" cm="1">
        <f t="array" ref="L483">_xlfn.XLOOKUP(E483,[4]C5_LMA_DIAG!$P$35:$P$43,_xlfn.XLOOKUP(B483,[4]C5_LMA_DIAG!$P$35:$AB$35,[4]C5_LMA_DIAG!$P$35:$AB$43))</f>
        <v>83291.414579580378</v>
      </c>
      <c r="M483" s="19" cm="1">
        <f t="array" ref="M483">_xlfn.XLOOKUP(E483,[5]C6_LMA_DIAG!$P$32:$P$40,_xlfn.XLOOKUP(B483,[5]C6_LMA_DIAG!$P$32:$AB$32,[5]C6_LMA_DIAG!$P$32:$AB$40))</f>
        <v>88420.133613916551</v>
      </c>
      <c r="N483" s="19">
        <f>HLOOKUP(B483,[6]C6_LMA_DIAG!$S$36:$AF$44,5,FALSE)</f>
        <v>64993.73</v>
      </c>
      <c r="O483" s="20">
        <f>HLOOKUP(B483,[1]C5_LMT_DIAG!$S$37:$AF$45,5,FALSE)</f>
        <v>75124</v>
      </c>
      <c r="P483" s="20">
        <v>68957</v>
      </c>
    </row>
    <row r="484" spans="1:16" x14ac:dyDescent="0.3">
      <c r="A484" s="18" t="s">
        <v>68</v>
      </c>
      <c r="B484" s="18" t="s">
        <v>57</v>
      </c>
      <c r="C484" s="18" t="s">
        <v>51</v>
      </c>
      <c r="D484" s="18" t="s">
        <v>52</v>
      </c>
      <c r="E484" s="18" t="s">
        <v>15</v>
      </c>
      <c r="F484" s="18" t="s">
        <v>20</v>
      </c>
      <c r="G484" s="18" t="s">
        <v>9</v>
      </c>
      <c r="H484" s="20"/>
      <c r="I484" s="20"/>
      <c r="J484" s="20"/>
      <c r="K484" s="20"/>
      <c r="L484" s="19" cm="1">
        <f t="array" ref="L484">_xlfn.XLOOKUP(E484,[4]C5_LMA_DIAG!$P$35:$P$43,_xlfn.XLOOKUP(B484,[4]C5_LMA_DIAG!$P$35:$AB$35,[4]C5_LMA_DIAG!$P$35:$AB$43))</f>
        <v>116231.18197577944</v>
      </c>
      <c r="M484" s="19" cm="1">
        <f t="array" ref="M484">_xlfn.XLOOKUP(E484,[5]C6_LMA_DIAG!$P$32:$P$40,_xlfn.XLOOKUP(B484,[5]C6_LMA_DIAG!$P$32:$AB$32,[5]C6_LMA_DIAG!$P$32:$AB$40))</f>
        <v>131674.21976946548</v>
      </c>
      <c r="N484" s="19">
        <f>HLOOKUP(B484,[6]C6_LMA_DIAG!$S$36:$AF$44,5,FALSE)</f>
        <v>37050.83</v>
      </c>
      <c r="O484" s="20">
        <f>HLOOKUP(B484,[1]C5_LMT_DIAG!$S$37:$AF$45,5,FALSE)</f>
        <v>27617</v>
      </c>
      <c r="P484" s="20">
        <v>77631</v>
      </c>
    </row>
    <row r="485" spans="1:16" x14ac:dyDescent="0.3">
      <c r="A485" s="18" t="s">
        <v>68</v>
      </c>
      <c r="B485" s="18" t="s">
        <v>58</v>
      </c>
      <c r="C485" s="18" t="s">
        <v>51</v>
      </c>
      <c r="D485" s="18" t="s">
        <v>52</v>
      </c>
      <c r="E485" s="18" t="s">
        <v>15</v>
      </c>
      <c r="F485" s="18" t="s">
        <v>20</v>
      </c>
      <c r="G485" s="18" t="s">
        <v>9</v>
      </c>
      <c r="H485" s="20"/>
      <c r="I485" s="20"/>
      <c r="J485" s="20"/>
      <c r="K485" s="20"/>
      <c r="L485" s="19" cm="1">
        <f t="array" ref="L485">_xlfn.XLOOKUP(E485,[4]C5_LMA_DIAG!$P$35:$P$43,_xlfn.XLOOKUP(B485,[4]C5_LMA_DIAG!$P$35:$AB$35,[4]C5_LMA_DIAG!$P$35:$AB$43))</f>
        <v>42525.254756353839</v>
      </c>
      <c r="M485" s="19" cm="1">
        <f t="array" ref="M485">_xlfn.XLOOKUP(E485,[5]C6_LMA_DIAG!$P$32:$P$40,_xlfn.XLOOKUP(B485,[5]C6_LMA_DIAG!$P$32:$AB$32,[5]C6_LMA_DIAG!$P$32:$AB$40))</f>
        <v>45198.35402416026</v>
      </c>
      <c r="N485" s="19">
        <f>HLOOKUP(B485,[6]C6_LMA_DIAG!$S$36:$AF$44,5,FALSE)</f>
        <v>31694.9</v>
      </c>
      <c r="O485" s="20">
        <f>HLOOKUP(B485,[1]C5_LMT_DIAG!$S$37:$AF$45,5,FALSE)</f>
        <v>32152</v>
      </c>
      <c r="P485" s="20">
        <v>34557</v>
      </c>
    </row>
    <row r="486" spans="1:16" x14ac:dyDescent="0.3">
      <c r="A486" s="18" t="s">
        <v>68</v>
      </c>
      <c r="B486" s="18" t="s">
        <v>59</v>
      </c>
      <c r="C486" s="18" t="s">
        <v>51</v>
      </c>
      <c r="D486" s="18" t="s">
        <v>52</v>
      </c>
      <c r="E486" s="18" t="s">
        <v>15</v>
      </c>
      <c r="F486" s="18" t="s">
        <v>20</v>
      </c>
      <c r="G486" s="18" t="s">
        <v>9</v>
      </c>
      <c r="H486" s="20"/>
      <c r="I486" s="20"/>
      <c r="J486" s="20"/>
      <c r="K486" s="20"/>
      <c r="L486" s="19" cm="1">
        <f t="array" ref="L486">_xlfn.XLOOKUP(E486,[4]C5_LMA_DIAG!$P$35:$P$43,_xlfn.XLOOKUP(B486,[4]C5_LMA_DIAG!$P$35:$AB$35,[4]C5_LMA_DIAG!$P$35:$AB$43))</f>
        <v>56041.243369997508</v>
      </c>
      <c r="M486" s="19" cm="1">
        <f t="array" ref="M486">_xlfn.XLOOKUP(E486,[5]C6_LMA_DIAG!$P$32:$P$40,_xlfn.XLOOKUP(B486,[5]C6_LMA_DIAG!$P$32:$AB$32,[5]C6_LMA_DIAG!$P$32:$AB$40))</f>
        <v>52452.646524870215</v>
      </c>
      <c r="N486" s="19">
        <f>HLOOKUP(B486,[6]C6_LMA_DIAG!$S$36:$AF$44,5,FALSE)</f>
        <v>23313.98</v>
      </c>
      <c r="O486" s="20">
        <f>HLOOKUP(B486,[1]C5_LMT_DIAG!$S$37:$AF$45,5,FALSE)</f>
        <v>16276</v>
      </c>
      <c r="P486" s="20">
        <v>26122</v>
      </c>
    </row>
    <row r="487" spans="1:16" x14ac:dyDescent="0.3">
      <c r="A487" s="18" t="s">
        <v>68</v>
      </c>
      <c r="B487" s="18" t="s">
        <v>60</v>
      </c>
      <c r="C487" s="18" t="s">
        <v>51</v>
      </c>
      <c r="D487" s="18" t="s">
        <v>52</v>
      </c>
      <c r="E487" s="18" t="s">
        <v>15</v>
      </c>
      <c r="F487" s="18" t="s">
        <v>20</v>
      </c>
      <c r="G487" s="18" t="s">
        <v>9</v>
      </c>
      <c r="H487" s="20"/>
      <c r="I487" s="20"/>
      <c r="J487" s="20"/>
      <c r="K487" s="20"/>
      <c r="L487" s="19" cm="1">
        <f t="array" ref="L487">_xlfn.XLOOKUP(E487,[4]C5_LMA_DIAG!$P$35:$P$43,_xlfn.XLOOKUP(B487,[4]C5_LMA_DIAG!$P$35:$AB$35,[4]C5_LMA_DIAG!$P$35:$AB$43))</f>
        <v>41613.354388967062</v>
      </c>
      <c r="M487" s="19" cm="1">
        <f t="array" ref="M487">_xlfn.XLOOKUP(E487,[5]C6_LMA_DIAG!$P$32:$P$40,_xlfn.XLOOKUP(B487,[5]C6_LMA_DIAG!$P$32:$AB$32,[5]C6_LMA_DIAG!$P$32:$AB$40))</f>
        <v>50258.737011497607</v>
      </c>
      <c r="N487" s="19">
        <f>HLOOKUP(B487,[6]C6_LMA_DIAG!$S$36:$AF$44,5,FALSE)</f>
        <v>26922.080000000002</v>
      </c>
      <c r="O487" s="20">
        <f>HLOOKUP(B487,[1]C5_LMT_DIAG!$S$37:$AF$45,5,FALSE)</f>
        <v>26066</v>
      </c>
      <c r="P487" s="20">
        <v>32655</v>
      </c>
    </row>
    <row r="488" spans="1:16" x14ac:dyDescent="0.3">
      <c r="A488" s="18" t="s">
        <v>68</v>
      </c>
      <c r="B488" s="18" t="s">
        <v>61</v>
      </c>
      <c r="C488" s="18" t="s">
        <v>51</v>
      </c>
      <c r="D488" s="18" t="s">
        <v>52</v>
      </c>
      <c r="E488" s="18" t="s">
        <v>15</v>
      </c>
      <c r="F488" s="18" t="s">
        <v>20</v>
      </c>
      <c r="G488" s="18" t="s">
        <v>9</v>
      </c>
      <c r="H488" s="20"/>
      <c r="I488" s="20"/>
      <c r="J488" s="20"/>
      <c r="K488" s="20"/>
      <c r="L488" s="19" cm="1">
        <f t="array" ref="L488">_xlfn.XLOOKUP(E488,[4]C5_LMA_DIAG!$P$35:$P$43,_xlfn.XLOOKUP(B488,[4]C5_LMA_DIAG!$P$35:$AB$35,[4]C5_LMA_DIAG!$P$35:$AB$43))</f>
        <v>19363.587339163525</v>
      </c>
      <c r="M488" s="19" cm="1">
        <f t="array" ref="M488">_xlfn.XLOOKUP(E488,[5]C6_LMA_DIAG!$P$32:$P$40,_xlfn.XLOOKUP(B488,[5]C6_LMA_DIAG!$P$32:$AB$32,[5]C6_LMA_DIAG!$P$32:$AB$40))</f>
        <v>19279.677376886837</v>
      </c>
      <c r="N488" s="19">
        <f>HLOOKUP(B488,[6]C6_LMA_DIAG!$S$36:$AF$44,5,FALSE)</f>
        <v>13976.69</v>
      </c>
      <c r="O488" s="20">
        <f>HLOOKUP(B488,[1]C5_LMT_DIAG!$S$37:$AF$45,5,FALSE)</f>
        <v>12758</v>
      </c>
      <c r="P488" s="20">
        <v>13030</v>
      </c>
    </row>
    <row r="489" spans="1:16" x14ac:dyDescent="0.3">
      <c r="A489" s="18" t="s">
        <v>68</v>
      </c>
      <c r="B489" s="18" t="s">
        <v>62</v>
      </c>
      <c r="C489" s="18" t="s">
        <v>51</v>
      </c>
      <c r="D489" s="18" t="s">
        <v>52</v>
      </c>
      <c r="E489" s="18" t="s">
        <v>15</v>
      </c>
      <c r="F489" s="18" t="s">
        <v>20</v>
      </c>
      <c r="G489" s="18" t="s">
        <v>9</v>
      </c>
      <c r="H489" s="20"/>
      <c r="I489" s="20"/>
      <c r="J489" s="20"/>
      <c r="K489" s="20"/>
      <c r="L489" s="19" cm="1">
        <f t="array" ref="L489">_xlfn.XLOOKUP(E489,[4]C5_LMA_DIAG!$P$35:$P$43,_xlfn.XLOOKUP(B489,[4]C5_LMA_DIAG!$P$35:$AB$35,[4]C5_LMA_DIAG!$P$35:$AB$43))</f>
        <v>21929.247613741845</v>
      </c>
      <c r="M489" s="19" cm="1">
        <f t="array" ref="M489">_xlfn.XLOOKUP(E489,[5]C6_LMA_DIAG!$P$32:$P$40,_xlfn.XLOOKUP(B489,[5]C6_LMA_DIAG!$P$32:$AB$32,[5]C6_LMA_DIAG!$P$32:$AB$40))</f>
        <v>22826.057212760228</v>
      </c>
      <c r="N489" s="19">
        <f>HLOOKUP(B489,[6]C6_LMA_DIAG!$S$36:$AF$44,5,FALSE)</f>
        <v>14204.54</v>
      </c>
      <c r="O489" s="20">
        <f>HLOOKUP(B489,[1]C5_LMT_DIAG!$S$37:$AF$45,5,FALSE)</f>
        <v>14504</v>
      </c>
      <c r="P489" s="20">
        <v>16020</v>
      </c>
    </row>
    <row r="490" spans="1:16" x14ac:dyDescent="0.3">
      <c r="A490" s="18" t="s">
        <v>68</v>
      </c>
      <c r="B490" s="18" t="s">
        <v>63</v>
      </c>
      <c r="C490" s="18" t="s">
        <v>51</v>
      </c>
      <c r="D490" s="18" t="s">
        <v>52</v>
      </c>
      <c r="E490" s="18" t="s">
        <v>15</v>
      </c>
      <c r="F490" s="18" t="s">
        <v>20</v>
      </c>
      <c r="G490" s="18" t="s">
        <v>9</v>
      </c>
      <c r="H490" s="20"/>
      <c r="I490" s="20"/>
      <c r="J490" s="20"/>
      <c r="K490" s="20"/>
      <c r="L490" s="19" cm="1">
        <f t="array" ref="L490">_xlfn.XLOOKUP(E490,[4]C5_LMA_DIAG!$P$35:$P$43,_xlfn.XLOOKUP(B490,[4]C5_LMA_DIAG!$P$35:$AB$35,[4]C5_LMA_DIAG!$P$35:$AB$43))</f>
        <v>13263.184551397831</v>
      </c>
      <c r="M490" s="19" cm="1">
        <f t="array" ref="M490">_xlfn.XLOOKUP(E490,[5]C6_LMA_DIAG!$P$32:$P$40,_xlfn.XLOOKUP(B490,[5]C6_LMA_DIAG!$P$32:$AB$32,[5]C6_LMA_DIAG!$P$32:$AB$40))</f>
        <v>14065.103961902822</v>
      </c>
      <c r="N490" s="19">
        <f>HLOOKUP(B490,[6]C6_LMA_DIAG!$S$36:$AF$44,5,FALSE)</f>
        <v>11329.46</v>
      </c>
      <c r="O490" s="20">
        <f>HLOOKUP(B490,[1]C5_LMT_DIAG!$S$37:$AF$45,5,FALSE)</f>
        <v>9655</v>
      </c>
      <c r="P490" s="20">
        <v>9664</v>
      </c>
    </row>
    <row r="491" spans="1:16" x14ac:dyDescent="0.3">
      <c r="A491" s="18" t="s">
        <v>68</v>
      </c>
      <c r="B491" s="18" t="s">
        <v>64</v>
      </c>
      <c r="C491" s="18" t="s">
        <v>51</v>
      </c>
      <c r="D491" s="18" t="s">
        <v>52</v>
      </c>
      <c r="E491" s="18" t="s">
        <v>15</v>
      </c>
      <c r="F491" s="18" t="s">
        <v>20</v>
      </c>
      <c r="G491" s="18" t="s">
        <v>9</v>
      </c>
      <c r="H491" s="20"/>
      <c r="I491" s="20"/>
      <c r="J491" s="20"/>
      <c r="K491" s="20"/>
      <c r="L491" s="19" cm="1">
        <f t="array" ref="L491">_xlfn.XLOOKUP(E491,[4]C5_LMA_DIAG!$P$35:$P$43,_xlfn.XLOOKUP(B491,[4]C5_LMA_DIAG!$P$35:$AB$35,[4]C5_LMA_DIAG!$P$35:$AB$43))</f>
        <v>8122.8352857324144</v>
      </c>
      <c r="M491" s="19" cm="1">
        <f t="array" ref="M491">_xlfn.XLOOKUP(E491,[5]C6_LMA_DIAG!$P$32:$P$40,_xlfn.XLOOKUP(B491,[5]C6_LMA_DIAG!$P$32:$AB$32,[5]C6_LMA_DIAG!$P$32:$AB$40))</f>
        <v>8802.0706982298507</v>
      </c>
      <c r="N491" s="19">
        <f>HLOOKUP(B491,[6]C6_LMA_DIAG!$S$36:$AF$44,5,FALSE)</f>
        <v>7054.3</v>
      </c>
      <c r="O491" s="20">
        <f>HLOOKUP(B491,[1]C5_LMT_DIAG!$S$37:$AF$45,5,FALSE)</f>
        <v>6413</v>
      </c>
      <c r="P491" s="20">
        <v>5956</v>
      </c>
    </row>
    <row r="492" spans="1:16" x14ac:dyDescent="0.3">
      <c r="A492" s="18" t="s">
        <v>68</v>
      </c>
      <c r="B492" s="18" t="s">
        <v>70</v>
      </c>
      <c r="C492" s="18" t="s">
        <v>51</v>
      </c>
      <c r="D492" s="18" t="s">
        <v>52</v>
      </c>
      <c r="E492" s="18" t="s">
        <v>15</v>
      </c>
      <c r="F492" s="18" t="s">
        <v>20</v>
      </c>
      <c r="G492" s="18" t="s">
        <v>9</v>
      </c>
      <c r="H492" s="20"/>
      <c r="I492" s="20"/>
      <c r="J492" s="20"/>
      <c r="K492" s="20"/>
      <c r="L492" s="19">
        <v>0</v>
      </c>
      <c r="M492" s="19">
        <v>0</v>
      </c>
      <c r="N492" s="19">
        <f>HLOOKUP(B492,[6]C6_LMA_DIAG!$S$36:$AF$44,5,FALSE)</f>
        <v>76691.94</v>
      </c>
      <c r="O492" s="20">
        <f>HLOOKUP(B492,[1]C5_LMT_DIAG!$S$37:$AF$45,5,FALSE)</f>
        <v>86650</v>
      </c>
      <c r="P492" s="20">
        <v>135535</v>
      </c>
    </row>
    <row r="493" spans="1:16" x14ac:dyDescent="0.3">
      <c r="A493" s="18"/>
      <c r="B493" s="18" t="s">
        <v>71</v>
      </c>
      <c r="C493" s="18" t="s">
        <v>51</v>
      </c>
      <c r="D493" s="18" t="s">
        <v>52</v>
      </c>
      <c r="E493" s="18" t="s">
        <v>15</v>
      </c>
      <c r="F493" s="18" t="s">
        <v>20</v>
      </c>
      <c r="G493" s="18" t="s">
        <v>9</v>
      </c>
      <c r="H493" s="20"/>
      <c r="I493" s="20"/>
      <c r="J493" s="20"/>
      <c r="K493" s="20"/>
      <c r="L493" s="19">
        <v>0</v>
      </c>
      <c r="M493" s="19">
        <v>0</v>
      </c>
      <c r="N493" s="19">
        <f>HLOOKUP(B493,[6]C6_LMA_DIAG!$S$36:$AF$44,5,FALSE)</f>
        <v>24385.759999999998</v>
      </c>
      <c r="O493" s="20">
        <f>HLOOKUP(B493,[1]C5_LMT_DIAG!$S$37:$AF$45,5,FALSE)</f>
        <v>19231</v>
      </c>
      <c r="P493" s="20">
        <v>0</v>
      </c>
    </row>
    <row r="494" spans="1:16" x14ac:dyDescent="0.3">
      <c r="A494" s="18" t="s">
        <v>68</v>
      </c>
      <c r="B494" s="18" t="s">
        <v>65</v>
      </c>
      <c r="C494" s="18" t="s">
        <v>51</v>
      </c>
      <c r="D494" s="18" t="s">
        <v>52</v>
      </c>
      <c r="E494" s="18" t="s">
        <v>15</v>
      </c>
      <c r="F494" s="18" t="s">
        <v>20</v>
      </c>
      <c r="G494" s="18" t="s">
        <v>9</v>
      </c>
      <c r="H494" s="20"/>
      <c r="I494" s="20"/>
      <c r="J494" s="20"/>
      <c r="K494" s="20"/>
      <c r="L494" s="19" cm="1">
        <f t="array" ref="L494">_xlfn.XLOOKUP(E494,[4]C5_LMA_DIAG!$P$35:$P$43,_xlfn.XLOOKUP(B494,[4]C5_LMA_DIAG!$P$35:$AB$35,[4]C5_LMA_DIAG!$P$35:$AB$43))</f>
        <v>64595.952262066567</v>
      </c>
      <c r="M494" s="19" cm="1">
        <f t="array" ref="M494">_xlfn.XLOOKUP(E494,[5]C6_LMA_DIAG!$P$32:$P$40,_xlfn.XLOOKUP(B494,[5]C6_LMA_DIAG!$P$32:$AB$32,[5]C6_LMA_DIAG!$P$32:$AB$40))</f>
        <v>69441.494691006548</v>
      </c>
      <c r="N494" s="19">
        <f>HLOOKUP(B494,[6]C6_LMA_DIAG!$S$36:$AF$44,5,FALSE)</f>
        <v>45617.63</v>
      </c>
      <c r="O494" s="20">
        <f>HLOOKUP(B494,[1]C5_LMT_DIAG!$S$37:$AF$45,5,FALSE)</f>
        <v>54803</v>
      </c>
      <c r="P494" s="20">
        <v>50458</v>
      </c>
    </row>
    <row r="495" spans="1:16" x14ac:dyDescent="0.3">
      <c r="A495" s="18" t="s">
        <v>68</v>
      </c>
      <c r="B495" s="18" t="s">
        <v>19</v>
      </c>
      <c r="C495" s="18" t="s">
        <v>51</v>
      </c>
      <c r="D495" s="18" t="s">
        <v>52</v>
      </c>
      <c r="E495" s="18" t="s">
        <v>15</v>
      </c>
      <c r="F495" s="18" t="s">
        <v>20</v>
      </c>
      <c r="G495" s="18" t="s">
        <v>9</v>
      </c>
      <c r="H495" s="20"/>
      <c r="I495" s="20"/>
      <c r="J495" s="20"/>
      <c r="K495" s="20"/>
      <c r="L495" s="19" cm="1">
        <f t="array" ref="L495">_xlfn.XLOOKUP(E495,[4]C5_LMA_DIAG!$P$35:$P$43,_xlfn.XLOOKUP(B495,[4]C5_LMA_DIAG!$P$35:$AB$35,[4]C5_LMA_DIAG!$P$35:$AB$43))</f>
        <v>21.067005187153352</v>
      </c>
      <c r="M495" s="19" cm="1">
        <f t="array" ref="M495">_xlfn.XLOOKUP(E495,[5]C6_LMA_DIAG!$P$32:$P$40,_xlfn.XLOOKUP(B495,[5]C6_LMA_DIAG!$P$32:$AB$32,[5]C6_LMA_DIAG!$P$32:$AB$40))</f>
        <v>183.56003291270127</v>
      </c>
      <c r="N495" s="19">
        <f>HLOOKUP(B495,[6]C6_LMA_DIAG!$S$36:$AF$44,5,FALSE)</f>
        <v>82.45</v>
      </c>
      <c r="O495" s="20">
        <f>HLOOKUP(B495,[1]C5_LMT_DIAG!$S$37:$AF$45,5,FALSE)</f>
        <v>11</v>
      </c>
      <c r="P495" s="20">
        <v>139</v>
      </c>
    </row>
    <row r="496" spans="1:16" x14ac:dyDescent="0.3">
      <c r="A496" s="17" t="s">
        <v>68</v>
      </c>
      <c r="B496" s="17" t="s">
        <v>55</v>
      </c>
      <c r="C496" s="17" t="s">
        <v>51</v>
      </c>
      <c r="D496" s="17" t="s">
        <v>52</v>
      </c>
      <c r="E496" s="17" t="s">
        <v>16</v>
      </c>
      <c r="F496" s="17" t="s">
        <v>20</v>
      </c>
      <c r="G496" s="17" t="s">
        <v>9</v>
      </c>
      <c r="H496" s="19"/>
      <c r="I496" s="19"/>
      <c r="J496" s="19"/>
      <c r="K496" s="19"/>
      <c r="L496" s="19" cm="1">
        <f t="array" ref="L496">_xlfn.XLOOKUP(E496,[4]C5_LMA_DIAG!$P$35:$P$43,_xlfn.XLOOKUP(B496,[4]C5_LMA_DIAG!$P$35:$AB$35,[4]C5_LMA_DIAG!$P$35:$AB$43))</f>
        <v>46127.712643357067</v>
      </c>
      <c r="M496" s="19" cm="1">
        <f t="array" ref="M496">_xlfn.XLOOKUP(E496,[5]C6_LMA_DIAG!$P$32:$P$40,_xlfn.XLOOKUP(B496,[5]C6_LMA_DIAG!$P$32:$AB$32,[5]C6_LMA_DIAG!$P$32:$AB$40))</f>
        <v>50664.037564168852</v>
      </c>
      <c r="N496" s="19">
        <f>HLOOKUP(B496,[6]C6_LMA_DIAG!$S$36:$AF$44,6,FALSE)</f>
        <v>55969.74</v>
      </c>
      <c r="O496" s="20">
        <f>HLOOKUP(B496,[1]C5_LMT_DIAG!$S$37:$AF$45,6,FALSE)</f>
        <v>91152</v>
      </c>
      <c r="P496" s="19">
        <v>69456</v>
      </c>
    </row>
    <row r="497" spans="1:16" x14ac:dyDescent="0.3">
      <c r="A497" s="17" t="s">
        <v>68</v>
      </c>
      <c r="B497" s="17" t="s">
        <v>56</v>
      </c>
      <c r="C497" s="17" t="s">
        <v>51</v>
      </c>
      <c r="D497" s="17" t="s">
        <v>52</v>
      </c>
      <c r="E497" s="17" t="s">
        <v>16</v>
      </c>
      <c r="F497" s="17" t="s">
        <v>20</v>
      </c>
      <c r="G497" s="17" t="s">
        <v>9</v>
      </c>
      <c r="H497" s="19"/>
      <c r="I497" s="19"/>
      <c r="J497" s="19"/>
      <c r="K497" s="19"/>
      <c r="L497" s="19" cm="1">
        <f t="array" ref="L497">_xlfn.XLOOKUP(E497,[4]C5_LMA_DIAG!$P$35:$P$43,_xlfn.XLOOKUP(B497,[4]C5_LMA_DIAG!$P$35:$AB$35,[4]C5_LMA_DIAG!$P$35:$AB$43))</f>
        <v>63446.295693281922</v>
      </c>
      <c r="M497" s="19" cm="1">
        <f t="array" ref="M497">_xlfn.XLOOKUP(E497,[5]C6_LMA_DIAG!$P$32:$P$40,_xlfn.XLOOKUP(B497,[5]C6_LMA_DIAG!$P$32:$AB$32,[5]C6_LMA_DIAG!$P$32:$AB$40))</f>
        <v>65903.925736712961</v>
      </c>
      <c r="N497" s="19">
        <f>HLOOKUP(B497,[6]C6_LMA_DIAG!$S$36:$AF$44,6,FALSE)</f>
        <v>51564.17</v>
      </c>
      <c r="O497" s="20">
        <f>HLOOKUP(B497,[1]C5_LMT_DIAG!$S$37:$AF$45,6,FALSE)</f>
        <v>59809</v>
      </c>
      <c r="P497" s="19">
        <v>53464</v>
      </c>
    </row>
    <row r="498" spans="1:16" x14ac:dyDescent="0.3">
      <c r="A498" s="17" t="s">
        <v>68</v>
      </c>
      <c r="B498" s="17" t="s">
        <v>57</v>
      </c>
      <c r="C498" s="17" t="s">
        <v>51</v>
      </c>
      <c r="D498" s="17" t="s">
        <v>52</v>
      </c>
      <c r="E498" s="17" t="s">
        <v>16</v>
      </c>
      <c r="F498" s="17" t="s">
        <v>20</v>
      </c>
      <c r="G498" s="17" t="s">
        <v>9</v>
      </c>
      <c r="H498" s="19"/>
      <c r="I498" s="19"/>
      <c r="J498" s="19"/>
      <c r="K498" s="19"/>
      <c r="L498" s="19" cm="1">
        <f t="array" ref="L498">_xlfn.XLOOKUP(E498,[4]C5_LMA_DIAG!$P$35:$P$43,_xlfn.XLOOKUP(B498,[4]C5_LMA_DIAG!$P$35:$AB$35,[4]C5_LMA_DIAG!$P$35:$AB$43))</f>
        <v>66856.140961431156</v>
      </c>
      <c r="M498" s="19" cm="1">
        <f t="array" ref="M498">_xlfn.XLOOKUP(E498,[5]C6_LMA_DIAG!$P$32:$P$40,_xlfn.XLOOKUP(B498,[5]C6_LMA_DIAG!$P$32:$AB$32,[5]C6_LMA_DIAG!$P$32:$AB$40))</f>
        <v>75256.676533680919</v>
      </c>
      <c r="N498" s="19">
        <f>HLOOKUP(B498,[6]C6_LMA_DIAG!$S$36:$AF$44,6,FALSE)</f>
        <v>22129.77</v>
      </c>
      <c r="O498" s="20">
        <f>HLOOKUP(B498,[1]C5_LMT_DIAG!$S$37:$AF$45,6,FALSE)</f>
        <v>15897</v>
      </c>
      <c r="P498" s="19">
        <v>43440</v>
      </c>
    </row>
    <row r="499" spans="1:16" x14ac:dyDescent="0.3">
      <c r="A499" s="17" t="s">
        <v>68</v>
      </c>
      <c r="B499" s="17" t="s">
        <v>58</v>
      </c>
      <c r="C499" s="17" t="s">
        <v>51</v>
      </c>
      <c r="D499" s="17" t="s">
        <v>52</v>
      </c>
      <c r="E499" s="17" t="s">
        <v>16</v>
      </c>
      <c r="F499" s="17" t="s">
        <v>20</v>
      </c>
      <c r="G499" s="17" t="s">
        <v>9</v>
      </c>
      <c r="H499" s="19"/>
      <c r="I499" s="19"/>
      <c r="J499" s="19"/>
      <c r="K499" s="19"/>
      <c r="L499" s="19" cm="1">
        <f t="array" ref="L499">_xlfn.XLOOKUP(E499,[4]C5_LMA_DIAG!$P$35:$P$43,_xlfn.XLOOKUP(B499,[4]C5_LMA_DIAG!$P$35:$AB$35,[4]C5_LMA_DIAG!$P$35:$AB$43))</f>
        <v>28425.409141809057</v>
      </c>
      <c r="M499" s="19" cm="1">
        <f t="array" ref="M499">_xlfn.XLOOKUP(E499,[5]C6_LMA_DIAG!$P$32:$P$40,_xlfn.XLOOKUP(B499,[5]C6_LMA_DIAG!$P$32:$AB$32,[5]C6_LMA_DIAG!$P$32:$AB$40))</f>
        <v>29647.148035796206</v>
      </c>
      <c r="N499" s="19">
        <f>HLOOKUP(B499,[6]C6_LMA_DIAG!$S$36:$AF$44,6,FALSE)</f>
        <v>23648.26</v>
      </c>
      <c r="O499" s="20">
        <f>HLOOKUP(B499,[1]C5_LMT_DIAG!$S$37:$AF$45,6,FALSE)</f>
        <v>22981</v>
      </c>
      <c r="P499" s="19">
        <v>24339</v>
      </c>
    </row>
    <row r="500" spans="1:16" x14ac:dyDescent="0.3">
      <c r="A500" s="17" t="s">
        <v>68</v>
      </c>
      <c r="B500" s="17" t="s">
        <v>59</v>
      </c>
      <c r="C500" s="17" t="s">
        <v>51</v>
      </c>
      <c r="D500" s="17" t="s">
        <v>52</v>
      </c>
      <c r="E500" s="17" t="s">
        <v>16</v>
      </c>
      <c r="F500" s="17" t="s">
        <v>20</v>
      </c>
      <c r="G500" s="17" t="s">
        <v>9</v>
      </c>
      <c r="H500" s="19"/>
      <c r="I500" s="19"/>
      <c r="J500" s="19"/>
      <c r="K500" s="19"/>
      <c r="L500" s="19" cm="1">
        <f t="array" ref="L500">_xlfn.XLOOKUP(E500,[4]C5_LMA_DIAG!$P$35:$P$43,_xlfn.XLOOKUP(B500,[4]C5_LMA_DIAG!$P$35:$AB$35,[4]C5_LMA_DIAG!$P$35:$AB$43))</f>
        <v>24153.321447071321</v>
      </c>
      <c r="M500" s="19" cm="1">
        <f t="array" ref="M500">_xlfn.XLOOKUP(E500,[5]C6_LMA_DIAG!$P$32:$P$40,_xlfn.XLOOKUP(B500,[5]C6_LMA_DIAG!$P$32:$AB$32,[5]C6_LMA_DIAG!$P$32:$AB$40))</f>
        <v>22053.636594263582</v>
      </c>
      <c r="N500" s="19">
        <f>HLOOKUP(B500,[6]C6_LMA_DIAG!$S$36:$AF$44,6,FALSE)</f>
        <v>10875.26</v>
      </c>
      <c r="O500" s="20">
        <f>HLOOKUP(B500,[1]C5_LMT_DIAG!$S$37:$AF$45,6,FALSE)</f>
        <v>7466</v>
      </c>
      <c r="P500" s="19">
        <v>11312</v>
      </c>
    </row>
    <row r="501" spans="1:16" x14ac:dyDescent="0.3">
      <c r="A501" s="17" t="s">
        <v>68</v>
      </c>
      <c r="B501" s="17" t="s">
        <v>60</v>
      </c>
      <c r="C501" s="17" t="s">
        <v>51</v>
      </c>
      <c r="D501" s="17" t="s">
        <v>52</v>
      </c>
      <c r="E501" s="17" t="s">
        <v>16</v>
      </c>
      <c r="F501" s="17" t="s">
        <v>20</v>
      </c>
      <c r="G501" s="17" t="s">
        <v>9</v>
      </c>
      <c r="H501" s="19"/>
      <c r="I501" s="19"/>
      <c r="J501" s="19"/>
      <c r="K501" s="19"/>
      <c r="L501" s="19" cm="1">
        <f t="array" ref="L501">_xlfn.XLOOKUP(E501,[4]C5_LMA_DIAG!$P$35:$P$43,_xlfn.XLOOKUP(B501,[4]C5_LMA_DIAG!$P$35:$AB$35,[4]C5_LMA_DIAG!$P$35:$AB$43))</f>
        <v>25904.892449774641</v>
      </c>
      <c r="M501" s="19" cm="1">
        <f t="array" ref="M501">_xlfn.XLOOKUP(E501,[5]C6_LMA_DIAG!$P$32:$P$40,_xlfn.XLOOKUP(B501,[5]C6_LMA_DIAG!$P$32:$AB$32,[5]C6_LMA_DIAG!$P$32:$AB$40))</f>
        <v>30014.268101621612</v>
      </c>
      <c r="N501" s="19">
        <f>HLOOKUP(B501,[6]C6_LMA_DIAG!$S$36:$AF$44,6,FALSE)</f>
        <v>16976.2</v>
      </c>
      <c r="O501" s="20">
        <f>HLOOKUP(B501,[1]C5_LMT_DIAG!$S$37:$AF$45,6,FALSE)</f>
        <v>16259</v>
      </c>
      <c r="P501" s="19">
        <v>19017</v>
      </c>
    </row>
    <row r="502" spans="1:16" x14ac:dyDescent="0.3">
      <c r="A502" s="17" t="s">
        <v>68</v>
      </c>
      <c r="B502" s="17" t="s">
        <v>61</v>
      </c>
      <c r="C502" s="17" t="s">
        <v>51</v>
      </c>
      <c r="D502" s="17" t="s">
        <v>52</v>
      </c>
      <c r="E502" s="17" t="s">
        <v>16</v>
      </c>
      <c r="F502" s="17" t="s">
        <v>20</v>
      </c>
      <c r="G502" s="17" t="s">
        <v>9</v>
      </c>
      <c r="H502" s="19"/>
      <c r="I502" s="19"/>
      <c r="J502" s="19"/>
      <c r="K502" s="19"/>
      <c r="L502" s="19" cm="1">
        <f t="array" ref="L502">_xlfn.XLOOKUP(E502,[4]C5_LMA_DIAG!$P$35:$P$43,_xlfn.XLOOKUP(B502,[4]C5_LMA_DIAG!$P$35:$AB$35,[4]C5_LMA_DIAG!$P$35:$AB$43))</f>
        <v>559.78042354436047</v>
      </c>
      <c r="M502" s="19" cm="1">
        <f t="array" ref="M502">_xlfn.XLOOKUP(E502,[5]C6_LMA_DIAG!$P$32:$P$40,_xlfn.XLOOKUP(B502,[5]C6_LMA_DIAG!$P$32:$AB$32,[5]C6_LMA_DIAG!$P$32:$AB$40))</f>
        <v>533.0583355784845</v>
      </c>
      <c r="N502" s="19">
        <f>HLOOKUP(B502,[6]C6_LMA_DIAG!$S$36:$AF$44,6,FALSE)</f>
        <v>293.8</v>
      </c>
      <c r="O502" s="20">
        <f>HLOOKUP(B502,[1]C5_LMT_DIAG!$S$37:$AF$45,6,FALSE)</f>
        <v>280</v>
      </c>
      <c r="P502" s="19">
        <v>345</v>
      </c>
    </row>
    <row r="503" spans="1:16" x14ac:dyDescent="0.3">
      <c r="A503" s="17" t="s">
        <v>68</v>
      </c>
      <c r="B503" s="17" t="s">
        <v>62</v>
      </c>
      <c r="C503" s="17" t="s">
        <v>51</v>
      </c>
      <c r="D503" s="17" t="s">
        <v>52</v>
      </c>
      <c r="E503" s="17" t="s">
        <v>16</v>
      </c>
      <c r="F503" s="17" t="s">
        <v>20</v>
      </c>
      <c r="G503" s="17" t="s">
        <v>9</v>
      </c>
      <c r="H503" s="19"/>
      <c r="I503" s="19"/>
      <c r="J503" s="19"/>
      <c r="K503" s="19"/>
      <c r="L503" s="19" cm="1">
        <f t="array" ref="L503">_xlfn.XLOOKUP(E503,[4]C5_LMA_DIAG!$P$35:$P$43,_xlfn.XLOOKUP(B503,[4]C5_LMA_DIAG!$P$35:$AB$35,[4]C5_LMA_DIAG!$P$35:$AB$43))</f>
        <v>13555.113051848386</v>
      </c>
      <c r="M503" s="19" cm="1">
        <f t="array" ref="M503">_xlfn.XLOOKUP(E503,[5]C6_LMA_DIAG!$P$32:$P$40,_xlfn.XLOOKUP(B503,[5]C6_LMA_DIAG!$P$32:$AB$32,[5]C6_LMA_DIAG!$P$32:$AB$40))</f>
        <v>13407.224803943702</v>
      </c>
      <c r="N503" s="19">
        <f>HLOOKUP(B503,[6]C6_LMA_DIAG!$S$36:$AF$44,6,FALSE)</f>
        <v>8913.07</v>
      </c>
      <c r="O503" s="20">
        <f>HLOOKUP(B503,[1]C5_LMT_DIAG!$S$37:$AF$45,6,FALSE)</f>
        <v>8229</v>
      </c>
      <c r="P503" s="19">
        <v>9340</v>
      </c>
    </row>
    <row r="504" spans="1:16" x14ac:dyDescent="0.3">
      <c r="A504" s="17" t="s">
        <v>68</v>
      </c>
      <c r="B504" s="17" t="s">
        <v>63</v>
      </c>
      <c r="C504" s="17" t="s">
        <v>51</v>
      </c>
      <c r="D504" s="17" t="s">
        <v>52</v>
      </c>
      <c r="E504" s="17" t="s">
        <v>16</v>
      </c>
      <c r="F504" s="17" t="s">
        <v>20</v>
      </c>
      <c r="G504" s="17" t="s">
        <v>9</v>
      </c>
      <c r="H504" s="19"/>
      <c r="I504" s="19"/>
      <c r="J504" s="19"/>
      <c r="K504" s="19"/>
      <c r="L504" s="19" cm="1">
        <f t="array" ref="L504">_xlfn.XLOOKUP(E504,[4]C5_LMA_DIAG!$P$35:$P$43,_xlfn.XLOOKUP(B504,[4]C5_LMA_DIAG!$P$35:$AB$35,[4]C5_LMA_DIAG!$P$35:$AB$43))</f>
        <v>15123.100152206514</v>
      </c>
      <c r="M504" s="19" cm="1">
        <f t="array" ref="M504">_xlfn.XLOOKUP(E504,[5]C6_LMA_DIAG!$P$32:$P$40,_xlfn.XLOOKUP(B504,[5]C6_LMA_DIAG!$P$32:$AB$32,[5]C6_LMA_DIAG!$P$32:$AB$40))</f>
        <v>16209.085146323174</v>
      </c>
      <c r="N504" s="19">
        <f>HLOOKUP(B504,[6]C6_LMA_DIAG!$S$36:$AF$44,6,FALSE)</f>
        <v>13123.76</v>
      </c>
      <c r="O504" s="20">
        <f>HLOOKUP(B504,[1]C5_LMT_DIAG!$S$37:$AF$45,6,FALSE)</f>
        <v>11019</v>
      </c>
      <c r="P504" s="19">
        <v>11100</v>
      </c>
    </row>
    <row r="505" spans="1:16" x14ac:dyDescent="0.3">
      <c r="A505" s="17" t="s">
        <v>68</v>
      </c>
      <c r="B505" s="17" t="s">
        <v>64</v>
      </c>
      <c r="C505" s="17" t="s">
        <v>51</v>
      </c>
      <c r="D505" s="17" t="s">
        <v>52</v>
      </c>
      <c r="E505" s="17" t="s">
        <v>16</v>
      </c>
      <c r="F505" s="17" t="s">
        <v>20</v>
      </c>
      <c r="G505" s="17" t="s">
        <v>9</v>
      </c>
      <c r="H505" s="19"/>
      <c r="I505" s="19"/>
      <c r="J505" s="19"/>
      <c r="K505" s="19"/>
      <c r="L505" s="19" cm="1">
        <f t="array" ref="L505">_xlfn.XLOOKUP(E505,[4]C5_LMA_DIAG!$P$35:$P$43,_xlfn.XLOOKUP(B505,[4]C5_LMA_DIAG!$P$35:$AB$35,[4]C5_LMA_DIAG!$P$35:$AB$43))</f>
        <v>10006.827463897842</v>
      </c>
      <c r="M505" s="19" cm="1">
        <f t="array" ref="M505">_xlfn.XLOOKUP(E505,[5]C6_LMA_DIAG!$P$32:$P$40,_xlfn.XLOOKUP(B505,[5]C6_LMA_DIAG!$P$32:$AB$32,[5]C6_LMA_DIAG!$P$32:$AB$40))</f>
        <v>9947.4853036051063</v>
      </c>
      <c r="N505" s="19">
        <f>HLOOKUP(B505,[6]C6_LMA_DIAG!$S$36:$AF$44,6,FALSE)</f>
        <v>7958.2</v>
      </c>
      <c r="O505" s="20">
        <f>HLOOKUP(B505,[1]C5_LMT_DIAG!$S$37:$AF$45,6,FALSE)</f>
        <v>7517</v>
      </c>
      <c r="P505" s="19">
        <v>6641</v>
      </c>
    </row>
    <row r="506" spans="1:16" x14ac:dyDescent="0.3">
      <c r="A506" s="17" t="s">
        <v>68</v>
      </c>
      <c r="B506" s="17" t="s">
        <v>70</v>
      </c>
      <c r="C506" s="17" t="s">
        <v>51</v>
      </c>
      <c r="D506" s="17" t="s">
        <v>52</v>
      </c>
      <c r="E506" s="17" t="s">
        <v>16</v>
      </c>
      <c r="F506" s="17" t="s">
        <v>20</v>
      </c>
      <c r="G506" s="17" t="s">
        <v>9</v>
      </c>
      <c r="H506" s="19"/>
      <c r="I506" s="19"/>
      <c r="J506" s="19"/>
      <c r="K506" s="19"/>
      <c r="L506" s="19">
        <v>0</v>
      </c>
      <c r="M506" s="19">
        <v>0</v>
      </c>
      <c r="N506" s="19">
        <f>HLOOKUP(B506,[6]C6_LMA_DIAG!$S$36:$AF$44,6,FALSE)</f>
        <v>50072.66</v>
      </c>
      <c r="O506" s="20">
        <f>HLOOKUP(B506,[1]C5_LMT_DIAG!$S$37:$AF$45,6,FALSE)</f>
        <v>51054</v>
      </c>
      <c r="P506" s="19">
        <v>83492</v>
      </c>
    </row>
    <row r="507" spans="1:16" x14ac:dyDescent="0.3">
      <c r="A507" s="17"/>
      <c r="B507" s="17" t="s">
        <v>71</v>
      </c>
      <c r="C507" s="17" t="s">
        <v>51</v>
      </c>
      <c r="D507" s="17" t="s">
        <v>52</v>
      </c>
      <c r="E507" s="17" t="s">
        <v>16</v>
      </c>
      <c r="F507" s="17" t="s">
        <v>20</v>
      </c>
      <c r="G507" s="17" t="s">
        <v>9</v>
      </c>
      <c r="H507" s="19"/>
      <c r="I507" s="19"/>
      <c r="J507" s="19"/>
      <c r="K507" s="19"/>
      <c r="L507" s="19">
        <v>0</v>
      </c>
      <c r="M507" s="19">
        <v>0</v>
      </c>
      <c r="N507" s="19">
        <f>HLOOKUP(B507,[6]C6_LMA_DIAG!$S$36:$AF$44,6,FALSE)</f>
        <v>475.18</v>
      </c>
      <c r="O507" s="20">
        <f>HLOOKUP(B507,[1]C5_LMT_DIAG!$S$37:$AF$45,6,FALSE)</f>
        <v>312</v>
      </c>
      <c r="P507" s="19">
        <v>0</v>
      </c>
    </row>
    <row r="508" spans="1:16" x14ac:dyDescent="0.3">
      <c r="A508" s="17" t="s">
        <v>68</v>
      </c>
      <c r="B508" s="17" t="s">
        <v>65</v>
      </c>
      <c r="C508" s="17" t="s">
        <v>51</v>
      </c>
      <c r="D508" s="17" t="s">
        <v>52</v>
      </c>
      <c r="E508" s="17" t="s">
        <v>16</v>
      </c>
      <c r="F508" s="17" t="s">
        <v>20</v>
      </c>
      <c r="G508" s="17" t="s">
        <v>9</v>
      </c>
      <c r="H508" s="19"/>
      <c r="I508" s="19"/>
      <c r="J508" s="19"/>
      <c r="K508" s="19"/>
      <c r="L508" s="19" cm="1">
        <f t="array" ref="L508">_xlfn.XLOOKUP(E508,[4]C5_LMA_DIAG!$P$35:$P$43,_xlfn.XLOOKUP(B508,[4]C5_LMA_DIAG!$P$35:$AB$35,[4]C5_LMA_DIAG!$P$35:$AB$43))</f>
        <v>43655.349106036134</v>
      </c>
      <c r="M508" s="19" cm="1">
        <f t="array" ref="M508">_xlfn.XLOOKUP(E508,[5]C6_LMA_DIAG!$P$32:$P$40,_xlfn.XLOOKUP(B508,[5]C6_LMA_DIAG!$P$32:$AB$32,[5]C6_LMA_DIAG!$P$32:$AB$40))</f>
        <v>46080.910662404523</v>
      </c>
      <c r="N508" s="19">
        <f>HLOOKUP(B508,[6]C6_LMA_DIAG!$S$36:$AF$44,6,FALSE)</f>
        <v>31609.46</v>
      </c>
      <c r="O508" s="20">
        <f>HLOOKUP(B508,[1]C5_LMT_DIAG!$S$37:$AF$45,6,FALSE)</f>
        <v>36176</v>
      </c>
      <c r="P508" s="19">
        <v>33756</v>
      </c>
    </row>
    <row r="509" spans="1:16" x14ac:dyDescent="0.3">
      <c r="A509" s="17" t="s">
        <v>68</v>
      </c>
      <c r="B509" s="17" t="s">
        <v>19</v>
      </c>
      <c r="C509" s="17" t="s">
        <v>51</v>
      </c>
      <c r="D509" s="17" t="s">
        <v>52</v>
      </c>
      <c r="E509" s="17" t="s">
        <v>16</v>
      </c>
      <c r="F509" s="17" t="s">
        <v>20</v>
      </c>
      <c r="G509" s="17" t="s">
        <v>9</v>
      </c>
      <c r="H509" s="19"/>
      <c r="I509" s="19"/>
      <c r="J509" s="19"/>
      <c r="K509" s="19"/>
      <c r="L509" s="19" cm="1">
        <f t="array" ref="L509">_xlfn.XLOOKUP(E509,[4]C5_LMA_DIAG!$P$35:$P$43,_xlfn.XLOOKUP(B509,[4]C5_LMA_DIAG!$P$35:$AB$35,[4]C5_LMA_DIAG!$P$35:$AB$43))</f>
        <v>15.047860847966682</v>
      </c>
      <c r="M509" s="19" cm="1">
        <f t="array" ref="M509">_xlfn.XLOOKUP(E509,[5]C6_LMA_DIAG!$P$32:$P$40,_xlfn.XLOOKUP(B509,[5]C6_LMA_DIAG!$P$32:$AB$32,[5]C6_LMA_DIAG!$P$32:$AB$40))</f>
        <v>82.23489474489017</v>
      </c>
      <c r="N509" s="19">
        <f>HLOOKUP(B509,[6]C6_LMA_DIAG!$S$36:$AF$44,6,FALSE)</f>
        <v>38.97</v>
      </c>
      <c r="O509" s="20">
        <f>HLOOKUP(B509,[1]C5_LMT_DIAG!$S$37:$AF$45,6,FALSE)</f>
        <v>7</v>
      </c>
      <c r="P509" s="19">
        <v>80</v>
      </c>
    </row>
    <row r="510" spans="1:16" x14ac:dyDescent="0.3">
      <c r="A510" s="18" t="s">
        <v>68</v>
      </c>
      <c r="B510" s="18" t="s">
        <v>55</v>
      </c>
      <c r="C510" s="18" t="s">
        <v>51</v>
      </c>
      <c r="D510" s="18" t="s">
        <v>52</v>
      </c>
      <c r="E510" s="18" t="s">
        <v>17</v>
      </c>
      <c r="F510" s="18" t="s">
        <v>20</v>
      </c>
      <c r="G510" s="18" t="s">
        <v>9</v>
      </c>
      <c r="H510" s="20"/>
      <c r="I510" s="20"/>
      <c r="J510" s="20"/>
      <c r="K510" s="20"/>
      <c r="L510" s="19" cm="1">
        <f t="array" ref="L510">_xlfn.XLOOKUP(E510,[4]C5_LMA_DIAG!$P$35:$P$43,_xlfn.XLOOKUP(B510,[4]C5_LMA_DIAG!$P$35:$AB$35,[4]C5_LMA_DIAG!$P$35:$AB$43))</f>
        <v>28742.919005701155</v>
      </c>
      <c r="M510" s="19" cm="1">
        <f t="array" ref="M510">_xlfn.XLOOKUP(E510,[5]C6_LMA_DIAG!$P$32:$P$40,_xlfn.XLOOKUP(B510,[5]C6_LMA_DIAG!$P$32:$AB$32,[5]C6_LMA_DIAG!$P$32:$AB$40))</f>
        <v>31858.67931232843</v>
      </c>
      <c r="N510" s="19">
        <f>HLOOKUP(B510,[6]C6_LMA_DIAG!$S$36:$AF$44,7,FALSE)</f>
        <v>33499.699999999997</v>
      </c>
      <c r="O510" s="20">
        <f>HLOOKUP(B510,[1]C5_LMT_DIAG!$S$37:$AF$45,7,FALSE)</f>
        <v>54372</v>
      </c>
      <c r="P510" s="20">
        <v>40674</v>
      </c>
    </row>
    <row r="511" spans="1:16" x14ac:dyDescent="0.3">
      <c r="A511" s="18" t="s">
        <v>68</v>
      </c>
      <c r="B511" s="18" t="s">
        <v>56</v>
      </c>
      <c r="C511" s="18" t="s">
        <v>51</v>
      </c>
      <c r="D511" s="18" t="s">
        <v>52</v>
      </c>
      <c r="E511" s="18" t="s">
        <v>17</v>
      </c>
      <c r="F511" s="18" t="s">
        <v>20</v>
      </c>
      <c r="G511" s="18" t="s">
        <v>9</v>
      </c>
      <c r="H511" s="20"/>
      <c r="I511" s="20"/>
      <c r="J511" s="20"/>
      <c r="K511" s="20"/>
      <c r="L511" s="19" cm="1">
        <f t="array" ref="L511">_xlfn.XLOOKUP(E511,[4]C5_LMA_DIAG!$P$35:$P$43,_xlfn.XLOOKUP(B511,[4]C5_LMA_DIAG!$P$35:$AB$35,[4]C5_LMA_DIAG!$P$35:$AB$43))</f>
        <v>45110.477250034513</v>
      </c>
      <c r="M511" s="19" cm="1">
        <f t="array" ref="M511">_xlfn.XLOOKUP(E511,[5]C6_LMA_DIAG!$P$32:$P$40,_xlfn.XLOOKUP(B511,[5]C6_LMA_DIAG!$P$32:$AB$32,[5]C6_LMA_DIAG!$P$32:$AB$40))</f>
        <v>48684.526169238277</v>
      </c>
      <c r="N511" s="19">
        <f>HLOOKUP(B511,[6]C6_LMA_DIAG!$S$36:$AF$44,7,FALSE)</f>
        <v>35565.32</v>
      </c>
      <c r="O511" s="20">
        <f>HLOOKUP(B511,[1]C5_LMT_DIAG!$S$37:$AF$45,7,FALSE)</f>
        <v>42950</v>
      </c>
      <c r="P511" s="20">
        <v>41572</v>
      </c>
    </row>
    <row r="512" spans="1:16" x14ac:dyDescent="0.3">
      <c r="A512" s="18" t="s">
        <v>68</v>
      </c>
      <c r="B512" s="18" t="s">
        <v>57</v>
      </c>
      <c r="C512" s="18" t="s">
        <v>51</v>
      </c>
      <c r="D512" s="18" t="s">
        <v>52</v>
      </c>
      <c r="E512" s="18" t="s">
        <v>17</v>
      </c>
      <c r="F512" s="18" t="s">
        <v>20</v>
      </c>
      <c r="G512" s="18" t="s">
        <v>9</v>
      </c>
      <c r="H512" s="20"/>
      <c r="I512" s="20"/>
      <c r="J512" s="20"/>
      <c r="K512" s="20"/>
      <c r="L512" s="19" cm="1">
        <f t="array" ref="L512">_xlfn.XLOOKUP(E512,[4]C5_LMA_DIAG!$P$35:$P$43,_xlfn.XLOOKUP(B512,[4]C5_LMA_DIAG!$P$35:$AB$35,[4]C5_LMA_DIAG!$P$35:$AB$43))</f>
        <v>46315.810903956648</v>
      </c>
      <c r="M512" s="19" cm="1">
        <f t="array" ref="M512">_xlfn.XLOOKUP(E512,[5]C6_LMA_DIAG!$P$32:$P$40,_xlfn.XLOOKUP(B512,[5]C6_LMA_DIAG!$P$32:$AB$32,[5]C6_LMA_DIAG!$P$32:$AB$40))</f>
        <v>49887.211504882303</v>
      </c>
      <c r="N512" s="19">
        <f>HLOOKUP(B512,[6]C6_LMA_DIAG!$S$36:$AF$44,7,FALSE)</f>
        <v>14087.62</v>
      </c>
      <c r="O512" s="20">
        <f>HLOOKUP(B512,[1]C5_LMT_DIAG!$S$37:$AF$45,7,FALSE)</f>
        <v>9954</v>
      </c>
      <c r="P512" s="20">
        <v>27727</v>
      </c>
    </row>
    <row r="513" spans="1:16" x14ac:dyDescent="0.3">
      <c r="A513" s="18" t="s">
        <v>68</v>
      </c>
      <c r="B513" s="18" t="s">
        <v>58</v>
      </c>
      <c r="C513" s="18" t="s">
        <v>51</v>
      </c>
      <c r="D513" s="18" t="s">
        <v>52</v>
      </c>
      <c r="E513" s="18" t="s">
        <v>17</v>
      </c>
      <c r="F513" s="18" t="s">
        <v>20</v>
      </c>
      <c r="G513" s="18" t="s">
        <v>9</v>
      </c>
      <c r="H513" s="20"/>
      <c r="I513" s="20"/>
      <c r="J513" s="20"/>
      <c r="K513" s="20"/>
      <c r="L513" s="19" cm="1">
        <f t="array" ref="L513">_xlfn.XLOOKUP(E513,[4]C5_LMA_DIAG!$P$35:$P$43,_xlfn.XLOOKUP(B513,[4]C5_LMA_DIAG!$P$35:$AB$35,[4]C5_LMA_DIAG!$P$35:$AB$43))</f>
        <v>18594.641649832429</v>
      </c>
      <c r="M513" s="19" cm="1">
        <f t="array" ref="M513">_xlfn.XLOOKUP(E513,[5]C6_LMA_DIAG!$P$32:$P$40,_xlfn.XLOOKUP(B513,[5]C6_LMA_DIAG!$P$32:$AB$32,[5]C6_LMA_DIAG!$P$32:$AB$40))</f>
        <v>20107.900245388948</v>
      </c>
      <c r="N513" s="19">
        <f>HLOOKUP(B513,[6]C6_LMA_DIAG!$S$36:$AF$44,7,FALSE)</f>
        <v>15429.23</v>
      </c>
      <c r="O513" s="20">
        <f>HLOOKUP(B513,[1]C5_LMT_DIAG!$S$37:$AF$45,7,FALSE)</f>
        <v>15626</v>
      </c>
      <c r="P513" s="20">
        <v>16192</v>
      </c>
    </row>
    <row r="514" spans="1:16" x14ac:dyDescent="0.3">
      <c r="A514" s="18" t="s">
        <v>68</v>
      </c>
      <c r="B514" s="18" t="s">
        <v>59</v>
      </c>
      <c r="C514" s="18" t="s">
        <v>51</v>
      </c>
      <c r="D514" s="18" t="s">
        <v>52</v>
      </c>
      <c r="E514" s="18" t="s">
        <v>17</v>
      </c>
      <c r="F514" s="18" t="s">
        <v>20</v>
      </c>
      <c r="G514" s="18" t="s">
        <v>9</v>
      </c>
      <c r="H514" s="20"/>
      <c r="I514" s="20"/>
      <c r="J514" s="20"/>
      <c r="K514" s="20"/>
      <c r="L514" s="19" cm="1">
        <f t="array" ref="L514">_xlfn.XLOOKUP(E514,[4]C5_LMA_DIAG!$P$35:$P$43,_xlfn.XLOOKUP(B514,[4]C5_LMA_DIAG!$P$35:$AB$35,[4]C5_LMA_DIAG!$P$35:$AB$43))</f>
        <v>13320.366422620105</v>
      </c>
      <c r="M514" s="19" cm="1">
        <f t="array" ref="M514">_xlfn.XLOOKUP(E514,[5]C6_LMA_DIAG!$P$32:$P$40,_xlfn.XLOOKUP(B514,[5]C6_LMA_DIAG!$P$32:$AB$32,[5]C6_LMA_DIAG!$P$32:$AB$40))</f>
        <v>12007.763113017267</v>
      </c>
      <c r="N514" s="19">
        <f>HLOOKUP(B514,[6]C6_LMA_DIAG!$S$36:$AF$44,7,FALSE)</f>
        <v>5706.7</v>
      </c>
      <c r="O514" s="20">
        <f>HLOOKUP(B514,[1]C5_LMT_DIAG!$S$37:$AF$45,7,FALSE)</f>
        <v>4278</v>
      </c>
      <c r="P514" s="20">
        <v>6123</v>
      </c>
    </row>
    <row r="515" spans="1:16" x14ac:dyDescent="0.3">
      <c r="A515" s="18" t="s">
        <v>68</v>
      </c>
      <c r="B515" s="18" t="s">
        <v>60</v>
      </c>
      <c r="C515" s="18" t="s">
        <v>51</v>
      </c>
      <c r="D515" s="18" t="s">
        <v>52</v>
      </c>
      <c r="E515" s="18" t="s">
        <v>17</v>
      </c>
      <c r="F515" s="18" t="s">
        <v>20</v>
      </c>
      <c r="G515" s="18" t="s">
        <v>9</v>
      </c>
      <c r="H515" s="20"/>
      <c r="I515" s="20"/>
      <c r="J515" s="20"/>
      <c r="K515" s="20"/>
      <c r="L515" s="19" cm="1">
        <f t="array" ref="L515">_xlfn.XLOOKUP(E515,[4]C5_LMA_DIAG!$P$35:$P$43,_xlfn.XLOOKUP(B515,[4]C5_LMA_DIAG!$P$35:$AB$35,[4]C5_LMA_DIAG!$P$35:$AB$43))</f>
        <v>17977.679355065793</v>
      </c>
      <c r="M515" s="19" cm="1">
        <f t="array" ref="M515">_xlfn.XLOOKUP(E515,[5]C6_LMA_DIAG!$P$32:$P$40,_xlfn.XLOOKUP(B515,[5]C6_LMA_DIAG!$P$32:$AB$32,[5]C6_LMA_DIAG!$P$32:$AB$40))</f>
        <v>19665.887686135164</v>
      </c>
      <c r="N515" s="19">
        <f>HLOOKUP(B515,[6]C6_LMA_DIAG!$S$36:$AF$44,7,FALSE)</f>
        <v>10058.299999999999</v>
      </c>
      <c r="O515" s="20">
        <f>HLOOKUP(B515,[1]C5_LMT_DIAG!$S$37:$AF$45,7,FALSE)</f>
        <v>10041</v>
      </c>
      <c r="P515" s="20">
        <v>12641</v>
      </c>
    </row>
    <row r="516" spans="1:16" x14ac:dyDescent="0.3">
      <c r="A516" s="18" t="s">
        <v>68</v>
      </c>
      <c r="B516" s="18" t="s">
        <v>61</v>
      </c>
      <c r="C516" s="18" t="s">
        <v>51</v>
      </c>
      <c r="D516" s="18" t="s">
        <v>52</v>
      </c>
      <c r="E516" s="18" t="s">
        <v>17</v>
      </c>
      <c r="F516" s="18" t="s">
        <v>20</v>
      </c>
      <c r="G516" s="18" t="s">
        <v>9</v>
      </c>
      <c r="H516" s="20"/>
      <c r="I516" s="20"/>
      <c r="J516" s="20"/>
      <c r="K516" s="20"/>
      <c r="L516" s="19" cm="1">
        <f t="array" ref="L516">_xlfn.XLOOKUP(E516,[4]C5_LMA_DIAG!$P$35:$P$43,_xlfn.XLOOKUP(B516,[4]C5_LMA_DIAG!$P$35:$AB$35,[4]C5_LMA_DIAG!$P$35:$AB$43))</f>
        <v>34.61007995032336</v>
      </c>
      <c r="M516" s="19" cm="1">
        <f t="array" ref="M516">_xlfn.XLOOKUP(E516,[5]C6_LMA_DIAG!$P$32:$P$40,_xlfn.XLOOKUP(B516,[5]C6_LMA_DIAG!$P$32:$AB$32,[5]C6_LMA_DIAG!$P$32:$AB$40))</f>
        <v>29.369605266032202</v>
      </c>
      <c r="N516" s="19">
        <f>HLOOKUP(B516,[6]C6_LMA_DIAG!$S$36:$AF$44,7,FALSE)</f>
        <v>16.489999999999998</v>
      </c>
      <c r="O516" s="20">
        <f>HLOOKUP(B516,[1]C5_LMT_DIAG!$S$37:$AF$45,7,FALSE)</f>
        <v>18</v>
      </c>
      <c r="P516" s="20">
        <v>16</v>
      </c>
    </row>
    <row r="517" spans="1:16" x14ac:dyDescent="0.3">
      <c r="A517" s="18" t="s">
        <v>68</v>
      </c>
      <c r="B517" s="18" t="s">
        <v>62</v>
      </c>
      <c r="C517" s="18" t="s">
        <v>51</v>
      </c>
      <c r="D517" s="18" t="s">
        <v>52</v>
      </c>
      <c r="E517" s="18" t="s">
        <v>17</v>
      </c>
      <c r="F517" s="18" t="s">
        <v>20</v>
      </c>
      <c r="G517" s="18" t="s">
        <v>9</v>
      </c>
      <c r="H517" s="20"/>
      <c r="I517" s="20"/>
      <c r="J517" s="20"/>
      <c r="K517" s="20"/>
      <c r="L517" s="19" cm="1">
        <f t="array" ref="L517">_xlfn.XLOOKUP(E517,[4]C5_LMA_DIAG!$P$35:$P$43,_xlfn.XLOOKUP(B517,[4]C5_LMA_DIAG!$P$35:$AB$35,[4]C5_LMA_DIAG!$P$35:$AB$43))</f>
        <v>8641.9864849872647</v>
      </c>
      <c r="M517" s="19" cm="1">
        <f t="array" ref="M517">_xlfn.XLOOKUP(E517,[5]C6_LMA_DIAG!$P$32:$P$40,_xlfn.XLOOKUP(B517,[5]C6_LMA_DIAG!$P$32:$AB$32,[5]C6_LMA_DIAG!$P$32:$AB$40))</f>
        <v>8664.0335534795013</v>
      </c>
      <c r="N517" s="19">
        <f>HLOOKUP(B517,[6]C6_LMA_DIAG!$S$36:$AF$44,7,FALSE)</f>
        <v>5162.5600000000004</v>
      </c>
      <c r="O517" s="20">
        <f>HLOOKUP(B517,[1]C5_LMT_DIAG!$S$37:$AF$45,7,FALSE)</f>
        <v>5174</v>
      </c>
      <c r="P517" s="20">
        <v>5954</v>
      </c>
    </row>
    <row r="518" spans="1:16" x14ac:dyDescent="0.3">
      <c r="A518" s="18" t="s">
        <v>68</v>
      </c>
      <c r="B518" s="18" t="s">
        <v>63</v>
      </c>
      <c r="C518" s="18" t="s">
        <v>51</v>
      </c>
      <c r="D518" s="18" t="s">
        <v>52</v>
      </c>
      <c r="E518" s="18" t="s">
        <v>17</v>
      </c>
      <c r="F518" s="18" t="s">
        <v>20</v>
      </c>
      <c r="G518" s="18" t="s">
        <v>9</v>
      </c>
      <c r="H518" s="20"/>
      <c r="I518" s="20"/>
      <c r="J518" s="20"/>
      <c r="K518" s="20"/>
      <c r="L518" s="19" cm="1">
        <f t="array" ref="L518">_xlfn.XLOOKUP(E518,[4]C5_LMA_DIAG!$P$35:$P$43,_xlfn.XLOOKUP(B518,[4]C5_LMA_DIAG!$P$35:$AB$35,[4]C5_LMA_DIAG!$P$35:$AB$43))</f>
        <v>15154.700659987242</v>
      </c>
      <c r="M518" s="19" cm="1">
        <f t="array" ref="M518">_xlfn.XLOOKUP(E518,[5]C6_LMA_DIAG!$P$32:$P$40,_xlfn.XLOOKUP(B518,[5]C6_LMA_DIAG!$P$32:$AB$32,[5]C6_LMA_DIAG!$P$32:$AB$40))</f>
        <v>15937.416297612375</v>
      </c>
      <c r="N518" s="19">
        <f>HLOOKUP(B518,[6]C6_LMA_DIAG!$S$36:$AF$44,7,FALSE)</f>
        <v>14018.67</v>
      </c>
      <c r="O518" s="20">
        <f>HLOOKUP(B518,[1]C5_LMT_DIAG!$S$37:$AF$45,7,FALSE)</f>
        <v>10981</v>
      </c>
      <c r="P518" s="20">
        <v>11139</v>
      </c>
    </row>
    <row r="519" spans="1:16" x14ac:dyDescent="0.3">
      <c r="A519" s="18" t="s">
        <v>68</v>
      </c>
      <c r="B519" s="18" t="s">
        <v>64</v>
      </c>
      <c r="C519" s="18" t="s">
        <v>51</v>
      </c>
      <c r="D519" s="18" t="s">
        <v>52</v>
      </c>
      <c r="E519" s="18" t="s">
        <v>17</v>
      </c>
      <c r="F519" s="18" t="s">
        <v>20</v>
      </c>
      <c r="G519" s="18" t="s">
        <v>9</v>
      </c>
      <c r="H519" s="20"/>
      <c r="I519" s="20"/>
      <c r="J519" s="20"/>
      <c r="K519" s="20"/>
      <c r="L519" s="19" cm="1">
        <f t="array" ref="L519">_xlfn.XLOOKUP(E519,[4]C5_LMA_DIAG!$P$35:$P$43,_xlfn.XLOOKUP(B519,[4]C5_LMA_DIAG!$P$35:$AB$35,[4]C5_LMA_DIAG!$P$35:$AB$43))</f>
        <v>9720.918107786476</v>
      </c>
      <c r="M519" s="19" cm="1">
        <f t="array" ref="M519">_xlfn.XLOOKUP(E519,[5]C6_LMA_DIAG!$P$32:$P$40,_xlfn.XLOOKUP(B519,[5]C6_LMA_DIAG!$P$32:$AB$32,[5]C6_LMA_DIAG!$P$32:$AB$40))</f>
        <v>9921.0526588656776</v>
      </c>
      <c r="N519" s="19">
        <f>HLOOKUP(B519,[6]C6_LMA_DIAG!$S$36:$AF$44,7,FALSE)</f>
        <v>8364.43</v>
      </c>
      <c r="O519" s="20">
        <f>HLOOKUP(B519,[1]C5_LMT_DIAG!$S$37:$AF$45,7,FALSE)</f>
        <v>7799</v>
      </c>
      <c r="P519" s="20">
        <v>7727</v>
      </c>
    </row>
    <row r="520" spans="1:16" x14ac:dyDescent="0.3">
      <c r="A520" s="18" t="s">
        <v>68</v>
      </c>
      <c r="B520" s="18" t="s">
        <v>70</v>
      </c>
      <c r="C520" s="18" t="s">
        <v>51</v>
      </c>
      <c r="D520" s="18" t="s">
        <v>52</v>
      </c>
      <c r="E520" s="18" t="s">
        <v>17</v>
      </c>
      <c r="F520" s="18" t="s">
        <v>20</v>
      </c>
      <c r="G520" s="18" t="s">
        <v>9</v>
      </c>
      <c r="H520" s="20"/>
      <c r="I520" s="20"/>
      <c r="J520" s="20"/>
      <c r="K520" s="20"/>
      <c r="L520" s="19">
        <v>0</v>
      </c>
      <c r="M520" s="19">
        <v>0</v>
      </c>
      <c r="N520" s="19">
        <f>HLOOKUP(B520,[6]C6_LMA_DIAG!$S$36:$AF$44,7,FALSE)</f>
        <v>28029.84</v>
      </c>
      <c r="O520" s="20">
        <f>HLOOKUP(B520,[1]C5_LMT_DIAG!$S$37:$AF$45,7,FALSE)</f>
        <v>26866</v>
      </c>
      <c r="P520" s="20">
        <v>48817</v>
      </c>
    </row>
    <row r="521" spans="1:16" x14ac:dyDescent="0.3">
      <c r="A521" s="18"/>
      <c r="B521" s="18" t="s">
        <v>71</v>
      </c>
      <c r="C521" s="18" t="s">
        <v>51</v>
      </c>
      <c r="D521" s="18" t="s">
        <v>52</v>
      </c>
      <c r="E521" s="18" t="s">
        <v>17</v>
      </c>
      <c r="F521" s="18" t="s">
        <v>20</v>
      </c>
      <c r="G521" s="18" t="s">
        <v>9</v>
      </c>
      <c r="H521" s="20"/>
      <c r="I521" s="20"/>
      <c r="J521" s="20"/>
      <c r="K521" s="20"/>
      <c r="L521" s="19">
        <v>0</v>
      </c>
      <c r="M521" s="19">
        <v>0</v>
      </c>
      <c r="N521" s="19">
        <f>HLOOKUP(B521,[6]C6_LMA_DIAG!$S$36:$AF$44,7,FALSE)</f>
        <v>0</v>
      </c>
      <c r="O521" s="20">
        <f>HLOOKUP(B521,[1]C5_LMT_DIAG!$S$37:$AF$45,7,FALSE)</f>
        <v>1</v>
      </c>
      <c r="P521" s="20">
        <v>0</v>
      </c>
    </row>
    <row r="522" spans="1:16" x14ac:dyDescent="0.3">
      <c r="A522" s="18" t="s">
        <v>68</v>
      </c>
      <c r="B522" s="18" t="s">
        <v>65</v>
      </c>
      <c r="C522" s="18" t="s">
        <v>51</v>
      </c>
      <c r="D522" s="18" t="s">
        <v>52</v>
      </c>
      <c r="E522" s="18" t="s">
        <v>17</v>
      </c>
      <c r="F522" s="18" t="s">
        <v>20</v>
      </c>
      <c r="G522" s="18" t="s">
        <v>9</v>
      </c>
      <c r="H522" s="20"/>
      <c r="I522" s="20"/>
      <c r="J522" s="20"/>
      <c r="K522" s="20"/>
      <c r="L522" s="19" cm="1">
        <f t="array" ref="L522">_xlfn.XLOOKUP(E522,[4]C5_LMA_DIAG!$P$35:$P$43,_xlfn.XLOOKUP(B522,[4]C5_LMA_DIAG!$P$35:$AB$35,[4]C5_LMA_DIAG!$P$35:$AB$43))</f>
        <v>31212.272970852489</v>
      </c>
      <c r="M522" s="19" cm="1">
        <f t="array" ref="M522">_xlfn.XLOOKUP(E522,[5]C6_LMA_DIAG!$P$32:$P$40,_xlfn.XLOOKUP(B522,[5]C6_LMA_DIAG!$P$32:$AB$32,[5]C6_LMA_DIAG!$P$32:$AB$40))</f>
        <v>32722.145707149775</v>
      </c>
      <c r="N522" s="19">
        <f>HLOOKUP(B522,[6]C6_LMA_DIAG!$S$36:$AF$44,7,FALSE)</f>
        <v>22465.54</v>
      </c>
      <c r="O522" s="20">
        <f>HLOOKUP(B522,[1]C5_LMT_DIAG!$S$37:$AF$45,7,FALSE)</f>
        <v>25120</v>
      </c>
      <c r="P522" s="20">
        <v>24508</v>
      </c>
    </row>
    <row r="523" spans="1:16" x14ac:dyDescent="0.3">
      <c r="A523" s="18" t="s">
        <v>68</v>
      </c>
      <c r="B523" s="18" t="s">
        <v>19</v>
      </c>
      <c r="C523" s="18" t="s">
        <v>51</v>
      </c>
      <c r="D523" s="18" t="s">
        <v>52</v>
      </c>
      <c r="E523" s="18" t="s">
        <v>17</v>
      </c>
      <c r="F523" s="18" t="s">
        <v>20</v>
      </c>
      <c r="G523" s="18" t="s">
        <v>9</v>
      </c>
      <c r="H523" s="20"/>
      <c r="I523" s="20"/>
      <c r="J523" s="20"/>
      <c r="K523" s="20"/>
      <c r="L523" s="19" cm="1">
        <f t="array" ref="L523">_xlfn.XLOOKUP(E523,[4]C5_LMA_DIAG!$P$35:$P$43,_xlfn.XLOOKUP(B523,[4]C5_LMA_DIAG!$P$35:$AB$35,[4]C5_LMA_DIAG!$P$35:$AB$43))</f>
        <v>1.5047860847966681</v>
      </c>
      <c r="M523" s="19" cm="1">
        <f t="array" ref="M523">_xlfn.XLOOKUP(E523,[5]C6_LMA_DIAG!$P$32:$P$40,_xlfn.XLOOKUP(B523,[5]C6_LMA_DIAG!$P$32:$AB$32,[5]C6_LMA_DIAG!$P$32:$AB$40))</f>
        <v>33.775046055937032</v>
      </c>
      <c r="N523" s="19">
        <f>HLOOKUP(B523,[6]C6_LMA_DIAG!$S$36:$AF$44,7,FALSE)</f>
        <v>26.98</v>
      </c>
      <c r="O523" s="20">
        <f>HLOOKUP(B523,[1]C5_LMT_DIAG!$S$37:$AF$45,7,FALSE)</f>
        <v>3</v>
      </c>
      <c r="P523" s="20">
        <v>63</v>
      </c>
    </row>
    <row r="524" spans="1:16" x14ac:dyDescent="0.3">
      <c r="A524" s="17" t="s">
        <v>68</v>
      </c>
      <c r="B524" s="17" t="s">
        <v>55</v>
      </c>
      <c r="C524" s="17" t="s">
        <v>51</v>
      </c>
      <c r="D524" s="17" t="s">
        <v>52</v>
      </c>
      <c r="E524" s="17" t="s">
        <v>18</v>
      </c>
      <c r="F524" s="17" t="s">
        <v>20</v>
      </c>
      <c r="G524" s="17" t="s">
        <v>9</v>
      </c>
      <c r="H524" s="19"/>
      <c r="I524" s="19"/>
      <c r="J524" s="19"/>
      <c r="K524" s="19"/>
      <c r="L524" s="19" cm="1">
        <f t="array" ref="L524">_xlfn.XLOOKUP(E524,[4]C5_LMA_DIAG!$P$35:$P$43,_xlfn.XLOOKUP(B524,[4]C5_LMA_DIAG!$P$35:$AB$35,[4]C5_LMA_DIAG!$P$35:$AB$43))</f>
        <v>4478.2433883548838</v>
      </c>
      <c r="M524" s="19" cm="1">
        <f t="array" ref="M524">_xlfn.XLOOKUP(E524,[5]C6_LMA_DIAG!$P$32:$P$40,_xlfn.XLOOKUP(B524,[5]C6_LMA_DIAG!$P$32:$AB$32,[5]C6_LMA_DIAG!$P$32:$AB$40))</f>
        <v>5499.4585860645293</v>
      </c>
      <c r="N524" s="19">
        <f>HLOOKUP(B524,[6]C6_LMA_DIAG!$S$36:$AF$44,8,FALSE)</f>
        <v>6631.58</v>
      </c>
      <c r="O524" s="20">
        <f>HLOOKUP(B524,[1]C5_LMT_DIAG!$S$37:$AF$45,8,FALSE)</f>
        <v>10503</v>
      </c>
      <c r="P524" s="19">
        <v>8059</v>
      </c>
    </row>
    <row r="525" spans="1:16" x14ac:dyDescent="0.3">
      <c r="A525" s="17" t="s">
        <v>68</v>
      </c>
      <c r="B525" s="17" t="s">
        <v>56</v>
      </c>
      <c r="C525" s="17" t="s">
        <v>51</v>
      </c>
      <c r="D525" s="17" t="s">
        <v>52</v>
      </c>
      <c r="E525" s="17" t="s">
        <v>18</v>
      </c>
      <c r="F525" s="17" t="s">
        <v>20</v>
      </c>
      <c r="G525" s="17" t="s">
        <v>9</v>
      </c>
      <c r="H525" s="19"/>
      <c r="I525" s="19"/>
      <c r="J525" s="19"/>
      <c r="K525" s="19"/>
      <c r="L525" s="19" cm="1">
        <f t="array" ref="L525">_xlfn.XLOOKUP(E525,[4]C5_LMA_DIAG!$P$35:$P$43,_xlfn.XLOOKUP(B525,[4]C5_LMA_DIAG!$P$35:$AB$35,[4]C5_LMA_DIAG!$P$35:$AB$43))</f>
        <v>8264.2851777033011</v>
      </c>
      <c r="M525" s="19" cm="1">
        <f t="array" ref="M525">_xlfn.XLOOKUP(E525,[5]C6_LMA_DIAG!$P$32:$P$40,_xlfn.XLOOKUP(B525,[5]C6_LMA_DIAG!$P$32:$AB$32,[5]C6_LMA_DIAG!$P$32:$AB$40))</f>
        <v>9622.9511654154521</v>
      </c>
      <c r="N525" s="19">
        <f>HLOOKUP(B525,[6]C6_LMA_DIAG!$S$36:$AF$44,8,FALSE)</f>
        <v>6289.81</v>
      </c>
      <c r="O525" s="20">
        <f>HLOOKUP(B525,[1]C5_LMT_DIAG!$S$37:$AF$45,8,FALSE)</f>
        <v>7383</v>
      </c>
      <c r="P525" s="19">
        <v>8604</v>
      </c>
    </row>
    <row r="526" spans="1:16" x14ac:dyDescent="0.3">
      <c r="A526" s="17" t="s">
        <v>68</v>
      </c>
      <c r="B526" s="17" t="s">
        <v>57</v>
      </c>
      <c r="C526" s="17" t="s">
        <v>51</v>
      </c>
      <c r="D526" s="17" t="s">
        <v>52</v>
      </c>
      <c r="E526" s="17" t="s">
        <v>18</v>
      </c>
      <c r="F526" s="17" t="s">
        <v>20</v>
      </c>
      <c r="G526" s="17" t="s">
        <v>9</v>
      </c>
      <c r="H526" s="19"/>
      <c r="I526" s="19"/>
      <c r="J526" s="19"/>
      <c r="K526" s="19"/>
      <c r="L526" s="19" cm="1">
        <f t="array" ref="L526">_xlfn.XLOOKUP(E526,[4]C5_LMA_DIAG!$P$35:$P$43,_xlfn.XLOOKUP(B526,[4]C5_LMA_DIAG!$P$35:$AB$35,[4]C5_LMA_DIAG!$P$35:$AB$43))</f>
        <v>9430.4943934207186</v>
      </c>
      <c r="M526" s="19" cm="1">
        <f t="array" ref="M526">_xlfn.XLOOKUP(E526,[5]C6_LMA_DIAG!$P$32:$P$40,_xlfn.XLOOKUP(B526,[5]C6_LMA_DIAG!$P$32:$AB$32,[5]C6_LMA_DIAG!$P$32:$AB$40))</f>
        <v>10251.460718108539</v>
      </c>
      <c r="N526" s="19">
        <f>HLOOKUP(B526,[6]C6_LMA_DIAG!$S$36:$AF$44,8,FALSE)</f>
        <v>2939.54</v>
      </c>
      <c r="O526" s="20">
        <f>HLOOKUP(B526,[1]C5_LMT_DIAG!$S$37:$AF$45,8,FALSE)</f>
        <v>1985</v>
      </c>
      <c r="P526" s="19">
        <v>6134</v>
      </c>
    </row>
    <row r="527" spans="1:16" x14ac:dyDescent="0.3">
      <c r="A527" s="17" t="s">
        <v>68</v>
      </c>
      <c r="B527" s="17" t="s">
        <v>58</v>
      </c>
      <c r="C527" s="17" t="s">
        <v>51</v>
      </c>
      <c r="D527" s="17" t="s">
        <v>52</v>
      </c>
      <c r="E527" s="17" t="s">
        <v>18</v>
      </c>
      <c r="F527" s="17" t="s">
        <v>20</v>
      </c>
      <c r="G527" s="17" t="s">
        <v>9</v>
      </c>
      <c r="H527" s="19"/>
      <c r="I527" s="19"/>
      <c r="J527" s="19"/>
      <c r="K527" s="19"/>
      <c r="L527" s="19" cm="1">
        <f t="array" ref="L527">_xlfn.XLOOKUP(E527,[4]C5_LMA_DIAG!$P$35:$P$43,_xlfn.XLOOKUP(B527,[4]C5_LMA_DIAG!$P$35:$AB$35,[4]C5_LMA_DIAG!$P$35:$AB$43))</f>
        <v>3528.7233688481865</v>
      </c>
      <c r="M527" s="19" cm="1">
        <f t="array" ref="M527">_xlfn.XLOOKUP(E527,[5]C6_LMA_DIAG!$P$32:$P$40,_xlfn.XLOOKUP(B527,[5]C6_LMA_DIAG!$P$32:$AB$32,[5]C6_LMA_DIAG!$P$32:$AB$40))</f>
        <v>4123.492579350921</v>
      </c>
      <c r="N527" s="19">
        <f>HLOOKUP(B527,[6]C6_LMA_DIAG!$S$36:$AF$44,8,FALSE)</f>
        <v>3170.39</v>
      </c>
      <c r="O527" s="20">
        <f>HLOOKUP(B527,[1]C5_LMT_DIAG!$S$37:$AF$45,8,FALSE)</f>
        <v>2900</v>
      </c>
      <c r="P527" s="19">
        <v>3372</v>
      </c>
    </row>
    <row r="528" spans="1:16" x14ac:dyDescent="0.3">
      <c r="A528" s="17" t="s">
        <v>68</v>
      </c>
      <c r="B528" s="17" t="s">
        <v>59</v>
      </c>
      <c r="C528" s="17" t="s">
        <v>51</v>
      </c>
      <c r="D528" s="17" t="s">
        <v>52</v>
      </c>
      <c r="E528" s="17" t="s">
        <v>18</v>
      </c>
      <c r="F528" s="17" t="s">
        <v>20</v>
      </c>
      <c r="G528" s="17" t="s">
        <v>9</v>
      </c>
      <c r="H528" s="19"/>
      <c r="I528" s="19"/>
      <c r="J528" s="19"/>
      <c r="K528" s="19"/>
      <c r="L528" s="19" cm="1">
        <f t="array" ref="L528">_xlfn.XLOOKUP(E528,[4]C5_LMA_DIAG!$P$35:$P$43,_xlfn.XLOOKUP(B528,[4]C5_LMA_DIAG!$P$35:$AB$35,[4]C5_LMA_DIAG!$P$35:$AB$43))</f>
        <v>1995.3463484403819</v>
      </c>
      <c r="M528" s="19" cm="1">
        <f t="array" ref="M528">_xlfn.XLOOKUP(E528,[5]C6_LMA_DIAG!$P$32:$P$40,_xlfn.XLOOKUP(B528,[5]C6_LMA_DIAG!$P$32:$AB$32,[5]C6_LMA_DIAG!$P$32:$AB$40))</f>
        <v>1914.8982633452995</v>
      </c>
      <c r="N528" s="19">
        <f>HLOOKUP(B528,[6]C6_LMA_DIAG!$S$36:$AF$44,8,FALSE)</f>
        <v>860.43</v>
      </c>
      <c r="O528" s="20">
        <f>HLOOKUP(B528,[1]C5_LMT_DIAG!$S$37:$AF$45,8,FALSE)</f>
        <v>658</v>
      </c>
      <c r="P528" s="19">
        <v>1155</v>
      </c>
    </row>
    <row r="529" spans="1:16" x14ac:dyDescent="0.3">
      <c r="A529" s="17" t="s">
        <v>68</v>
      </c>
      <c r="B529" s="17" t="s">
        <v>60</v>
      </c>
      <c r="C529" s="17" t="s">
        <v>51</v>
      </c>
      <c r="D529" s="17" t="s">
        <v>52</v>
      </c>
      <c r="E529" s="17" t="s">
        <v>18</v>
      </c>
      <c r="F529" s="17" t="s">
        <v>20</v>
      </c>
      <c r="G529" s="17" t="s">
        <v>9</v>
      </c>
      <c r="H529" s="19"/>
      <c r="I529" s="19"/>
      <c r="J529" s="19"/>
      <c r="K529" s="19"/>
      <c r="L529" s="19" cm="1">
        <f t="array" ref="L529">_xlfn.XLOOKUP(E529,[4]C5_LMA_DIAG!$P$35:$P$43,_xlfn.XLOOKUP(B529,[4]C5_LMA_DIAG!$P$35:$AB$35,[4]C5_LMA_DIAG!$P$35:$AB$43))</f>
        <v>3372.2256160293332</v>
      </c>
      <c r="M529" s="19" cm="1">
        <f t="array" ref="M529">_xlfn.XLOOKUP(E529,[5]C6_LMA_DIAG!$P$32:$P$40,_xlfn.XLOOKUP(B529,[5]C6_LMA_DIAG!$P$32:$AB$32,[5]C6_LMA_DIAG!$P$32:$AB$40))</f>
        <v>3650.6419345678028</v>
      </c>
      <c r="N529" s="19">
        <f>HLOOKUP(B529,[6]C6_LMA_DIAG!$S$36:$AF$44,8,FALSE)</f>
        <v>1831.78</v>
      </c>
      <c r="O529" s="20">
        <f>HLOOKUP(B529,[1]C5_LMT_DIAG!$S$37:$AF$45,8,FALSE)</f>
        <v>1838</v>
      </c>
      <c r="P529" s="19">
        <v>2768</v>
      </c>
    </row>
    <row r="530" spans="1:16" x14ac:dyDescent="0.3">
      <c r="A530" s="17" t="s">
        <v>68</v>
      </c>
      <c r="B530" s="17" t="s">
        <v>61</v>
      </c>
      <c r="C530" s="17" t="s">
        <v>51</v>
      </c>
      <c r="D530" s="17" t="s">
        <v>52</v>
      </c>
      <c r="E530" s="17" t="s">
        <v>18</v>
      </c>
      <c r="F530" s="17" t="s">
        <v>20</v>
      </c>
      <c r="G530" s="17" t="s">
        <v>9</v>
      </c>
      <c r="H530" s="19"/>
      <c r="I530" s="19"/>
      <c r="J530" s="19"/>
      <c r="K530" s="19"/>
      <c r="L530" s="19" cm="1">
        <f t="array" ref="L530">_xlfn.XLOOKUP(E530,[4]C5_LMA_DIAG!$P$35:$P$43,_xlfn.XLOOKUP(B530,[4]C5_LMA_DIAG!$P$35:$AB$35,[4]C5_LMA_DIAG!$P$35:$AB$43))</f>
        <v>4.5143582543900038</v>
      </c>
      <c r="M530" s="19" cm="1">
        <f t="array" ref="M530">_xlfn.XLOOKUP(E530,[5]C6_LMA_DIAG!$P$32:$P$40,_xlfn.XLOOKUP(B530,[5]C6_LMA_DIAG!$P$32:$AB$32,[5]C6_LMA_DIAG!$P$32:$AB$40))</f>
        <v>4.4054407899048309</v>
      </c>
      <c r="N530" s="19">
        <f>HLOOKUP(B530,[6]C6_LMA_DIAG!$S$36:$AF$44,8,FALSE)</f>
        <v>1.5</v>
      </c>
      <c r="O530" s="20">
        <f>HLOOKUP(B530,[1]C5_LMT_DIAG!$S$37:$AF$45,8,FALSE)</f>
        <v>5</v>
      </c>
      <c r="P530" s="19">
        <v>2</v>
      </c>
    </row>
    <row r="531" spans="1:16" x14ac:dyDescent="0.3">
      <c r="A531" s="17" t="s">
        <v>68</v>
      </c>
      <c r="B531" s="17" t="s">
        <v>62</v>
      </c>
      <c r="C531" s="17" t="s">
        <v>51</v>
      </c>
      <c r="D531" s="17" t="s">
        <v>52</v>
      </c>
      <c r="E531" s="17" t="s">
        <v>18</v>
      </c>
      <c r="F531" s="17" t="s">
        <v>20</v>
      </c>
      <c r="G531" s="17" t="s">
        <v>9</v>
      </c>
      <c r="H531" s="19"/>
      <c r="I531" s="19"/>
      <c r="J531" s="19"/>
      <c r="K531" s="19"/>
      <c r="L531" s="19" cm="1">
        <f t="array" ref="L531">_xlfn.XLOOKUP(E531,[4]C5_LMA_DIAG!$P$35:$P$43,_xlfn.XLOOKUP(B531,[4]C5_LMA_DIAG!$P$35:$AB$35,[4]C5_LMA_DIAG!$P$35:$AB$43))</f>
        <v>2063.0617222562319</v>
      </c>
      <c r="M531" s="19" cm="1">
        <f t="array" ref="M531">_xlfn.XLOOKUP(E531,[5]C6_LMA_DIAG!$P$32:$P$40,_xlfn.XLOOKUP(B531,[5]C6_LMA_DIAG!$P$32:$AB$32,[5]C6_LMA_DIAG!$P$32:$AB$40))</f>
        <v>2151.3235857368586</v>
      </c>
      <c r="N531" s="19">
        <f>HLOOKUP(B531,[6]C6_LMA_DIAG!$S$36:$AF$44,8,FALSE)</f>
        <v>1346.1</v>
      </c>
      <c r="O531" s="20">
        <f>HLOOKUP(B531,[1]C5_LMT_DIAG!$S$37:$AF$45,8,FALSE)</f>
        <v>1300</v>
      </c>
      <c r="P531" s="19">
        <v>1557</v>
      </c>
    </row>
    <row r="532" spans="1:16" x14ac:dyDescent="0.3">
      <c r="A532" s="17" t="s">
        <v>68</v>
      </c>
      <c r="B532" s="17" t="s">
        <v>63</v>
      </c>
      <c r="C532" s="17" t="s">
        <v>51</v>
      </c>
      <c r="D532" s="17" t="s">
        <v>52</v>
      </c>
      <c r="E532" s="17" t="s">
        <v>18</v>
      </c>
      <c r="F532" s="17" t="s">
        <v>20</v>
      </c>
      <c r="G532" s="17" t="s">
        <v>9</v>
      </c>
      <c r="H532" s="19"/>
      <c r="I532" s="19"/>
      <c r="J532" s="19"/>
      <c r="K532" s="19"/>
      <c r="L532" s="19" cm="1">
        <f t="array" ref="L532">_xlfn.XLOOKUP(E532,[4]C5_LMA_DIAG!$P$35:$P$43,_xlfn.XLOOKUP(B532,[4]C5_LMA_DIAG!$P$35:$AB$35,[4]C5_LMA_DIAG!$P$35:$AB$43))</f>
        <v>5382.6198253176817</v>
      </c>
      <c r="M532" s="19" cm="1">
        <f t="array" ref="M532">_xlfn.XLOOKUP(E532,[5]C6_LMA_DIAG!$P$32:$P$40,_xlfn.XLOOKUP(B532,[5]C6_LMA_DIAG!$P$32:$AB$32,[5]C6_LMA_DIAG!$P$32:$AB$40))</f>
        <v>6066.2919676989513</v>
      </c>
      <c r="N532" s="19">
        <f>HLOOKUP(B532,[6]C6_LMA_DIAG!$S$36:$AF$44,8,FALSE)</f>
        <v>5426.39</v>
      </c>
      <c r="O532" s="20">
        <f>HLOOKUP(B532,[1]C5_LMT_DIAG!$S$37:$AF$45,8,FALSE)</f>
        <v>4586</v>
      </c>
      <c r="P532" s="19">
        <v>4522</v>
      </c>
    </row>
    <row r="533" spans="1:16" x14ac:dyDescent="0.3">
      <c r="A533" s="17" t="s">
        <v>68</v>
      </c>
      <c r="B533" s="17" t="s">
        <v>64</v>
      </c>
      <c r="C533" s="17" t="s">
        <v>51</v>
      </c>
      <c r="D533" s="17" t="s">
        <v>52</v>
      </c>
      <c r="E533" s="17" t="s">
        <v>18</v>
      </c>
      <c r="F533" s="17" t="s">
        <v>20</v>
      </c>
      <c r="G533" s="17" t="s">
        <v>9</v>
      </c>
      <c r="H533" s="19"/>
      <c r="I533" s="19"/>
      <c r="J533" s="19"/>
      <c r="K533" s="19"/>
      <c r="L533" s="19" cm="1">
        <f t="array" ref="L533">_xlfn.XLOOKUP(E533,[4]C5_LMA_DIAG!$P$35:$P$43,_xlfn.XLOOKUP(B533,[4]C5_LMA_DIAG!$P$35:$AB$35,[4]C5_LMA_DIAG!$P$35:$AB$43))</f>
        <v>3206.6991467016996</v>
      </c>
      <c r="M533" s="19" cm="1">
        <f t="array" ref="M533">_xlfn.XLOOKUP(E533,[5]C6_LMA_DIAG!$P$32:$P$40,_xlfn.XLOOKUP(B533,[5]C6_LMA_DIAG!$P$32:$AB$32,[5]C6_LMA_DIAG!$P$32:$AB$40))</f>
        <v>3486.1721450780224</v>
      </c>
      <c r="N533" s="19">
        <f>HLOOKUP(B533,[6]C6_LMA_DIAG!$S$36:$AF$44,8,FALSE)</f>
        <v>2861.59</v>
      </c>
      <c r="O533" s="20">
        <f>HLOOKUP(B533,[1]C5_LMT_DIAG!$S$37:$AF$45,8,FALSE)</f>
        <v>2795</v>
      </c>
      <c r="P533" s="19">
        <v>2652</v>
      </c>
    </row>
    <row r="534" spans="1:16" x14ac:dyDescent="0.3">
      <c r="A534" s="17" t="s">
        <v>68</v>
      </c>
      <c r="B534" s="17" t="s">
        <v>70</v>
      </c>
      <c r="C534" s="17" t="s">
        <v>51</v>
      </c>
      <c r="D534" s="17" t="s">
        <v>52</v>
      </c>
      <c r="E534" s="17" t="s">
        <v>18</v>
      </c>
      <c r="F534" s="17" t="s">
        <v>20</v>
      </c>
      <c r="G534" s="17" t="s">
        <v>9</v>
      </c>
      <c r="H534" s="19"/>
      <c r="I534" s="19"/>
      <c r="J534" s="19"/>
      <c r="K534" s="19"/>
      <c r="L534" s="19">
        <v>0</v>
      </c>
      <c r="M534" s="19">
        <v>0</v>
      </c>
      <c r="N534" s="19">
        <f>HLOOKUP(B534,[6]C6_LMA_DIAG!$S$36:$AF$44,8,FALSE)</f>
        <v>3804.47</v>
      </c>
      <c r="O534" s="20">
        <f>HLOOKUP(B534,[1]C5_LMT_DIAG!$S$37:$AF$45,8,FALSE)</f>
        <v>3903</v>
      </c>
      <c r="P534" s="19">
        <v>8764</v>
      </c>
    </row>
    <row r="535" spans="1:16" x14ac:dyDescent="0.3">
      <c r="A535" s="17"/>
      <c r="B535" s="17" t="s">
        <v>71</v>
      </c>
      <c r="C535" s="17" t="s">
        <v>51</v>
      </c>
      <c r="D535" s="17" t="s">
        <v>52</v>
      </c>
      <c r="E535" s="17" t="s">
        <v>18</v>
      </c>
      <c r="F535" s="17" t="s">
        <v>20</v>
      </c>
      <c r="G535" s="17" t="s">
        <v>9</v>
      </c>
      <c r="H535" s="19"/>
      <c r="I535" s="19"/>
      <c r="J535" s="19"/>
      <c r="K535" s="19"/>
      <c r="L535" s="19">
        <v>0</v>
      </c>
      <c r="M535" s="19">
        <v>0</v>
      </c>
      <c r="N535" s="19">
        <f>HLOOKUP(B535,[6]C6_LMA_DIAG!$S$36:$AF$44,8,FALSE)</f>
        <v>0</v>
      </c>
      <c r="O535" s="20">
        <f>HLOOKUP(B535,[1]C5_LMT_DIAG!$S$37:$AF$45,8,FALSE)</f>
        <v>0</v>
      </c>
      <c r="P535" s="19">
        <v>0</v>
      </c>
    </row>
    <row r="536" spans="1:16" x14ac:dyDescent="0.3">
      <c r="A536" s="17" t="s">
        <v>68</v>
      </c>
      <c r="B536" s="17" t="s">
        <v>65</v>
      </c>
      <c r="C536" s="17" t="s">
        <v>51</v>
      </c>
      <c r="D536" s="17" t="s">
        <v>52</v>
      </c>
      <c r="E536" s="17" t="s">
        <v>18</v>
      </c>
      <c r="F536" s="17" t="s">
        <v>20</v>
      </c>
      <c r="G536" s="17" t="s">
        <v>9</v>
      </c>
      <c r="H536" s="19"/>
      <c r="I536" s="19"/>
      <c r="J536" s="19"/>
      <c r="K536" s="19"/>
      <c r="L536" s="19" cm="1">
        <f t="array" ref="L536">_xlfn.XLOOKUP(E536,[4]C5_LMA_DIAG!$P$35:$P$43,_xlfn.XLOOKUP(B536,[4]C5_LMA_DIAG!$P$35:$AB$35,[4]C5_LMA_DIAG!$P$35:$AB$43))</f>
        <v>7096.5711759010865</v>
      </c>
      <c r="M536" s="19" cm="1">
        <f t="array" ref="M536">_xlfn.XLOOKUP(E536,[5]C6_LMA_DIAG!$P$32:$P$40,_xlfn.XLOOKUP(B536,[5]C6_LMA_DIAG!$P$32:$AB$32,[5]C6_LMA_DIAG!$P$32:$AB$40))</f>
        <v>7781.4769152352319</v>
      </c>
      <c r="N536" s="19">
        <f>HLOOKUP(B536,[6]C6_LMA_DIAG!$S$36:$AF$44,8,FALSE)</f>
        <v>4825.29</v>
      </c>
      <c r="O536" s="20">
        <f>HLOOKUP(B536,[1]C5_LMT_DIAG!$S$37:$AF$45,8,FALSE)</f>
        <v>5312</v>
      </c>
      <c r="P536" s="19">
        <v>5736</v>
      </c>
    </row>
    <row r="537" spans="1:16" x14ac:dyDescent="0.3">
      <c r="A537" s="17" t="s">
        <v>68</v>
      </c>
      <c r="B537" s="17" t="s">
        <v>19</v>
      </c>
      <c r="C537" s="17" t="s">
        <v>51</v>
      </c>
      <c r="D537" s="17" t="s">
        <v>52</v>
      </c>
      <c r="E537" s="17" t="s">
        <v>18</v>
      </c>
      <c r="F537" s="17" t="s">
        <v>20</v>
      </c>
      <c r="G537" s="17" t="s">
        <v>9</v>
      </c>
      <c r="H537" s="19"/>
      <c r="I537" s="19"/>
      <c r="J537" s="19"/>
      <c r="K537" s="19"/>
      <c r="L537" s="19" cm="1">
        <f t="array" ref="L537">_xlfn.XLOOKUP(E537,[4]C5_LMA_DIAG!$P$35:$P$43,_xlfn.XLOOKUP(B537,[4]C5_LMA_DIAG!$P$35:$AB$35,[4]C5_LMA_DIAG!$P$35:$AB$43))</f>
        <v>0</v>
      </c>
      <c r="M537" s="19" cm="1">
        <f t="array" ref="M537">_xlfn.XLOOKUP(E537,[5]C6_LMA_DIAG!$P$32:$P$40,_xlfn.XLOOKUP(B537,[5]C6_LMA_DIAG!$P$32:$AB$32,[5]C6_LMA_DIAG!$P$32:$AB$40))</f>
        <v>8.8108815798096618</v>
      </c>
      <c r="N537" s="19">
        <f>HLOOKUP(B537,[6]C6_LMA_DIAG!$S$36:$AF$44,8,FALSE)</f>
        <v>1.5</v>
      </c>
      <c r="O537" s="20">
        <f>HLOOKUP(B537,[1]C5_LMT_DIAG!$S$37:$AF$45,8,FALSE)</f>
        <v>2</v>
      </c>
      <c r="P537" s="19">
        <v>19</v>
      </c>
    </row>
    <row r="538" spans="1:16" x14ac:dyDescent="0.3">
      <c r="A538" s="18" t="s">
        <v>68</v>
      </c>
      <c r="B538" s="18" t="s">
        <v>55</v>
      </c>
      <c r="C538" s="18" t="s">
        <v>51</v>
      </c>
      <c r="D538" s="18" t="s">
        <v>52</v>
      </c>
      <c r="E538" s="18" t="s">
        <v>19</v>
      </c>
      <c r="F538" s="18" t="s">
        <v>20</v>
      </c>
      <c r="G538" s="18" t="s">
        <v>9</v>
      </c>
      <c r="H538" s="20"/>
      <c r="I538" s="20"/>
      <c r="J538" s="20"/>
      <c r="K538" s="20"/>
      <c r="L538" s="19" cm="1">
        <f t="array" ref="L538">_xlfn.XLOOKUP(E538,[4]C5_LMA_DIAG!$P$35:$P$43,_xlfn.XLOOKUP(B538,[4]C5_LMA_DIAG!$P$35:$AB$35,[4]C5_LMA_DIAG!$P$35:$AB$43))</f>
        <v>4.5143582543900038</v>
      </c>
      <c r="M538" s="19" cm="1">
        <f t="array" ref="M538">_xlfn.XLOOKUP(E538,[5]C6_LMA_DIAG!$P$32:$P$40,_xlfn.XLOOKUP(B538,[5]C6_LMA_DIAG!$P$32:$AB$32,[5]C6_LMA_DIAG!$P$32:$AB$40))</f>
        <v>0</v>
      </c>
      <c r="N538" s="19">
        <f>HLOOKUP(B538,[6]C6_LMA_DIAG!$S$36:$AF$44,9,FALSE)</f>
        <v>0</v>
      </c>
      <c r="O538" s="20">
        <f>HLOOKUP(B538,[1]C5_LMT_DIAG!$S$37:$AF$45,9,FALSE)</f>
        <v>1</v>
      </c>
      <c r="P538" s="20">
        <v>0</v>
      </c>
    </row>
    <row r="539" spans="1:16" x14ac:dyDescent="0.3">
      <c r="A539" s="18" t="s">
        <v>68</v>
      </c>
      <c r="B539" s="18" t="s">
        <v>56</v>
      </c>
      <c r="C539" s="18" t="s">
        <v>51</v>
      </c>
      <c r="D539" s="18" t="s">
        <v>52</v>
      </c>
      <c r="E539" s="18" t="s">
        <v>19</v>
      </c>
      <c r="F539" s="18" t="s">
        <v>20</v>
      </c>
      <c r="G539" s="18" t="s">
        <v>9</v>
      </c>
      <c r="H539" s="20"/>
      <c r="I539" s="20"/>
      <c r="J539" s="20"/>
      <c r="K539" s="20"/>
      <c r="L539" s="19" cm="1">
        <f t="array" ref="L539">_xlfn.XLOOKUP(E539,[4]C5_LMA_DIAG!$P$35:$P$43,_xlfn.XLOOKUP(B539,[4]C5_LMA_DIAG!$P$35:$AB$35,[4]C5_LMA_DIAG!$P$35:$AB$43))</f>
        <v>1.5047860847966681</v>
      </c>
      <c r="M539" s="19" cm="1">
        <f t="array" ref="M539">_xlfn.XLOOKUP(E539,[5]C6_LMA_DIAG!$P$32:$P$40,_xlfn.XLOOKUP(B539,[5]C6_LMA_DIAG!$P$32:$AB$32,[5]C6_LMA_DIAG!$P$32:$AB$40))</f>
        <v>0</v>
      </c>
      <c r="N539" s="19">
        <f>HLOOKUP(B539,[6]C6_LMA_DIAG!$S$36:$AF$44,9,FALSE)</f>
        <v>1.5</v>
      </c>
      <c r="O539" s="20">
        <f>HLOOKUP(B539,[1]C5_LMT_DIAG!$S$37:$AF$45,9,FALSE)</f>
        <v>0</v>
      </c>
      <c r="P539" s="20">
        <v>0</v>
      </c>
    </row>
    <row r="540" spans="1:16" x14ac:dyDescent="0.3">
      <c r="A540" s="18" t="s">
        <v>68</v>
      </c>
      <c r="B540" s="18" t="s">
        <v>57</v>
      </c>
      <c r="C540" s="18" t="s">
        <v>51</v>
      </c>
      <c r="D540" s="18" t="s">
        <v>52</v>
      </c>
      <c r="E540" s="18" t="s">
        <v>19</v>
      </c>
      <c r="F540" s="18" t="s">
        <v>20</v>
      </c>
      <c r="G540" s="18" t="s">
        <v>9</v>
      </c>
      <c r="H540" s="20"/>
      <c r="I540" s="20"/>
      <c r="J540" s="20"/>
      <c r="K540" s="20"/>
      <c r="L540" s="19" cm="1">
        <f t="array" ref="L540">_xlfn.XLOOKUP(E540,[4]C5_LMA_DIAG!$P$35:$P$43,_xlfn.XLOOKUP(B540,[4]C5_LMA_DIAG!$P$35:$AB$35,[4]C5_LMA_DIAG!$P$35:$AB$43))</f>
        <v>0</v>
      </c>
      <c r="M540" s="19" cm="1">
        <f t="array" ref="M540">_xlfn.XLOOKUP(E540,[5]C6_LMA_DIAG!$P$32:$P$40,_xlfn.XLOOKUP(B540,[5]C6_LMA_DIAG!$P$32:$AB$32,[5]C6_LMA_DIAG!$P$32:$AB$40))</f>
        <v>5.8739210532064403</v>
      </c>
      <c r="N540" s="19">
        <f>HLOOKUP(B540,[6]C6_LMA_DIAG!$S$36:$AF$44,9,FALSE)</f>
        <v>0</v>
      </c>
      <c r="O540" s="20">
        <f>HLOOKUP(B540,[1]C5_LMT_DIAG!$S$37:$AF$45,9,FALSE)</f>
        <v>0</v>
      </c>
      <c r="P540" s="20">
        <v>0</v>
      </c>
    </row>
    <row r="541" spans="1:16" x14ac:dyDescent="0.3">
      <c r="A541" s="18" t="s">
        <v>68</v>
      </c>
      <c r="B541" s="18" t="s">
        <v>58</v>
      </c>
      <c r="C541" s="18" t="s">
        <v>51</v>
      </c>
      <c r="D541" s="18" t="s">
        <v>52</v>
      </c>
      <c r="E541" s="18" t="s">
        <v>19</v>
      </c>
      <c r="F541" s="18" t="s">
        <v>20</v>
      </c>
      <c r="G541" s="18" t="s">
        <v>9</v>
      </c>
      <c r="H541" s="20"/>
      <c r="I541" s="20"/>
      <c r="J541" s="20"/>
      <c r="K541" s="20"/>
      <c r="L541" s="19" cm="1">
        <f t="array" ref="L541">_xlfn.XLOOKUP(E541,[4]C5_LMA_DIAG!$P$35:$P$43,_xlfn.XLOOKUP(B541,[4]C5_LMA_DIAG!$P$35:$AB$35,[4]C5_LMA_DIAG!$P$35:$AB$43))</f>
        <v>0</v>
      </c>
      <c r="M541" s="19" cm="1">
        <f t="array" ref="M541">_xlfn.XLOOKUP(E541,[5]C6_LMA_DIAG!$P$32:$P$40,_xlfn.XLOOKUP(B541,[5]C6_LMA_DIAG!$P$32:$AB$32,[5]C6_LMA_DIAG!$P$32:$AB$40))</f>
        <v>0</v>
      </c>
      <c r="N541" s="19">
        <f>HLOOKUP(B541,[6]C6_LMA_DIAG!$S$36:$AF$44,9,FALSE)</f>
        <v>0</v>
      </c>
      <c r="O541" s="20">
        <f>HLOOKUP(B541,[1]C5_LMT_DIAG!$S$37:$AF$45,9,FALSE)</f>
        <v>1</v>
      </c>
      <c r="P541" s="20">
        <v>0</v>
      </c>
    </row>
    <row r="542" spans="1:16" x14ac:dyDescent="0.3">
      <c r="A542" s="18" t="s">
        <v>68</v>
      </c>
      <c r="B542" s="18" t="s">
        <v>59</v>
      </c>
      <c r="C542" s="18" t="s">
        <v>51</v>
      </c>
      <c r="D542" s="18" t="s">
        <v>52</v>
      </c>
      <c r="E542" s="18" t="s">
        <v>19</v>
      </c>
      <c r="F542" s="18" t="s">
        <v>20</v>
      </c>
      <c r="G542" s="18" t="s">
        <v>9</v>
      </c>
      <c r="H542" s="20"/>
      <c r="I542" s="20"/>
      <c r="J542" s="20"/>
      <c r="K542" s="20"/>
      <c r="L542" s="19" cm="1">
        <f t="array" ref="L542">_xlfn.XLOOKUP(E542,[4]C5_LMA_DIAG!$P$35:$P$43,_xlfn.XLOOKUP(B542,[4]C5_LMA_DIAG!$P$35:$AB$35,[4]C5_LMA_DIAG!$P$35:$AB$43))</f>
        <v>3.0095721695933362</v>
      </c>
      <c r="M542" s="19" cm="1">
        <f t="array" ref="M542">_xlfn.XLOOKUP(E542,[5]C6_LMA_DIAG!$P$32:$P$40,_xlfn.XLOOKUP(B542,[5]C6_LMA_DIAG!$P$32:$AB$32,[5]C6_LMA_DIAG!$P$32:$AB$40))</f>
        <v>0</v>
      </c>
      <c r="N542" s="19">
        <f>HLOOKUP(B542,[6]C6_LMA_DIAG!$S$36:$AF$44,9,FALSE)</f>
        <v>1.5</v>
      </c>
      <c r="O542" s="20">
        <f>HLOOKUP(B542,[1]C5_LMT_DIAG!$S$37:$AF$45,9,FALSE)</f>
        <v>1</v>
      </c>
      <c r="P542" s="20">
        <v>1</v>
      </c>
    </row>
    <row r="543" spans="1:16" x14ac:dyDescent="0.3">
      <c r="A543" s="18" t="s">
        <v>68</v>
      </c>
      <c r="B543" s="18" t="s">
        <v>60</v>
      </c>
      <c r="C543" s="18" t="s">
        <v>51</v>
      </c>
      <c r="D543" s="18" t="s">
        <v>52</v>
      </c>
      <c r="E543" s="18" t="s">
        <v>19</v>
      </c>
      <c r="F543" s="18" t="s">
        <v>20</v>
      </c>
      <c r="G543" s="18" t="s">
        <v>9</v>
      </c>
      <c r="H543" s="20"/>
      <c r="I543" s="20"/>
      <c r="J543" s="20"/>
      <c r="K543" s="20"/>
      <c r="L543" s="19" cm="1">
        <f t="array" ref="L543">_xlfn.XLOOKUP(E543,[4]C5_LMA_DIAG!$P$35:$P$43,_xlfn.XLOOKUP(B543,[4]C5_LMA_DIAG!$P$35:$AB$35,[4]C5_LMA_DIAG!$P$35:$AB$43))</f>
        <v>3.0095721695933362</v>
      </c>
      <c r="M543" s="19" cm="1">
        <f t="array" ref="M543">_xlfn.XLOOKUP(E543,[5]C6_LMA_DIAG!$P$32:$P$40,_xlfn.XLOOKUP(B543,[5]C6_LMA_DIAG!$P$32:$AB$32,[5]C6_LMA_DIAG!$P$32:$AB$40))</f>
        <v>0</v>
      </c>
      <c r="N543" s="19">
        <f>HLOOKUP(B543,[6]C6_LMA_DIAG!$S$36:$AF$44,9,FALSE)</f>
        <v>3</v>
      </c>
      <c r="O543" s="20">
        <f>HLOOKUP(B543,[1]C5_LMT_DIAG!$S$37:$AF$45,9,FALSE)</f>
        <v>1</v>
      </c>
      <c r="P543" s="20">
        <v>1</v>
      </c>
    </row>
    <row r="544" spans="1:16" x14ac:dyDescent="0.3">
      <c r="A544" s="18" t="s">
        <v>68</v>
      </c>
      <c r="B544" s="18" t="s">
        <v>61</v>
      </c>
      <c r="C544" s="18" t="s">
        <v>51</v>
      </c>
      <c r="D544" s="18" t="s">
        <v>52</v>
      </c>
      <c r="E544" s="18" t="s">
        <v>19</v>
      </c>
      <c r="F544" s="18" t="s">
        <v>20</v>
      </c>
      <c r="G544" s="18" t="s">
        <v>9</v>
      </c>
      <c r="H544" s="20"/>
      <c r="I544" s="20"/>
      <c r="J544" s="20"/>
      <c r="K544" s="20"/>
      <c r="L544" s="19" cm="1">
        <f t="array" ref="L544">_xlfn.XLOOKUP(E544,[4]C5_LMA_DIAG!$P$35:$P$43,_xlfn.XLOOKUP(B544,[4]C5_LMA_DIAG!$P$35:$AB$35,[4]C5_LMA_DIAG!$P$35:$AB$43))</f>
        <v>0</v>
      </c>
      <c r="M544" s="19" cm="1">
        <f t="array" ref="M544">_xlfn.XLOOKUP(E544,[5]C6_LMA_DIAG!$P$32:$P$40,_xlfn.XLOOKUP(B544,[5]C6_LMA_DIAG!$P$32:$AB$32,[5]C6_LMA_DIAG!$P$32:$AB$40))</f>
        <v>0</v>
      </c>
      <c r="N544" s="19">
        <f>HLOOKUP(B544,[6]C6_LMA_DIAG!$S$36:$AF$44,9,FALSE)</f>
        <v>1.5</v>
      </c>
      <c r="O544" s="20">
        <f>HLOOKUP(B544,[1]C5_LMT_DIAG!$S$37:$AF$45,9,FALSE)</f>
        <v>0</v>
      </c>
      <c r="P544" s="20">
        <v>0</v>
      </c>
    </row>
    <row r="545" spans="1:16" x14ac:dyDescent="0.3">
      <c r="A545" s="18" t="s">
        <v>68</v>
      </c>
      <c r="B545" s="18" t="s">
        <v>62</v>
      </c>
      <c r="C545" s="18" t="s">
        <v>51</v>
      </c>
      <c r="D545" s="18" t="s">
        <v>52</v>
      </c>
      <c r="E545" s="18" t="s">
        <v>19</v>
      </c>
      <c r="F545" s="18" t="s">
        <v>20</v>
      </c>
      <c r="G545" s="18" t="s">
        <v>9</v>
      </c>
      <c r="H545" s="20"/>
      <c r="I545" s="20"/>
      <c r="J545" s="20"/>
      <c r="K545" s="20"/>
      <c r="L545" s="19" cm="1">
        <f t="array" ref="L545">_xlfn.XLOOKUP(E545,[4]C5_LMA_DIAG!$P$35:$P$43,_xlfn.XLOOKUP(B545,[4]C5_LMA_DIAG!$P$35:$AB$35,[4]C5_LMA_DIAG!$P$35:$AB$43))</f>
        <v>1.5047860847966681</v>
      </c>
      <c r="M545" s="19" cm="1">
        <f t="array" ref="M545">_xlfn.XLOOKUP(E545,[5]C6_LMA_DIAG!$P$32:$P$40,_xlfn.XLOOKUP(B545,[5]C6_LMA_DIAG!$P$32:$AB$32,[5]C6_LMA_DIAG!$P$32:$AB$40))</f>
        <v>1.4684802633016101</v>
      </c>
      <c r="N545" s="19">
        <f>HLOOKUP(B545,[6]C6_LMA_DIAG!$S$36:$AF$44,9,FALSE)</f>
        <v>0</v>
      </c>
      <c r="O545" s="20">
        <f>HLOOKUP(B545,[1]C5_LMT_DIAG!$S$37:$AF$45,9,FALSE)</f>
        <v>0</v>
      </c>
      <c r="P545" s="20">
        <v>0</v>
      </c>
    </row>
    <row r="546" spans="1:16" x14ac:dyDescent="0.3">
      <c r="A546" s="18" t="s">
        <v>68</v>
      </c>
      <c r="B546" s="18" t="s">
        <v>63</v>
      </c>
      <c r="C546" s="18" t="s">
        <v>51</v>
      </c>
      <c r="D546" s="18" t="s">
        <v>52</v>
      </c>
      <c r="E546" s="18" t="s">
        <v>19</v>
      </c>
      <c r="F546" s="18" t="s">
        <v>20</v>
      </c>
      <c r="G546" s="18" t="s">
        <v>9</v>
      </c>
      <c r="H546" s="20"/>
      <c r="I546" s="20"/>
      <c r="J546" s="20"/>
      <c r="K546" s="20"/>
      <c r="L546" s="19" cm="1">
        <f t="array" ref="L546">_xlfn.XLOOKUP(E546,[4]C5_LMA_DIAG!$P$35:$P$43,_xlfn.XLOOKUP(B546,[4]C5_LMA_DIAG!$P$35:$AB$35,[4]C5_LMA_DIAG!$P$35:$AB$43))</f>
        <v>0</v>
      </c>
      <c r="M546" s="19" cm="1">
        <f t="array" ref="M546">_xlfn.XLOOKUP(E546,[5]C6_LMA_DIAG!$P$32:$P$40,_xlfn.XLOOKUP(B546,[5]C6_LMA_DIAG!$P$32:$AB$32,[5]C6_LMA_DIAG!$P$32:$AB$40))</f>
        <v>0</v>
      </c>
      <c r="N546" s="19">
        <f>HLOOKUP(B546,[6]C6_LMA_DIAG!$S$36:$AF$44,9,FALSE)</f>
        <v>0</v>
      </c>
      <c r="O546" s="20">
        <f>HLOOKUP(B546,[1]C5_LMT_DIAG!$S$37:$AF$45,9,FALSE)</f>
        <v>0</v>
      </c>
      <c r="P546" s="20">
        <v>0</v>
      </c>
    </row>
    <row r="547" spans="1:16" x14ac:dyDescent="0.3">
      <c r="A547" s="18" t="s">
        <v>68</v>
      </c>
      <c r="B547" s="18" t="s">
        <v>64</v>
      </c>
      <c r="C547" s="18" t="s">
        <v>51</v>
      </c>
      <c r="D547" s="18" t="s">
        <v>52</v>
      </c>
      <c r="E547" s="18" t="s">
        <v>19</v>
      </c>
      <c r="F547" s="18" t="s">
        <v>20</v>
      </c>
      <c r="G547" s="18" t="s">
        <v>9</v>
      </c>
      <c r="H547" s="20"/>
      <c r="I547" s="20"/>
      <c r="J547" s="20"/>
      <c r="K547" s="20"/>
      <c r="L547" s="19" cm="1">
        <f t="array" ref="L547">_xlfn.XLOOKUP(E547,[4]C5_LMA_DIAG!$P$35:$P$43,_xlfn.XLOOKUP(B547,[4]C5_LMA_DIAG!$P$35:$AB$35,[4]C5_LMA_DIAG!$P$35:$AB$43))</f>
        <v>0</v>
      </c>
      <c r="M547" s="19" cm="1">
        <f t="array" ref="M547">_xlfn.XLOOKUP(E547,[5]C6_LMA_DIAG!$P$32:$P$40,_xlfn.XLOOKUP(B547,[5]C6_LMA_DIAG!$P$32:$AB$32,[5]C6_LMA_DIAG!$P$32:$AB$40))</f>
        <v>0</v>
      </c>
      <c r="N547" s="19">
        <f>HLOOKUP(B547,[6]C6_LMA_DIAG!$S$36:$AF$44,9,FALSE)</f>
        <v>0</v>
      </c>
      <c r="O547" s="20">
        <f>HLOOKUP(B547,[1]C5_LMT_DIAG!$S$37:$AF$45,9,FALSE)</f>
        <v>0</v>
      </c>
      <c r="P547" s="20">
        <v>0</v>
      </c>
    </row>
    <row r="548" spans="1:16" x14ac:dyDescent="0.3">
      <c r="A548" s="18" t="s">
        <v>68</v>
      </c>
      <c r="B548" s="18" t="s">
        <v>70</v>
      </c>
      <c r="C548" s="18" t="s">
        <v>51</v>
      </c>
      <c r="D548" s="18" t="s">
        <v>52</v>
      </c>
      <c r="E548" s="18" t="s">
        <v>19</v>
      </c>
      <c r="F548" s="18" t="s">
        <v>20</v>
      </c>
      <c r="G548" s="18" t="s">
        <v>9</v>
      </c>
      <c r="H548" s="20"/>
      <c r="I548" s="20"/>
      <c r="J548" s="20"/>
      <c r="K548" s="20"/>
      <c r="L548" s="19">
        <v>0</v>
      </c>
      <c r="M548" s="19">
        <v>0</v>
      </c>
      <c r="N548" s="19">
        <f>HLOOKUP(B548,[6]C6_LMA_DIAG!$S$36:$AF$44,9,FALSE)</f>
        <v>0</v>
      </c>
      <c r="O548" s="20">
        <f>HLOOKUP(B548,[1]C5_LMT_DIAG!$S$37:$AF$45,9,FALSE)</f>
        <v>0</v>
      </c>
      <c r="P548" s="20">
        <v>0</v>
      </c>
    </row>
    <row r="549" spans="1:16" x14ac:dyDescent="0.3">
      <c r="A549" s="18"/>
      <c r="B549" s="18" t="s">
        <v>71</v>
      </c>
      <c r="C549" s="18" t="s">
        <v>51</v>
      </c>
      <c r="D549" s="18" t="s">
        <v>52</v>
      </c>
      <c r="E549" s="18" t="s">
        <v>19</v>
      </c>
      <c r="F549" s="18" t="s">
        <v>20</v>
      </c>
      <c r="G549" s="18" t="s">
        <v>9</v>
      </c>
      <c r="H549" s="20"/>
      <c r="I549" s="20"/>
      <c r="J549" s="20"/>
      <c r="K549" s="20"/>
      <c r="L549" s="19">
        <v>0</v>
      </c>
      <c r="M549" s="19">
        <v>0</v>
      </c>
      <c r="N549" s="19">
        <f>HLOOKUP(B549,[6]C6_LMA_DIAG!$S$36:$AF$44,9,FALSE)</f>
        <v>0</v>
      </c>
      <c r="O549" s="20">
        <f>HLOOKUP(B549,[1]C5_LMT_DIAG!$S$37:$AF$45,9,FALSE)</f>
        <v>0</v>
      </c>
      <c r="P549" s="20">
        <v>0</v>
      </c>
    </row>
    <row r="550" spans="1:16" x14ac:dyDescent="0.3">
      <c r="A550" s="18" t="s">
        <v>68</v>
      </c>
      <c r="B550" s="18" t="s">
        <v>65</v>
      </c>
      <c r="C550" s="18" t="s">
        <v>51</v>
      </c>
      <c r="D550" s="18" t="s">
        <v>52</v>
      </c>
      <c r="E550" s="18" t="s">
        <v>19</v>
      </c>
      <c r="F550" s="18" t="s">
        <v>20</v>
      </c>
      <c r="G550" s="18" t="s">
        <v>9</v>
      </c>
      <c r="H550" s="20"/>
      <c r="I550" s="20"/>
      <c r="J550" s="20"/>
      <c r="K550" s="20"/>
      <c r="L550" s="19" cm="1">
        <f t="array" ref="L550">_xlfn.XLOOKUP(E550,[4]C5_LMA_DIAG!$P$35:$P$43,_xlfn.XLOOKUP(B550,[4]C5_LMA_DIAG!$P$35:$AB$35,[4]C5_LMA_DIAG!$P$35:$AB$43))</f>
        <v>4.5143582543900038</v>
      </c>
      <c r="M550" s="19" cm="1">
        <f t="array" ref="M550">_xlfn.XLOOKUP(E550,[5]C6_LMA_DIAG!$P$32:$P$40,_xlfn.XLOOKUP(B550,[5]C6_LMA_DIAG!$P$32:$AB$32,[5]C6_LMA_DIAG!$P$32:$AB$40))</f>
        <v>0</v>
      </c>
      <c r="N550" s="19">
        <f>HLOOKUP(B550,[6]C6_LMA_DIAG!$S$36:$AF$44,9,FALSE)</f>
        <v>0</v>
      </c>
      <c r="O550" s="20">
        <f>HLOOKUP(B550,[1]C5_LMT_DIAG!$S$37:$AF$45,9,FALSE)</f>
        <v>0</v>
      </c>
      <c r="P550" s="20">
        <v>0</v>
      </c>
    </row>
    <row r="551" spans="1:16" x14ac:dyDescent="0.3">
      <c r="A551" s="18" t="s">
        <v>68</v>
      </c>
      <c r="B551" s="18" t="s">
        <v>19</v>
      </c>
      <c r="C551" s="18" t="s">
        <v>51</v>
      </c>
      <c r="D551" s="18" t="s">
        <v>52</v>
      </c>
      <c r="E551" s="18" t="s">
        <v>19</v>
      </c>
      <c r="F551" s="18" t="s">
        <v>20</v>
      </c>
      <c r="G551" s="18" t="s">
        <v>9</v>
      </c>
      <c r="H551" s="20"/>
      <c r="I551" s="20"/>
      <c r="J551" s="20"/>
      <c r="K551" s="20"/>
      <c r="L551" s="19" cm="1">
        <f t="array" ref="L551">_xlfn.XLOOKUP(E551,[4]C5_LMA_DIAG!$P$35:$P$43,_xlfn.XLOOKUP(B551,[4]C5_LMA_DIAG!$P$35:$AB$35,[4]C5_LMA_DIAG!$P$35:$AB$43))</f>
        <v>0</v>
      </c>
      <c r="M551" s="19" cm="1">
        <f t="array" ref="M551">_xlfn.XLOOKUP(E551,[5]C6_LMA_DIAG!$P$32:$P$40,_xlfn.XLOOKUP(B551,[5]C6_LMA_DIAG!$P$32:$AB$32,[5]C6_LMA_DIAG!$P$32:$AB$40))</f>
        <v>0</v>
      </c>
      <c r="N551" s="19">
        <f>HLOOKUP(B551,[6]C6_LMA_DIAG!$S$36:$AF$44,9,FALSE)</f>
        <v>0</v>
      </c>
      <c r="O551" s="20">
        <f>HLOOKUP(B551,[1]C5_LMT_DIAG!$S$37:$AF$45,9,FALSE)</f>
        <v>0</v>
      </c>
      <c r="P551" s="20">
        <v>0</v>
      </c>
    </row>
    <row r="552" spans="1:16" x14ac:dyDescent="0.3">
      <c r="A552" s="4" t="s">
        <v>69</v>
      </c>
      <c r="B552" s="4" t="s">
        <v>55</v>
      </c>
      <c r="C552" s="4" t="s">
        <v>22</v>
      </c>
      <c r="D552" s="4" t="s">
        <v>52</v>
      </c>
      <c r="E552" s="4" t="s">
        <v>40</v>
      </c>
      <c r="F552" s="4" t="s">
        <v>20</v>
      </c>
      <c r="G552" s="4" t="s">
        <v>1</v>
      </c>
      <c r="H552" s="5"/>
      <c r="I552" s="5"/>
      <c r="J552" s="5"/>
      <c r="K552" s="5"/>
      <c r="L552" s="5" cm="1">
        <f t="array" ref="L552">_xlfn.XLOOKUP(C552,[4]C5_LMA_DIAG!$A$49:$A$66,_xlfn.XLOOKUP(B552,[4]C5_LMA_DIAG!$A$49:$M$49,[4]C5_LMA_DIAG!$A$49:$M$66))</f>
        <v>2814</v>
      </c>
      <c r="M552" s="5" cm="1">
        <f t="array" ref="M552">_xlfn.XLOOKUP(C552,[5]C6_LMA_DIAG!$A$46:$A$63,_xlfn.XLOOKUP(B552,[5]C6_LMA_DIAG!$A$46:$M$46,[5]C6_LMA_DIAG!$A$46:$M$63))</f>
        <v>2672</v>
      </c>
      <c r="N552" s="5" cm="1">
        <f t="array" ref="N552">_xlfn.XLOOKUP(
  C552,
  [6]C6_LMA_DIAG!$A$52:$A$68,
  _xlfn.XLOOKUP(
    B552,
    [6]C6_LMA_DIAG!$B$51:$O$51,
    [6]C6_LMA_DIAG!$B$52:$O$68
  )
)</f>
        <v>1154</v>
      </c>
      <c r="O552" s="20" cm="1">
        <f t="array" ref="O552:O789">_xlfn.TOCOL([1]C5_LMT_DIAG!$B$52:$O$68)</f>
        <v>4356</v>
      </c>
      <c r="P552" s="5" cm="1">
        <f t="array" ref="P552:P789">_xlfn.TOCOL([7]C6_LMA_DIAG!$B$52:$O$68)</f>
        <v>5034</v>
      </c>
    </row>
    <row r="553" spans="1:16" x14ac:dyDescent="0.3">
      <c r="A553" s="4" t="s">
        <v>69</v>
      </c>
      <c r="B553" s="4" t="s">
        <v>56</v>
      </c>
      <c r="C553" s="4" t="s">
        <v>22</v>
      </c>
      <c r="D553" s="4" t="s">
        <v>52</v>
      </c>
      <c r="E553" s="4" t="s">
        <v>40</v>
      </c>
      <c r="F553" s="4" t="s">
        <v>20</v>
      </c>
      <c r="G553" s="4" t="s">
        <v>1</v>
      </c>
      <c r="H553" s="5"/>
      <c r="I553" s="5"/>
      <c r="J553" s="5"/>
      <c r="K553" s="5"/>
      <c r="L553" s="5" cm="1">
        <f t="array" ref="L553">_xlfn.XLOOKUP(C553,[4]C5_LMA_DIAG!$A$49:$A$66,_xlfn.XLOOKUP(B553,[4]C5_LMA_DIAG!$A$49:$M$49,[4]C5_LMA_DIAG!$A$49:$M$66))</f>
        <v>5415</v>
      </c>
      <c r="M553" s="5" cm="1">
        <f t="array" ref="M553">_xlfn.XLOOKUP(C553,[5]C6_LMA_DIAG!$A$46:$A$63,_xlfn.XLOOKUP(B553,[5]C6_LMA_DIAG!$A$46:$M$46,[5]C6_LMA_DIAG!$A$46:$M$63))</f>
        <v>4499</v>
      </c>
      <c r="N553" s="5" cm="1">
        <f t="array" ref="N553">_xlfn.XLOOKUP(
  C553,
  [6]C6_LMA_DIAG!$A$52:$A$68,
  _xlfn.XLOOKUP(
    B553,
    [6]C6_LMA_DIAG!$B$51:$O$51,
    [6]C6_LMA_DIAG!$B$52:$O$68
  )
)</f>
        <v>2741</v>
      </c>
      <c r="O553" s="20">
        <v>5661</v>
      </c>
      <c r="P553" s="5">
        <v>6254</v>
      </c>
    </row>
    <row r="554" spans="1:16" x14ac:dyDescent="0.3">
      <c r="A554" s="4" t="s">
        <v>69</v>
      </c>
      <c r="B554" s="4" t="s">
        <v>57</v>
      </c>
      <c r="C554" s="4" t="s">
        <v>22</v>
      </c>
      <c r="D554" s="4" t="s">
        <v>52</v>
      </c>
      <c r="E554" s="4" t="s">
        <v>40</v>
      </c>
      <c r="F554" s="4" t="s">
        <v>20</v>
      </c>
      <c r="G554" s="4" t="s">
        <v>1</v>
      </c>
      <c r="H554" s="5"/>
      <c r="I554" s="5"/>
      <c r="J554" s="5"/>
      <c r="K554" s="5"/>
      <c r="L554" s="5" cm="1">
        <f t="array" ref="L554">_xlfn.XLOOKUP(C554,[4]C5_LMA_DIAG!$A$49:$A$66,_xlfn.XLOOKUP(B554,[4]C5_LMA_DIAG!$A$49:$M$49,[4]C5_LMA_DIAG!$A$49:$M$66))</f>
        <v>5848</v>
      </c>
      <c r="M554" s="5" cm="1">
        <f t="array" ref="M554">_xlfn.XLOOKUP(C554,[5]C6_LMA_DIAG!$A$46:$A$63,_xlfn.XLOOKUP(B554,[5]C6_LMA_DIAG!$A$46:$M$46,[5]C6_LMA_DIAG!$A$46:$M$63))</f>
        <v>5128</v>
      </c>
      <c r="N554" s="5" cm="1">
        <f t="array" ref="N554">_xlfn.XLOOKUP(
  C554,
  [6]C6_LMA_DIAG!$A$52:$A$68,
  _xlfn.XLOOKUP(
    B554,
    [6]C6_LMA_DIAG!$B$51:$O$51,
    [6]C6_LMA_DIAG!$B$52:$O$68
  )
)</f>
        <v>1477</v>
      </c>
      <c r="O554" s="20">
        <v>2323</v>
      </c>
      <c r="P554" s="5">
        <v>6230</v>
      </c>
    </row>
    <row r="555" spans="1:16" x14ac:dyDescent="0.3">
      <c r="A555" s="4" t="s">
        <v>69</v>
      </c>
      <c r="B555" s="4" t="s">
        <v>58</v>
      </c>
      <c r="C555" s="4" t="s">
        <v>22</v>
      </c>
      <c r="D555" s="4" t="s">
        <v>52</v>
      </c>
      <c r="E555" s="4" t="s">
        <v>40</v>
      </c>
      <c r="F555" s="4" t="s">
        <v>20</v>
      </c>
      <c r="G555" s="4" t="s">
        <v>1</v>
      </c>
      <c r="H555" s="5"/>
      <c r="I555" s="5"/>
      <c r="J555" s="5"/>
      <c r="K555" s="5"/>
      <c r="L555" s="5" cm="1">
        <f t="array" ref="L555">_xlfn.XLOOKUP(C555,[4]C5_LMA_DIAG!$A$49:$A$66,_xlfn.XLOOKUP(B555,[4]C5_LMA_DIAG!$A$49:$M$49,[4]C5_LMA_DIAG!$A$49:$M$66))</f>
        <v>2500</v>
      </c>
      <c r="M555" s="5" cm="1">
        <f t="array" ref="M555">_xlfn.XLOOKUP(C555,[5]C6_LMA_DIAG!$A$46:$A$63,_xlfn.XLOOKUP(B555,[5]C6_LMA_DIAG!$A$46:$M$46,[5]C6_LMA_DIAG!$A$46:$M$63))</f>
        <v>2322</v>
      </c>
      <c r="N555" s="5" cm="1">
        <f t="array" ref="N555">_xlfn.XLOOKUP(
  C555,
  [6]C6_LMA_DIAG!$A$52:$A$68,
  _xlfn.XLOOKUP(
    B555,
    [6]C6_LMA_DIAG!$B$51:$O$51,
    [6]C6_LMA_DIAG!$B$52:$O$68
  )
)</f>
        <v>1617</v>
      </c>
      <c r="O555" s="20">
        <v>2647</v>
      </c>
      <c r="P555" s="5">
        <v>3041</v>
      </c>
    </row>
    <row r="556" spans="1:16" x14ac:dyDescent="0.3">
      <c r="A556" s="4" t="s">
        <v>69</v>
      </c>
      <c r="B556" s="4" t="s">
        <v>59</v>
      </c>
      <c r="C556" s="4" t="s">
        <v>22</v>
      </c>
      <c r="D556" s="4" t="s">
        <v>52</v>
      </c>
      <c r="E556" s="4" t="s">
        <v>40</v>
      </c>
      <c r="F556" s="4" t="s">
        <v>20</v>
      </c>
      <c r="G556" s="4" t="s">
        <v>1</v>
      </c>
      <c r="H556" s="5"/>
      <c r="I556" s="5"/>
      <c r="J556" s="5"/>
      <c r="K556" s="5"/>
      <c r="L556" s="5" cm="1">
        <f t="array" ref="L556">_xlfn.XLOOKUP(C556,[4]C5_LMA_DIAG!$A$49:$A$66,_xlfn.XLOOKUP(B556,[4]C5_LMA_DIAG!$A$49:$M$49,[4]C5_LMA_DIAG!$A$49:$M$66))</f>
        <v>2127</v>
      </c>
      <c r="M556" s="5" cm="1">
        <f t="array" ref="M556">_xlfn.XLOOKUP(C556,[5]C6_LMA_DIAG!$A$46:$A$63,_xlfn.XLOOKUP(B556,[5]C6_LMA_DIAG!$A$46:$M$46,[5]C6_LMA_DIAG!$A$46:$M$63))</f>
        <v>2334</v>
      </c>
      <c r="N556" s="5" cm="1">
        <f t="array" ref="N556">_xlfn.XLOOKUP(
  C556,
  [6]C6_LMA_DIAG!$A$52:$A$68,
  _xlfn.XLOOKUP(
    B556,
    [6]C6_LMA_DIAG!$B$51:$O$51,
    [6]C6_LMA_DIAG!$B$52:$O$68
  )
)</f>
        <v>1165</v>
      </c>
      <c r="O556" s="20">
        <v>1466</v>
      </c>
      <c r="P556" s="5">
        <v>2049</v>
      </c>
    </row>
    <row r="557" spans="1:16" x14ac:dyDescent="0.3">
      <c r="A557" s="4" t="s">
        <v>69</v>
      </c>
      <c r="B557" s="4" t="s">
        <v>60</v>
      </c>
      <c r="C557" s="4" t="s">
        <v>22</v>
      </c>
      <c r="D557" s="4" t="s">
        <v>52</v>
      </c>
      <c r="E557" s="4" t="s">
        <v>40</v>
      </c>
      <c r="F557" s="4" t="s">
        <v>20</v>
      </c>
      <c r="G557" s="4" t="s">
        <v>1</v>
      </c>
      <c r="H557" s="5"/>
      <c r="I557" s="5"/>
      <c r="J557" s="5"/>
      <c r="K557" s="5"/>
      <c r="L557" s="5" cm="1">
        <f t="array" ref="L557">_xlfn.XLOOKUP(C557,[4]C5_LMA_DIAG!$A$49:$A$66,_xlfn.XLOOKUP(B557,[4]C5_LMA_DIAG!$A$49:$M$49,[4]C5_LMA_DIAG!$A$49:$M$66))</f>
        <v>3403</v>
      </c>
      <c r="M557" s="5" cm="1">
        <f t="array" ref="M557">_xlfn.XLOOKUP(C557,[5]C6_LMA_DIAG!$A$46:$A$63,_xlfn.XLOOKUP(B557,[5]C6_LMA_DIAG!$A$46:$M$46,[5]C6_LMA_DIAG!$A$46:$M$63))</f>
        <v>2823</v>
      </c>
      <c r="N557" s="5" cm="1">
        <f t="array" ref="N557">_xlfn.XLOOKUP(
  C557,
  [6]C6_LMA_DIAG!$A$52:$A$68,
  _xlfn.XLOOKUP(
    B557,
    [6]C6_LMA_DIAG!$B$51:$O$51,
    [6]C6_LMA_DIAG!$B$52:$O$68
  )
)</f>
        <v>1364</v>
      </c>
      <c r="O557" s="20">
        <v>2194</v>
      </c>
      <c r="P557" s="5">
        <v>2877</v>
      </c>
    </row>
    <row r="558" spans="1:16" x14ac:dyDescent="0.3">
      <c r="A558" s="4" t="s">
        <v>69</v>
      </c>
      <c r="B558" s="4" t="s">
        <v>61</v>
      </c>
      <c r="C558" s="4" t="s">
        <v>22</v>
      </c>
      <c r="D558" s="4" t="s">
        <v>52</v>
      </c>
      <c r="E558" s="4" t="s">
        <v>40</v>
      </c>
      <c r="F558" s="4" t="s">
        <v>20</v>
      </c>
      <c r="G558" s="4" t="s">
        <v>1</v>
      </c>
      <c r="H558" s="5"/>
      <c r="I558" s="5"/>
      <c r="J558" s="5"/>
      <c r="K558" s="5"/>
      <c r="L558" s="5" cm="1">
        <f t="array" ref="L558">_xlfn.XLOOKUP(C558,[4]C5_LMA_DIAG!$A$49:$A$66,_xlfn.XLOOKUP(B558,[4]C5_LMA_DIAG!$A$49:$M$49,[4]C5_LMA_DIAG!$A$49:$M$66))</f>
        <v>1766</v>
      </c>
      <c r="M558" s="5" cm="1">
        <f t="array" ref="M558">_xlfn.XLOOKUP(C558,[5]C6_LMA_DIAG!$A$46:$A$63,_xlfn.XLOOKUP(B558,[5]C6_LMA_DIAG!$A$46:$M$46,[5]C6_LMA_DIAG!$A$46:$M$63))</f>
        <v>1543</v>
      </c>
      <c r="N558" s="5" cm="1">
        <f t="array" ref="N558">_xlfn.XLOOKUP(
  C558,
  [6]C6_LMA_DIAG!$A$52:$A$68,
  _xlfn.XLOOKUP(
    B558,
    [6]C6_LMA_DIAG!$B$51:$O$51,
    [6]C6_LMA_DIAG!$B$52:$O$68
  )
)</f>
        <v>904</v>
      </c>
      <c r="O558" s="20">
        <v>1032</v>
      </c>
      <c r="P558" s="5">
        <v>1443</v>
      </c>
    </row>
    <row r="559" spans="1:16" x14ac:dyDescent="0.3">
      <c r="A559" s="4" t="s">
        <v>69</v>
      </c>
      <c r="B559" s="4" t="s">
        <v>62</v>
      </c>
      <c r="C559" s="4" t="s">
        <v>22</v>
      </c>
      <c r="D559" s="4" t="s">
        <v>52</v>
      </c>
      <c r="E559" s="4" t="s">
        <v>40</v>
      </c>
      <c r="F559" s="4" t="s">
        <v>20</v>
      </c>
      <c r="G559" s="4" t="s">
        <v>1</v>
      </c>
      <c r="H559" s="5"/>
      <c r="I559" s="5"/>
      <c r="J559" s="5"/>
      <c r="K559" s="5"/>
      <c r="L559" s="5" cm="1">
        <f t="array" ref="L559">_xlfn.XLOOKUP(C559,[4]C5_LMA_DIAG!$A$49:$A$66,_xlfn.XLOOKUP(B559,[4]C5_LMA_DIAG!$A$49:$M$49,[4]C5_LMA_DIAG!$A$49:$M$66))</f>
        <v>1641</v>
      </c>
      <c r="M559" s="5" cm="1">
        <f t="array" ref="M559">_xlfn.XLOOKUP(C559,[5]C6_LMA_DIAG!$A$46:$A$63,_xlfn.XLOOKUP(B559,[5]C6_LMA_DIAG!$A$46:$M$46,[5]C6_LMA_DIAG!$A$46:$M$63))</f>
        <v>1505</v>
      </c>
      <c r="N559" s="5" cm="1">
        <f t="array" ref="N559">_xlfn.XLOOKUP(
  C559,
  [6]C6_LMA_DIAG!$A$52:$A$68,
  _xlfn.XLOOKUP(
    B559,
    [6]C6_LMA_DIAG!$B$51:$O$51,
    [6]C6_LMA_DIAG!$B$52:$O$68
  )
)</f>
        <v>683</v>
      </c>
      <c r="O559" s="20">
        <v>1207</v>
      </c>
      <c r="P559" s="5">
        <v>1382</v>
      </c>
    </row>
    <row r="560" spans="1:16" x14ac:dyDescent="0.3">
      <c r="A560" s="4" t="s">
        <v>69</v>
      </c>
      <c r="B560" s="4" t="s">
        <v>63</v>
      </c>
      <c r="C560" s="4" t="s">
        <v>22</v>
      </c>
      <c r="D560" s="4" t="s">
        <v>52</v>
      </c>
      <c r="E560" s="4" t="s">
        <v>40</v>
      </c>
      <c r="F560" s="4" t="s">
        <v>20</v>
      </c>
      <c r="G560" s="4" t="s">
        <v>1</v>
      </c>
      <c r="H560" s="5"/>
      <c r="I560" s="5"/>
      <c r="J560" s="5"/>
      <c r="K560" s="5"/>
      <c r="L560" s="5" cm="1">
        <f t="array" ref="L560">_xlfn.XLOOKUP(C560,[4]C5_LMA_DIAG!$A$49:$A$66,_xlfn.XLOOKUP(B560,[4]C5_LMA_DIAG!$A$49:$M$49,[4]C5_LMA_DIAG!$A$49:$M$66))</f>
        <v>988</v>
      </c>
      <c r="M560" s="5" cm="1">
        <f t="array" ref="M560">_xlfn.XLOOKUP(C560,[5]C6_LMA_DIAG!$A$46:$A$63,_xlfn.XLOOKUP(B560,[5]C6_LMA_DIAG!$A$46:$M$46,[5]C6_LMA_DIAG!$A$46:$M$63))</f>
        <v>1155</v>
      </c>
      <c r="N560" s="5" cm="1">
        <f t="array" ref="N560">_xlfn.XLOOKUP(
  C560,
  [6]C6_LMA_DIAG!$A$52:$A$68,
  _xlfn.XLOOKUP(
    B560,
    [6]C6_LMA_DIAG!$B$51:$O$51,
    [6]C6_LMA_DIAG!$B$52:$O$68
  )
)</f>
        <v>816</v>
      </c>
      <c r="O560" s="20">
        <v>1076</v>
      </c>
      <c r="P560" s="5">
        <v>1009</v>
      </c>
    </row>
    <row r="561" spans="1:16" x14ac:dyDescent="0.3">
      <c r="A561" s="4" t="s">
        <v>69</v>
      </c>
      <c r="B561" s="4" t="s">
        <v>64</v>
      </c>
      <c r="C561" s="4" t="s">
        <v>22</v>
      </c>
      <c r="D561" s="4" t="s">
        <v>52</v>
      </c>
      <c r="E561" s="4" t="s">
        <v>40</v>
      </c>
      <c r="F561" s="4" t="s">
        <v>20</v>
      </c>
      <c r="G561" s="4" t="s">
        <v>1</v>
      </c>
      <c r="H561" s="5"/>
      <c r="I561" s="5"/>
      <c r="J561" s="5"/>
      <c r="K561" s="5"/>
      <c r="L561" s="5" cm="1">
        <f t="array" ref="L561">_xlfn.XLOOKUP(C561,[4]C5_LMA_DIAG!$A$49:$A$66,_xlfn.XLOOKUP(B561,[4]C5_LMA_DIAG!$A$49:$M$49,[4]C5_LMA_DIAG!$A$49:$M$66))</f>
        <v>1076</v>
      </c>
      <c r="M561" s="5" cm="1">
        <f t="array" ref="M561">_xlfn.XLOOKUP(C561,[5]C6_LMA_DIAG!$A$46:$A$63,_xlfn.XLOOKUP(B561,[5]C6_LMA_DIAG!$A$46:$M$46,[5]C6_LMA_DIAG!$A$46:$M$63))</f>
        <v>857</v>
      </c>
      <c r="N561" s="5" cm="1">
        <f t="array" ref="N561">_xlfn.XLOOKUP(
  C561,
  [6]C6_LMA_DIAG!$A$52:$A$68,
  _xlfn.XLOOKUP(
    B561,
    [6]C6_LMA_DIAG!$B$51:$O$51,
    [6]C6_LMA_DIAG!$B$52:$O$68
  )
)</f>
        <v>541</v>
      </c>
      <c r="O561" s="20">
        <v>718</v>
      </c>
      <c r="P561" s="5">
        <v>704</v>
      </c>
    </row>
    <row r="562" spans="1:16" x14ac:dyDescent="0.3">
      <c r="A562" s="4" t="s">
        <v>69</v>
      </c>
      <c r="B562" s="4" t="s">
        <v>70</v>
      </c>
      <c r="C562" s="4" t="s">
        <v>22</v>
      </c>
      <c r="D562" s="4" t="s">
        <v>52</v>
      </c>
      <c r="E562" s="4" t="s">
        <v>40</v>
      </c>
      <c r="F562" s="4" t="s">
        <v>20</v>
      </c>
      <c r="G562" s="4" t="s">
        <v>1</v>
      </c>
      <c r="H562" s="5"/>
      <c r="I562" s="5"/>
      <c r="J562" s="5"/>
      <c r="K562" s="5"/>
      <c r="L562" s="5">
        <v>0</v>
      </c>
      <c r="M562" s="5">
        <v>0</v>
      </c>
      <c r="N562" s="5" cm="1">
        <f t="array" ref="N562">_xlfn.XLOOKUP(
  C562,
  [6]C6_LMA_DIAG!$A$52:$A$68,
  _xlfn.XLOOKUP(
    B562,
    [6]C6_LMA_DIAG!$B$51:$O$51,
    [6]C6_LMA_DIAG!$B$52:$O$68
  )
)</f>
        <v>7190</v>
      </c>
      <c r="O562" s="20">
        <v>12038</v>
      </c>
      <c r="P562" s="5">
        <v>13085</v>
      </c>
    </row>
    <row r="563" spans="1:16" x14ac:dyDescent="0.3">
      <c r="A563" s="4"/>
      <c r="B563" s="18" t="s">
        <v>71</v>
      </c>
      <c r="C563" s="4" t="s">
        <v>22</v>
      </c>
      <c r="D563" s="4" t="s">
        <v>52</v>
      </c>
      <c r="E563" s="4" t="s">
        <v>40</v>
      </c>
      <c r="F563" s="4" t="s">
        <v>20</v>
      </c>
      <c r="G563" s="4" t="s">
        <v>1</v>
      </c>
      <c r="H563" s="5"/>
      <c r="I563" s="5"/>
      <c r="J563" s="5"/>
      <c r="K563" s="5"/>
      <c r="L563" s="5">
        <v>0</v>
      </c>
      <c r="M563" s="5">
        <v>0</v>
      </c>
      <c r="N563" s="5" cm="1">
        <f t="array" ref="N563">_xlfn.XLOOKUP(
  C563,
  [6]C6_LMA_DIAG!$A$52:$A$68,
  _xlfn.XLOOKUP(
    B563,
    [6]C6_LMA_DIAG!$B$51:$O$51,
    [6]C6_LMA_DIAG!$B$52:$O$68
  )
)</f>
        <v>203</v>
      </c>
      <c r="O563" s="20">
        <v>168</v>
      </c>
      <c r="P563" s="5">
        <v>0</v>
      </c>
    </row>
    <row r="564" spans="1:16" x14ac:dyDescent="0.3">
      <c r="A564" s="4" t="s">
        <v>69</v>
      </c>
      <c r="B564" s="4" t="s">
        <v>65</v>
      </c>
      <c r="C564" s="4" t="s">
        <v>22</v>
      </c>
      <c r="D564" s="4" t="s">
        <v>52</v>
      </c>
      <c r="E564" s="4" t="s">
        <v>40</v>
      </c>
      <c r="F564" s="4" t="s">
        <v>20</v>
      </c>
      <c r="G564" s="4" t="s">
        <v>1</v>
      </c>
      <c r="H564" s="5"/>
      <c r="I564" s="5"/>
      <c r="J564" s="5"/>
      <c r="K564" s="5"/>
      <c r="L564" s="5" cm="1">
        <f t="array" ref="L564">_xlfn.XLOOKUP(C564,[4]C5_LMA_DIAG!$A$49:$A$66,_xlfn.XLOOKUP(B564,[4]C5_LMA_DIAG!$A$49:$M$49,[4]C5_LMA_DIAG!$A$49:$M$66))</f>
        <v>3656</v>
      </c>
      <c r="M564" s="5" cm="1">
        <f t="array" ref="M564">_xlfn.XLOOKUP(C564,[5]C6_LMA_DIAG!$A$46:$A$63,_xlfn.XLOOKUP(B564,[5]C6_LMA_DIAG!$A$46:$M$46,[5]C6_LMA_DIAG!$A$46:$M$63))</f>
        <v>3424</v>
      </c>
      <c r="N564" s="5" cm="1">
        <f t="array" ref="N564">_xlfn.XLOOKUP(
  C564,
  [6]C6_LMA_DIAG!$A$52:$A$68,
  _xlfn.XLOOKUP(
    B564,
    [6]C6_LMA_DIAG!$B$51:$O$51,
    [6]C6_LMA_DIAG!$B$52:$O$68
  )
)</f>
        <v>1878</v>
      </c>
      <c r="O564" s="20">
        <v>3310</v>
      </c>
      <c r="P564" s="5">
        <v>3702</v>
      </c>
    </row>
    <row r="565" spans="1:16" x14ac:dyDescent="0.3">
      <c r="A565" s="4" t="s">
        <v>69</v>
      </c>
      <c r="B565" s="4" t="s">
        <v>19</v>
      </c>
      <c r="C565" s="4" t="s">
        <v>22</v>
      </c>
      <c r="D565" s="4" t="s">
        <v>52</v>
      </c>
      <c r="E565" s="4" t="s">
        <v>40</v>
      </c>
      <c r="F565" s="4" t="s">
        <v>20</v>
      </c>
      <c r="G565" s="4" t="s">
        <v>1</v>
      </c>
      <c r="H565" s="5"/>
      <c r="I565" s="5"/>
      <c r="J565" s="5"/>
      <c r="K565" s="5"/>
      <c r="L565" s="5" cm="1">
        <f t="array" ref="L565">_xlfn.XLOOKUP(C565,[4]C5_LMA_DIAG!$A$49:$A$66,_xlfn.XLOOKUP(B565,[4]C5_LMA_DIAG!$A$49:$M$49,[4]C5_LMA_DIAG!$A$49:$M$66))</f>
        <v>0</v>
      </c>
      <c r="M565" s="5" cm="1">
        <f t="array" ref="M565">_xlfn.XLOOKUP(C565,[5]C6_LMA_DIAG!$A$46:$A$63,_xlfn.XLOOKUP(B565,[5]C6_LMA_DIAG!$A$46:$M$46,[5]C6_LMA_DIAG!$A$46:$M$63))</f>
        <v>0</v>
      </c>
      <c r="N565" s="5" cm="1">
        <f t="array" ref="N565">_xlfn.XLOOKUP(
  C565,
  [6]C6_LMA_DIAG!$A$52:$A$68,
  _xlfn.XLOOKUP(
    B565,
    [6]C6_LMA_DIAG!$B$51:$O$51,
    [6]C6_LMA_DIAG!$B$52:$O$68
  )
)</f>
        <v>0</v>
      </c>
      <c r="O565" s="20">
        <v>0</v>
      </c>
      <c r="P565" s="5">
        <v>0</v>
      </c>
    </row>
    <row r="566" spans="1:16" x14ac:dyDescent="0.3">
      <c r="A566" s="15" t="s">
        <v>69</v>
      </c>
      <c r="B566" s="15" t="s">
        <v>55</v>
      </c>
      <c r="C566" s="15" t="s">
        <v>23</v>
      </c>
      <c r="D566" s="15" t="s">
        <v>52</v>
      </c>
      <c r="E566" s="15" t="s">
        <v>40</v>
      </c>
      <c r="F566" s="15" t="s">
        <v>20</v>
      </c>
      <c r="G566" s="15" t="s">
        <v>1</v>
      </c>
      <c r="H566" s="16"/>
      <c r="I566" s="16"/>
      <c r="J566" s="16"/>
      <c r="K566" s="16"/>
      <c r="L566" s="5" cm="1">
        <f t="array" ref="L566">_xlfn.XLOOKUP(C566,[4]C5_LMA_DIAG!$A$49:$A$66,_xlfn.XLOOKUP(B566,[4]C5_LMA_DIAG!$A$49:$M$49,[4]C5_LMA_DIAG!$A$49:$M$66))</f>
        <v>14669</v>
      </c>
      <c r="M566" s="5" cm="1">
        <f t="array" ref="M566">_xlfn.XLOOKUP(C566,[5]C6_LMA_DIAG!$A$46:$A$63,_xlfn.XLOOKUP(B566,[5]C6_LMA_DIAG!$A$46:$M$46,[5]C6_LMA_DIAG!$A$46:$M$63))</f>
        <v>17655</v>
      </c>
      <c r="N566" s="5" cm="1">
        <f t="array" ref="N566">_xlfn.XLOOKUP(
  C566,
  [6]C6_LMA_DIAG!$A$52:$A$68,
  _xlfn.XLOOKUP(
    B566,
    [6]C6_LMA_DIAG!$B$51:$O$51,
    [6]C6_LMA_DIAG!$B$52:$O$68
  )
)</f>
        <v>16953</v>
      </c>
      <c r="O566" s="20">
        <v>31333</v>
      </c>
      <c r="P566" s="16">
        <v>40992</v>
      </c>
    </row>
    <row r="567" spans="1:16" x14ac:dyDescent="0.3">
      <c r="A567" s="15" t="s">
        <v>69</v>
      </c>
      <c r="B567" s="15" t="s">
        <v>56</v>
      </c>
      <c r="C567" s="15" t="s">
        <v>23</v>
      </c>
      <c r="D567" s="15" t="s">
        <v>52</v>
      </c>
      <c r="E567" s="15" t="s">
        <v>40</v>
      </c>
      <c r="F567" s="15" t="s">
        <v>20</v>
      </c>
      <c r="G567" s="15" t="s">
        <v>1</v>
      </c>
      <c r="H567" s="16"/>
      <c r="I567" s="16"/>
      <c r="J567" s="16"/>
      <c r="K567" s="16"/>
      <c r="L567" s="5" cm="1">
        <f t="array" ref="L567">_xlfn.XLOOKUP(C567,[4]C5_LMA_DIAG!$A$49:$A$66,_xlfn.XLOOKUP(B567,[4]C5_LMA_DIAG!$A$49:$M$49,[4]C5_LMA_DIAG!$A$49:$M$66))</f>
        <v>14876</v>
      </c>
      <c r="M567" s="5" cm="1">
        <f t="array" ref="M567">_xlfn.XLOOKUP(C567,[5]C6_LMA_DIAG!$A$46:$A$63,_xlfn.XLOOKUP(B567,[5]C6_LMA_DIAG!$A$46:$M$46,[5]C6_LMA_DIAG!$A$46:$M$63))</f>
        <v>16089</v>
      </c>
      <c r="N567" s="5" cm="1">
        <f t="array" ref="N567">_xlfn.XLOOKUP(
  C567,
  [6]C6_LMA_DIAG!$A$52:$A$68,
  _xlfn.XLOOKUP(
    B567,
    [6]C6_LMA_DIAG!$B$51:$O$51,
    [6]C6_LMA_DIAG!$B$52:$O$68
  )
)</f>
        <v>10397</v>
      </c>
      <c r="O567" s="20">
        <v>17257</v>
      </c>
      <c r="P567" s="16">
        <v>19689</v>
      </c>
    </row>
    <row r="568" spans="1:16" x14ac:dyDescent="0.3">
      <c r="A568" s="15" t="s">
        <v>69</v>
      </c>
      <c r="B568" s="15" t="s">
        <v>57</v>
      </c>
      <c r="C568" s="15" t="s">
        <v>23</v>
      </c>
      <c r="D568" s="15" t="s">
        <v>52</v>
      </c>
      <c r="E568" s="15" t="s">
        <v>40</v>
      </c>
      <c r="F568" s="15" t="s">
        <v>20</v>
      </c>
      <c r="G568" s="15" t="s">
        <v>1</v>
      </c>
      <c r="H568" s="16"/>
      <c r="I568" s="16"/>
      <c r="J568" s="16"/>
      <c r="K568" s="16"/>
      <c r="L568" s="5" cm="1">
        <f t="array" ref="L568">_xlfn.XLOOKUP(C568,[4]C5_LMA_DIAG!$A$49:$A$66,_xlfn.XLOOKUP(B568,[4]C5_LMA_DIAG!$A$49:$M$49,[4]C5_LMA_DIAG!$A$49:$M$66))</f>
        <v>7898</v>
      </c>
      <c r="M568" s="5" cm="1">
        <f t="array" ref="M568">_xlfn.XLOOKUP(C568,[5]C6_LMA_DIAG!$A$46:$A$63,_xlfn.XLOOKUP(B568,[5]C6_LMA_DIAG!$A$46:$M$46,[5]C6_LMA_DIAG!$A$46:$M$63))</f>
        <v>9532</v>
      </c>
      <c r="N568" s="5" cm="1">
        <f t="array" ref="N568">_xlfn.XLOOKUP(
  C568,
  [6]C6_LMA_DIAG!$A$52:$A$68,
  _xlfn.XLOOKUP(
    B568,
    [6]C6_LMA_DIAG!$B$51:$O$51,
    [6]C6_LMA_DIAG!$B$52:$O$68
  )
)</f>
        <v>3683</v>
      </c>
      <c r="O568" s="20">
        <v>4092</v>
      </c>
      <c r="P568" s="16">
        <v>8958</v>
      </c>
    </row>
    <row r="569" spans="1:16" x14ac:dyDescent="0.3">
      <c r="A569" s="15" t="s">
        <v>69</v>
      </c>
      <c r="B569" s="15" t="s">
        <v>58</v>
      </c>
      <c r="C569" s="15" t="s">
        <v>23</v>
      </c>
      <c r="D569" s="15" t="s">
        <v>52</v>
      </c>
      <c r="E569" s="15" t="s">
        <v>40</v>
      </c>
      <c r="F569" s="15" t="s">
        <v>20</v>
      </c>
      <c r="G569" s="15" t="s">
        <v>1</v>
      </c>
      <c r="H569" s="16"/>
      <c r="I569" s="16"/>
      <c r="J569" s="16"/>
      <c r="K569" s="16"/>
      <c r="L569" s="5" cm="1">
        <f t="array" ref="L569">_xlfn.XLOOKUP(C569,[4]C5_LMA_DIAG!$A$49:$A$66,_xlfn.XLOOKUP(B569,[4]C5_LMA_DIAG!$A$49:$M$49,[4]C5_LMA_DIAG!$A$49:$M$66))</f>
        <v>4576</v>
      </c>
      <c r="M569" s="5" cm="1">
        <f t="array" ref="M569">_xlfn.XLOOKUP(C569,[5]C6_LMA_DIAG!$A$46:$A$63,_xlfn.XLOOKUP(B569,[5]C6_LMA_DIAG!$A$46:$M$46,[5]C6_LMA_DIAG!$A$46:$M$63))</f>
        <v>5662</v>
      </c>
      <c r="N569" s="5" cm="1">
        <f t="array" ref="N569">_xlfn.XLOOKUP(
  C569,
  [6]C6_LMA_DIAG!$A$52:$A$68,
  _xlfn.XLOOKUP(
    B569,
    [6]C6_LMA_DIAG!$B$51:$O$51,
    [6]C6_LMA_DIAG!$B$52:$O$68
  )
)</f>
        <v>4082</v>
      </c>
      <c r="O569" s="20">
        <v>6455</v>
      </c>
      <c r="P569" s="16">
        <v>7279</v>
      </c>
    </row>
    <row r="570" spans="1:16" x14ac:dyDescent="0.3">
      <c r="A570" s="15" t="s">
        <v>69</v>
      </c>
      <c r="B570" s="15" t="s">
        <v>59</v>
      </c>
      <c r="C570" s="15" t="s">
        <v>23</v>
      </c>
      <c r="D570" s="15" t="s">
        <v>52</v>
      </c>
      <c r="E570" s="15" t="s">
        <v>40</v>
      </c>
      <c r="F570" s="15" t="s">
        <v>20</v>
      </c>
      <c r="G570" s="15" t="s">
        <v>1</v>
      </c>
      <c r="H570" s="16"/>
      <c r="I570" s="16"/>
      <c r="J570" s="16"/>
      <c r="K570" s="16"/>
      <c r="L570" s="5" cm="1">
        <f t="array" ref="L570">_xlfn.XLOOKUP(C570,[4]C5_LMA_DIAG!$A$49:$A$66,_xlfn.XLOOKUP(B570,[4]C5_LMA_DIAG!$A$49:$M$49,[4]C5_LMA_DIAG!$A$49:$M$66))</f>
        <v>4600</v>
      </c>
      <c r="M570" s="5" cm="1">
        <f t="array" ref="M570">_xlfn.XLOOKUP(C570,[5]C6_LMA_DIAG!$A$46:$A$63,_xlfn.XLOOKUP(B570,[5]C6_LMA_DIAG!$A$46:$M$46,[5]C6_LMA_DIAG!$A$46:$M$63))</f>
        <v>7434</v>
      </c>
      <c r="N570" s="5" cm="1">
        <f t="array" ref="N570">_xlfn.XLOOKUP(
  C570,
  [6]C6_LMA_DIAG!$A$52:$A$68,
  _xlfn.XLOOKUP(
    B570,
    [6]C6_LMA_DIAG!$B$51:$O$51,
    [6]C6_LMA_DIAG!$B$52:$O$68
  )
)</f>
        <v>3171</v>
      </c>
      <c r="O570" s="20">
        <v>2906</v>
      </c>
      <c r="P570" s="16">
        <v>3416</v>
      </c>
    </row>
    <row r="571" spans="1:16" x14ac:dyDescent="0.3">
      <c r="A571" s="15" t="s">
        <v>69</v>
      </c>
      <c r="B571" s="15" t="s">
        <v>60</v>
      </c>
      <c r="C571" s="15" t="s">
        <v>23</v>
      </c>
      <c r="D571" s="15" t="s">
        <v>52</v>
      </c>
      <c r="E571" s="15" t="s">
        <v>40</v>
      </c>
      <c r="F571" s="15" t="s">
        <v>20</v>
      </c>
      <c r="G571" s="15" t="s">
        <v>1</v>
      </c>
      <c r="H571" s="16"/>
      <c r="I571" s="16"/>
      <c r="J571" s="16"/>
      <c r="K571" s="16"/>
      <c r="L571" s="5" cm="1">
        <f t="array" ref="L571">_xlfn.XLOOKUP(C571,[4]C5_LMA_DIAG!$A$49:$A$66,_xlfn.XLOOKUP(B571,[4]C5_LMA_DIAG!$A$49:$M$49,[4]C5_LMA_DIAG!$A$49:$M$66))</f>
        <v>3154</v>
      </c>
      <c r="M571" s="5" cm="1">
        <f t="array" ref="M571">_xlfn.XLOOKUP(C571,[5]C6_LMA_DIAG!$A$46:$A$63,_xlfn.XLOOKUP(B571,[5]C6_LMA_DIAG!$A$46:$M$46,[5]C6_LMA_DIAG!$A$46:$M$63))</f>
        <v>3896</v>
      </c>
      <c r="N571" s="5" cm="1">
        <f t="array" ref="N571">_xlfn.XLOOKUP(
  C571,
  [6]C6_LMA_DIAG!$A$52:$A$68,
  _xlfn.XLOOKUP(
    B571,
    [6]C6_LMA_DIAG!$B$51:$O$51,
    [6]C6_LMA_DIAG!$B$52:$O$68
  )
)</f>
        <v>2367</v>
      </c>
      <c r="O571" s="20">
        <v>4137</v>
      </c>
      <c r="P571" s="16">
        <v>4688</v>
      </c>
    </row>
    <row r="572" spans="1:16" x14ac:dyDescent="0.3">
      <c r="A572" s="15" t="s">
        <v>69</v>
      </c>
      <c r="B572" s="15" t="s">
        <v>61</v>
      </c>
      <c r="C572" s="15" t="s">
        <v>23</v>
      </c>
      <c r="D572" s="15" t="s">
        <v>52</v>
      </c>
      <c r="E572" s="15" t="s">
        <v>40</v>
      </c>
      <c r="F572" s="15" t="s">
        <v>20</v>
      </c>
      <c r="G572" s="15" t="s">
        <v>1</v>
      </c>
      <c r="H572" s="16"/>
      <c r="I572" s="16"/>
      <c r="J572" s="16"/>
      <c r="K572" s="16"/>
      <c r="L572" s="5" cm="1">
        <f t="array" ref="L572">_xlfn.XLOOKUP(C572,[4]C5_LMA_DIAG!$A$49:$A$66,_xlfn.XLOOKUP(B572,[4]C5_LMA_DIAG!$A$49:$M$49,[4]C5_LMA_DIAG!$A$49:$M$66))</f>
        <v>1806</v>
      </c>
      <c r="M572" s="5" cm="1">
        <f t="array" ref="M572">_xlfn.XLOOKUP(C572,[5]C6_LMA_DIAG!$A$46:$A$63,_xlfn.XLOOKUP(B572,[5]C6_LMA_DIAG!$A$46:$M$46,[5]C6_LMA_DIAG!$A$46:$M$63))</f>
        <v>2022</v>
      </c>
      <c r="N572" s="5" cm="1">
        <f t="array" ref="N572">_xlfn.XLOOKUP(
  C572,
  [6]C6_LMA_DIAG!$A$52:$A$68,
  _xlfn.XLOOKUP(
    B572,
    [6]C6_LMA_DIAG!$B$51:$O$51,
    [6]C6_LMA_DIAG!$B$52:$O$68
  )
)</f>
        <v>1146</v>
      </c>
      <c r="O572" s="20">
        <v>938</v>
      </c>
      <c r="P572" s="16">
        <v>1191</v>
      </c>
    </row>
    <row r="573" spans="1:16" x14ac:dyDescent="0.3">
      <c r="A573" s="15" t="s">
        <v>69</v>
      </c>
      <c r="B573" s="15" t="s">
        <v>62</v>
      </c>
      <c r="C573" s="15" t="s">
        <v>23</v>
      </c>
      <c r="D573" s="15" t="s">
        <v>52</v>
      </c>
      <c r="E573" s="15" t="s">
        <v>40</v>
      </c>
      <c r="F573" s="15" t="s">
        <v>20</v>
      </c>
      <c r="G573" s="15" t="s">
        <v>1</v>
      </c>
      <c r="H573" s="16"/>
      <c r="I573" s="16"/>
      <c r="J573" s="16"/>
      <c r="K573" s="16"/>
      <c r="L573" s="5" cm="1">
        <f t="array" ref="L573">_xlfn.XLOOKUP(C573,[4]C5_LMA_DIAG!$A$49:$A$66,_xlfn.XLOOKUP(B573,[4]C5_LMA_DIAG!$A$49:$M$49,[4]C5_LMA_DIAG!$A$49:$M$66))</f>
        <v>2653</v>
      </c>
      <c r="M573" s="5" cm="1">
        <f t="array" ref="M573">_xlfn.XLOOKUP(C573,[5]C6_LMA_DIAG!$A$46:$A$63,_xlfn.XLOOKUP(B573,[5]C6_LMA_DIAG!$A$46:$M$46,[5]C6_LMA_DIAG!$A$46:$M$63))</f>
        <v>2975</v>
      </c>
      <c r="N573" s="5" cm="1">
        <f t="array" ref="N573">_xlfn.XLOOKUP(
  C573,
  [6]C6_LMA_DIAG!$A$52:$A$68,
  _xlfn.XLOOKUP(
    B573,
    [6]C6_LMA_DIAG!$B$51:$O$51,
    [6]C6_LMA_DIAG!$B$52:$O$68
  )
)</f>
        <v>1735</v>
      </c>
      <c r="O573" s="20">
        <v>2127</v>
      </c>
      <c r="P573" s="16">
        <v>2452</v>
      </c>
    </row>
    <row r="574" spans="1:16" x14ac:dyDescent="0.3">
      <c r="A574" s="15" t="s">
        <v>69</v>
      </c>
      <c r="B574" s="15" t="s">
        <v>63</v>
      </c>
      <c r="C574" s="15" t="s">
        <v>23</v>
      </c>
      <c r="D574" s="15" t="s">
        <v>52</v>
      </c>
      <c r="E574" s="15" t="s">
        <v>40</v>
      </c>
      <c r="F574" s="15" t="s">
        <v>20</v>
      </c>
      <c r="G574" s="15" t="s">
        <v>1</v>
      </c>
      <c r="H574" s="16"/>
      <c r="I574" s="16"/>
      <c r="J574" s="16"/>
      <c r="K574" s="16"/>
      <c r="L574" s="5" cm="1">
        <f t="array" ref="L574">_xlfn.XLOOKUP(C574,[4]C5_LMA_DIAG!$A$49:$A$66,_xlfn.XLOOKUP(B574,[4]C5_LMA_DIAG!$A$49:$M$49,[4]C5_LMA_DIAG!$A$49:$M$66))</f>
        <v>1914</v>
      </c>
      <c r="M574" s="5" cm="1">
        <f t="array" ref="M574">_xlfn.XLOOKUP(C574,[5]C6_LMA_DIAG!$A$46:$A$63,_xlfn.XLOOKUP(B574,[5]C6_LMA_DIAG!$A$46:$M$46,[5]C6_LMA_DIAG!$A$46:$M$63))</f>
        <v>1973</v>
      </c>
      <c r="N574" s="5" cm="1">
        <f t="array" ref="N574">_xlfn.XLOOKUP(
  C574,
  [6]C6_LMA_DIAG!$A$52:$A$68,
  _xlfn.XLOOKUP(
    B574,
    [6]C6_LMA_DIAG!$B$51:$O$51,
    [6]C6_LMA_DIAG!$B$52:$O$68
  )
)</f>
        <v>1314</v>
      </c>
      <c r="O574" s="20">
        <v>1541</v>
      </c>
      <c r="P574" s="16">
        <v>1485</v>
      </c>
    </row>
    <row r="575" spans="1:16" x14ac:dyDescent="0.3">
      <c r="A575" s="15" t="s">
        <v>69</v>
      </c>
      <c r="B575" s="15" t="s">
        <v>64</v>
      </c>
      <c r="C575" s="15" t="s">
        <v>23</v>
      </c>
      <c r="D575" s="15" t="s">
        <v>52</v>
      </c>
      <c r="E575" s="15" t="s">
        <v>40</v>
      </c>
      <c r="F575" s="15" t="s">
        <v>20</v>
      </c>
      <c r="G575" s="15" t="s">
        <v>1</v>
      </c>
      <c r="H575" s="16"/>
      <c r="I575" s="16"/>
      <c r="J575" s="16"/>
      <c r="K575" s="16"/>
      <c r="L575" s="5" cm="1">
        <f t="array" ref="L575">_xlfn.XLOOKUP(C575,[4]C5_LMA_DIAG!$A$49:$A$66,_xlfn.XLOOKUP(B575,[4]C5_LMA_DIAG!$A$49:$M$49,[4]C5_LMA_DIAG!$A$49:$M$66))</f>
        <v>1672</v>
      </c>
      <c r="M575" s="5" cm="1">
        <f t="array" ref="M575">_xlfn.XLOOKUP(C575,[5]C6_LMA_DIAG!$A$46:$A$63,_xlfn.XLOOKUP(B575,[5]C6_LMA_DIAG!$A$46:$M$46,[5]C6_LMA_DIAG!$A$46:$M$63))</f>
        <v>1738</v>
      </c>
      <c r="N575" s="5" cm="1">
        <f t="array" ref="N575">_xlfn.XLOOKUP(
  C575,
  [6]C6_LMA_DIAG!$A$52:$A$68,
  _xlfn.XLOOKUP(
    B575,
    [6]C6_LMA_DIAG!$B$51:$O$51,
    [6]C6_LMA_DIAG!$B$52:$O$68
  )
)</f>
        <v>1259</v>
      </c>
      <c r="O575" s="20">
        <v>1752</v>
      </c>
      <c r="P575" s="16">
        <v>1913</v>
      </c>
    </row>
    <row r="576" spans="1:16" x14ac:dyDescent="0.3">
      <c r="A576" s="15" t="s">
        <v>69</v>
      </c>
      <c r="B576" s="15" t="s">
        <v>70</v>
      </c>
      <c r="C576" s="15" t="s">
        <v>23</v>
      </c>
      <c r="D576" s="15" t="s">
        <v>52</v>
      </c>
      <c r="E576" s="15" t="s">
        <v>40</v>
      </c>
      <c r="F576" s="15" t="s">
        <v>20</v>
      </c>
      <c r="G576" s="15" t="s">
        <v>1</v>
      </c>
      <c r="H576" s="16"/>
      <c r="I576" s="16"/>
      <c r="J576" s="16"/>
      <c r="K576" s="16"/>
      <c r="L576" s="5">
        <v>0</v>
      </c>
      <c r="M576" s="5">
        <v>0</v>
      </c>
      <c r="N576" s="5" cm="1">
        <f t="array" ref="N576">_xlfn.XLOOKUP(
  C576,
  [6]C6_LMA_DIAG!$A$52:$A$68,
  _xlfn.XLOOKUP(
    B576,
    [6]C6_LMA_DIAG!$B$51:$O$51,
    [6]C6_LMA_DIAG!$B$52:$O$68
  )
)</f>
        <v>13440</v>
      </c>
      <c r="O576" s="20">
        <v>28585</v>
      </c>
      <c r="P576" s="16">
        <v>25945</v>
      </c>
    </row>
    <row r="577" spans="1:16" x14ac:dyDescent="0.3">
      <c r="A577" s="15"/>
      <c r="B577" s="18" t="s">
        <v>71</v>
      </c>
      <c r="C577" s="15" t="s">
        <v>23</v>
      </c>
      <c r="D577" s="15" t="s">
        <v>52</v>
      </c>
      <c r="E577" s="15" t="s">
        <v>40</v>
      </c>
      <c r="F577" s="15" t="s">
        <v>20</v>
      </c>
      <c r="G577" s="15" t="s">
        <v>1</v>
      </c>
      <c r="H577" s="16"/>
      <c r="I577" s="16"/>
      <c r="J577" s="16"/>
      <c r="K577" s="16"/>
      <c r="L577" s="5">
        <v>0</v>
      </c>
      <c r="M577" s="5">
        <v>0</v>
      </c>
      <c r="N577" s="5" cm="1">
        <f t="array" ref="N577">_xlfn.XLOOKUP(
  C577,
  [6]C6_LMA_DIAG!$A$52:$A$68,
  _xlfn.XLOOKUP(
    B577,
    [6]C6_LMA_DIAG!$B$51:$O$51,
    [6]C6_LMA_DIAG!$B$52:$O$68
  )
)</f>
        <v>328</v>
      </c>
      <c r="O577" s="20">
        <v>237</v>
      </c>
      <c r="P577" s="16">
        <v>0</v>
      </c>
    </row>
    <row r="578" spans="1:16" x14ac:dyDescent="0.3">
      <c r="A578" s="15" t="s">
        <v>69</v>
      </c>
      <c r="B578" s="15" t="s">
        <v>65</v>
      </c>
      <c r="C578" s="15" t="s">
        <v>23</v>
      </c>
      <c r="D578" s="15" t="s">
        <v>52</v>
      </c>
      <c r="E578" s="15" t="s">
        <v>40</v>
      </c>
      <c r="F578" s="15" t="s">
        <v>20</v>
      </c>
      <c r="G578" s="15" t="s">
        <v>1</v>
      </c>
      <c r="H578" s="16"/>
      <c r="I578" s="16"/>
      <c r="J578" s="16"/>
      <c r="K578" s="16"/>
      <c r="L578" s="5" cm="1">
        <f t="array" ref="L578">_xlfn.XLOOKUP(C578,[4]C5_LMA_DIAG!$A$49:$A$66,_xlfn.XLOOKUP(B578,[4]C5_LMA_DIAG!$A$49:$M$49,[4]C5_LMA_DIAG!$A$49:$M$66))</f>
        <v>6768</v>
      </c>
      <c r="M578" s="5" cm="1">
        <f t="array" ref="M578">_xlfn.XLOOKUP(C578,[5]C6_LMA_DIAG!$A$46:$A$63,_xlfn.XLOOKUP(B578,[5]C6_LMA_DIAG!$A$46:$M$46,[5]C6_LMA_DIAG!$A$46:$M$63))</f>
        <v>8303</v>
      </c>
      <c r="N578" s="5" cm="1">
        <f t="array" ref="N578">_xlfn.XLOOKUP(
  C578,
  [6]C6_LMA_DIAG!$A$52:$A$68,
  _xlfn.XLOOKUP(
    B578,
    [6]C6_LMA_DIAG!$B$51:$O$51,
    [6]C6_LMA_DIAG!$B$52:$O$68
  )
)</f>
        <v>5364</v>
      </c>
      <c r="O578" s="20">
        <v>8354</v>
      </c>
      <c r="P578" s="16">
        <v>9320</v>
      </c>
    </row>
    <row r="579" spans="1:16" x14ac:dyDescent="0.3">
      <c r="A579" s="15" t="s">
        <v>69</v>
      </c>
      <c r="B579" s="15" t="s">
        <v>19</v>
      </c>
      <c r="C579" s="15" t="s">
        <v>23</v>
      </c>
      <c r="D579" s="15" t="s">
        <v>52</v>
      </c>
      <c r="E579" s="15" t="s">
        <v>40</v>
      </c>
      <c r="F579" s="15" t="s">
        <v>20</v>
      </c>
      <c r="G579" s="15" t="s">
        <v>1</v>
      </c>
      <c r="H579" s="16"/>
      <c r="I579" s="16"/>
      <c r="J579" s="16"/>
      <c r="K579" s="16"/>
      <c r="L579" s="5" cm="1">
        <f t="array" ref="L579">_xlfn.XLOOKUP(C579,[4]C5_LMA_DIAG!$A$49:$A$66,_xlfn.XLOOKUP(B579,[4]C5_LMA_DIAG!$A$49:$M$49,[4]C5_LMA_DIAG!$A$49:$M$66))</f>
        <v>0</v>
      </c>
      <c r="M579" s="5" cm="1">
        <f t="array" ref="M579">_xlfn.XLOOKUP(C579,[5]C6_LMA_DIAG!$A$46:$A$63,_xlfn.XLOOKUP(B579,[5]C6_LMA_DIAG!$A$46:$M$46,[5]C6_LMA_DIAG!$A$46:$M$63))</f>
        <v>6</v>
      </c>
      <c r="N579" s="5" cm="1">
        <f t="array" ref="N579">_xlfn.XLOOKUP(
  C579,
  [6]C6_LMA_DIAG!$A$52:$A$68,
  _xlfn.XLOOKUP(
    B579,
    [6]C6_LMA_DIAG!$B$51:$O$51,
    [6]C6_LMA_DIAG!$B$52:$O$68
  )
)</f>
        <v>0</v>
      </c>
      <c r="O579" s="20">
        <v>2</v>
      </c>
      <c r="P579" s="16">
        <v>0</v>
      </c>
    </row>
    <row r="580" spans="1:16" x14ac:dyDescent="0.3">
      <c r="A580" s="4" t="s">
        <v>69</v>
      </c>
      <c r="B580" s="4" t="s">
        <v>55</v>
      </c>
      <c r="C580" s="4" t="s">
        <v>24</v>
      </c>
      <c r="D580" s="4" t="s">
        <v>52</v>
      </c>
      <c r="E580" s="4" t="s">
        <v>40</v>
      </c>
      <c r="F580" s="4" t="s">
        <v>20</v>
      </c>
      <c r="G580" s="4" t="s">
        <v>1</v>
      </c>
      <c r="H580" s="5"/>
      <c r="I580" s="5"/>
      <c r="J580" s="5"/>
      <c r="K580" s="5"/>
      <c r="L580" s="5" cm="1">
        <f t="array" ref="L580">_xlfn.XLOOKUP(C580,[4]C5_LMA_DIAG!$A$49:$A$66,_xlfn.XLOOKUP(B580,[4]C5_LMA_DIAG!$A$49:$M$49,[4]C5_LMA_DIAG!$A$49:$M$66))</f>
        <v>18437</v>
      </c>
      <c r="M580" s="5" cm="1">
        <f t="array" ref="M580">_xlfn.XLOOKUP(C580,[5]C6_LMA_DIAG!$A$46:$A$63,_xlfn.XLOOKUP(B580,[5]C6_LMA_DIAG!$A$46:$M$46,[5]C6_LMA_DIAG!$A$46:$M$63))</f>
        <v>24616</v>
      </c>
      <c r="N580" s="5" cm="1">
        <f t="array" ref="N580">_xlfn.XLOOKUP(
  C580,
  [6]C6_LMA_DIAG!$A$52:$A$68,
  _xlfn.XLOOKUP(
    B580,
    [6]C6_LMA_DIAG!$B$51:$O$51,
    [6]C6_LMA_DIAG!$B$52:$O$68
  )
)</f>
        <v>32224</v>
      </c>
      <c r="O580" s="20">
        <v>55027</v>
      </c>
      <c r="P580" s="5">
        <v>67940</v>
      </c>
    </row>
    <row r="581" spans="1:16" x14ac:dyDescent="0.3">
      <c r="A581" s="4" t="s">
        <v>69</v>
      </c>
      <c r="B581" s="4" t="s">
        <v>56</v>
      </c>
      <c r="C581" s="4" t="s">
        <v>24</v>
      </c>
      <c r="D581" s="4" t="s">
        <v>52</v>
      </c>
      <c r="E581" s="4" t="s">
        <v>40</v>
      </c>
      <c r="F581" s="4" t="s">
        <v>20</v>
      </c>
      <c r="G581" s="4" t="s">
        <v>1</v>
      </c>
      <c r="H581" s="5"/>
      <c r="I581" s="5"/>
      <c r="J581" s="5"/>
      <c r="K581" s="5"/>
      <c r="L581" s="5" cm="1">
        <f t="array" ref="L581">_xlfn.XLOOKUP(C581,[4]C5_LMA_DIAG!$A$49:$A$66,_xlfn.XLOOKUP(B581,[4]C5_LMA_DIAG!$A$49:$M$49,[4]C5_LMA_DIAG!$A$49:$M$66))</f>
        <v>23905</v>
      </c>
      <c r="M581" s="5" cm="1">
        <f t="array" ref="M581">_xlfn.XLOOKUP(C581,[5]C6_LMA_DIAG!$A$46:$A$63,_xlfn.XLOOKUP(B581,[5]C6_LMA_DIAG!$A$46:$M$46,[5]C6_LMA_DIAG!$A$46:$M$63))</f>
        <v>27743</v>
      </c>
      <c r="N581" s="5" cm="1">
        <f t="array" ref="N581">_xlfn.XLOOKUP(
  C581,
  [6]C6_LMA_DIAG!$A$52:$A$68,
  _xlfn.XLOOKUP(
    B581,
    [6]C6_LMA_DIAG!$B$51:$O$51,
    [6]C6_LMA_DIAG!$B$52:$O$68
  )
)</f>
        <v>24212</v>
      </c>
      <c r="O581" s="20">
        <v>42133</v>
      </c>
      <c r="P581" s="5">
        <v>43913</v>
      </c>
    </row>
    <row r="582" spans="1:16" x14ac:dyDescent="0.3">
      <c r="A582" s="4" t="s">
        <v>69</v>
      </c>
      <c r="B582" s="4" t="s">
        <v>57</v>
      </c>
      <c r="C582" s="4" t="s">
        <v>24</v>
      </c>
      <c r="D582" s="4" t="s">
        <v>52</v>
      </c>
      <c r="E582" s="4" t="s">
        <v>40</v>
      </c>
      <c r="F582" s="4" t="s">
        <v>20</v>
      </c>
      <c r="G582" s="4" t="s">
        <v>1</v>
      </c>
      <c r="H582" s="5"/>
      <c r="I582" s="5"/>
      <c r="J582" s="5"/>
      <c r="K582" s="5"/>
      <c r="L582" s="5" cm="1">
        <f t="array" ref="L582">_xlfn.XLOOKUP(C582,[4]C5_LMA_DIAG!$A$49:$A$66,_xlfn.XLOOKUP(B582,[4]C5_LMA_DIAG!$A$49:$M$49,[4]C5_LMA_DIAG!$A$49:$M$66))</f>
        <v>11847</v>
      </c>
      <c r="M582" s="5" cm="1">
        <f t="array" ref="M582">_xlfn.XLOOKUP(C582,[5]C6_LMA_DIAG!$A$46:$A$63,_xlfn.XLOOKUP(B582,[5]C6_LMA_DIAG!$A$46:$M$46,[5]C6_LMA_DIAG!$A$46:$M$63))</f>
        <v>13521</v>
      </c>
      <c r="N582" s="5" cm="1">
        <f t="array" ref="N582">_xlfn.XLOOKUP(
  C582,
  [6]C6_LMA_DIAG!$A$52:$A$68,
  _xlfn.XLOOKUP(
    B582,
    [6]C6_LMA_DIAG!$B$51:$O$51,
    [6]C6_LMA_DIAG!$B$52:$O$68
  )
)</f>
        <v>8692</v>
      </c>
      <c r="O582" s="20">
        <v>11249</v>
      </c>
      <c r="P582" s="5">
        <v>22186</v>
      </c>
    </row>
    <row r="583" spans="1:16" x14ac:dyDescent="0.3">
      <c r="A583" s="4" t="s">
        <v>69</v>
      </c>
      <c r="B583" s="4" t="s">
        <v>58</v>
      </c>
      <c r="C583" s="4" t="s">
        <v>24</v>
      </c>
      <c r="D583" s="4" t="s">
        <v>52</v>
      </c>
      <c r="E583" s="4" t="s">
        <v>40</v>
      </c>
      <c r="F583" s="4" t="s">
        <v>20</v>
      </c>
      <c r="G583" s="4" t="s">
        <v>1</v>
      </c>
      <c r="H583" s="5"/>
      <c r="I583" s="5"/>
      <c r="J583" s="5"/>
      <c r="K583" s="5"/>
      <c r="L583" s="5" cm="1">
        <f t="array" ref="L583">_xlfn.XLOOKUP(C583,[4]C5_LMA_DIAG!$A$49:$A$66,_xlfn.XLOOKUP(B583,[4]C5_LMA_DIAG!$A$49:$M$49,[4]C5_LMA_DIAG!$A$49:$M$66))</f>
        <v>8535</v>
      </c>
      <c r="M583" s="5" cm="1">
        <f t="array" ref="M583">_xlfn.XLOOKUP(C583,[5]C6_LMA_DIAG!$A$46:$A$63,_xlfn.XLOOKUP(B583,[5]C6_LMA_DIAG!$A$46:$M$46,[5]C6_LMA_DIAG!$A$46:$M$63))</f>
        <v>10315</v>
      </c>
      <c r="N583" s="5" cm="1">
        <f t="array" ref="N583">_xlfn.XLOOKUP(
  C583,
  [6]C6_LMA_DIAG!$A$52:$A$68,
  _xlfn.XLOOKUP(
    B583,
    [6]C6_LMA_DIAG!$B$51:$O$51,
    [6]C6_LMA_DIAG!$B$52:$O$68
  )
)</f>
        <v>8853</v>
      </c>
      <c r="O583" s="20">
        <v>13195</v>
      </c>
      <c r="P583" s="5">
        <v>14656</v>
      </c>
    </row>
    <row r="584" spans="1:16" x14ac:dyDescent="0.3">
      <c r="A584" s="4" t="s">
        <v>69</v>
      </c>
      <c r="B584" s="4" t="s">
        <v>59</v>
      </c>
      <c r="C584" s="4" t="s">
        <v>24</v>
      </c>
      <c r="D584" s="4" t="s">
        <v>52</v>
      </c>
      <c r="E584" s="4" t="s">
        <v>40</v>
      </c>
      <c r="F584" s="4" t="s">
        <v>20</v>
      </c>
      <c r="G584" s="4" t="s">
        <v>1</v>
      </c>
      <c r="H584" s="5"/>
      <c r="I584" s="5"/>
      <c r="J584" s="5"/>
      <c r="K584" s="5"/>
      <c r="L584" s="5" cm="1">
        <f t="array" ref="L584">_xlfn.XLOOKUP(C584,[4]C5_LMA_DIAG!$A$49:$A$66,_xlfn.XLOOKUP(B584,[4]C5_LMA_DIAG!$A$49:$M$49,[4]C5_LMA_DIAG!$A$49:$M$66))</f>
        <v>4885</v>
      </c>
      <c r="M584" s="5" cm="1">
        <f t="array" ref="M584">_xlfn.XLOOKUP(C584,[5]C6_LMA_DIAG!$A$46:$A$63,_xlfn.XLOOKUP(B584,[5]C6_LMA_DIAG!$A$46:$M$46,[5]C6_LMA_DIAG!$A$46:$M$63))</f>
        <v>6273</v>
      </c>
      <c r="N584" s="5" cm="1">
        <f t="array" ref="N584">_xlfn.XLOOKUP(
  C584,
  [6]C6_LMA_DIAG!$A$52:$A$68,
  _xlfn.XLOOKUP(
    B584,
    [6]C6_LMA_DIAG!$B$51:$O$51,
    [6]C6_LMA_DIAG!$B$52:$O$68
  )
)</f>
        <v>4038</v>
      </c>
      <c r="O584" s="20">
        <v>4793</v>
      </c>
      <c r="P584" s="5">
        <v>6566</v>
      </c>
    </row>
    <row r="585" spans="1:16" x14ac:dyDescent="0.3">
      <c r="A585" s="4" t="s">
        <v>69</v>
      </c>
      <c r="B585" s="4" t="s">
        <v>60</v>
      </c>
      <c r="C585" s="4" t="s">
        <v>24</v>
      </c>
      <c r="D585" s="4" t="s">
        <v>52</v>
      </c>
      <c r="E585" s="4" t="s">
        <v>40</v>
      </c>
      <c r="F585" s="4" t="s">
        <v>20</v>
      </c>
      <c r="G585" s="4" t="s">
        <v>1</v>
      </c>
      <c r="H585" s="5"/>
      <c r="I585" s="5"/>
      <c r="J585" s="5"/>
      <c r="K585" s="5"/>
      <c r="L585" s="5" cm="1">
        <f t="array" ref="L585">_xlfn.XLOOKUP(C585,[4]C5_LMA_DIAG!$A$49:$A$66,_xlfn.XLOOKUP(B585,[4]C5_LMA_DIAG!$A$49:$M$49,[4]C5_LMA_DIAG!$A$49:$M$66))</f>
        <v>4396</v>
      </c>
      <c r="M585" s="5" cm="1">
        <f t="array" ref="M585">_xlfn.XLOOKUP(C585,[5]C6_LMA_DIAG!$A$46:$A$63,_xlfn.XLOOKUP(B585,[5]C6_LMA_DIAG!$A$46:$M$46,[5]C6_LMA_DIAG!$A$46:$M$63))</f>
        <v>5980</v>
      </c>
      <c r="N585" s="5" cm="1">
        <f t="array" ref="N585">_xlfn.XLOOKUP(
  C585,
  [6]C6_LMA_DIAG!$A$52:$A$68,
  _xlfn.XLOOKUP(
    B585,
    [6]C6_LMA_DIAG!$B$51:$O$51,
    [6]C6_LMA_DIAG!$B$52:$O$68
  )
)</f>
        <v>4248</v>
      </c>
      <c r="O585" s="20">
        <v>7398</v>
      </c>
      <c r="P585" s="5">
        <v>7828</v>
      </c>
    </row>
    <row r="586" spans="1:16" x14ac:dyDescent="0.3">
      <c r="A586" s="4" t="s">
        <v>69</v>
      </c>
      <c r="B586" s="4" t="s">
        <v>61</v>
      </c>
      <c r="C586" s="4" t="s">
        <v>24</v>
      </c>
      <c r="D586" s="4" t="s">
        <v>52</v>
      </c>
      <c r="E586" s="4" t="s">
        <v>40</v>
      </c>
      <c r="F586" s="4" t="s">
        <v>20</v>
      </c>
      <c r="G586" s="4" t="s">
        <v>1</v>
      </c>
      <c r="H586" s="5"/>
      <c r="I586" s="5"/>
      <c r="J586" s="5"/>
      <c r="K586" s="5"/>
      <c r="L586" s="5" cm="1">
        <f t="array" ref="L586">_xlfn.XLOOKUP(C586,[4]C5_LMA_DIAG!$A$49:$A$66,_xlfn.XLOOKUP(B586,[4]C5_LMA_DIAG!$A$49:$M$49,[4]C5_LMA_DIAG!$A$49:$M$66))</f>
        <v>4303</v>
      </c>
      <c r="M586" s="5" cm="1">
        <f t="array" ref="M586">_xlfn.XLOOKUP(C586,[5]C6_LMA_DIAG!$A$46:$A$63,_xlfn.XLOOKUP(B586,[5]C6_LMA_DIAG!$A$46:$M$46,[5]C6_LMA_DIAG!$A$46:$M$63))</f>
        <v>3649</v>
      </c>
      <c r="N586" s="5" cm="1">
        <f t="array" ref="N586">_xlfn.XLOOKUP(
  C586,
  [6]C6_LMA_DIAG!$A$52:$A$68,
  _xlfn.XLOOKUP(
    B586,
    [6]C6_LMA_DIAG!$B$51:$O$51,
    [6]C6_LMA_DIAG!$B$52:$O$68
  )
)</f>
        <v>2935</v>
      </c>
      <c r="O586" s="20">
        <v>3299</v>
      </c>
      <c r="P586" s="5">
        <v>3581</v>
      </c>
    </row>
    <row r="587" spans="1:16" x14ac:dyDescent="0.3">
      <c r="A587" s="4" t="s">
        <v>69</v>
      </c>
      <c r="B587" s="4" t="s">
        <v>62</v>
      </c>
      <c r="C587" s="4" t="s">
        <v>24</v>
      </c>
      <c r="D587" s="4" t="s">
        <v>52</v>
      </c>
      <c r="E587" s="4" t="s">
        <v>40</v>
      </c>
      <c r="F587" s="4" t="s">
        <v>20</v>
      </c>
      <c r="G587" s="4" t="s">
        <v>1</v>
      </c>
      <c r="H587" s="5"/>
      <c r="I587" s="5"/>
      <c r="J587" s="5"/>
      <c r="K587" s="5"/>
      <c r="L587" s="5" cm="1">
        <f t="array" ref="L587">_xlfn.XLOOKUP(C587,[4]C5_LMA_DIAG!$A$49:$A$66,_xlfn.XLOOKUP(B587,[4]C5_LMA_DIAG!$A$49:$M$49,[4]C5_LMA_DIAG!$A$49:$M$66))</f>
        <v>3787</v>
      </c>
      <c r="M587" s="5" cm="1">
        <f t="array" ref="M587">_xlfn.XLOOKUP(C587,[5]C6_LMA_DIAG!$A$46:$A$63,_xlfn.XLOOKUP(B587,[5]C6_LMA_DIAG!$A$46:$M$46,[5]C6_LMA_DIAG!$A$46:$M$63))</f>
        <v>4744</v>
      </c>
      <c r="N587" s="5" cm="1">
        <f t="array" ref="N587">_xlfn.XLOOKUP(
  C587,
  [6]C6_LMA_DIAG!$A$52:$A$68,
  _xlfn.XLOOKUP(
    B587,
    [6]C6_LMA_DIAG!$B$51:$O$51,
    [6]C6_LMA_DIAG!$B$52:$O$68
  )
)</f>
        <v>3155</v>
      </c>
      <c r="O587" s="20">
        <v>4850</v>
      </c>
      <c r="P587" s="5">
        <v>5133</v>
      </c>
    </row>
    <row r="588" spans="1:16" x14ac:dyDescent="0.3">
      <c r="A588" s="4" t="s">
        <v>69</v>
      </c>
      <c r="B588" s="4" t="s">
        <v>63</v>
      </c>
      <c r="C588" s="4" t="s">
        <v>24</v>
      </c>
      <c r="D588" s="4" t="s">
        <v>52</v>
      </c>
      <c r="E588" s="4" t="s">
        <v>40</v>
      </c>
      <c r="F588" s="4" t="s">
        <v>20</v>
      </c>
      <c r="G588" s="4" t="s">
        <v>1</v>
      </c>
      <c r="H588" s="5"/>
      <c r="I588" s="5"/>
      <c r="J588" s="5"/>
      <c r="K588" s="5"/>
      <c r="L588" s="5" cm="1">
        <f t="array" ref="L588">_xlfn.XLOOKUP(C588,[4]C5_LMA_DIAG!$A$49:$A$66,_xlfn.XLOOKUP(B588,[4]C5_LMA_DIAG!$A$49:$M$49,[4]C5_LMA_DIAG!$A$49:$M$66))</f>
        <v>2911</v>
      </c>
      <c r="M588" s="5" cm="1">
        <f t="array" ref="M588">_xlfn.XLOOKUP(C588,[5]C6_LMA_DIAG!$A$46:$A$63,_xlfn.XLOOKUP(B588,[5]C6_LMA_DIAG!$A$46:$M$46,[5]C6_LMA_DIAG!$A$46:$M$63))</f>
        <v>3772</v>
      </c>
      <c r="N588" s="5" cm="1">
        <f t="array" ref="N588">_xlfn.XLOOKUP(
  C588,
  [6]C6_LMA_DIAG!$A$52:$A$68,
  _xlfn.XLOOKUP(
    B588,
    [6]C6_LMA_DIAG!$B$51:$O$51,
    [6]C6_LMA_DIAG!$B$52:$O$68
  )
)</f>
        <v>3646</v>
      </c>
      <c r="O588" s="20">
        <v>4402</v>
      </c>
      <c r="P588" s="5">
        <v>4209</v>
      </c>
    </row>
    <row r="589" spans="1:16" x14ac:dyDescent="0.3">
      <c r="A589" s="4" t="s">
        <v>69</v>
      </c>
      <c r="B589" s="4" t="s">
        <v>64</v>
      </c>
      <c r="C589" s="4" t="s">
        <v>24</v>
      </c>
      <c r="D589" s="4" t="s">
        <v>52</v>
      </c>
      <c r="E589" s="4" t="s">
        <v>40</v>
      </c>
      <c r="F589" s="4" t="s">
        <v>20</v>
      </c>
      <c r="G589" s="4" t="s">
        <v>1</v>
      </c>
      <c r="H589" s="5"/>
      <c r="I589" s="5"/>
      <c r="J589" s="5"/>
      <c r="K589" s="5"/>
      <c r="L589" s="5" cm="1">
        <f t="array" ref="L589">_xlfn.XLOOKUP(C589,[4]C5_LMA_DIAG!$A$49:$A$66,_xlfn.XLOOKUP(B589,[4]C5_LMA_DIAG!$A$49:$M$49,[4]C5_LMA_DIAG!$A$49:$M$66))</f>
        <v>2703</v>
      </c>
      <c r="M589" s="5" cm="1">
        <f t="array" ref="M589">_xlfn.XLOOKUP(C589,[5]C6_LMA_DIAG!$A$46:$A$63,_xlfn.XLOOKUP(B589,[5]C6_LMA_DIAG!$A$46:$M$46,[5]C6_LMA_DIAG!$A$46:$M$63))</f>
        <v>3480</v>
      </c>
      <c r="N589" s="5" cm="1">
        <f t="array" ref="N589">_xlfn.XLOOKUP(
  C589,
  [6]C6_LMA_DIAG!$A$52:$A$68,
  _xlfn.XLOOKUP(
    B589,
    [6]C6_LMA_DIAG!$B$51:$O$51,
    [6]C6_LMA_DIAG!$B$52:$O$68
  )
)</f>
        <v>3304</v>
      </c>
      <c r="O589" s="20">
        <v>4193</v>
      </c>
      <c r="P589" s="5">
        <v>4358</v>
      </c>
    </row>
    <row r="590" spans="1:16" x14ac:dyDescent="0.3">
      <c r="A590" s="4" t="s">
        <v>69</v>
      </c>
      <c r="B590" s="4" t="s">
        <v>70</v>
      </c>
      <c r="C590" s="4" t="s">
        <v>24</v>
      </c>
      <c r="D590" s="4" t="s">
        <v>52</v>
      </c>
      <c r="E590" s="4" t="s">
        <v>40</v>
      </c>
      <c r="F590" s="4" t="s">
        <v>20</v>
      </c>
      <c r="G590" s="4" t="s">
        <v>1</v>
      </c>
      <c r="H590" s="5"/>
      <c r="I590" s="5"/>
      <c r="J590" s="5"/>
      <c r="K590" s="5"/>
      <c r="L590" s="5">
        <v>0</v>
      </c>
      <c r="M590" s="5">
        <v>0</v>
      </c>
      <c r="N590" s="5" cm="1">
        <f t="array" ref="N590">_xlfn.XLOOKUP(
  C590,
  [6]C6_LMA_DIAG!$A$52:$A$68,
  _xlfn.XLOOKUP(
    B590,
    [6]C6_LMA_DIAG!$B$51:$O$51,
    [6]C6_LMA_DIAG!$B$52:$O$68
  )
)</f>
        <v>18842</v>
      </c>
      <c r="O590" s="20">
        <v>38817</v>
      </c>
      <c r="P590" s="5">
        <v>35197</v>
      </c>
    </row>
    <row r="591" spans="1:16" x14ac:dyDescent="0.3">
      <c r="A591" s="4"/>
      <c r="B591" s="18" t="s">
        <v>71</v>
      </c>
      <c r="C591" s="4" t="s">
        <v>24</v>
      </c>
      <c r="D591" s="4" t="s">
        <v>52</v>
      </c>
      <c r="E591" s="4" t="s">
        <v>40</v>
      </c>
      <c r="F591" s="4" t="s">
        <v>20</v>
      </c>
      <c r="G591" s="4" t="s">
        <v>1</v>
      </c>
      <c r="H591" s="5"/>
      <c r="I591" s="5"/>
      <c r="J591" s="5"/>
      <c r="K591" s="5"/>
      <c r="L591" s="5">
        <v>0</v>
      </c>
      <c r="M591" s="5">
        <v>0</v>
      </c>
      <c r="N591" s="5" cm="1">
        <f t="array" ref="N591">_xlfn.XLOOKUP(
  C591,
  [6]C6_LMA_DIAG!$A$52:$A$68,
  _xlfn.XLOOKUP(
    B591,
    [6]C6_LMA_DIAG!$B$51:$O$51,
    [6]C6_LMA_DIAG!$B$52:$O$68
  )
)</f>
        <v>415</v>
      </c>
      <c r="O591" s="20">
        <v>339</v>
      </c>
      <c r="P591" s="5">
        <v>0</v>
      </c>
    </row>
    <row r="592" spans="1:16" x14ac:dyDescent="0.3">
      <c r="A592" s="4" t="s">
        <v>69</v>
      </c>
      <c r="B592" s="4" t="s">
        <v>65</v>
      </c>
      <c r="C592" s="4" t="s">
        <v>24</v>
      </c>
      <c r="D592" s="4" t="s">
        <v>52</v>
      </c>
      <c r="E592" s="4" t="s">
        <v>40</v>
      </c>
      <c r="F592" s="4" t="s">
        <v>20</v>
      </c>
      <c r="G592" s="4" t="s">
        <v>1</v>
      </c>
      <c r="H592" s="5"/>
      <c r="I592" s="5"/>
      <c r="J592" s="5"/>
      <c r="K592" s="5"/>
      <c r="L592" s="5" cm="1">
        <f t="array" ref="L592">_xlfn.XLOOKUP(C592,[4]C5_LMA_DIAG!$A$49:$A$66,_xlfn.XLOOKUP(B592,[4]C5_LMA_DIAG!$A$49:$M$49,[4]C5_LMA_DIAG!$A$49:$M$66))</f>
        <v>13100</v>
      </c>
      <c r="M592" s="5" cm="1">
        <f t="array" ref="M592">_xlfn.XLOOKUP(C592,[5]C6_LMA_DIAG!$A$46:$A$63,_xlfn.XLOOKUP(B592,[5]C6_LMA_DIAG!$A$46:$M$46,[5]C6_LMA_DIAG!$A$46:$M$63))</f>
        <v>14195</v>
      </c>
      <c r="N592" s="5" cm="1">
        <f t="array" ref="N592">_xlfn.XLOOKUP(
  C592,
  [6]C6_LMA_DIAG!$A$52:$A$68,
  _xlfn.XLOOKUP(
    B592,
    [6]C6_LMA_DIAG!$B$51:$O$51,
    [6]C6_LMA_DIAG!$B$52:$O$68
  )
)</f>
        <v>11683</v>
      </c>
      <c r="O592" s="20">
        <v>17744</v>
      </c>
      <c r="P592" s="5">
        <v>18669</v>
      </c>
    </row>
    <row r="593" spans="1:16" x14ac:dyDescent="0.3">
      <c r="A593" s="4" t="s">
        <v>69</v>
      </c>
      <c r="B593" s="4" t="s">
        <v>19</v>
      </c>
      <c r="C593" s="4" t="s">
        <v>24</v>
      </c>
      <c r="D593" s="4" t="s">
        <v>52</v>
      </c>
      <c r="E593" s="4" t="s">
        <v>40</v>
      </c>
      <c r="F593" s="4" t="s">
        <v>20</v>
      </c>
      <c r="G593" s="4" t="s">
        <v>1</v>
      </c>
      <c r="H593" s="5"/>
      <c r="I593" s="5"/>
      <c r="J593" s="5"/>
      <c r="K593" s="5"/>
      <c r="L593" s="5" cm="1">
        <f t="array" ref="L593">_xlfn.XLOOKUP(C593,[4]C5_LMA_DIAG!$A$49:$A$66,_xlfn.XLOOKUP(B593,[4]C5_LMA_DIAG!$A$49:$M$49,[4]C5_LMA_DIAG!$A$49:$M$66))</f>
        <v>5</v>
      </c>
      <c r="M593" s="5" cm="1">
        <f t="array" ref="M593">_xlfn.XLOOKUP(C593,[5]C6_LMA_DIAG!$A$46:$A$63,_xlfn.XLOOKUP(B593,[5]C6_LMA_DIAG!$A$46:$M$46,[5]C6_LMA_DIAG!$A$46:$M$63))</f>
        <v>1</v>
      </c>
      <c r="N593" s="5" cm="1">
        <f t="array" ref="N593">_xlfn.XLOOKUP(
  C593,
  [6]C6_LMA_DIAG!$A$52:$A$68,
  _xlfn.XLOOKUP(
    B593,
    [6]C6_LMA_DIAG!$B$51:$O$51,
    [6]C6_LMA_DIAG!$B$52:$O$68
  )
)</f>
        <v>0</v>
      </c>
      <c r="O593" s="20">
        <v>11</v>
      </c>
      <c r="P593" s="5">
        <v>0</v>
      </c>
    </row>
    <row r="594" spans="1:16" x14ac:dyDescent="0.3">
      <c r="A594" s="15" t="s">
        <v>69</v>
      </c>
      <c r="B594" s="15" t="s">
        <v>55</v>
      </c>
      <c r="C594" s="15" t="s">
        <v>25</v>
      </c>
      <c r="D594" s="15" t="s">
        <v>52</v>
      </c>
      <c r="E594" s="15" t="s">
        <v>40</v>
      </c>
      <c r="F594" s="15" t="s">
        <v>20</v>
      </c>
      <c r="G594" s="15" t="s">
        <v>1</v>
      </c>
      <c r="H594" s="16"/>
      <c r="I594" s="16"/>
      <c r="J594" s="16"/>
      <c r="K594" s="16"/>
      <c r="L594" s="5" cm="1">
        <f t="array" ref="L594">_xlfn.XLOOKUP(C594,[4]C5_LMA_DIAG!$A$49:$A$66,_xlfn.XLOOKUP(B594,[4]C5_LMA_DIAG!$A$49:$M$49,[4]C5_LMA_DIAG!$A$49:$M$66))</f>
        <v>9892</v>
      </c>
      <c r="M594" s="5" cm="1">
        <f t="array" ref="M594">_xlfn.XLOOKUP(C594,[5]C6_LMA_DIAG!$A$46:$A$63,_xlfn.XLOOKUP(B594,[5]C6_LMA_DIAG!$A$46:$M$46,[5]C6_LMA_DIAG!$A$46:$M$63))</f>
        <v>11673</v>
      </c>
      <c r="N594" s="5" cm="1">
        <f t="array" ref="N594">_xlfn.XLOOKUP(
  C594,
  [6]C6_LMA_DIAG!$A$52:$A$68,
  _xlfn.XLOOKUP(
    B594,
    [6]C6_LMA_DIAG!$B$51:$O$51,
    [6]C6_LMA_DIAG!$B$52:$O$68
  )
)</f>
        <v>9548</v>
      </c>
      <c r="O594" s="20">
        <v>20654</v>
      </c>
      <c r="P594" s="16">
        <v>30391</v>
      </c>
    </row>
    <row r="595" spans="1:16" x14ac:dyDescent="0.3">
      <c r="A595" s="15" t="s">
        <v>69</v>
      </c>
      <c r="B595" s="15" t="s">
        <v>56</v>
      </c>
      <c r="C595" s="15" t="s">
        <v>25</v>
      </c>
      <c r="D595" s="15" t="s">
        <v>52</v>
      </c>
      <c r="E595" s="15" t="s">
        <v>40</v>
      </c>
      <c r="F595" s="15" t="s">
        <v>20</v>
      </c>
      <c r="G595" s="15" t="s">
        <v>1</v>
      </c>
      <c r="H595" s="16"/>
      <c r="I595" s="16"/>
      <c r="J595" s="16"/>
      <c r="K595" s="16"/>
      <c r="L595" s="5" cm="1">
        <f t="array" ref="L595">_xlfn.XLOOKUP(C595,[4]C5_LMA_DIAG!$A$49:$A$66,_xlfn.XLOOKUP(B595,[4]C5_LMA_DIAG!$A$49:$M$49,[4]C5_LMA_DIAG!$A$49:$M$66))</f>
        <v>11986</v>
      </c>
      <c r="M595" s="5" cm="1">
        <f t="array" ref="M595">_xlfn.XLOOKUP(C595,[5]C6_LMA_DIAG!$A$46:$A$63,_xlfn.XLOOKUP(B595,[5]C6_LMA_DIAG!$A$46:$M$46,[5]C6_LMA_DIAG!$A$46:$M$63))</f>
        <v>15027</v>
      </c>
      <c r="N595" s="5" cm="1">
        <f t="array" ref="N595">_xlfn.XLOOKUP(
  C595,
  [6]C6_LMA_DIAG!$A$52:$A$68,
  _xlfn.XLOOKUP(
    B595,
    [6]C6_LMA_DIAG!$B$51:$O$51,
    [6]C6_LMA_DIAG!$B$52:$O$68
  )
)</f>
        <v>10528</v>
      </c>
      <c r="O595" s="20">
        <v>17946</v>
      </c>
      <c r="P595" s="16">
        <v>20628</v>
      </c>
    </row>
    <row r="596" spans="1:16" x14ac:dyDescent="0.3">
      <c r="A596" s="15" t="s">
        <v>69</v>
      </c>
      <c r="B596" s="15" t="s">
        <v>57</v>
      </c>
      <c r="C596" s="15" t="s">
        <v>25</v>
      </c>
      <c r="D596" s="15" t="s">
        <v>52</v>
      </c>
      <c r="E596" s="15" t="s">
        <v>40</v>
      </c>
      <c r="F596" s="15" t="s">
        <v>20</v>
      </c>
      <c r="G596" s="15" t="s">
        <v>1</v>
      </c>
      <c r="H596" s="16"/>
      <c r="I596" s="16"/>
      <c r="J596" s="16"/>
      <c r="K596" s="16"/>
      <c r="L596" s="5" cm="1">
        <f t="array" ref="L596">_xlfn.XLOOKUP(C596,[4]C5_LMA_DIAG!$A$49:$A$66,_xlfn.XLOOKUP(B596,[4]C5_LMA_DIAG!$A$49:$M$49,[4]C5_LMA_DIAG!$A$49:$M$66))</f>
        <v>6865</v>
      </c>
      <c r="M596" s="5" cm="1">
        <f t="array" ref="M596">_xlfn.XLOOKUP(C596,[5]C6_LMA_DIAG!$A$46:$A$63,_xlfn.XLOOKUP(B596,[5]C6_LMA_DIAG!$A$46:$M$46,[5]C6_LMA_DIAG!$A$46:$M$63))</f>
        <v>9074</v>
      </c>
      <c r="N596" s="5" cm="1">
        <f t="array" ref="N596">_xlfn.XLOOKUP(
  C596,
  [6]C6_LMA_DIAG!$A$52:$A$68,
  _xlfn.XLOOKUP(
    B596,
    [6]C6_LMA_DIAG!$B$51:$O$51,
    [6]C6_LMA_DIAG!$B$52:$O$68
  )
)</f>
        <v>3809</v>
      </c>
      <c r="O596" s="20">
        <v>4284</v>
      </c>
      <c r="P596" s="16">
        <v>9569</v>
      </c>
    </row>
    <row r="597" spans="1:16" x14ac:dyDescent="0.3">
      <c r="A597" s="15" t="s">
        <v>69</v>
      </c>
      <c r="B597" s="15" t="s">
        <v>58</v>
      </c>
      <c r="C597" s="15" t="s">
        <v>25</v>
      </c>
      <c r="D597" s="15" t="s">
        <v>52</v>
      </c>
      <c r="E597" s="15" t="s">
        <v>40</v>
      </c>
      <c r="F597" s="15" t="s">
        <v>20</v>
      </c>
      <c r="G597" s="15" t="s">
        <v>1</v>
      </c>
      <c r="H597" s="16"/>
      <c r="I597" s="16"/>
      <c r="J597" s="16"/>
      <c r="K597" s="16"/>
      <c r="L597" s="5" cm="1">
        <f t="array" ref="L597">_xlfn.XLOOKUP(C597,[4]C5_LMA_DIAG!$A$49:$A$66,_xlfn.XLOOKUP(B597,[4]C5_LMA_DIAG!$A$49:$M$49,[4]C5_LMA_DIAG!$A$49:$M$66))</f>
        <v>4441</v>
      </c>
      <c r="M597" s="5" cm="1">
        <f t="array" ref="M597">_xlfn.XLOOKUP(C597,[5]C6_LMA_DIAG!$A$46:$A$63,_xlfn.XLOOKUP(B597,[5]C6_LMA_DIAG!$A$46:$M$46,[5]C6_LMA_DIAG!$A$46:$M$63))</f>
        <v>5696</v>
      </c>
      <c r="N597" s="5" cm="1">
        <f t="array" ref="N597">_xlfn.XLOOKUP(
  C597,
  [6]C6_LMA_DIAG!$A$52:$A$68,
  _xlfn.XLOOKUP(
    B597,
    [6]C6_LMA_DIAG!$B$51:$O$51,
    [6]C6_LMA_DIAG!$B$52:$O$68
  )
)</f>
        <v>4424</v>
      </c>
      <c r="O597" s="20">
        <v>6226</v>
      </c>
      <c r="P597" s="16">
        <v>7322</v>
      </c>
    </row>
    <row r="598" spans="1:16" x14ac:dyDescent="0.3">
      <c r="A598" s="15" t="s">
        <v>69</v>
      </c>
      <c r="B598" s="15" t="s">
        <v>59</v>
      </c>
      <c r="C598" s="15" t="s">
        <v>25</v>
      </c>
      <c r="D598" s="15" t="s">
        <v>52</v>
      </c>
      <c r="E598" s="15" t="s">
        <v>40</v>
      </c>
      <c r="F598" s="15" t="s">
        <v>20</v>
      </c>
      <c r="G598" s="15" t="s">
        <v>1</v>
      </c>
      <c r="H598" s="16"/>
      <c r="I598" s="16"/>
      <c r="J598" s="16"/>
      <c r="K598" s="16"/>
      <c r="L598" s="5" cm="1">
        <f t="array" ref="L598">_xlfn.XLOOKUP(C598,[4]C5_LMA_DIAG!$A$49:$A$66,_xlfn.XLOOKUP(B598,[4]C5_LMA_DIAG!$A$49:$M$49,[4]C5_LMA_DIAG!$A$49:$M$66))</f>
        <v>2810</v>
      </c>
      <c r="M598" s="5" cm="1">
        <f t="array" ref="M598">_xlfn.XLOOKUP(C598,[5]C6_LMA_DIAG!$A$46:$A$63,_xlfn.XLOOKUP(B598,[5]C6_LMA_DIAG!$A$46:$M$46,[5]C6_LMA_DIAG!$A$46:$M$63))</f>
        <v>3200</v>
      </c>
      <c r="N598" s="5" cm="1">
        <f t="array" ref="N598">_xlfn.XLOOKUP(
  C598,
  [6]C6_LMA_DIAG!$A$52:$A$68,
  _xlfn.XLOOKUP(
    B598,
    [6]C6_LMA_DIAG!$B$51:$O$51,
    [6]C6_LMA_DIAG!$B$52:$O$68
  )
)</f>
        <v>1463</v>
      </c>
      <c r="O598" s="20">
        <v>1612</v>
      </c>
      <c r="P598" s="16">
        <v>2512</v>
      </c>
    </row>
    <row r="599" spans="1:16" x14ac:dyDescent="0.3">
      <c r="A599" s="15" t="s">
        <v>69</v>
      </c>
      <c r="B599" s="15" t="s">
        <v>60</v>
      </c>
      <c r="C599" s="15" t="s">
        <v>25</v>
      </c>
      <c r="D599" s="15" t="s">
        <v>52</v>
      </c>
      <c r="E599" s="15" t="s">
        <v>40</v>
      </c>
      <c r="F599" s="15" t="s">
        <v>20</v>
      </c>
      <c r="G599" s="15" t="s">
        <v>1</v>
      </c>
      <c r="H599" s="16"/>
      <c r="I599" s="16"/>
      <c r="J599" s="16"/>
      <c r="K599" s="16"/>
      <c r="L599" s="5" cm="1">
        <f t="array" ref="L599">_xlfn.XLOOKUP(C599,[4]C5_LMA_DIAG!$A$49:$A$66,_xlfn.XLOOKUP(B599,[4]C5_LMA_DIAG!$A$49:$M$49,[4]C5_LMA_DIAG!$A$49:$M$66))</f>
        <v>3030</v>
      </c>
      <c r="M599" s="5" cm="1">
        <f t="array" ref="M599">_xlfn.XLOOKUP(C599,[5]C6_LMA_DIAG!$A$46:$A$63,_xlfn.XLOOKUP(B599,[5]C6_LMA_DIAG!$A$46:$M$46,[5]C6_LMA_DIAG!$A$46:$M$63))</f>
        <v>3800</v>
      </c>
      <c r="N599" s="5" cm="1">
        <f t="array" ref="N599">_xlfn.XLOOKUP(
  C599,
  [6]C6_LMA_DIAG!$A$52:$A$68,
  _xlfn.XLOOKUP(
    B599,
    [6]C6_LMA_DIAG!$B$51:$O$51,
    [6]C6_LMA_DIAG!$B$52:$O$68
  )
)</f>
        <v>2388</v>
      </c>
      <c r="O599" s="20">
        <v>3609</v>
      </c>
      <c r="P599" s="16">
        <v>4695</v>
      </c>
    </row>
    <row r="600" spans="1:16" x14ac:dyDescent="0.3">
      <c r="A600" s="15" t="s">
        <v>69</v>
      </c>
      <c r="B600" s="15" t="s">
        <v>61</v>
      </c>
      <c r="C600" s="15" t="s">
        <v>25</v>
      </c>
      <c r="D600" s="15" t="s">
        <v>52</v>
      </c>
      <c r="E600" s="15" t="s">
        <v>40</v>
      </c>
      <c r="F600" s="15" t="s">
        <v>20</v>
      </c>
      <c r="G600" s="15" t="s">
        <v>1</v>
      </c>
      <c r="H600" s="16"/>
      <c r="I600" s="16"/>
      <c r="J600" s="16"/>
      <c r="K600" s="16"/>
      <c r="L600" s="5" cm="1">
        <f t="array" ref="L600">_xlfn.XLOOKUP(C600,[4]C5_LMA_DIAG!$A$49:$A$66,_xlfn.XLOOKUP(B600,[4]C5_LMA_DIAG!$A$49:$M$49,[4]C5_LMA_DIAG!$A$49:$M$66))</f>
        <v>1595</v>
      </c>
      <c r="M600" s="5" cm="1">
        <f t="array" ref="M600">_xlfn.XLOOKUP(C600,[5]C6_LMA_DIAG!$A$46:$A$63,_xlfn.XLOOKUP(B600,[5]C6_LMA_DIAG!$A$46:$M$46,[5]C6_LMA_DIAG!$A$46:$M$63))</f>
        <v>1828</v>
      </c>
      <c r="N600" s="5" cm="1">
        <f t="array" ref="N600">_xlfn.XLOOKUP(
  C600,
  [6]C6_LMA_DIAG!$A$52:$A$68,
  _xlfn.XLOOKUP(
    B600,
    [6]C6_LMA_DIAG!$B$51:$O$51,
    [6]C6_LMA_DIAG!$B$52:$O$68
  )
)</f>
        <v>1135</v>
      </c>
      <c r="O600" s="20">
        <v>1165</v>
      </c>
      <c r="P600" s="16">
        <v>1575</v>
      </c>
    </row>
    <row r="601" spans="1:16" x14ac:dyDescent="0.3">
      <c r="A601" s="15" t="s">
        <v>69</v>
      </c>
      <c r="B601" s="15" t="s">
        <v>62</v>
      </c>
      <c r="C601" s="15" t="s">
        <v>25</v>
      </c>
      <c r="D601" s="15" t="s">
        <v>52</v>
      </c>
      <c r="E601" s="15" t="s">
        <v>40</v>
      </c>
      <c r="F601" s="15" t="s">
        <v>20</v>
      </c>
      <c r="G601" s="15" t="s">
        <v>1</v>
      </c>
      <c r="H601" s="16"/>
      <c r="I601" s="16"/>
      <c r="J601" s="16"/>
      <c r="K601" s="16"/>
      <c r="L601" s="5" cm="1">
        <f t="array" ref="L601">_xlfn.XLOOKUP(C601,[4]C5_LMA_DIAG!$A$49:$A$66,_xlfn.XLOOKUP(B601,[4]C5_LMA_DIAG!$A$49:$M$49,[4]C5_LMA_DIAG!$A$49:$M$66))</f>
        <v>2222</v>
      </c>
      <c r="M601" s="5" cm="1">
        <f t="array" ref="M601">_xlfn.XLOOKUP(C601,[5]C6_LMA_DIAG!$A$46:$A$63,_xlfn.XLOOKUP(B601,[5]C6_LMA_DIAG!$A$46:$M$46,[5]C6_LMA_DIAG!$A$46:$M$63))</f>
        <v>2604</v>
      </c>
      <c r="N601" s="5" cm="1">
        <f t="array" ref="N601">_xlfn.XLOOKUP(
  C601,
  [6]C6_LMA_DIAG!$A$52:$A$68,
  _xlfn.XLOOKUP(
    B601,
    [6]C6_LMA_DIAG!$B$51:$O$51,
    [6]C6_LMA_DIAG!$B$52:$O$68
  )
)</f>
        <v>1545</v>
      </c>
      <c r="O601" s="20">
        <v>2150</v>
      </c>
      <c r="P601" s="16">
        <v>2649</v>
      </c>
    </row>
    <row r="602" spans="1:16" x14ac:dyDescent="0.3">
      <c r="A602" s="15" t="s">
        <v>69</v>
      </c>
      <c r="B602" s="15" t="s">
        <v>63</v>
      </c>
      <c r="C602" s="15" t="s">
        <v>25</v>
      </c>
      <c r="D602" s="15" t="s">
        <v>52</v>
      </c>
      <c r="E602" s="15" t="s">
        <v>40</v>
      </c>
      <c r="F602" s="15" t="s">
        <v>20</v>
      </c>
      <c r="G602" s="15" t="s">
        <v>1</v>
      </c>
      <c r="H602" s="16"/>
      <c r="I602" s="16"/>
      <c r="J602" s="16"/>
      <c r="K602" s="16"/>
      <c r="L602" s="5" cm="1">
        <f t="array" ref="L602">_xlfn.XLOOKUP(C602,[4]C5_LMA_DIAG!$A$49:$A$66,_xlfn.XLOOKUP(B602,[4]C5_LMA_DIAG!$A$49:$M$49,[4]C5_LMA_DIAG!$A$49:$M$66))</f>
        <v>1544</v>
      </c>
      <c r="M602" s="5" cm="1">
        <f t="array" ref="M602">_xlfn.XLOOKUP(C602,[5]C6_LMA_DIAG!$A$46:$A$63,_xlfn.XLOOKUP(B602,[5]C6_LMA_DIAG!$A$46:$M$46,[5]C6_LMA_DIAG!$A$46:$M$63))</f>
        <v>1942</v>
      </c>
      <c r="N602" s="5" cm="1">
        <f t="array" ref="N602">_xlfn.XLOOKUP(
  C602,
  [6]C6_LMA_DIAG!$A$52:$A$68,
  _xlfn.XLOOKUP(
    B602,
    [6]C6_LMA_DIAG!$B$51:$O$51,
    [6]C6_LMA_DIAG!$B$52:$O$68
  )
)</f>
        <v>1515</v>
      </c>
      <c r="O602" s="20">
        <v>1786</v>
      </c>
      <c r="P602" s="16">
        <v>2159</v>
      </c>
    </row>
    <row r="603" spans="1:16" x14ac:dyDescent="0.3">
      <c r="A603" s="15" t="s">
        <v>69</v>
      </c>
      <c r="B603" s="15" t="s">
        <v>64</v>
      </c>
      <c r="C603" s="15" t="s">
        <v>25</v>
      </c>
      <c r="D603" s="15" t="s">
        <v>52</v>
      </c>
      <c r="E603" s="15" t="s">
        <v>40</v>
      </c>
      <c r="F603" s="15" t="s">
        <v>20</v>
      </c>
      <c r="G603" s="15" t="s">
        <v>1</v>
      </c>
      <c r="H603" s="16"/>
      <c r="I603" s="16"/>
      <c r="J603" s="16"/>
      <c r="K603" s="16"/>
      <c r="L603" s="5" cm="1">
        <f t="array" ref="L603">_xlfn.XLOOKUP(C603,[4]C5_LMA_DIAG!$A$49:$A$66,_xlfn.XLOOKUP(B603,[4]C5_LMA_DIAG!$A$49:$M$49,[4]C5_LMA_DIAG!$A$49:$M$66))</f>
        <v>1900</v>
      </c>
      <c r="M603" s="5" cm="1">
        <f t="array" ref="M603">_xlfn.XLOOKUP(C603,[5]C6_LMA_DIAG!$A$46:$A$63,_xlfn.XLOOKUP(B603,[5]C6_LMA_DIAG!$A$46:$M$46,[5]C6_LMA_DIAG!$A$46:$M$63))</f>
        <v>2208</v>
      </c>
      <c r="N603" s="5" cm="1">
        <f t="array" ref="N603">_xlfn.XLOOKUP(
  C603,
  [6]C6_LMA_DIAG!$A$52:$A$68,
  _xlfn.XLOOKUP(
    B603,
    [6]C6_LMA_DIAG!$B$51:$O$51,
    [6]C6_LMA_DIAG!$B$52:$O$68
  )
)</f>
        <v>1723</v>
      </c>
      <c r="O603" s="20">
        <v>2171</v>
      </c>
      <c r="P603" s="16">
        <v>2404</v>
      </c>
    </row>
    <row r="604" spans="1:16" x14ac:dyDescent="0.3">
      <c r="A604" s="15" t="s">
        <v>69</v>
      </c>
      <c r="B604" s="15" t="s">
        <v>70</v>
      </c>
      <c r="C604" s="15" t="s">
        <v>25</v>
      </c>
      <c r="D604" s="15" t="s">
        <v>52</v>
      </c>
      <c r="E604" s="15" t="s">
        <v>40</v>
      </c>
      <c r="F604" s="15" t="s">
        <v>20</v>
      </c>
      <c r="G604" s="15" t="s">
        <v>1</v>
      </c>
      <c r="H604" s="16"/>
      <c r="I604" s="16"/>
      <c r="J604" s="16"/>
      <c r="K604" s="16"/>
      <c r="L604" s="5">
        <v>0</v>
      </c>
      <c r="M604" s="5">
        <v>0</v>
      </c>
      <c r="N604" s="5" cm="1">
        <f t="array" ref="N604">_xlfn.XLOOKUP(
  C604,
  [6]C6_LMA_DIAG!$A$52:$A$68,
  _xlfn.XLOOKUP(
    B604,
    [6]C6_LMA_DIAG!$B$51:$O$51,
    [6]C6_LMA_DIAG!$B$52:$O$68
  )
)</f>
        <v>8988</v>
      </c>
      <c r="O604" s="20">
        <v>18172</v>
      </c>
      <c r="P604" s="16">
        <v>23141</v>
      </c>
    </row>
    <row r="605" spans="1:16" x14ac:dyDescent="0.3">
      <c r="A605" s="15"/>
      <c r="B605" s="18" t="s">
        <v>71</v>
      </c>
      <c r="C605" s="15" t="s">
        <v>25</v>
      </c>
      <c r="D605" s="15" t="s">
        <v>52</v>
      </c>
      <c r="E605" s="15" t="s">
        <v>40</v>
      </c>
      <c r="F605" s="15" t="s">
        <v>20</v>
      </c>
      <c r="G605" s="15" t="s">
        <v>1</v>
      </c>
      <c r="H605" s="16"/>
      <c r="I605" s="16"/>
      <c r="J605" s="16"/>
      <c r="K605" s="16"/>
      <c r="L605" s="5">
        <v>0</v>
      </c>
      <c r="M605" s="5">
        <v>0</v>
      </c>
      <c r="N605" s="5" cm="1">
        <f t="array" ref="N605">_xlfn.XLOOKUP(
  C605,
  [6]C6_LMA_DIAG!$A$52:$A$68,
  _xlfn.XLOOKUP(
    B605,
    [6]C6_LMA_DIAG!$B$51:$O$51,
    [6]C6_LMA_DIAG!$B$52:$O$68
  )
)</f>
        <v>227</v>
      </c>
      <c r="O605" s="20">
        <v>180</v>
      </c>
      <c r="P605" s="16">
        <v>0</v>
      </c>
    </row>
    <row r="606" spans="1:16" x14ac:dyDescent="0.3">
      <c r="A606" s="15" t="s">
        <v>69</v>
      </c>
      <c r="B606" s="15" t="s">
        <v>65</v>
      </c>
      <c r="C606" s="15" t="s">
        <v>25</v>
      </c>
      <c r="D606" s="15" t="s">
        <v>52</v>
      </c>
      <c r="E606" s="15" t="s">
        <v>40</v>
      </c>
      <c r="F606" s="15" t="s">
        <v>20</v>
      </c>
      <c r="G606" s="15" t="s">
        <v>1</v>
      </c>
      <c r="H606" s="16"/>
      <c r="I606" s="16"/>
      <c r="J606" s="16"/>
      <c r="K606" s="16"/>
      <c r="L606" s="5" cm="1">
        <f t="array" ref="L606">_xlfn.XLOOKUP(C606,[4]C5_LMA_DIAG!$A$49:$A$66,_xlfn.XLOOKUP(B606,[4]C5_LMA_DIAG!$A$49:$M$49,[4]C5_LMA_DIAG!$A$49:$M$66))</f>
        <v>6526</v>
      </c>
      <c r="M606" s="5" cm="1">
        <f t="array" ref="M606">_xlfn.XLOOKUP(C606,[5]C6_LMA_DIAG!$A$46:$A$63,_xlfn.XLOOKUP(B606,[5]C6_LMA_DIAG!$A$46:$M$46,[5]C6_LMA_DIAG!$A$46:$M$63))</f>
        <v>8267</v>
      </c>
      <c r="N606" s="5" cm="1">
        <f t="array" ref="N606">_xlfn.XLOOKUP(
  C606,
  [6]C6_LMA_DIAG!$A$52:$A$68,
  _xlfn.XLOOKUP(
    B606,
    [6]C6_LMA_DIAG!$B$51:$O$51,
    [6]C6_LMA_DIAG!$B$52:$O$68
  )
)</f>
        <v>5788</v>
      </c>
      <c r="O606" s="20">
        <v>8841</v>
      </c>
      <c r="P606" s="16">
        <v>10790</v>
      </c>
    </row>
    <row r="607" spans="1:16" x14ac:dyDescent="0.3">
      <c r="A607" s="15" t="s">
        <v>69</v>
      </c>
      <c r="B607" s="15" t="s">
        <v>19</v>
      </c>
      <c r="C607" s="15" t="s">
        <v>25</v>
      </c>
      <c r="D607" s="15" t="s">
        <v>52</v>
      </c>
      <c r="E607" s="15" t="s">
        <v>40</v>
      </c>
      <c r="F607" s="15" t="s">
        <v>20</v>
      </c>
      <c r="G607" s="15" t="s">
        <v>1</v>
      </c>
      <c r="H607" s="16"/>
      <c r="I607" s="16"/>
      <c r="J607" s="16"/>
      <c r="K607" s="16"/>
      <c r="L607" s="5" cm="1">
        <f t="array" ref="L607">_xlfn.XLOOKUP(C607,[4]C5_LMA_DIAG!$A$49:$A$66,_xlfn.XLOOKUP(B607,[4]C5_LMA_DIAG!$A$49:$M$49,[4]C5_LMA_DIAG!$A$49:$M$66))</f>
        <v>1</v>
      </c>
      <c r="M607" s="5" cm="1">
        <f t="array" ref="M607">_xlfn.XLOOKUP(C607,[5]C6_LMA_DIAG!$A$46:$A$63,_xlfn.XLOOKUP(B607,[5]C6_LMA_DIAG!$A$46:$M$46,[5]C6_LMA_DIAG!$A$46:$M$63))</f>
        <v>0</v>
      </c>
      <c r="N607" s="5" cm="1">
        <f t="array" ref="N607">_xlfn.XLOOKUP(
  C607,
  [6]C6_LMA_DIAG!$A$52:$A$68,
  _xlfn.XLOOKUP(
    B607,
    [6]C6_LMA_DIAG!$B$51:$O$51,
    [6]C6_LMA_DIAG!$B$52:$O$68
  )
)</f>
        <v>0</v>
      </c>
      <c r="O607" s="20">
        <v>1</v>
      </c>
      <c r="P607" s="16">
        <v>0</v>
      </c>
    </row>
    <row r="608" spans="1:16" x14ac:dyDescent="0.3">
      <c r="A608" s="4" t="s">
        <v>69</v>
      </c>
      <c r="B608" s="4" t="s">
        <v>55</v>
      </c>
      <c r="C608" s="4" t="s">
        <v>26</v>
      </c>
      <c r="D608" s="4" t="s">
        <v>52</v>
      </c>
      <c r="E608" s="4" t="s">
        <v>40</v>
      </c>
      <c r="F608" s="4" t="s">
        <v>20</v>
      </c>
      <c r="G608" s="4" t="s">
        <v>1</v>
      </c>
      <c r="H608" s="5"/>
      <c r="I608" s="5"/>
      <c r="J608" s="5"/>
      <c r="K608" s="5"/>
      <c r="L608" s="5" cm="1">
        <f t="array" ref="L608">_xlfn.XLOOKUP(C608,[4]C5_LMA_DIAG!$A$49:$A$66,_xlfn.XLOOKUP(B608,[4]C5_LMA_DIAG!$A$49:$M$49,[4]C5_LMA_DIAG!$A$49:$M$66))</f>
        <v>24882</v>
      </c>
      <c r="M608" s="5" cm="1">
        <f t="array" ref="M608">_xlfn.XLOOKUP(C608,[5]C6_LMA_DIAG!$A$46:$A$63,_xlfn.XLOOKUP(B608,[5]C6_LMA_DIAG!$A$46:$M$46,[5]C6_LMA_DIAG!$A$46:$M$63))</f>
        <v>26748</v>
      </c>
      <c r="N608" s="5" cm="1">
        <f t="array" ref="N608">_xlfn.XLOOKUP(
  C608,
  [6]C6_LMA_DIAG!$A$52:$A$68,
  _xlfn.XLOOKUP(
    B608,
    [6]C6_LMA_DIAG!$B$51:$O$51,
    [6]C6_LMA_DIAG!$B$52:$O$68
  )
)</f>
        <v>24623</v>
      </c>
      <c r="O608" s="20">
        <v>49673</v>
      </c>
      <c r="P608" s="5">
        <v>63178</v>
      </c>
    </row>
    <row r="609" spans="1:16" x14ac:dyDescent="0.3">
      <c r="A609" s="4" t="s">
        <v>69</v>
      </c>
      <c r="B609" s="4" t="s">
        <v>56</v>
      </c>
      <c r="C609" s="4" t="s">
        <v>26</v>
      </c>
      <c r="D609" s="4" t="s">
        <v>52</v>
      </c>
      <c r="E609" s="4" t="s">
        <v>40</v>
      </c>
      <c r="F609" s="4" t="s">
        <v>20</v>
      </c>
      <c r="G609" s="4" t="s">
        <v>1</v>
      </c>
      <c r="H609" s="5"/>
      <c r="I609" s="5"/>
      <c r="J609" s="5"/>
      <c r="K609" s="5"/>
      <c r="L609" s="5" cm="1">
        <f t="array" ref="L609">_xlfn.XLOOKUP(C609,[4]C5_LMA_DIAG!$A$49:$A$66,_xlfn.XLOOKUP(B609,[4]C5_LMA_DIAG!$A$49:$M$49,[4]C5_LMA_DIAG!$A$49:$M$66))</f>
        <v>21870</v>
      </c>
      <c r="M609" s="5" cm="1">
        <f t="array" ref="M609">_xlfn.XLOOKUP(C609,[5]C6_LMA_DIAG!$A$46:$A$63,_xlfn.XLOOKUP(B609,[5]C6_LMA_DIAG!$A$46:$M$46,[5]C6_LMA_DIAG!$A$46:$M$63))</f>
        <v>24130</v>
      </c>
      <c r="N609" s="5" cm="1">
        <f t="array" ref="N609">_xlfn.XLOOKUP(
  C609,
  [6]C6_LMA_DIAG!$A$52:$A$68,
  _xlfn.XLOOKUP(
    B609,
    [6]C6_LMA_DIAG!$B$51:$O$51,
    [6]C6_LMA_DIAG!$B$52:$O$68
  )
)</f>
        <v>18063</v>
      </c>
      <c r="O609" s="20">
        <v>31654</v>
      </c>
      <c r="P609" s="5">
        <v>37070</v>
      </c>
    </row>
    <row r="610" spans="1:16" x14ac:dyDescent="0.3">
      <c r="A610" s="4" t="s">
        <v>69</v>
      </c>
      <c r="B610" s="4" t="s">
        <v>57</v>
      </c>
      <c r="C610" s="4" t="s">
        <v>26</v>
      </c>
      <c r="D610" s="4" t="s">
        <v>52</v>
      </c>
      <c r="E610" s="4" t="s">
        <v>40</v>
      </c>
      <c r="F610" s="4" t="s">
        <v>20</v>
      </c>
      <c r="G610" s="4" t="s">
        <v>1</v>
      </c>
      <c r="H610" s="5"/>
      <c r="I610" s="5"/>
      <c r="J610" s="5"/>
      <c r="K610" s="5"/>
      <c r="L610" s="5" cm="1">
        <f t="array" ref="L610">_xlfn.XLOOKUP(C610,[4]C5_LMA_DIAG!$A$49:$A$66,_xlfn.XLOOKUP(B610,[4]C5_LMA_DIAG!$A$49:$M$49,[4]C5_LMA_DIAG!$A$49:$M$66))</f>
        <v>14630</v>
      </c>
      <c r="M610" s="5" cm="1">
        <f t="array" ref="M610">_xlfn.XLOOKUP(C610,[5]C6_LMA_DIAG!$A$46:$A$63,_xlfn.XLOOKUP(B610,[5]C6_LMA_DIAG!$A$46:$M$46,[5]C6_LMA_DIAG!$A$46:$M$63))</f>
        <v>17539</v>
      </c>
      <c r="N610" s="5" cm="1">
        <f t="array" ref="N610">_xlfn.XLOOKUP(
  C610,
  [6]C6_LMA_DIAG!$A$52:$A$68,
  _xlfn.XLOOKUP(
    B610,
    [6]C6_LMA_DIAG!$B$51:$O$51,
    [6]C6_LMA_DIAG!$B$52:$O$68
  )
)</f>
        <v>6266</v>
      </c>
      <c r="O610" s="20">
        <v>6603</v>
      </c>
      <c r="P610" s="5">
        <v>19866</v>
      </c>
    </row>
    <row r="611" spans="1:16" x14ac:dyDescent="0.3">
      <c r="A611" s="4" t="s">
        <v>69</v>
      </c>
      <c r="B611" s="4" t="s">
        <v>58</v>
      </c>
      <c r="C611" s="4" t="s">
        <v>26</v>
      </c>
      <c r="D611" s="4" t="s">
        <v>52</v>
      </c>
      <c r="E611" s="4" t="s">
        <v>40</v>
      </c>
      <c r="F611" s="4" t="s">
        <v>20</v>
      </c>
      <c r="G611" s="4" t="s">
        <v>1</v>
      </c>
      <c r="H611" s="5"/>
      <c r="I611" s="5"/>
      <c r="J611" s="5"/>
      <c r="K611" s="5"/>
      <c r="L611" s="5" cm="1">
        <f t="array" ref="L611">_xlfn.XLOOKUP(C611,[4]C5_LMA_DIAG!$A$49:$A$66,_xlfn.XLOOKUP(B611,[4]C5_LMA_DIAG!$A$49:$M$49,[4]C5_LMA_DIAG!$A$49:$M$66))</f>
        <v>7621</v>
      </c>
      <c r="M611" s="5" cm="1">
        <f t="array" ref="M611">_xlfn.XLOOKUP(C611,[5]C6_LMA_DIAG!$A$46:$A$63,_xlfn.XLOOKUP(B611,[5]C6_LMA_DIAG!$A$46:$M$46,[5]C6_LMA_DIAG!$A$46:$M$63))</f>
        <v>9204</v>
      </c>
      <c r="N611" s="5" cm="1">
        <f t="array" ref="N611">_xlfn.XLOOKUP(
  C611,
  [6]C6_LMA_DIAG!$A$52:$A$68,
  _xlfn.XLOOKUP(
    B611,
    [6]C6_LMA_DIAG!$B$51:$O$51,
    [6]C6_LMA_DIAG!$B$52:$O$68
  )
)</f>
        <v>7275</v>
      </c>
      <c r="O611" s="20">
        <v>11554</v>
      </c>
      <c r="P611" s="5">
        <v>12884</v>
      </c>
    </row>
    <row r="612" spans="1:16" x14ac:dyDescent="0.3">
      <c r="A612" s="4" t="s">
        <v>69</v>
      </c>
      <c r="B612" s="4" t="s">
        <v>59</v>
      </c>
      <c r="C612" s="4" t="s">
        <v>26</v>
      </c>
      <c r="D612" s="4" t="s">
        <v>52</v>
      </c>
      <c r="E612" s="4" t="s">
        <v>40</v>
      </c>
      <c r="F612" s="4" t="s">
        <v>20</v>
      </c>
      <c r="G612" s="4" t="s">
        <v>1</v>
      </c>
      <c r="H612" s="5"/>
      <c r="I612" s="5"/>
      <c r="J612" s="5"/>
      <c r="K612" s="5"/>
      <c r="L612" s="5" cm="1">
        <f t="array" ref="L612">_xlfn.XLOOKUP(C612,[4]C5_LMA_DIAG!$A$49:$A$66,_xlfn.XLOOKUP(B612,[4]C5_LMA_DIAG!$A$49:$M$49,[4]C5_LMA_DIAG!$A$49:$M$66))</f>
        <v>5116</v>
      </c>
      <c r="M612" s="5" cm="1">
        <f t="array" ref="M612">_xlfn.XLOOKUP(C612,[5]C6_LMA_DIAG!$A$46:$A$63,_xlfn.XLOOKUP(B612,[5]C6_LMA_DIAG!$A$46:$M$46,[5]C6_LMA_DIAG!$A$46:$M$63))</f>
        <v>6221</v>
      </c>
      <c r="N612" s="5" cm="1">
        <f t="array" ref="N612">_xlfn.XLOOKUP(
  C612,
  [6]C6_LMA_DIAG!$A$52:$A$68,
  _xlfn.XLOOKUP(
    B612,
    [6]C6_LMA_DIAG!$B$51:$O$51,
    [6]C6_LMA_DIAG!$B$52:$O$68
  )
)</f>
        <v>3416</v>
      </c>
      <c r="O612" s="20">
        <v>3834</v>
      </c>
      <c r="P612" s="5">
        <v>6579</v>
      </c>
    </row>
    <row r="613" spans="1:16" x14ac:dyDescent="0.3">
      <c r="A613" s="4" t="s">
        <v>69</v>
      </c>
      <c r="B613" s="4" t="s">
        <v>60</v>
      </c>
      <c r="C613" s="4" t="s">
        <v>26</v>
      </c>
      <c r="D613" s="4" t="s">
        <v>52</v>
      </c>
      <c r="E613" s="4" t="s">
        <v>40</v>
      </c>
      <c r="F613" s="4" t="s">
        <v>20</v>
      </c>
      <c r="G613" s="4" t="s">
        <v>1</v>
      </c>
      <c r="H613" s="5"/>
      <c r="I613" s="5"/>
      <c r="J613" s="5"/>
      <c r="K613" s="5"/>
      <c r="L613" s="5" cm="1">
        <f t="array" ref="L613">_xlfn.XLOOKUP(C613,[4]C5_LMA_DIAG!$A$49:$A$66,_xlfn.XLOOKUP(B613,[4]C5_LMA_DIAG!$A$49:$M$49,[4]C5_LMA_DIAG!$A$49:$M$66))</f>
        <v>6181</v>
      </c>
      <c r="M613" s="5" cm="1">
        <f t="array" ref="M613">_xlfn.XLOOKUP(C613,[5]C6_LMA_DIAG!$A$46:$A$63,_xlfn.XLOOKUP(B613,[5]C6_LMA_DIAG!$A$46:$M$46,[5]C6_LMA_DIAG!$A$46:$M$63))</f>
        <v>7251</v>
      </c>
      <c r="N613" s="5" cm="1">
        <f t="array" ref="N613">_xlfn.XLOOKUP(
  C613,
  [6]C6_LMA_DIAG!$A$52:$A$68,
  _xlfn.XLOOKUP(
    B613,
    [6]C6_LMA_DIAG!$B$51:$O$51,
    [6]C6_LMA_DIAG!$B$52:$O$68
  )
)</f>
        <v>4229</v>
      </c>
      <c r="O613" s="20">
        <v>6802</v>
      </c>
      <c r="P613" s="5">
        <v>9204</v>
      </c>
    </row>
    <row r="614" spans="1:16" x14ac:dyDescent="0.3">
      <c r="A614" s="4" t="s">
        <v>69</v>
      </c>
      <c r="B614" s="4" t="s">
        <v>61</v>
      </c>
      <c r="C614" s="4" t="s">
        <v>26</v>
      </c>
      <c r="D614" s="4" t="s">
        <v>52</v>
      </c>
      <c r="E614" s="4" t="s">
        <v>40</v>
      </c>
      <c r="F614" s="4" t="s">
        <v>20</v>
      </c>
      <c r="G614" s="4" t="s">
        <v>1</v>
      </c>
      <c r="H614" s="5"/>
      <c r="I614" s="5"/>
      <c r="J614" s="5"/>
      <c r="K614" s="5"/>
      <c r="L614" s="5" cm="1">
        <f t="array" ref="L614">_xlfn.XLOOKUP(C614,[4]C5_LMA_DIAG!$A$49:$A$66,_xlfn.XLOOKUP(B614,[4]C5_LMA_DIAG!$A$49:$M$49,[4]C5_LMA_DIAG!$A$49:$M$66))</f>
        <v>4091</v>
      </c>
      <c r="M614" s="5" cm="1">
        <f t="array" ref="M614">_xlfn.XLOOKUP(C614,[5]C6_LMA_DIAG!$A$46:$A$63,_xlfn.XLOOKUP(B614,[5]C6_LMA_DIAG!$A$46:$M$46,[5]C6_LMA_DIAG!$A$46:$M$63))</f>
        <v>3555</v>
      </c>
      <c r="N614" s="5" cm="1">
        <f t="array" ref="N614">_xlfn.XLOOKUP(
  C614,
  [6]C6_LMA_DIAG!$A$52:$A$68,
  _xlfn.XLOOKUP(
    B614,
    [6]C6_LMA_DIAG!$B$51:$O$51,
    [6]C6_LMA_DIAG!$B$52:$O$68
  )
)</f>
        <v>2390</v>
      </c>
      <c r="O614" s="20">
        <v>2677</v>
      </c>
      <c r="P614" s="5">
        <v>3371</v>
      </c>
    </row>
    <row r="615" spans="1:16" x14ac:dyDescent="0.3">
      <c r="A615" s="4" t="s">
        <v>69</v>
      </c>
      <c r="B615" s="4" t="s">
        <v>62</v>
      </c>
      <c r="C615" s="4" t="s">
        <v>26</v>
      </c>
      <c r="D615" s="4" t="s">
        <v>52</v>
      </c>
      <c r="E615" s="4" t="s">
        <v>40</v>
      </c>
      <c r="F615" s="4" t="s">
        <v>20</v>
      </c>
      <c r="G615" s="4" t="s">
        <v>1</v>
      </c>
      <c r="H615" s="5"/>
      <c r="I615" s="5"/>
      <c r="J615" s="5"/>
      <c r="K615" s="5"/>
      <c r="L615" s="5" cm="1">
        <f t="array" ref="L615">_xlfn.XLOOKUP(C615,[4]C5_LMA_DIAG!$A$49:$A$66,_xlfn.XLOOKUP(B615,[4]C5_LMA_DIAG!$A$49:$M$49,[4]C5_LMA_DIAG!$A$49:$M$66))</f>
        <v>3729</v>
      </c>
      <c r="M615" s="5" cm="1">
        <f t="array" ref="M615">_xlfn.XLOOKUP(C615,[5]C6_LMA_DIAG!$A$46:$A$63,_xlfn.XLOOKUP(B615,[5]C6_LMA_DIAG!$A$46:$M$46,[5]C6_LMA_DIAG!$A$46:$M$63))</f>
        <v>4180</v>
      </c>
      <c r="N615" s="5" cm="1">
        <f t="array" ref="N615">_xlfn.XLOOKUP(
  C615,
  [6]C6_LMA_DIAG!$A$52:$A$68,
  _xlfn.XLOOKUP(
    B615,
    [6]C6_LMA_DIAG!$B$51:$O$51,
    [6]C6_LMA_DIAG!$B$52:$O$68
  )
)</f>
        <v>2708</v>
      </c>
      <c r="O615" s="20">
        <v>3857</v>
      </c>
      <c r="P615" s="5">
        <v>4992</v>
      </c>
    </row>
    <row r="616" spans="1:16" x14ac:dyDescent="0.3">
      <c r="A616" s="4" t="s">
        <v>69</v>
      </c>
      <c r="B616" s="4" t="s">
        <v>63</v>
      </c>
      <c r="C616" s="4" t="s">
        <v>26</v>
      </c>
      <c r="D616" s="4" t="s">
        <v>52</v>
      </c>
      <c r="E616" s="4" t="s">
        <v>40</v>
      </c>
      <c r="F616" s="4" t="s">
        <v>20</v>
      </c>
      <c r="G616" s="4" t="s">
        <v>1</v>
      </c>
      <c r="H616" s="5"/>
      <c r="I616" s="5"/>
      <c r="J616" s="5"/>
      <c r="K616" s="5"/>
      <c r="L616" s="5" cm="1">
        <f t="array" ref="L616">_xlfn.XLOOKUP(C616,[4]C5_LMA_DIAG!$A$49:$A$66,_xlfn.XLOOKUP(B616,[4]C5_LMA_DIAG!$A$49:$M$49,[4]C5_LMA_DIAG!$A$49:$M$66))</f>
        <v>3201</v>
      </c>
      <c r="M616" s="5" cm="1">
        <f t="array" ref="M616">_xlfn.XLOOKUP(C616,[5]C6_LMA_DIAG!$A$46:$A$63,_xlfn.XLOOKUP(B616,[5]C6_LMA_DIAG!$A$46:$M$46,[5]C6_LMA_DIAG!$A$46:$M$63))</f>
        <v>2378</v>
      </c>
      <c r="N616" s="5" cm="1">
        <f t="array" ref="N616">_xlfn.XLOOKUP(
  C616,
  [6]C6_LMA_DIAG!$A$52:$A$68,
  _xlfn.XLOOKUP(
    B616,
    [6]C6_LMA_DIAG!$B$51:$O$51,
    [6]C6_LMA_DIAG!$B$52:$O$68
  )
)</f>
        <v>2224</v>
      </c>
      <c r="O616" s="20">
        <v>3168</v>
      </c>
      <c r="P616" s="5">
        <v>3713</v>
      </c>
    </row>
    <row r="617" spans="1:16" x14ac:dyDescent="0.3">
      <c r="A617" s="4" t="s">
        <v>69</v>
      </c>
      <c r="B617" s="4" t="s">
        <v>64</v>
      </c>
      <c r="C617" s="4" t="s">
        <v>26</v>
      </c>
      <c r="D617" s="4" t="s">
        <v>52</v>
      </c>
      <c r="E617" s="4" t="s">
        <v>40</v>
      </c>
      <c r="F617" s="4" t="s">
        <v>20</v>
      </c>
      <c r="G617" s="4" t="s">
        <v>1</v>
      </c>
      <c r="H617" s="5"/>
      <c r="I617" s="5"/>
      <c r="J617" s="5"/>
      <c r="K617" s="5"/>
      <c r="L617" s="5" cm="1">
        <f t="array" ref="L617">_xlfn.XLOOKUP(C617,[4]C5_LMA_DIAG!$A$49:$A$66,_xlfn.XLOOKUP(B617,[4]C5_LMA_DIAG!$A$49:$M$49,[4]C5_LMA_DIAG!$A$49:$M$66))</f>
        <v>2877</v>
      </c>
      <c r="M617" s="5" cm="1">
        <f t="array" ref="M617">_xlfn.XLOOKUP(C617,[5]C6_LMA_DIAG!$A$46:$A$63,_xlfn.XLOOKUP(B617,[5]C6_LMA_DIAG!$A$46:$M$46,[5]C6_LMA_DIAG!$A$46:$M$63))</f>
        <v>2626</v>
      </c>
      <c r="N617" s="5" cm="1">
        <f t="array" ref="N617">_xlfn.XLOOKUP(
  C617,
  [6]C6_LMA_DIAG!$A$52:$A$68,
  _xlfn.XLOOKUP(
    B617,
    [6]C6_LMA_DIAG!$B$51:$O$51,
    [6]C6_LMA_DIAG!$B$52:$O$68
  )
)</f>
        <v>2543</v>
      </c>
      <c r="O617" s="20">
        <v>3706</v>
      </c>
      <c r="P617" s="5">
        <v>3717</v>
      </c>
    </row>
    <row r="618" spans="1:16" x14ac:dyDescent="0.3">
      <c r="A618" s="4" t="s">
        <v>69</v>
      </c>
      <c r="B618" s="4" t="s">
        <v>70</v>
      </c>
      <c r="C618" s="4" t="s">
        <v>26</v>
      </c>
      <c r="D618" s="4" t="s">
        <v>52</v>
      </c>
      <c r="E618" s="4" t="s">
        <v>40</v>
      </c>
      <c r="F618" s="4" t="s">
        <v>20</v>
      </c>
      <c r="G618" s="4" t="s">
        <v>1</v>
      </c>
      <c r="H618" s="5"/>
      <c r="I618" s="5"/>
      <c r="J618" s="5"/>
      <c r="K618" s="5"/>
      <c r="L618" s="5">
        <v>0</v>
      </c>
      <c r="M618" s="5">
        <v>0</v>
      </c>
      <c r="N618" s="5" cm="1">
        <f t="array" ref="N618">_xlfn.XLOOKUP(
  C618,
  [6]C6_LMA_DIAG!$A$52:$A$68,
  _xlfn.XLOOKUP(
    B618,
    [6]C6_LMA_DIAG!$B$51:$O$51,
    [6]C6_LMA_DIAG!$B$52:$O$68
  )
)</f>
        <v>17700</v>
      </c>
      <c r="O618" s="20">
        <v>40673</v>
      </c>
      <c r="P618" s="5">
        <v>50428</v>
      </c>
    </row>
    <row r="619" spans="1:16" x14ac:dyDescent="0.3">
      <c r="A619" s="4"/>
      <c r="B619" s="18" t="s">
        <v>71</v>
      </c>
      <c r="C619" s="4" t="s">
        <v>26</v>
      </c>
      <c r="D619" s="4" t="s">
        <v>52</v>
      </c>
      <c r="E619" s="4" t="s">
        <v>40</v>
      </c>
      <c r="F619" s="4" t="s">
        <v>20</v>
      </c>
      <c r="G619" s="4" t="s">
        <v>1</v>
      </c>
      <c r="H619" s="5"/>
      <c r="I619" s="5"/>
      <c r="J619" s="5"/>
      <c r="K619" s="5"/>
      <c r="L619" s="5">
        <v>0</v>
      </c>
      <c r="M619" s="5">
        <v>0</v>
      </c>
      <c r="N619" s="5" cm="1">
        <f t="array" ref="N619">_xlfn.XLOOKUP(
  C619,
  [6]C6_LMA_DIAG!$A$52:$A$68,
  _xlfn.XLOOKUP(
    B619,
    [6]C6_LMA_DIAG!$B$51:$O$51,
    [6]C6_LMA_DIAG!$B$52:$O$68
  )
)</f>
        <v>636</v>
      </c>
      <c r="O619" s="20">
        <v>517</v>
      </c>
      <c r="P619" s="5">
        <v>0</v>
      </c>
    </row>
    <row r="620" spans="1:16" x14ac:dyDescent="0.3">
      <c r="A620" s="4" t="s">
        <v>69</v>
      </c>
      <c r="B620" s="4" t="s">
        <v>65</v>
      </c>
      <c r="C620" s="4" t="s">
        <v>26</v>
      </c>
      <c r="D620" s="4" t="s">
        <v>52</v>
      </c>
      <c r="E620" s="4" t="s">
        <v>40</v>
      </c>
      <c r="F620" s="4" t="s">
        <v>20</v>
      </c>
      <c r="G620" s="4" t="s">
        <v>1</v>
      </c>
      <c r="H620" s="5"/>
      <c r="I620" s="5"/>
      <c r="J620" s="5"/>
      <c r="K620" s="5"/>
      <c r="L620" s="5" cm="1">
        <f t="array" ref="L620">_xlfn.XLOOKUP(C620,[4]C5_LMA_DIAG!$A$49:$A$66,_xlfn.XLOOKUP(B620,[4]C5_LMA_DIAG!$A$49:$M$49,[4]C5_LMA_DIAG!$A$49:$M$66))</f>
        <v>13639</v>
      </c>
      <c r="M620" s="5" cm="1">
        <f t="array" ref="M620">_xlfn.XLOOKUP(C620,[5]C6_LMA_DIAG!$A$46:$A$63,_xlfn.XLOOKUP(B620,[5]C6_LMA_DIAG!$A$46:$M$46,[5]C6_LMA_DIAG!$A$46:$M$63))</f>
        <v>14430</v>
      </c>
      <c r="N620" s="5" cm="1">
        <f t="array" ref="N620">_xlfn.XLOOKUP(
  C620,
  [6]C6_LMA_DIAG!$A$52:$A$68,
  _xlfn.XLOOKUP(
    B620,
    [6]C6_LMA_DIAG!$B$51:$O$51,
    [6]C6_LMA_DIAG!$B$52:$O$68
  )
)</f>
        <v>9175</v>
      </c>
      <c r="O620" s="20">
        <v>14482</v>
      </c>
      <c r="P620" s="5">
        <v>17500</v>
      </c>
    </row>
    <row r="621" spans="1:16" x14ac:dyDescent="0.3">
      <c r="A621" s="4" t="s">
        <v>69</v>
      </c>
      <c r="B621" s="4" t="s">
        <v>19</v>
      </c>
      <c r="C621" s="4" t="s">
        <v>26</v>
      </c>
      <c r="D621" s="4" t="s">
        <v>52</v>
      </c>
      <c r="E621" s="4" t="s">
        <v>40</v>
      </c>
      <c r="F621" s="4" t="s">
        <v>20</v>
      </c>
      <c r="G621" s="4" t="s">
        <v>1</v>
      </c>
      <c r="H621" s="5"/>
      <c r="I621" s="5"/>
      <c r="J621" s="5"/>
      <c r="K621" s="5"/>
      <c r="L621" s="5" cm="1">
        <f t="array" ref="L621">_xlfn.XLOOKUP(C621,[4]C5_LMA_DIAG!$A$49:$A$66,_xlfn.XLOOKUP(B621,[4]C5_LMA_DIAG!$A$49:$M$49,[4]C5_LMA_DIAG!$A$49:$M$66))</f>
        <v>1</v>
      </c>
      <c r="M621" s="5" cm="1">
        <f t="array" ref="M621">_xlfn.XLOOKUP(C621,[5]C6_LMA_DIAG!$A$46:$A$63,_xlfn.XLOOKUP(B621,[5]C6_LMA_DIAG!$A$46:$M$46,[5]C6_LMA_DIAG!$A$46:$M$63))</f>
        <v>1</v>
      </c>
      <c r="N621" s="5" cm="1">
        <f t="array" ref="N621">_xlfn.XLOOKUP(
  C621,
  [6]C6_LMA_DIAG!$A$52:$A$68,
  _xlfn.XLOOKUP(
    B621,
    [6]C6_LMA_DIAG!$B$51:$O$51,
    [6]C6_LMA_DIAG!$B$52:$O$68
  )
)</f>
        <v>0</v>
      </c>
      <c r="O621" s="20">
        <v>2</v>
      </c>
      <c r="P621" s="5">
        <v>0</v>
      </c>
    </row>
    <row r="622" spans="1:16" x14ac:dyDescent="0.3">
      <c r="A622" s="15" t="s">
        <v>69</v>
      </c>
      <c r="B622" s="15" t="s">
        <v>55</v>
      </c>
      <c r="C622" s="15" t="s">
        <v>27</v>
      </c>
      <c r="D622" s="15" t="s">
        <v>52</v>
      </c>
      <c r="E622" s="15" t="s">
        <v>40</v>
      </c>
      <c r="F622" s="15" t="s">
        <v>20</v>
      </c>
      <c r="G622" s="15" t="s">
        <v>1</v>
      </c>
      <c r="H622" s="16"/>
      <c r="I622" s="16"/>
      <c r="J622" s="16"/>
      <c r="K622" s="16"/>
      <c r="L622" s="5" cm="1">
        <f t="array" ref="L622">_xlfn.XLOOKUP(C622,[4]C5_LMA_DIAG!$A$49:$A$66,_xlfn.XLOOKUP(B622,[4]C5_LMA_DIAG!$A$49:$M$49,[4]C5_LMA_DIAG!$A$49:$M$66))</f>
        <v>52661</v>
      </c>
      <c r="M622" s="5" cm="1">
        <f t="array" ref="M622">_xlfn.XLOOKUP(C622,[5]C6_LMA_DIAG!$A$46:$A$63,_xlfn.XLOOKUP(B622,[5]C6_LMA_DIAG!$A$46:$M$46,[5]C6_LMA_DIAG!$A$46:$M$63))</f>
        <v>75882</v>
      </c>
      <c r="N622" s="5" cm="1">
        <f t="array" ref="N622">_xlfn.XLOOKUP(
  C622,
  [6]C6_LMA_DIAG!$A$52:$A$68,
  _xlfn.XLOOKUP(
    B622,
    [6]C6_LMA_DIAG!$B$51:$O$51,
    [6]C6_LMA_DIAG!$B$52:$O$68
  )
)</f>
        <v>90292</v>
      </c>
      <c r="O622" s="20">
        <v>170621</v>
      </c>
      <c r="P622" s="16">
        <v>198137</v>
      </c>
    </row>
    <row r="623" spans="1:16" x14ac:dyDescent="0.3">
      <c r="A623" s="15" t="s">
        <v>69</v>
      </c>
      <c r="B623" s="15" t="s">
        <v>56</v>
      </c>
      <c r="C623" s="15" t="s">
        <v>27</v>
      </c>
      <c r="D623" s="15" t="s">
        <v>52</v>
      </c>
      <c r="E623" s="15" t="s">
        <v>40</v>
      </c>
      <c r="F623" s="15" t="s">
        <v>20</v>
      </c>
      <c r="G623" s="15" t="s">
        <v>1</v>
      </c>
      <c r="H623" s="16"/>
      <c r="I623" s="16"/>
      <c r="J623" s="16"/>
      <c r="K623" s="16"/>
      <c r="L623" s="5" cm="1">
        <f t="array" ref="L623">_xlfn.XLOOKUP(C623,[4]C5_LMA_DIAG!$A$49:$A$66,_xlfn.XLOOKUP(B623,[4]C5_LMA_DIAG!$A$49:$M$49,[4]C5_LMA_DIAG!$A$49:$M$66))</f>
        <v>54172</v>
      </c>
      <c r="M623" s="5" cm="1">
        <f t="array" ref="M623">_xlfn.XLOOKUP(C623,[5]C6_LMA_DIAG!$A$46:$A$63,_xlfn.XLOOKUP(B623,[5]C6_LMA_DIAG!$A$46:$M$46,[5]C6_LMA_DIAG!$A$46:$M$63))</f>
        <v>76777</v>
      </c>
      <c r="N623" s="5" cm="1">
        <f t="array" ref="N623">_xlfn.XLOOKUP(
  C623,
  [6]C6_LMA_DIAG!$A$52:$A$68,
  _xlfn.XLOOKUP(
    B623,
    [6]C6_LMA_DIAG!$B$51:$O$51,
    [6]C6_LMA_DIAG!$B$52:$O$68
  )
)</f>
        <v>63290</v>
      </c>
      <c r="O623" s="20">
        <v>105991</v>
      </c>
      <c r="P623" s="16">
        <v>110390</v>
      </c>
    </row>
    <row r="624" spans="1:16" x14ac:dyDescent="0.3">
      <c r="A624" s="15" t="s">
        <v>69</v>
      </c>
      <c r="B624" s="15" t="s">
        <v>57</v>
      </c>
      <c r="C624" s="15" t="s">
        <v>27</v>
      </c>
      <c r="D624" s="15" t="s">
        <v>52</v>
      </c>
      <c r="E624" s="15" t="s">
        <v>40</v>
      </c>
      <c r="F624" s="15" t="s">
        <v>20</v>
      </c>
      <c r="G624" s="15" t="s">
        <v>1</v>
      </c>
      <c r="H624" s="16"/>
      <c r="I624" s="16"/>
      <c r="J624" s="16"/>
      <c r="K624" s="16"/>
      <c r="L624" s="5" cm="1">
        <f t="array" ref="L624">_xlfn.XLOOKUP(C624,[4]C5_LMA_DIAG!$A$49:$A$66,_xlfn.XLOOKUP(B624,[4]C5_LMA_DIAG!$A$49:$M$49,[4]C5_LMA_DIAG!$A$49:$M$66))</f>
        <v>30326</v>
      </c>
      <c r="M624" s="5" cm="1">
        <f t="array" ref="M624">_xlfn.XLOOKUP(C624,[5]C6_LMA_DIAG!$A$46:$A$63,_xlfn.XLOOKUP(B624,[5]C6_LMA_DIAG!$A$46:$M$46,[5]C6_LMA_DIAG!$A$46:$M$63))</f>
        <v>51691</v>
      </c>
      <c r="N624" s="5" cm="1">
        <f t="array" ref="N624">_xlfn.XLOOKUP(
  C624,
  [6]C6_LMA_DIAG!$A$52:$A$68,
  _xlfn.XLOOKUP(
    B624,
    [6]C6_LMA_DIAG!$B$51:$O$51,
    [6]C6_LMA_DIAG!$B$52:$O$68
  )
)</f>
        <v>23171</v>
      </c>
      <c r="O624" s="20">
        <v>23733</v>
      </c>
      <c r="P624" s="16">
        <v>59974</v>
      </c>
    </row>
    <row r="625" spans="1:16" x14ac:dyDescent="0.3">
      <c r="A625" s="15" t="s">
        <v>69</v>
      </c>
      <c r="B625" s="15" t="s">
        <v>58</v>
      </c>
      <c r="C625" s="15" t="s">
        <v>27</v>
      </c>
      <c r="D625" s="15" t="s">
        <v>52</v>
      </c>
      <c r="E625" s="15" t="s">
        <v>40</v>
      </c>
      <c r="F625" s="15" t="s">
        <v>20</v>
      </c>
      <c r="G625" s="15" t="s">
        <v>1</v>
      </c>
      <c r="H625" s="16"/>
      <c r="I625" s="16"/>
      <c r="J625" s="16"/>
      <c r="K625" s="16"/>
      <c r="L625" s="5" cm="1">
        <f t="array" ref="L625">_xlfn.XLOOKUP(C625,[4]C5_LMA_DIAG!$A$49:$A$66,_xlfn.XLOOKUP(B625,[4]C5_LMA_DIAG!$A$49:$M$49,[4]C5_LMA_DIAG!$A$49:$M$66))</f>
        <v>16336</v>
      </c>
      <c r="M625" s="5" cm="1">
        <f t="array" ref="M625">_xlfn.XLOOKUP(C625,[5]C6_LMA_DIAG!$A$46:$A$63,_xlfn.XLOOKUP(B625,[5]C6_LMA_DIAG!$A$46:$M$46,[5]C6_LMA_DIAG!$A$46:$M$63))</f>
        <v>28120</v>
      </c>
      <c r="N625" s="5" cm="1">
        <f t="array" ref="N625">_xlfn.XLOOKUP(
  C625,
  [6]C6_LMA_DIAG!$A$52:$A$68,
  _xlfn.XLOOKUP(
    B625,
    [6]C6_LMA_DIAG!$B$51:$O$51,
    [6]C6_LMA_DIAG!$B$52:$O$68
  )
)</f>
        <v>23769</v>
      </c>
      <c r="O625" s="20">
        <v>35722</v>
      </c>
      <c r="P625" s="16">
        <v>39554</v>
      </c>
    </row>
    <row r="626" spans="1:16" x14ac:dyDescent="0.3">
      <c r="A626" s="15" t="s">
        <v>69</v>
      </c>
      <c r="B626" s="15" t="s">
        <v>59</v>
      </c>
      <c r="C626" s="15" t="s">
        <v>27</v>
      </c>
      <c r="D626" s="15" t="s">
        <v>52</v>
      </c>
      <c r="E626" s="15" t="s">
        <v>40</v>
      </c>
      <c r="F626" s="15" t="s">
        <v>20</v>
      </c>
      <c r="G626" s="15" t="s">
        <v>1</v>
      </c>
      <c r="H626" s="16"/>
      <c r="I626" s="16"/>
      <c r="J626" s="16"/>
      <c r="K626" s="16"/>
      <c r="L626" s="5" cm="1">
        <f t="array" ref="L626">_xlfn.XLOOKUP(C626,[4]C5_LMA_DIAG!$A$49:$A$66,_xlfn.XLOOKUP(B626,[4]C5_LMA_DIAG!$A$49:$M$49,[4]C5_LMA_DIAG!$A$49:$M$66))</f>
        <v>14560</v>
      </c>
      <c r="M626" s="5" cm="1">
        <f t="array" ref="M626">_xlfn.XLOOKUP(C626,[5]C6_LMA_DIAG!$A$46:$A$63,_xlfn.XLOOKUP(B626,[5]C6_LMA_DIAG!$A$46:$M$46,[5]C6_LMA_DIAG!$A$46:$M$63))</f>
        <v>20582</v>
      </c>
      <c r="N626" s="5" cm="1">
        <f t="array" ref="N626">_xlfn.XLOOKUP(
  C626,
  [6]C6_LMA_DIAG!$A$52:$A$68,
  _xlfn.XLOOKUP(
    B626,
    [6]C6_LMA_DIAG!$B$51:$O$51,
    [6]C6_LMA_DIAG!$B$52:$O$68
  )
)</f>
        <v>11072</v>
      </c>
      <c r="O626" s="20">
        <v>12189</v>
      </c>
      <c r="P626" s="16">
        <v>20428</v>
      </c>
    </row>
    <row r="627" spans="1:16" x14ac:dyDescent="0.3">
      <c r="A627" s="15" t="s">
        <v>69</v>
      </c>
      <c r="B627" s="15" t="s">
        <v>60</v>
      </c>
      <c r="C627" s="15" t="s">
        <v>27</v>
      </c>
      <c r="D627" s="15" t="s">
        <v>52</v>
      </c>
      <c r="E627" s="15" t="s">
        <v>40</v>
      </c>
      <c r="F627" s="15" t="s">
        <v>20</v>
      </c>
      <c r="G627" s="15" t="s">
        <v>1</v>
      </c>
      <c r="H627" s="16"/>
      <c r="I627" s="16"/>
      <c r="J627" s="16"/>
      <c r="K627" s="16"/>
      <c r="L627" s="5" cm="1">
        <f t="array" ref="L627">_xlfn.XLOOKUP(C627,[4]C5_LMA_DIAG!$A$49:$A$66,_xlfn.XLOOKUP(B627,[4]C5_LMA_DIAG!$A$49:$M$49,[4]C5_LMA_DIAG!$A$49:$M$66))</f>
        <v>9155</v>
      </c>
      <c r="M627" s="5" cm="1">
        <f t="array" ref="M627">_xlfn.XLOOKUP(C627,[5]C6_LMA_DIAG!$A$46:$A$63,_xlfn.XLOOKUP(B627,[5]C6_LMA_DIAG!$A$46:$M$46,[5]C6_LMA_DIAG!$A$46:$M$63))</f>
        <v>16300</v>
      </c>
      <c r="N627" s="5" cm="1">
        <f t="array" ref="N627">_xlfn.XLOOKUP(
  C627,
  [6]C6_LMA_DIAG!$A$52:$A$68,
  _xlfn.XLOOKUP(
    B627,
    [6]C6_LMA_DIAG!$B$51:$O$51,
    [6]C6_LMA_DIAG!$B$52:$O$68
  )
)</f>
        <v>11990</v>
      </c>
      <c r="O627" s="20">
        <v>17922</v>
      </c>
      <c r="P627" s="16">
        <v>22197</v>
      </c>
    </row>
    <row r="628" spans="1:16" x14ac:dyDescent="0.3">
      <c r="A628" s="15" t="s">
        <v>69</v>
      </c>
      <c r="B628" s="15" t="s">
        <v>61</v>
      </c>
      <c r="C628" s="15" t="s">
        <v>27</v>
      </c>
      <c r="D628" s="15" t="s">
        <v>52</v>
      </c>
      <c r="E628" s="15" t="s">
        <v>40</v>
      </c>
      <c r="F628" s="15" t="s">
        <v>20</v>
      </c>
      <c r="G628" s="15" t="s">
        <v>1</v>
      </c>
      <c r="H628" s="16"/>
      <c r="I628" s="16"/>
      <c r="J628" s="16"/>
      <c r="K628" s="16"/>
      <c r="L628" s="5" cm="1">
        <f t="array" ref="L628">_xlfn.XLOOKUP(C628,[4]C5_LMA_DIAG!$A$49:$A$66,_xlfn.XLOOKUP(B628,[4]C5_LMA_DIAG!$A$49:$M$49,[4]C5_LMA_DIAG!$A$49:$M$66))</f>
        <v>9151</v>
      </c>
      <c r="M628" s="5" cm="1">
        <f t="array" ref="M628">_xlfn.XLOOKUP(C628,[5]C6_LMA_DIAG!$A$46:$A$63,_xlfn.XLOOKUP(B628,[5]C6_LMA_DIAG!$A$46:$M$46,[5]C6_LMA_DIAG!$A$46:$M$63))</f>
        <v>10996</v>
      </c>
      <c r="N628" s="5" cm="1">
        <f t="array" ref="N628">_xlfn.XLOOKUP(
  C628,
  [6]C6_LMA_DIAG!$A$52:$A$68,
  _xlfn.XLOOKUP(
    B628,
    [6]C6_LMA_DIAG!$B$51:$O$51,
    [6]C6_LMA_DIAG!$B$52:$O$68
  )
)</f>
        <v>7302</v>
      </c>
      <c r="O628" s="20">
        <v>8281</v>
      </c>
      <c r="P628" s="16">
        <v>10492</v>
      </c>
    </row>
    <row r="629" spans="1:16" x14ac:dyDescent="0.3">
      <c r="A629" s="15" t="s">
        <v>69</v>
      </c>
      <c r="B629" s="15" t="s">
        <v>62</v>
      </c>
      <c r="C629" s="15" t="s">
        <v>27</v>
      </c>
      <c r="D629" s="15" t="s">
        <v>52</v>
      </c>
      <c r="E629" s="15" t="s">
        <v>40</v>
      </c>
      <c r="F629" s="15" t="s">
        <v>20</v>
      </c>
      <c r="G629" s="15" t="s">
        <v>1</v>
      </c>
      <c r="H629" s="16"/>
      <c r="I629" s="16"/>
      <c r="J629" s="16"/>
      <c r="K629" s="16"/>
      <c r="L629" s="5" cm="1">
        <f t="array" ref="L629">_xlfn.XLOOKUP(C629,[4]C5_LMA_DIAG!$A$49:$A$66,_xlfn.XLOOKUP(B629,[4]C5_LMA_DIAG!$A$49:$M$49,[4]C5_LMA_DIAG!$A$49:$M$66))</f>
        <v>8323</v>
      </c>
      <c r="M629" s="5" cm="1">
        <f t="array" ref="M629">_xlfn.XLOOKUP(C629,[5]C6_LMA_DIAG!$A$46:$A$63,_xlfn.XLOOKUP(B629,[5]C6_LMA_DIAG!$A$46:$M$46,[5]C6_LMA_DIAG!$A$46:$M$63))</f>
        <v>12111</v>
      </c>
      <c r="N629" s="5" cm="1">
        <f t="array" ref="N629">_xlfn.XLOOKUP(
  C629,
  [6]C6_LMA_DIAG!$A$52:$A$68,
  _xlfn.XLOOKUP(
    B629,
    [6]C6_LMA_DIAG!$B$51:$O$51,
    [6]C6_LMA_DIAG!$B$52:$O$68
  )
)</f>
        <v>8526</v>
      </c>
      <c r="O629" s="20">
        <v>11929</v>
      </c>
      <c r="P629" s="16">
        <v>13860</v>
      </c>
    </row>
    <row r="630" spans="1:16" x14ac:dyDescent="0.3">
      <c r="A630" s="15" t="s">
        <v>69</v>
      </c>
      <c r="B630" s="15" t="s">
        <v>63</v>
      </c>
      <c r="C630" s="15" t="s">
        <v>27</v>
      </c>
      <c r="D630" s="15" t="s">
        <v>52</v>
      </c>
      <c r="E630" s="15" t="s">
        <v>40</v>
      </c>
      <c r="F630" s="15" t="s">
        <v>20</v>
      </c>
      <c r="G630" s="15" t="s">
        <v>1</v>
      </c>
      <c r="H630" s="16"/>
      <c r="I630" s="16"/>
      <c r="J630" s="16"/>
      <c r="K630" s="16"/>
      <c r="L630" s="5" cm="1">
        <f t="array" ref="L630">_xlfn.XLOOKUP(C630,[4]C5_LMA_DIAG!$A$49:$A$66,_xlfn.XLOOKUP(B630,[4]C5_LMA_DIAG!$A$49:$M$49,[4]C5_LMA_DIAG!$A$49:$M$66))</f>
        <v>5913</v>
      </c>
      <c r="M630" s="5" cm="1">
        <f t="array" ref="M630">_xlfn.XLOOKUP(C630,[5]C6_LMA_DIAG!$A$46:$A$63,_xlfn.XLOOKUP(B630,[5]C6_LMA_DIAG!$A$46:$M$46,[5]C6_LMA_DIAG!$A$46:$M$63))</f>
        <v>9186</v>
      </c>
      <c r="N630" s="5" cm="1">
        <f t="array" ref="N630">_xlfn.XLOOKUP(
  C630,
  [6]C6_LMA_DIAG!$A$52:$A$68,
  _xlfn.XLOOKUP(
    B630,
    [6]C6_LMA_DIAG!$B$51:$O$51,
    [6]C6_LMA_DIAG!$B$52:$O$68
  )
)</f>
        <v>8115</v>
      </c>
      <c r="O630" s="20">
        <v>9532</v>
      </c>
      <c r="P630" s="16">
        <v>10516</v>
      </c>
    </row>
    <row r="631" spans="1:16" x14ac:dyDescent="0.3">
      <c r="A631" s="15" t="s">
        <v>69</v>
      </c>
      <c r="B631" s="15" t="s">
        <v>64</v>
      </c>
      <c r="C631" s="15" t="s">
        <v>27</v>
      </c>
      <c r="D631" s="15" t="s">
        <v>52</v>
      </c>
      <c r="E631" s="15" t="s">
        <v>40</v>
      </c>
      <c r="F631" s="15" t="s">
        <v>20</v>
      </c>
      <c r="G631" s="15" t="s">
        <v>1</v>
      </c>
      <c r="H631" s="16"/>
      <c r="I631" s="16"/>
      <c r="J631" s="16"/>
      <c r="K631" s="16"/>
      <c r="L631" s="5" cm="1">
        <f t="array" ref="L631">_xlfn.XLOOKUP(C631,[4]C5_LMA_DIAG!$A$49:$A$66,_xlfn.XLOOKUP(B631,[4]C5_LMA_DIAG!$A$49:$M$49,[4]C5_LMA_DIAG!$A$49:$M$66))</f>
        <v>6885</v>
      </c>
      <c r="M631" s="5" cm="1">
        <f t="array" ref="M631">_xlfn.XLOOKUP(C631,[5]C6_LMA_DIAG!$A$46:$A$63,_xlfn.XLOOKUP(B631,[5]C6_LMA_DIAG!$A$46:$M$46,[5]C6_LMA_DIAG!$A$46:$M$63))</f>
        <v>9715</v>
      </c>
      <c r="N631" s="5" cm="1">
        <f t="array" ref="N631">_xlfn.XLOOKUP(
  C631,
  [6]C6_LMA_DIAG!$A$52:$A$68,
  _xlfn.XLOOKUP(
    B631,
    [6]C6_LMA_DIAG!$B$51:$O$51,
    [6]C6_LMA_DIAG!$B$52:$O$68
  )
)</f>
        <v>9490</v>
      </c>
      <c r="O631" s="20">
        <v>12411</v>
      </c>
      <c r="P631" s="16">
        <v>11890</v>
      </c>
    </row>
    <row r="632" spans="1:16" x14ac:dyDescent="0.3">
      <c r="A632" s="15" t="s">
        <v>69</v>
      </c>
      <c r="B632" s="15" t="s">
        <v>70</v>
      </c>
      <c r="C632" s="15" t="s">
        <v>27</v>
      </c>
      <c r="D632" s="15" t="s">
        <v>52</v>
      </c>
      <c r="E632" s="15" t="s">
        <v>40</v>
      </c>
      <c r="F632" s="15" t="s">
        <v>20</v>
      </c>
      <c r="G632" s="15" t="s">
        <v>1</v>
      </c>
      <c r="H632" s="16"/>
      <c r="I632" s="16"/>
      <c r="J632" s="16"/>
      <c r="K632" s="16"/>
      <c r="L632" s="5">
        <v>0</v>
      </c>
      <c r="M632" s="5">
        <v>0</v>
      </c>
      <c r="N632" s="5" cm="1">
        <f t="array" ref="N632">_xlfn.XLOOKUP(
  C632,
  [6]C6_LMA_DIAG!$A$52:$A$68,
  _xlfn.XLOOKUP(
    B632,
    [6]C6_LMA_DIAG!$B$51:$O$51,
    [6]C6_LMA_DIAG!$B$52:$O$68
  )
)</f>
        <v>48574</v>
      </c>
      <c r="O632" s="20">
        <v>116795</v>
      </c>
      <c r="P632" s="16">
        <v>120710</v>
      </c>
    </row>
    <row r="633" spans="1:16" x14ac:dyDescent="0.3">
      <c r="A633" s="15"/>
      <c r="B633" s="18" t="s">
        <v>71</v>
      </c>
      <c r="C633" s="15" t="s">
        <v>27</v>
      </c>
      <c r="D633" s="15" t="s">
        <v>52</v>
      </c>
      <c r="E633" s="15" t="s">
        <v>40</v>
      </c>
      <c r="F633" s="15" t="s">
        <v>20</v>
      </c>
      <c r="G633" s="15" t="s">
        <v>1</v>
      </c>
      <c r="H633" s="16"/>
      <c r="I633" s="16"/>
      <c r="J633" s="16"/>
      <c r="K633" s="16"/>
      <c r="L633" s="5">
        <v>0</v>
      </c>
      <c r="M633" s="5">
        <v>0</v>
      </c>
      <c r="N633" s="5" cm="1">
        <f t="array" ref="N633">_xlfn.XLOOKUP(
  C633,
  [6]C6_LMA_DIAG!$A$52:$A$68,
  _xlfn.XLOOKUP(
    B633,
    [6]C6_LMA_DIAG!$B$51:$O$51,
    [6]C6_LMA_DIAG!$B$52:$O$68
  )
)</f>
        <v>1438</v>
      </c>
      <c r="O633" s="20">
        <v>1008</v>
      </c>
      <c r="P633" s="16">
        <v>0</v>
      </c>
    </row>
    <row r="634" spans="1:16" x14ac:dyDescent="0.3">
      <c r="A634" s="15" t="s">
        <v>69</v>
      </c>
      <c r="B634" s="15" t="s">
        <v>65</v>
      </c>
      <c r="C634" s="15" t="s">
        <v>27</v>
      </c>
      <c r="D634" s="15" t="s">
        <v>52</v>
      </c>
      <c r="E634" s="15" t="s">
        <v>40</v>
      </c>
      <c r="F634" s="15" t="s">
        <v>20</v>
      </c>
      <c r="G634" s="15" t="s">
        <v>1</v>
      </c>
      <c r="H634" s="16"/>
      <c r="I634" s="16"/>
      <c r="J634" s="16"/>
      <c r="K634" s="16"/>
      <c r="L634" s="5" cm="1">
        <f t="array" ref="L634">_xlfn.XLOOKUP(C634,[4]C5_LMA_DIAG!$A$49:$A$66,_xlfn.XLOOKUP(B634,[4]C5_LMA_DIAG!$A$49:$M$49,[4]C5_LMA_DIAG!$A$49:$M$66))</f>
        <v>28393</v>
      </c>
      <c r="M634" s="5" cm="1">
        <f t="array" ref="M634">_xlfn.XLOOKUP(C634,[5]C6_LMA_DIAG!$A$46:$A$63,_xlfn.XLOOKUP(B634,[5]C6_LMA_DIAG!$A$46:$M$46,[5]C6_LMA_DIAG!$A$46:$M$63))</f>
        <v>41381</v>
      </c>
      <c r="N634" s="5" cm="1">
        <f t="array" ref="N634">_xlfn.XLOOKUP(
  C634,
  [6]C6_LMA_DIAG!$A$52:$A$68,
  _xlfn.XLOOKUP(
    B634,
    [6]C6_LMA_DIAG!$B$51:$O$51,
    [6]C6_LMA_DIAG!$B$52:$O$68
  )
)</f>
        <v>32878</v>
      </c>
      <c r="O634" s="20">
        <v>47227</v>
      </c>
      <c r="P634" s="16">
        <v>52832</v>
      </c>
    </row>
    <row r="635" spans="1:16" x14ac:dyDescent="0.3">
      <c r="A635" s="15" t="s">
        <v>69</v>
      </c>
      <c r="B635" s="15" t="s">
        <v>19</v>
      </c>
      <c r="C635" s="15" t="s">
        <v>27</v>
      </c>
      <c r="D635" s="15" t="s">
        <v>52</v>
      </c>
      <c r="E635" s="15" t="s">
        <v>40</v>
      </c>
      <c r="F635" s="15" t="s">
        <v>20</v>
      </c>
      <c r="G635" s="15" t="s">
        <v>1</v>
      </c>
      <c r="H635" s="16"/>
      <c r="I635" s="16"/>
      <c r="J635" s="16"/>
      <c r="K635" s="16"/>
      <c r="L635" s="5" cm="1">
        <f t="array" ref="L635">_xlfn.XLOOKUP(C635,[4]C5_LMA_DIAG!$A$49:$A$66,_xlfn.XLOOKUP(B635,[4]C5_LMA_DIAG!$A$49:$M$49,[4]C5_LMA_DIAG!$A$49:$M$66))</f>
        <v>0</v>
      </c>
      <c r="M635" s="5" cm="1">
        <f t="array" ref="M635">_xlfn.XLOOKUP(C635,[5]C6_LMA_DIAG!$A$46:$A$63,_xlfn.XLOOKUP(B635,[5]C6_LMA_DIAG!$A$46:$M$46,[5]C6_LMA_DIAG!$A$46:$M$63))</f>
        <v>7</v>
      </c>
      <c r="N635" s="5" cm="1">
        <f t="array" ref="N635">_xlfn.XLOOKUP(
  C635,
  [6]C6_LMA_DIAG!$A$52:$A$68,
  _xlfn.XLOOKUP(
    B635,
    [6]C6_LMA_DIAG!$B$51:$O$51,
    [6]C6_LMA_DIAG!$B$52:$O$68
  )
)</f>
        <v>0</v>
      </c>
      <c r="O635" s="20">
        <v>1</v>
      </c>
      <c r="P635" s="16">
        <v>0</v>
      </c>
    </row>
    <row r="636" spans="1:16" x14ac:dyDescent="0.3">
      <c r="A636" s="4" t="s">
        <v>69</v>
      </c>
      <c r="B636" s="4" t="s">
        <v>55</v>
      </c>
      <c r="C636" s="4" t="s">
        <v>28</v>
      </c>
      <c r="D636" s="4" t="s">
        <v>52</v>
      </c>
      <c r="E636" s="4" t="s">
        <v>40</v>
      </c>
      <c r="F636" s="4" t="s">
        <v>20</v>
      </c>
      <c r="G636" s="4" t="s">
        <v>1</v>
      </c>
      <c r="H636" s="5"/>
      <c r="I636" s="5"/>
      <c r="J636" s="5"/>
      <c r="K636" s="5"/>
      <c r="L636" s="5" cm="1">
        <f t="array" ref="L636">_xlfn.XLOOKUP(C636,[4]C5_LMA_DIAG!$A$49:$A$66,_xlfn.XLOOKUP(B636,[4]C5_LMA_DIAG!$A$49:$M$49,[4]C5_LMA_DIAG!$A$49:$M$66))</f>
        <v>532903</v>
      </c>
      <c r="M636" s="5" cm="1">
        <f t="array" ref="M636">_xlfn.XLOOKUP(C636,[5]C6_LMA_DIAG!$A$46:$A$63,_xlfn.XLOOKUP(B636,[5]C6_LMA_DIAG!$A$46:$M$46,[5]C6_LMA_DIAG!$A$46:$M$63))</f>
        <v>574724</v>
      </c>
      <c r="N636" s="5" cm="1">
        <f t="array" ref="N636">_xlfn.XLOOKUP(
  C636,
  [6]C6_LMA_DIAG!$A$52:$A$68,
  _xlfn.XLOOKUP(
    B636,
    [6]C6_LMA_DIAG!$B$51:$O$51,
    [6]C6_LMA_DIAG!$B$52:$O$68
  )
)</f>
        <v>648550</v>
      </c>
      <c r="O636" s="20">
        <v>1094960</v>
      </c>
      <c r="P636" s="5">
        <v>1032654</v>
      </c>
    </row>
    <row r="637" spans="1:16" x14ac:dyDescent="0.3">
      <c r="A637" s="4" t="s">
        <v>69</v>
      </c>
      <c r="B637" s="4" t="s">
        <v>56</v>
      </c>
      <c r="C637" s="4" t="s">
        <v>28</v>
      </c>
      <c r="D637" s="4" t="s">
        <v>52</v>
      </c>
      <c r="E637" s="4" t="s">
        <v>40</v>
      </c>
      <c r="F637" s="4" t="s">
        <v>20</v>
      </c>
      <c r="G637" s="4" t="s">
        <v>1</v>
      </c>
      <c r="H637" s="5"/>
      <c r="I637" s="5"/>
      <c r="J637" s="5"/>
      <c r="K637" s="5"/>
      <c r="L637" s="5" cm="1">
        <f t="array" ref="L637">_xlfn.XLOOKUP(C637,[4]C5_LMA_DIAG!$A$49:$A$66,_xlfn.XLOOKUP(B637,[4]C5_LMA_DIAG!$A$49:$M$49,[4]C5_LMA_DIAG!$A$49:$M$66))</f>
        <v>497411</v>
      </c>
      <c r="M637" s="5" cm="1">
        <f t="array" ref="M637">_xlfn.XLOOKUP(C637,[5]C6_LMA_DIAG!$A$46:$A$63,_xlfn.XLOOKUP(B637,[5]C6_LMA_DIAG!$A$46:$M$46,[5]C6_LMA_DIAG!$A$46:$M$63))</f>
        <v>494435</v>
      </c>
      <c r="N637" s="5" cm="1">
        <f t="array" ref="N637">_xlfn.XLOOKUP(
  C637,
  [6]C6_LMA_DIAG!$A$52:$A$68,
  _xlfn.XLOOKUP(
    B637,
    [6]C6_LMA_DIAG!$B$51:$O$51,
    [6]C6_LMA_DIAG!$B$52:$O$68
  )
)</f>
        <v>408538</v>
      </c>
      <c r="O637" s="20">
        <v>605788</v>
      </c>
      <c r="P637" s="5">
        <v>536415</v>
      </c>
    </row>
    <row r="638" spans="1:16" x14ac:dyDescent="0.3">
      <c r="A638" s="4" t="s">
        <v>69</v>
      </c>
      <c r="B638" s="4" t="s">
        <v>57</v>
      </c>
      <c r="C638" s="4" t="s">
        <v>28</v>
      </c>
      <c r="D638" s="4" t="s">
        <v>52</v>
      </c>
      <c r="E638" s="4" t="s">
        <v>40</v>
      </c>
      <c r="F638" s="4" t="s">
        <v>20</v>
      </c>
      <c r="G638" s="4" t="s">
        <v>1</v>
      </c>
      <c r="H638" s="5"/>
      <c r="I638" s="5"/>
      <c r="J638" s="5"/>
      <c r="K638" s="5"/>
      <c r="L638" s="5" cm="1">
        <f t="array" ref="L638">_xlfn.XLOOKUP(C638,[4]C5_LMA_DIAG!$A$49:$A$66,_xlfn.XLOOKUP(B638,[4]C5_LMA_DIAG!$A$49:$M$49,[4]C5_LMA_DIAG!$A$49:$M$66))</f>
        <v>304522</v>
      </c>
      <c r="M638" s="5" cm="1">
        <f t="array" ref="M638">_xlfn.XLOOKUP(C638,[5]C6_LMA_DIAG!$A$46:$A$63,_xlfn.XLOOKUP(B638,[5]C6_LMA_DIAG!$A$46:$M$46,[5]C6_LMA_DIAG!$A$46:$M$63))</f>
        <v>309288</v>
      </c>
      <c r="N638" s="5" cm="1">
        <f t="array" ref="N638">_xlfn.XLOOKUP(
  C638,
  [6]C6_LMA_DIAG!$A$52:$A$68,
  _xlfn.XLOOKUP(
    B638,
    [6]C6_LMA_DIAG!$B$51:$O$51,
    [6]C6_LMA_DIAG!$B$52:$O$68
  )
)</f>
        <v>186686</v>
      </c>
      <c r="O638" s="20">
        <v>140822</v>
      </c>
      <c r="P638" s="5">
        <v>272630</v>
      </c>
    </row>
    <row r="639" spans="1:16" x14ac:dyDescent="0.3">
      <c r="A639" s="4" t="s">
        <v>69</v>
      </c>
      <c r="B639" s="4" t="s">
        <v>58</v>
      </c>
      <c r="C639" s="4" t="s">
        <v>28</v>
      </c>
      <c r="D639" s="4" t="s">
        <v>52</v>
      </c>
      <c r="E639" s="4" t="s">
        <v>40</v>
      </c>
      <c r="F639" s="4" t="s">
        <v>20</v>
      </c>
      <c r="G639" s="4" t="s">
        <v>1</v>
      </c>
      <c r="H639" s="5"/>
      <c r="I639" s="5"/>
      <c r="J639" s="5"/>
      <c r="K639" s="5"/>
      <c r="L639" s="5" cm="1">
        <f t="array" ref="L639">_xlfn.XLOOKUP(C639,[4]C5_LMA_DIAG!$A$49:$A$66,_xlfn.XLOOKUP(B639,[4]C5_LMA_DIAG!$A$49:$M$49,[4]C5_LMA_DIAG!$A$49:$M$66))</f>
        <v>163571</v>
      </c>
      <c r="M639" s="5" cm="1">
        <f t="array" ref="M639">_xlfn.XLOOKUP(C639,[5]C6_LMA_DIAG!$A$46:$A$63,_xlfn.XLOOKUP(B639,[5]C6_LMA_DIAG!$A$46:$M$46,[5]C6_LMA_DIAG!$A$46:$M$63))</f>
        <v>166566</v>
      </c>
      <c r="N639" s="5" cm="1">
        <f t="array" ref="N639">_xlfn.XLOOKUP(
  C639,
  [6]C6_LMA_DIAG!$A$52:$A$68,
  _xlfn.XLOOKUP(
    B639,
    [6]C6_LMA_DIAG!$B$51:$O$51,
    [6]C6_LMA_DIAG!$B$52:$O$68
  )
)</f>
        <v>134349</v>
      </c>
      <c r="O639" s="20">
        <v>178849</v>
      </c>
      <c r="P639" s="5">
        <v>183113</v>
      </c>
    </row>
    <row r="640" spans="1:16" x14ac:dyDescent="0.3">
      <c r="A640" s="4" t="s">
        <v>69</v>
      </c>
      <c r="B640" s="4" t="s">
        <v>59</v>
      </c>
      <c r="C640" s="4" t="s">
        <v>28</v>
      </c>
      <c r="D640" s="4" t="s">
        <v>52</v>
      </c>
      <c r="E640" s="4" t="s">
        <v>40</v>
      </c>
      <c r="F640" s="4" t="s">
        <v>20</v>
      </c>
      <c r="G640" s="4" t="s">
        <v>1</v>
      </c>
      <c r="H640" s="5"/>
      <c r="I640" s="5"/>
      <c r="J640" s="5"/>
      <c r="K640" s="5"/>
      <c r="L640" s="5" cm="1">
        <f t="array" ref="L640">_xlfn.XLOOKUP(C640,[4]C5_LMA_DIAG!$A$49:$A$66,_xlfn.XLOOKUP(B640,[4]C5_LMA_DIAG!$A$49:$M$49,[4]C5_LMA_DIAG!$A$49:$M$66))</f>
        <v>160207</v>
      </c>
      <c r="M640" s="5" cm="1">
        <f t="array" ref="M640">_xlfn.XLOOKUP(C640,[5]C6_LMA_DIAG!$A$46:$A$63,_xlfn.XLOOKUP(B640,[5]C6_LMA_DIAG!$A$46:$M$46,[5]C6_LMA_DIAG!$A$46:$M$63))</f>
        <v>147859</v>
      </c>
      <c r="N640" s="5" cm="1">
        <f t="array" ref="N640">_xlfn.XLOOKUP(
  C640,
  [6]C6_LMA_DIAG!$A$52:$A$68,
  _xlfn.XLOOKUP(
    B640,
    [6]C6_LMA_DIAG!$B$51:$O$51,
    [6]C6_LMA_DIAG!$B$52:$O$68
  )
)</f>
        <v>104569</v>
      </c>
      <c r="O640" s="20">
        <v>89334</v>
      </c>
      <c r="P640" s="5">
        <v>113258</v>
      </c>
    </row>
    <row r="641" spans="1:16" x14ac:dyDescent="0.3">
      <c r="A641" s="4" t="s">
        <v>69</v>
      </c>
      <c r="B641" s="4" t="s">
        <v>60</v>
      </c>
      <c r="C641" s="4" t="s">
        <v>28</v>
      </c>
      <c r="D641" s="4" t="s">
        <v>52</v>
      </c>
      <c r="E641" s="4" t="s">
        <v>40</v>
      </c>
      <c r="F641" s="4" t="s">
        <v>20</v>
      </c>
      <c r="G641" s="4" t="s">
        <v>1</v>
      </c>
      <c r="H641" s="5"/>
      <c r="I641" s="5"/>
      <c r="J641" s="5"/>
      <c r="K641" s="5"/>
      <c r="L641" s="5" cm="1">
        <f t="array" ref="L641">_xlfn.XLOOKUP(C641,[4]C5_LMA_DIAG!$A$49:$A$66,_xlfn.XLOOKUP(B641,[4]C5_LMA_DIAG!$A$49:$M$49,[4]C5_LMA_DIAG!$A$49:$M$66))</f>
        <v>101040</v>
      </c>
      <c r="M641" s="5" cm="1">
        <f t="array" ref="M641">_xlfn.XLOOKUP(C641,[5]C6_LMA_DIAG!$A$46:$A$63,_xlfn.XLOOKUP(B641,[5]C6_LMA_DIAG!$A$46:$M$46,[5]C6_LMA_DIAG!$A$46:$M$63))</f>
        <v>105251</v>
      </c>
      <c r="N641" s="5" cm="1">
        <f t="array" ref="N641">_xlfn.XLOOKUP(
  C641,
  [6]C6_LMA_DIAG!$A$52:$A$68,
  _xlfn.XLOOKUP(
    B641,
    [6]C6_LMA_DIAG!$B$51:$O$51,
    [6]C6_LMA_DIAG!$B$52:$O$68
  )
)</f>
        <v>76211</v>
      </c>
      <c r="O641" s="20">
        <v>99972</v>
      </c>
      <c r="P641" s="5">
        <v>111172</v>
      </c>
    </row>
    <row r="642" spans="1:16" x14ac:dyDescent="0.3">
      <c r="A642" s="4" t="s">
        <v>69</v>
      </c>
      <c r="B642" s="4" t="s">
        <v>61</v>
      </c>
      <c r="C642" s="4" t="s">
        <v>28</v>
      </c>
      <c r="D642" s="4" t="s">
        <v>52</v>
      </c>
      <c r="E642" s="4" t="s">
        <v>40</v>
      </c>
      <c r="F642" s="4" t="s">
        <v>20</v>
      </c>
      <c r="G642" s="4" t="s">
        <v>1</v>
      </c>
      <c r="H642" s="5"/>
      <c r="I642" s="5"/>
      <c r="J642" s="5"/>
      <c r="K642" s="5"/>
      <c r="L642" s="5" cm="1">
        <f t="array" ref="L642">_xlfn.XLOOKUP(C642,[4]C5_LMA_DIAG!$A$49:$A$66,_xlfn.XLOOKUP(B642,[4]C5_LMA_DIAG!$A$49:$M$49,[4]C5_LMA_DIAG!$A$49:$M$66))</f>
        <v>54731</v>
      </c>
      <c r="M642" s="5" cm="1">
        <f t="array" ref="M642">_xlfn.XLOOKUP(C642,[5]C6_LMA_DIAG!$A$46:$A$63,_xlfn.XLOOKUP(B642,[5]C6_LMA_DIAG!$A$46:$M$46,[5]C6_LMA_DIAG!$A$46:$M$63))</f>
        <v>51280</v>
      </c>
      <c r="N642" s="5" cm="1">
        <f t="array" ref="N642">_xlfn.XLOOKUP(
  C642,
  [6]C6_LMA_DIAG!$A$52:$A$68,
  _xlfn.XLOOKUP(
    B642,
    [6]C6_LMA_DIAG!$B$51:$O$51,
    [6]C6_LMA_DIAG!$B$52:$O$68
  )
)</f>
        <v>41391</v>
      </c>
      <c r="O642" s="20">
        <v>37915</v>
      </c>
      <c r="P642" s="5">
        <v>39374</v>
      </c>
    </row>
    <row r="643" spans="1:16" x14ac:dyDescent="0.3">
      <c r="A643" s="4" t="s">
        <v>69</v>
      </c>
      <c r="B643" s="4" t="s">
        <v>62</v>
      </c>
      <c r="C643" s="4" t="s">
        <v>28</v>
      </c>
      <c r="D643" s="4" t="s">
        <v>52</v>
      </c>
      <c r="E643" s="4" t="s">
        <v>40</v>
      </c>
      <c r="F643" s="4" t="s">
        <v>20</v>
      </c>
      <c r="G643" s="4" t="s">
        <v>1</v>
      </c>
      <c r="H643" s="5"/>
      <c r="I643" s="5"/>
      <c r="J643" s="5"/>
      <c r="K643" s="5"/>
      <c r="L643" s="5" cm="1">
        <f t="array" ref="L643">_xlfn.XLOOKUP(C643,[4]C5_LMA_DIAG!$A$49:$A$66,_xlfn.XLOOKUP(B643,[4]C5_LMA_DIAG!$A$49:$M$49,[4]C5_LMA_DIAG!$A$49:$M$66))</f>
        <v>71060</v>
      </c>
      <c r="M643" s="5" cm="1">
        <f t="array" ref="M643">_xlfn.XLOOKUP(C643,[5]C6_LMA_DIAG!$A$46:$A$63,_xlfn.XLOOKUP(B643,[5]C6_LMA_DIAG!$A$46:$M$46,[5]C6_LMA_DIAG!$A$46:$M$63))</f>
        <v>65296</v>
      </c>
      <c r="N643" s="5" cm="1">
        <f t="array" ref="N643">_xlfn.XLOOKUP(
  C643,
  [6]C6_LMA_DIAG!$A$52:$A$68,
  _xlfn.XLOOKUP(
    B643,
    [6]C6_LMA_DIAG!$B$51:$O$51,
    [6]C6_LMA_DIAG!$B$52:$O$68
  )
)</f>
        <v>48733</v>
      </c>
      <c r="O643" s="20">
        <v>58467</v>
      </c>
      <c r="P643" s="5">
        <v>61375</v>
      </c>
    </row>
    <row r="644" spans="1:16" x14ac:dyDescent="0.3">
      <c r="A644" s="4" t="s">
        <v>69</v>
      </c>
      <c r="B644" s="4" t="s">
        <v>63</v>
      </c>
      <c r="C644" s="4" t="s">
        <v>28</v>
      </c>
      <c r="D644" s="4" t="s">
        <v>52</v>
      </c>
      <c r="E644" s="4" t="s">
        <v>40</v>
      </c>
      <c r="F644" s="4" t="s">
        <v>20</v>
      </c>
      <c r="G644" s="4" t="s">
        <v>1</v>
      </c>
      <c r="H644" s="5"/>
      <c r="I644" s="5"/>
      <c r="J644" s="5"/>
      <c r="K644" s="5"/>
      <c r="L644" s="5" cm="1">
        <f t="array" ref="L644">_xlfn.XLOOKUP(C644,[4]C5_LMA_DIAG!$A$49:$A$66,_xlfn.XLOOKUP(B644,[4]C5_LMA_DIAG!$A$49:$M$49,[4]C5_LMA_DIAG!$A$49:$M$66))</f>
        <v>51074</v>
      </c>
      <c r="M644" s="5" cm="1">
        <f t="array" ref="M644">_xlfn.XLOOKUP(C644,[5]C6_LMA_DIAG!$A$46:$A$63,_xlfn.XLOOKUP(B644,[5]C6_LMA_DIAG!$A$46:$M$46,[5]C6_LMA_DIAG!$A$46:$M$63))</f>
        <v>48701</v>
      </c>
      <c r="N644" s="5" cm="1">
        <f t="array" ref="N644">_xlfn.XLOOKUP(
  C644,
  [6]C6_LMA_DIAG!$A$52:$A$68,
  _xlfn.XLOOKUP(
    B644,
    [6]C6_LMA_DIAG!$B$51:$O$51,
    [6]C6_LMA_DIAG!$B$52:$O$68
  )
)</f>
        <v>43169</v>
      </c>
      <c r="O644" s="20">
        <v>47219</v>
      </c>
      <c r="P644" s="5">
        <v>48739</v>
      </c>
    </row>
    <row r="645" spans="1:16" x14ac:dyDescent="0.3">
      <c r="A645" s="4" t="s">
        <v>69</v>
      </c>
      <c r="B645" s="4" t="s">
        <v>64</v>
      </c>
      <c r="C645" s="4" t="s">
        <v>28</v>
      </c>
      <c r="D645" s="4" t="s">
        <v>52</v>
      </c>
      <c r="E645" s="4" t="s">
        <v>40</v>
      </c>
      <c r="F645" s="4" t="s">
        <v>20</v>
      </c>
      <c r="G645" s="4" t="s">
        <v>1</v>
      </c>
      <c r="H645" s="5"/>
      <c r="I645" s="5"/>
      <c r="J645" s="5"/>
      <c r="K645" s="5"/>
      <c r="L645" s="5" cm="1">
        <f t="array" ref="L645">_xlfn.XLOOKUP(C645,[4]C5_LMA_DIAG!$A$49:$A$66,_xlfn.XLOOKUP(B645,[4]C5_LMA_DIAG!$A$49:$M$49,[4]C5_LMA_DIAG!$A$49:$M$66))</f>
        <v>55340</v>
      </c>
      <c r="M645" s="5" cm="1">
        <f t="array" ref="M645">_xlfn.XLOOKUP(C645,[5]C6_LMA_DIAG!$A$46:$A$63,_xlfn.XLOOKUP(B645,[5]C6_LMA_DIAG!$A$46:$M$46,[5]C6_LMA_DIAG!$A$46:$M$63))</f>
        <v>54698</v>
      </c>
      <c r="N645" s="5" cm="1">
        <f t="array" ref="N645">_xlfn.XLOOKUP(
  C645,
  [6]C6_LMA_DIAG!$A$52:$A$68,
  _xlfn.XLOOKUP(
    B645,
    [6]C6_LMA_DIAG!$B$51:$O$51,
    [6]C6_LMA_DIAG!$B$52:$O$68
  )
)</f>
        <v>52107</v>
      </c>
      <c r="O645" s="20">
        <v>62180</v>
      </c>
      <c r="P645" s="5">
        <v>56668</v>
      </c>
    </row>
    <row r="646" spans="1:16" x14ac:dyDescent="0.3">
      <c r="A646" s="4" t="s">
        <v>69</v>
      </c>
      <c r="B646" s="4" t="s">
        <v>70</v>
      </c>
      <c r="C646" s="4" t="s">
        <v>28</v>
      </c>
      <c r="D646" s="4" t="s">
        <v>52</v>
      </c>
      <c r="E646" s="4" t="s">
        <v>40</v>
      </c>
      <c r="F646" s="4" t="s">
        <v>20</v>
      </c>
      <c r="G646" s="4" t="s">
        <v>1</v>
      </c>
      <c r="H646" s="5"/>
      <c r="I646" s="5"/>
      <c r="J646" s="5"/>
      <c r="K646" s="5"/>
      <c r="L646" s="5">
        <v>0</v>
      </c>
      <c r="M646" s="5">
        <v>0</v>
      </c>
      <c r="N646" s="5" cm="1">
        <f t="array" ref="N646">_xlfn.XLOOKUP(
  C646,
  [6]C6_LMA_DIAG!$A$52:$A$68,
  _xlfn.XLOOKUP(
    B646,
    [6]C6_LMA_DIAG!$B$51:$O$51,
    [6]C6_LMA_DIAG!$B$52:$O$68
  )
)</f>
        <v>386436</v>
      </c>
      <c r="O646" s="20">
        <v>635849</v>
      </c>
      <c r="P646" s="5">
        <v>521284</v>
      </c>
    </row>
    <row r="647" spans="1:16" x14ac:dyDescent="0.3">
      <c r="A647" s="4"/>
      <c r="B647" s="18" t="s">
        <v>71</v>
      </c>
      <c r="C647" s="4" t="s">
        <v>28</v>
      </c>
      <c r="D647" s="4" t="s">
        <v>52</v>
      </c>
      <c r="E647" s="4" t="s">
        <v>40</v>
      </c>
      <c r="F647" s="4" t="s">
        <v>20</v>
      </c>
      <c r="G647" s="4" t="s">
        <v>1</v>
      </c>
      <c r="H647" s="5"/>
      <c r="I647" s="5"/>
      <c r="J647" s="5"/>
      <c r="K647" s="5"/>
      <c r="L647" s="5">
        <v>0</v>
      </c>
      <c r="M647" s="5">
        <v>0</v>
      </c>
      <c r="N647" s="5" cm="1">
        <f t="array" ref="N647">_xlfn.XLOOKUP(
  C647,
  [6]C6_LMA_DIAG!$A$52:$A$68,
  _xlfn.XLOOKUP(
    B647,
    [6]C6_LMA_DIAG!$B$51:$O$51,
    [6]C6_LMA_DIAG!$B$52:$O$68
  )
)</f>
        <v>86216</v>
      </c>
      <c r="O647" s="20">
        <v>121947</v>
      </c>
      <c r="P647" s="5">
        <v>0</v>
      </c>
    </row>
    <row r="648" spans="1:16" x14ac:dyDescent="0.3">
      <c r="A648" s="4" t="s">
        <v>69</v>
      </c>
      <c r="B648" s="4" t="s">
        <v>65</v>
      </c>
      <c r="C648" s="4" t="s">
        <v>28</v>
      </c>
      <c r="D648" s="4" t="s">
        <v>52</v>
      </c>
      <c r="E648" s="4" t="s">
        <v>40</v>
      </c>
      <c r="F648" s="4" t="s">
        <v>20</v>
      </c>
      <c r="G648" s="4" t="s">
        <v>1</v>
      </c>
      <c r="H648" s="5"/>
      <c r="I648" s="5"/>
      <c r="J648" s="5"/>
      <c r="K648" s="5"/>
      <c r="L648" s="5" cm="1">
        <f t="array" ref="L648">_xlfn.XLOOKUP(C648,[4]C5_LMA_DIAG!$A$49:$A$66,_xlfn.XLOOKUP(B648,[4]C5_LMA_DIAG!$A$49:$M$49,[4]C5_LMA_DIAG!$A$49:$M$66))</f>
        <v>264831</v>
      </c>
      <c r="M648" s="5" cm="1">
        <f t="array" ref="M648">_xlfn.XLOOKUP(C648,[5]C6_LMA_DIAG!$A$46:$A$63,_xlfn.XLOOKUP(B648,[5]C6_LMA_DIAG!$A$46:$M$46,[5]C6_LMA_DIAG!$A$46:$M$63))</f>
        <v>257920</v>
      </c>
      <c r="N648" s="5" cm="1">
        <f t="array" ref="N648">_xlfn.XLOOKUP(
  C648,
  [6]C6_LMA_DIAG!$A$52:$A$68,
  _xlfn.XLOOKUP(
    B648,
    [6]C6_LMA_DIAG!$B$51:$O$51,
    [6]C6_LMA_DIAG!$B$52:$O$68
  )
)</f>
        <v>212482</v>
      </c>
      <c r="O648" s="20">
        <v>267297</v>
      </c>
      <c r="P648" s="5">
        <v>259845</v>
      </c>
    </row>
    <row r="649" spans="1:16" x14ac:dyDescent="0.3">
      <c r="A649" s="4" t="s">
        <v>69</v>
      </c>
      <c r="B649" s="4" t="s">
        <v>19</v>
      </c>
      <c r="C649" s="4" t="s">
        <v>28</v>
      </c>
      <c r="D649" s="4" t="s">
        <v>52</v>
      </c>
      <c r="E649" s="4" t="s">
        <v>40</v>
      </c>
      <c r="F649" s="4" t="s">
        <v>20</v>
      </c>
      <c r="G649" s="4" t="s">
        <v>1</v>
      </c>
      <c r="H649" s="5"/>
      <c r="I649" s="5"/>
      <c r="J649" s="5"/>
      <c r="K649" s="5"/>
      <c r="L649" s="5" cm="1">
        <f t="array" ref="L649">_xlfn.XLOOKUP(C649,[4]C5_LMA_DIAG!$A$49:$A$66,_xlfn.XLOOKUP(B649,[4]C5_LMA_DIAG!$A$49:$M$49,[4]C5_LMA_DIAG!$A$49:$M$66))</f>
        <v>2</v>
      </c>
      <c r="M649" s="5" cm="1">
        <f t="array" ref="M649">_xlfn.XLOOKUP(C649,[5]C6_LMA_DIAG!$A$46:$A$63,_xlfn.XLOOKUP(B649,[5]C6_LMA_DIAG!$A$46:$M$46,[5]C6_LMA_DIAG!$A$46:$M$63))</f>
        <v>9</v>
      </c>
      <c r="N649" s="5" cm="1">
        <f t="array" ref="N649">_xlfn.XLOOKUP(
  C649,
  [6]C6_LMA_DIAG!$A$52:$A$68,
  _xlfn.XLOOKUP(
    B649,
    [6]C6_LMA_DIAG!$B$51:$O$51,
    [6]C6_LMA_DIAG!$B$52:$O$68
  )
)</f>
        <v>1</v>
      </c>
      <c r="O649" s="20">
        <v>129</v>
      </c>
      <c r="P649" s="5">
        <v>0</v>
      </c>
    </row>
    <row r="650" spans="1:16" x14ac:dyDescent="0.3">
      <c r="A650" s="15" t="s">
        <v>69</v>
      </c>
      <c r="B650" s="15" t="s">
        <v>55</v>
      </c>
      <c r="C650" s="15" t="s">
        <v>29</v>
      </c>
      <c r="D650" s="15" t="s">
        <v>52</v>
      </c>
      <c r="E650" s="15" t="s">
        <v>40</v>
      </c>
      <c r="F650" s="15" t="s">
        <v>20</v>
      </c>
      <c r="G650" s="15" t="s">
        <v>1</v>
      </c>
      <c r="H650" s="16"/>
      <c r="I650" s="16"/>
      <c r="J650" s="16"/>
      <c r="K650" s="16"/>
      <c r="L650" s="5" cm="1">
        <f t="array" ref="L650">_xlfn.XLOOKUP(C650,[4]C5_LMA_DIAG!$A$49:$A$66,_xlfn.XLOOKUP(B650,[4]C5_LMA_DIAG!$A$49:$M$49,[4]C5_LMA_DIAG!$A$49:$M$66))</f>
        <v>40778</v>
      </c>
      <c r="M650" s="5" cm="1">
        <f t="array" ref="M650">_xlfn.XLOOKUP(C650,[5]C6_LMA_DIAG!$A$46:$A$63,_xlfn.XLOOKUP(B650,[5]C6_LMA_DIAG!$A$46:$M$46,[5]C6_LMA_DIAG!$A$46:$M$63))</f>
        <v>43072</v>
      </c>
      <c r="N650" s="5" cm="1">
        <f t="array" ref="N650">_xlfn.XLOOKUP(
  C650,
  [6]C6_LMA_DIAG!$A$52:$A$68,
  _xlfn.XLOOKUP(
    B650,
    [6]C6_LMA_DIAG!$B$51:$O$51,
    [6]C6_LMA_DIAG!$B$52:$O$68
  )
)</f>
        <v>45582</v>
      </c>
      <c r="O650" s="20">
        <v>80131</v>
      </c>
      <c r="P650" s="16">
        <v>81285</v>
      </c>
    </row>
    <row r="651" spans="1:16" x14ac:dyDescent="0.3">
      <c r="A651" s="15" t="s">
        <v>69</v>
      </c>
      <c r="B651" s="15" t="s">
        <v>56</v>
      </c>
      <c r="C651" s="15" t="s">
        <v>29</v>
      </c>
      <c r="D651" s="15" t="s">
        <v>52</v>
      </c>
      <c r="E651" s="15" t="s">
        <v>40</v>
      </c>
      <c r="F651" s="15" t="s">
        <v>20</v>
      </c>
      <c r="G651" s="15" t="s">
        <v>1</v>
      </c>
      <c r="H651" s="16"/>
      <c r="I651" s="16"/>
      <c r="J651" s="16"/>
      <c r="K651" s="16"/>
      <c r="L651" s="5" cm="1">
        <f t="array" ref="L651">_xlfn.XLOOKUP(C651,[4]C5_LMA_DIAG!$A$49:$A$66,_xlfn.XLOOKUP(B651,[4]C5_LMA_DIAG!$A$49:$M$49,[4]C5_LMA_DIAG!$A$49:$M$66))</f>
        <v>44438</v>
      </c>
      <c r="M651" s="5" cm="1">
        <f t="array" ref="M651">_xlfn.XLOOKUP(C651,[5]C6_LMA_DIAG!$A$46:$A$63,_xlfn.XLOOKUP(B651,[5]C6_LMA_DIAG!$A$46:$M$46,[5]C6_LMA_DIAG!$A$46:$M$63))</f>
        <v>50843</v>
      </c>
      <c r="N651" s="5" cm="1">
        <f t="array" ref="N651">_xlfn.XLOOKUP(
  C651,
  [6]C6_LMA_DIAG!$A$52:$A$68,
  _xlfn.XLOOKUP(
    B651,
    [6]C6_LMA_DIAG!$B$51:$O$51,
    [6]C6_LMA_DIAG!$B$52:$O$68
  )
)</f>
        <v>43809</v>
      </c>
      <c r="O651" s="20">
        <v>70415</v>
      </c>
      <c r="P651" s="16">
        <v>68784</v>
      </c>
    </row>
    <row r="652" spans="1:16" x14ac:dyDescent="0.3">
      <c r="A652" s="15" t="s">
        <v>69</v>
      </c>
      <c r="B652" s="15" t="s">
        <v>57</v>
      </c>
      <c r="C652" s="15" t="s">
        <v>29</v>
      </c>
      <c r="D652" s="15" t="s">
        <v>52</v>
      </c>
      <c r="E652" s="15" t="s">
        <v>40</v>
      </c>
      <c r="F652" s="15" t="s">
        <v>20</v>
      </c>
      <c r="G652" s="15" t="s">
        <v>1</v>
      </c>
      <c r="H652" s="16"/>
      <c r="I652" s="16"/>
      <c r="J652" s="16"/>
      <c r="K652" s="16"/>
      <c r="L652" s="5" cm="1">
        <f t="array" ref="L652">_xlfn.XLOOKUP(C652,[4]C5_LMA_DIAG!$A$49:$A$66,_xlfn.XLOOKUP(B652,[4]C5_LMA_DIAG!$A$49:$M$49,[4]C5_LMA_DIAG!$A$49:$M$66))</f>
        <v>13540</v>
      </c>
      <c r="M652" s="5" cm="1">
        <f t="array" ref="M652">_xlfn.XLOOKUP(C652,[5]C6_LMA_DIAG!$A$46:$A$63,_xlfn.XLOOKUP(B652,[5]C6_LMA_DIAG!$A$46:$M$46,[5]C6_LMA_DIAG!$A$46:$M$63))</f>
        <v>17203</v>
      </c>
      <c r="N652" s="5" cm="1">
        <f t="array" ref="N652">_xlfn.XLOOKUP(
  C652,
  [6]C6_LMA_DIAG!$A$52:$A$68,
  _xlfn.XLOOKUP(
    B652,
    [6]C6_LMA_DIAG!$B$51:$O$51,
    [6]C6_LMA_DIAG!$B$52:$O$68
  )
)</f>
        <v>9497</v>
      </c>
      <c r="O652" s="20">
        <v>10293</v>
      </c>
      <c r="P652" s="16">
        <v>22552</v>
      </c>
    </row>
    <row r="653" spans="1:16" x14ac:dyDescent="0.3">
      <c r="A653" s="15" t="s">
        <v>69</v>
      </c>
      <c r="B653" s="15" t="s">
        <v>58</v>
      </c>
      <c r="C653" s="15" t="s">
        <v>29</v>
      </c>
      <c r="D653" s="15" t="s">
        <v>52</v>
      </c>
      <c r="E653" s="15" t="s">
        <v>40</v>
      </c>
      <c r="F653" s="15" t="s">
        <v>20</v>
      </c>
      <c r="G653" s="15" t="s">
        <v>1</v>
      </c>
      <c r="H653" s="16"/>
      <c r="I653" s="16"/>
      <c r="J653" s="16"/>
      <c r="K653" s="16"/>
      <c r="L653" s="5" cm="1">
        <f t="array" ref="L653">_xlfn.XLOOKUP(C653,[4]C5_LMA_DIAG!$A$49:$A$66,_xlfn.XLOOKUP(B653,[4]C5_LMA_DIAG!$A$49:$M$49,[4]C5_LMA_DIAG!$A$49:$M$66))</f>
        <v>13884</v>
      </c>
      <c r="M653" s="5" cm="1">
        <f t="array" ref="M653">_xlfn.XLOOKUP(C653,[5]C6_LMA_DIAG!$A$46:$A$63,_xlfn.XLOOKUP(B653,[5]C6_LMA_DIAG!$A$46:$M$46,[5]C6_LMA_DIAG!$A$46:$M$63))</f>
        <v>17563</v>
      </c>
      <c r="N653" s="5" cm="1">
        <f t="array" ref="N653">_xlfn.XLOOKUP(
  C653,
  [6]C6_LMA_DIAG!$A$52:$A$68,
  _xlfn.XLOOKUP(
    B653,
    [6]C6_LMA_DIAG!$B$51:$O$51,
    [6]C6_LMA_DIAG!$B$52:$O$68
  )
)</f>
        <v>15281</v>
      </c>
      <c r="O653" s="20">
        <v>21649</v>
      </c>
      <c r="P653" s="16">
        <v>23086</v>
      </c>
    </row>
    <row r="654" spans="1:16" x14ac:dyDescent="0.3">
      <c r="A654" s="15" t="s">
        <v>69</v>
      </c>
      <c r="B654" s="15" t="s">
        <v>59</v>
      </c>
      <c r="C654" s="15" t="s">
        <v>29</v>
      </c>
      <c r="D654" s="15" t="s">
        <v>52</v>
      </c>
      <c r="E654" s="15" t="s">
        <v>40</v>
      </c>
      <c r="F654" s="15" t="s">
        <v>20</v>
      </c>
      <c r="G654" s="15" t="s">
        <v>1</v>
      </c>
      <c r="H654" s="16"/>
      <c r="I654" s="16"/>
      <c r="J654" s="16"/>
      <c r="K654" s="16"/>
      <c r="L654" s="5" cm="1">
        <f t="array" ref="L654">_xlfn.XLOOKUP(C654,[4]C5_LMA_DIAG!$A$49:$A$66,_xlfn.XLOOKUP(B654,[4]C5_LMA_DIAG!$A$49:$M$49,[4]C5_LMA_DIAG!$A$49:$M$66))</f>
        <v>6950</v>
      </c>
      <c r="M654" s="5" cm="1">
        <f t="array" ref="M654">_xlfn.XLOOKUP(C654,[5]C6_LMA_DIAG!$A$46:$A$63,_xlfn.XLOOKUP(B654,[5]C6_LMA_DIAG!$A$46:$M$46,[5]C6_LMA_DIAG!$A$46:$M$63))</f>
        <v>7929</v>
      </c>
      <c r="N654" s="5" cm="1">
        <f t="array" ref="N654">_xlfn.XLOOKUP(
  C654,
  [6]C6_LMA_DIAG!$A$52:$A$68,
  _xlfn.XLOOKUP(
    B654,
    [6]C6_LMA_DIAG!$B$51:$O$51,
    [6]C6_LMA_DIAG!$B$52:$O$68
  )
)</f>
        <v>5842</v>
      </c>
      <c r="O654" s="20">
        <v>6107</v>
      </c>
      <c r="P654" s="16">
        <v>8884</v>
      </c>
    </row>
    <row r="655" spans="1:16" x14ac:dyDescent="0.3">
      <c r="A655" s="15" t="s">
        <v>69</v>
      </c>
      <c r="B655" s="15" t="s">
        <v>60</v>
      </c>
      <c r="C655" s="15" t="s">
        <v>29</v>
      </c>
      <c r="D655" s="15" t="s">
        <v>52</v>
      </c>
      <c r="E655" s="15" t="s">
        <v>40</v>
      </c>
      <c r="F655" s="15" t="s">
        <v>20</v>
      </c>
      <c r="G655" s="15" t="s">
        <v>1</v>
      </c>
      <c r="H655" s="16"/>
      <c r="I655" s="16"/>
      <c r="J655" s="16"/>
      <c r="K655" s="16"/>
      <c r="L655" s="5" cm="1">
        <f t="array" ref="L655">_xlfn.XLOOKUP(C655,[4]C5_LMA_DIAG!$A$49:$A$66,_xlfn.XLOOKUP(B655,[4]C5_LMA_DIAG!$A$49:$M$49,[4]C5_LMA_DIAG!$A$49:$M$66))</f>
        <v>7124</v>
      </c>
      <c r="M655" s="5" cm="1">
        <f t="array" ref="M655">_xlfn.XLOOKUP(C655,[5]C6_LMA_DIAG!$A$46:$A$63,_xlfn.XLOOKUP(B655,[5]C6_LMA_DIAG!$A$46:$M$46,[5]C6_LMA_DIAG!$A$46:$M$63))</f>
        <v>8266</v>
      </c>
      <c r="N655" s="5" cm="1">
        <f t="array" ref="N655">_xlfn.XLOOKUP(
  C655,
  [6]C6_LMA_DIAG!$A$52:$A$68,
  _xlfn.XLOOKUP(
    B655,
    [6]C6_LMA_DIAG!$B$51:$O$51,
    [6]C6_LMA_DIAG!$B$52:$O$68
  )
)</f>
        <v>6104</v>
      </c>
      <c r="O655" s="20">
        <v>9447</v>
      </c>
      <c r="P655" s="16">
        <v>10964</v>
      </c>
    </row>
    <row r="656" spans="1:16" x14ac:dyDescent="0.3">
      <c r="A656" s="15" t="s">
        <v>69</v>
      </c>
      <c r="B656" s="15" t="s">
        <v>61</v>
      </c>
      <c r="C656" s="15" t="s">
        <v>29</v>
      </c>
      <c r="D656" s="15" t="s">
        <v>52</v>
      </c>
      <c r="E656" s="15" t="s">
        <v>40</v>
      </c>
      <c r="F656" s="15" t="s">
        <v>20</v>
      </c>
      <c r="G656" s="15" t="s">
        <v>1</v>
      </c>
      <c r="H656" s="16"/>
      <c r="I656" s="16"/>
      <c r="J656" s="16"/>
      <c r="K656" s="16"/>
      <c r="L656" s="5" cm="1">
        <f t="array" ref="L656">_xlfn.XLOOKUP(C656,[4]C5_LMA_DIAG!$A$49:$A$66,_xlfn.XLOOKUP(B656,[4]C5_LMA_DIAG!$A$49:$M$49,[4]C5_LMA_DIAG!$A$49:$M$66))</f>
        <v>12153</v>
      </c>
      <c r="M656" s="5" cm="1">
        <f t="array" ref="M656">_xlfn.XLOOKUP(C656,[5]C6_LMA_DIAG!$A$46:$A$63,_xlfn.XLOOKUP(B656,[5]C6_LMA_DIAG!$A$46:$M$46,[5]C6_LMA_DIAG!$A$46:$M$63))</f>
        <v>10767</v>
      </c>
      <c r="N656" s="5" cm="1">
        <f t="array" ref="N656">_xlfn.XLOOKUP(
  C656,
  [6]C6_LMA_DIAG!$A$52:$A$68,
  _xlfn.XLOOKUP(
    B656,
    [6]C6_LMA_DIAG!$B$51:$O$51,
    [6]C6_LMA_DIAG!$B$52:$O$68
  )
)</f>
        <v>9262</v>
      </c>
      <c r="O656" s="20">
        <v>9598</v>
      </c>
      <c r="P656" s="16">
        <v>10864</v>
      </c>
    </row>
    <row r="657" spans="1:16" x14ac:dyDescent="0.3">
      <c r="A657" s="15" t="s">
        <v>69</v>
      </c>
      <c r="B657" s="15" t="s">
        <v>62</v>
      </c>
      <c r="C657" s="15" t="s">
        <v>29</v>
      </c>
      <c r="D657" s="15" t="s">
        <v>52</v>
      </c>
      <c r="E657" s="15" t="s">
        <v>40</v>
      </c>
      <c r="F657" s="15" t="s">
        <v>20</v>
      </c>
      <c r="G657" s="15" t="s">
        <v>1</v>
      </c>
      <c r="H657" s="16"/>
      <c r="I657" s="16"/>
      <c r="J657" s="16"/>
      <c r="K657" s="16"/>
      <c r="L657" s="5" cm="1">
        <f t="array" ref="L657">_xlfn.XLOOKUP(C657,[4]C5_LMA_DIAG!$A$49:$A$66,_xlfn.XLOOKUP(B657,[4]C5_LMA_DIAG!$A$49:$M$49,[4]C5_LMA_DIAG!$A$49:$M$66))</f>
        <v>6047</v>
      </c>
      <c r="M657" s="5" cm="1">
        <f t="array" ref="M657">_xlfn.XLOOKUP(C657,[5]C6_LMA_DIAG!$A$46:$A$63,_xlfn.XLOOKUP(B657,[5]C6_LMA_DIAG!$A$46:$M$46,[5]C6_LMA_DIAG!$A$46:$M$63))</f>
        <v>5650</v>
      </c>
      <c r="N657" s="5" cm="1">
        <f t="array" ref="N657">_xlfn.XLOOKUP(
  C657,
  [6]C6_LMA_DIAG!$A$52:$A$68,
  _xlfn.XLOOKUP(
    B657,
    [6]C6_LMA_DIAG!$B$51:$O$51,
    [6]C6_LMA_DIAG!$B$52:$O$68
  )
)</f>
        <v>4664</v>
      </c>
      <c r="O657" s="20">
        <v>5974</v>
      </c>
      <c r="P657" s="16">
        <v>6537</v>
      </c>
    </row>
    <row r="658" spans="1:16" x14ac:dyDescent="0.3">
      <c r="A658" s="15" t="s">
        <v>69</v>
      </c>
      <c r="B658" s="15" t="s">
        <v>63</v>
      </c>
      <c r="C658" s="15" t="s">
        <v>29</v>
      </c>
      <c r="D658" s="15" t="s">
        <v>52</v>
      </c>
      <c r="E658" s="15" t="s">
        <v>40</v>
      </c>
      <c r="F658" s="15" t="s">
        <v>20</v>
      </c>
      <c r="G658" s="15" t="s">
        <v>1</v>
      </c>
      <c r="H658" s="16"/>
      <c r="I658" s="16"/>
      <c r="J658" s="16"/>
      <c r="K658" s="16"/>
      <c r="L658" s="5" cm="1">
        <f t="array" ref="L658">_xlfn.XLOOKUP(C658,[4]C5_LMA_DIAG!$A$49:$A$66,_xlfn.XLOOKUP(B658,[4]C5_LMA_DIAG!$A$49:$M$49,[4]C5_LMA_DIAG!$A$49:$M$66))</f>
        <v>5706</v>
      </c>
      <c r="M658" s="5" cm="1">
        <f t="array" ref="M658">_xlfn.XLOOKUP(C658,[5]C6_LMA_DIAG!$A$46:$A$63,_xlfn.XLOOKUP(B658,[5]C6_LMA_DIAG!$A$46:$M$46,[5]C6_LMA_DIAG!$A$46:$M$63))</f>
        <v>5875</v>
      </c>
      <c r="N658" s="5" cm="1">
        <f t="array" ref="N658">_xlfn.XLOOKUP(
  C658,
  [6]C6_LMA_DIAG!$A$52:$A$68,
  _xlfn.XLOOKUP(
    B658,
    [6]C6_LMA_DIAG!$B$51:$O$51,
    [6]C6_LMA_DIAG!$B$52:$O$68
  )
)</f>
        <v>4414</v>
      </c>
      <c r="O658" s="20">
        <v>5255</v>
      </c>
      <c r="P658" s="16">
        <v>5281</v>
      </c>
    </row>
    <row r="659" spans="1:16" x14ac:dyDescent="0.3">
      <c r="A659" s="15" t="s">
        <v>69</v>
      </c>
      <c r="B659" s="15" t="s">
        <v>64</v>
      </c>
      <c r="C659" s="15" t="s">
        <v>29</v>
      </c>
      <c r="D659" s="15" t="s">
        <v>52</v>
      </c>
      <c r="E659" s="15" t="s">
        <v>40</v>
      </c>
      <c r="F659" s="15" t="s">
        <v>20</v>
      </c>
      <c r="G659" s="15" t="s">
        <v>1</v>
      </c>
      <c r="H659" s="16"/>
      <c r="I659" s="16"/>
      <c r="J659" s="16"/>
      <c r="K659" s="16"/>
      <c r="L659" s="5" cm="1">
        <f t="array" ref="L659">_xlfn.XLOOKUP(C659,[4]C5_LMA_DIAG!$A$49:$A$66,_xlfn.XLOOKUP(B659,[4]C5_LMA_DIAG!$A$49:$M$49,[4]C5_LMA_DIAG!$A$49:$M$66))</f>
        <v>5614</v>
      </c>
      <c r="M659" s="5" cm="1">
        <f t="array" ref="M659">_xlfn.XLOOKUP(C659,[5]C6_LMA_DIAG!$A$46:$A$63,_xlfn.XLOOKUP(B659,[5]C6_LMA_DIAG!$A$46:$M$46,[5]C6_LMA_DIAG!$A$46:$M$63))</f>
        <v>5665</v>
      </c>
      <c r="N659" s="5" cm="1">
        <f t="array" ref="N659">_xlfn.XLOOKUP(
  C659,
  [6]C6_LMA_DIAG!$A$52:$A$68,
  _xlfn.XLOOKUP(
    B659,
    [6]C6_LMA_DIAG!$B$51:$O$51,
    [6]C6_LMA_DIAG!$B$52:$O$68
  )
)</f>
        <v>5677</v>
      </c>
      <c r="O659" s="20">
        <v>6894</v>
      </c>
      <c r="P659" s="16">
        <v>6623</v>
      </c>
    </row>
    <row r="660" spans="1:16" x14ac:dyDescent="0.3">
      <c r="A660" s="15" t="s">
        <v>69</v>
      </c>
      <c r="B660" s="15" t="s">
        <v>70</v>
      </c>
      <c r="C660" s="15" t="s">
        <v>29</v>
      </c>
      <c r="D660" s="15" t="s">
        <v>52</v>
      </c>
      <c r="E660" s="15" t="s">
        <v>40</v>
      </c>
      <c r="F660" s="15" t="s">
        <v>20</v>
      </c>
      <c r="G660" s="15" t="s">
        <v>1</v>
      </c>
      <c r="H660" s="16"/>
      <c r="I660" s="16"/>
      <c r="J660" s="16"/>
      <c r="K660" s="16"/>
      <c r="L660" s="5">
        <v>0</v>
      </c>
      <c r="M660" s="5">
        <v>0</v>
      </c>
      <c r="N660" s="5" cm="1">
        <f t="array" ref="N660">_xlfn.XLOOKUP(
  C660,
  [6]C6_LMA_DIAG!$A$52:$A$68,
  _xlfn.XLOOKUP(
    B660,
    [6]C6_LMA_DIAG!$B$51:$O$51,
    [6]C6_LMA_DIAG!$B$52:$O$68
  )
)</f>
        <v>32478</v>
      </c>
      <c r="O660" s="20">
        <v>65627</v>
      </c>
      <c r="P660" s="16">
        <v>57011</v>
      </c>
    </row>
    <row r="661" spans="1:16" x14ac:dyDescent="0.3">
      <c r="A661" s="15"/>
      <c r="B661" s="18" t="s">
        <v>71</v>
      </c>
      <c r="C661" s="15" t="s">
        <v>29</v>
      </c>
      <c r="D661" s="15" t="s">
        <v>52</v>
      </c>
      <c r="E661" s="15" t="s">
        <v>40</v>
      </c>
      <c r="F661" s="15" t="s">
        <v>20</v>
      </c>
      <c r="G661" s="15" t="s">
        <v>1</v>
      </c>
      <c r="H661" s="16"/>
      <c r="I661" s="16"/>
      <c r="J661" s="16"/>
      <c r="K661" s="16"/>
      <c r="L661" s="5">
        <v>0</v>
      </c>
      <c r="M661" s="5">
        <v>0</v>
      </c>
      <c r="N661" s="5" cm="1">
        <f t="array" ref="N661">_xlfn.XLOOKUP(
  C661,
  [6]C6_LMA_DIAG!$A$52:$A$68,
  _xlfn.XLOOKUP(
    B661,
    [6]C6_LMA_DIAG!$B$51:$O$51,
    [6]C6_LMA_DIAG!$B$52:$O$68
  )
)</f>
        <v>901</v>
      </c>
      <c r="O661" s="20">
        <v>566</v>
      </c>
      <c r="P661" s="16">
        <v>0</v>
      </c>
    </row>
    <row r="662" spans="1:16" x14ac:dyDescent="0.3">
      <c r="A662" s="15" t="s">
        <v>69</v>
      </c>
      <c r="B662" s="15" t="s">
        <v>65</v>
      </c>
      <c r="C662" s="15" t="s">
        <v>29</v>
      </c>
      <c r="D662" s="15" t="s">
        <v>52</v>
      </c>
      <c r="E662" s="15" t="s">
        <v>40</v>
      </c>
      <c r="F662" s="15" t="s">
        <v>20</v>
      </c>
      <c r="G662" s="15" t="s">
        <v>1</v>
      </c>
      <c r="H662" s="16"/>
      <c r="I662" s="16"/>
      <c r="J662" s="16"/>
      <c r="K662" s="16"/>
      <c r="L662" s="5" cm="1">
        <f t="array" ref="L662">_xlfn.XLOOKUP(C662,[4]C5_LMA_DIAG!$A$49:$A$66,_xlfn.XLOOKUP(B662,[4]C5_LMA_DIAG!$A$49:$M$49,[4]C5_LMA_DIAG!$A$49:$M$66))</f>
        <v>18123</v>
      </c>
      <c r="M662" s="5" cm="1">
        <f t="array" ref="M662">_xlfn.XLOOKUP(C662,[5]C6_LMA_DIAG!$A$46:$A$63,_xlfn.XLOOKUP(B662,[5]C6_LMA_DIAG!$A$46:$M$46,[5]C6_LMA_DIAG!$A$46:$M$63))</f>
        <v>19710</v>
      </c>
      <c r="N662" s="5" cm="1">
        <f t="array" ref="N662">_xlfn.XLOOKUP(
  C662,
  [6]C6_LMA_DIAG!$A$52:$A$68,
  _xlfn.XLOOKUP(
    B662,
    [6]C6_LMA_DIAG!$B$51:$O$51,
    [6]C6_LMA_DIAG!$B$52:$O$68
  )
)</f>
        <v>17299</v>
      </c>
      <c r="O662" s="20">
        <v>24483</v>
      </c>
      <c r="P662" s="16">
        <v>26142</v>
      </c>
    </row>
    <row r="663" spans="1:16" x14ac:dyDescent="0.3">
      <c r="A663" s="15" t="s">
        <v>69</v>
      </c>
      <c r="B663" s="15" t="s">
        <v>19</v>
      </c>
      <c r="C663" s="15" t="s">
        <v>29</v>
      </c>
      <c r="D663" s="15" t="s">
        <v>52</v>
      </c>
      <c r="E663" s="15" t="s">
        <v>40</v>
      </c>
      <c r="F663" s="15" t="s">
        <v>20</v>
      </c>
      <c r="G663" s="15" t="s">
        <v>1</v>
      </c>
      <c r="H663" s="16"/>
      <c r="I663" s="16"/>
      <c r="J663" s="16"/>
      <c r="K663" s="16"/>
      <c r="L663" s="5" cm="1">
        <f t="array" ref="L663">_xlfn.XLOOKUP(C663,[4]C5_LMA_DIAG!$A$49:$A$66,_xlfn.XLOOKUP(B663,[4]C5_LMA_DIAG!$A$49:$M$49,[4]C5_LMA_DIAG!$A$49:$M$66))</f>
        <v>0</v>
      </c>
      <c r="M663" s="5" cm="1">
        <f t="array" ref="M663">_xlfn.XLOOKUP(C663,[5]C6_LMA_DIAG!$A$46:$A$63,_xlfn.XLOOKUP(B663,[5]C6_LMA_DIAG!$A$46:$M$46,[5]C6_LMA_DIAG!$A$46:$M$63))</f>
        <v>2</v>
      </c>
      <c r="N663" s="5" cm="1">
        <f t="array" ref="N663">_xlfn.XLOOKUP(
  C663,
  [6]C6_LMA_DIAG!$A$52:$A$68,
  _xlfn.XLOOKUP(
    B663,
    [6]C6_LMA_DIAG!$B$51:$O$51,
    [6]C6_LMA_DIAG!$B$52:$O$68
  )
)</f>
        <v>0</v>
      </c>
      <c r="O663" s="20">
        <v>1</v>
      </c>
      <c r="P663" s="16">
        <v>0</v>
      </c>
    </row>
    <row r="664" spans="1:16" x14ac:dyDescent="0.3">
      <c r="A664" s="4" t="s">
        <v>69</v>
      </c>
      <c r="B664" s="4" t="s">
        <v>55</v>
      </c>
      <c r="C664" s="4" t="s">
        <v>30</v>
      </c>
      <c r="D664" s="4" t="s">
        <v>52</v>
      </c>
      <c r="E664" s="4" t="s">
        <v>40</v>
      </c>
      <c r="F664" s="4" t="s">
        <v>20</v>
      </c>
      <c r="G664" s="4" t="s">
        <v>1</v>
      </c>
      <c r="H664" s="5"/>
      <c r="I664" s="5"/>
      <c r="J664" s="5"/>
      <c r="K664" s="5"/>
      <c r="L664" s="5" cm="1">
        <f t="array" ref="L664">_xlfn.XLOOKUP(C664,[4]C5_LMA_DIAG!$A$49:$A$66,_xlfn.XLOOKUP(B664,[4]C5_LMA_DIAG!$A$49:$M$49,[4]C5_LMA_DIAG!$A$49:$M$66))</f>
        <v>41381</v>
      </c>
      <c r="M664" s="5" cm="1">
        <f t="array" ref="M664">_xlfn.XLOOKUP(C664,[5]C6_LMA_DIAG!$A$46:$A$63,_xlfn.XLOOKUP(B664,[5]C6_LMA_DIAG!$A$46:$M$46,[5]C6_LMA_DIAG!$A$46:$M$63))</f>
        <v>50529</v>
      </c>
      <c r="N664" s="5" cm="1">
        <f t="array" ref="N664">_xlfn.XLOOKUP(
  C664,
  [6]C6_LMA_DIAG!$A$52:$A$68,
  _xlfn.XLOOKUP(
    B664,
    [6]C6_LMA_DIAG!$B$51:$O$51,
    [6]C6_LMA_DIAG!$B$52:$O$68
  )
)</f>
        <v>54447</v>
      </c>
      <c r="O664" s="20">
        <v>97803</v>
      </c>
      <c r="P664" s="5">
        <v>100962</v>
      </c>
    </row>
    <row r="665" spans="1:16" x14ac:dyDescent="0.3">
      <c r="A665" s="4" t="s">
        <v>69</v>
      </c>
      <c r="B665" s="4" t="s">
        <v>56</v>
      </c>
      <c r="C665" s="4" t="s">
        <v>30</v>
      </c>
      <c r="D665" s="4" t="s">
        <v>52</v>
      </c>
      <c r="E665" s="4" t="s">
        <v>40</v>
      </c>
      <c r="F665" s="4" t="s">
        <v>20</v>
      </c>
      <c r="G665" s="4" t="s">
        <v>1</v>
      </c>
      <c r="H665" s="5"/>
      <c r="I665" s="5"/>
      <c r="J665" s="5"/>
      <c r="K665" s="5"/>
      <c r="L665" s="5" cm="1">
        <f t="array" ref="L665">_xlfn.XLOOKUP(C665,[4]C5_LMA_DIAG!$A$49:$A$66,_xlfn.XLOOKUP(B665,[4]C5_LMA_DIAG!$A$49:$M$49,[4]C5_LMA_DIAG!$A$49:$M$66))</f>
        <v>39502</v>
      </c>
      <c r="M665" s="5" cm="1">
        <f t="array" ref="M665">_xlfn.XLOOKUP(C665,[5]C6_LMA_DIAG!$A$46:$A$63,_xlfn.XLOOKUP(B665,[5]C6_LMA_DIAG!$A$46:$M$46,[5]C6_LMA_DIAG!$A$46:$M$63))</f>
        <v>46705</v>
      </c>
      <c r="N665" s="5" cm="1">
        <f t="array" ref="N665">_xlfn.XLOOKUP(
  C665,
  [6]C6_LMA_DIAG!$A$52:$A$68,
  _xlfn.XLOOKUP(
    B665,
    [6]C6_LMA_DIAG!$B$51:$O$51,
    [6]C6_LMA_DIAG!$B$52:$O$68
  )
)</f>
        <v>39903</v>
      </c>
      <c r="O665" s="20">
        <v>67077</v>
      </c>
      <c r="P665" s="5">
        <v>72210</v>
      </c>
    </row>
    <row r="666" spans="1:16" x14ac:dyDescent="0.3">
      <c r="A666" s="4" t="s">
        <v>69</v>
      </c>
      <c r="B666" s="4" t="s">
        <v>57</v>
      </c>
      <c r="C666" s="4" t="s">
        <v>30</v>
      </c>
      <c r="D666" s="4" t="s">
        <v>52</v>
      </c>
      <c r="E666" s="4" t="s">
        <v>40</v>
      </c>
      <c r="F666" s="4" t="s">
        <v>20</v>
      </c>
      <c r="G666" s="4" t="s">
        <v>1</v>
      </c>
      <c r="H666" s="5"/>
      <c r="I666" s="5"/>
      <c r="J666" s="5"/>
      <c r="K666" s="5"/>
      <c r="L666" s="5" cm="1">
        <f t="array" ref="L666">_xlfn.XLOOKUP(C666,[4]C5_LMA_DIAG!$A$49:$A$66,_xlfn.XLOOKUP(B666,[4]C5_LMA_DIAG!$A$49:$M$49,[4]C5_LMA_DIAG!$A$49:$M$66))</f>
        <v>19533</v>
      </c>
      <c r="M666" s="5" cm="1">
        <f t="array" ref="M666">_xlfn.XLOOKUP(C666,[5]C6_LMA_DIAG!$A$46:$A$63,_xlfn.XLOOKUP(B666,[5]C6_LMA_DIAG!$A$46:$M$46,[5]C6_LMA_DIAG!$A$46:$M$63))</f>
        <v>23032</v>
      </c>
      <c r="N666" s="5" cm="1">
        <f t="array" ref="N666">_xlfn.XLOOKUP(
  C666,
  [6]C6_LMA_DIAG!$A$52:$A$68,
  _xlfn.XLOOKUP(
    B666,
    [6]C6_LMA_DIAG!$B$51:$O$51,
    [6]C6_LMA_DIAG!$B$52:$O$68
  )
)</f>
        <v>9110</v>
      </c>
      <c r="O666" s="20">
        <v>11417</v>
      </c>
      <c r="P666" s="5">
        <v>27770</v>
      </c>
    </row>
    <row r="667" spans="1:16" x14ac:dyDescent="0.3">
      <c r="A667" s="4" t="s">
        <v>69</v>
      </c>
      <c r="B667" s="4" t="s">
        <v>58</v>
      </c>
      <c r="C667" s="4" t="s">
        <v>30</v>
      </c>
      <c r="D667" s="4" t="s">
        <v>52</v>
      </c>
      <c r="E667" s="4" t="s">
        <v>40</v>
      </c>
      <c r="F667" s="4" t="s">
        <v>20</v>
      </c>
      <c r="G667" s="4" t="s">
        <v>1</v>
      </c>
      <c r="H667" s="5"/>
      <c r="I667" s="5"/>
      <c r="J667" s="5"/>
      <c r="K667" s="5"/>
      <c r="L667" s="5" cm="1">
        <f t="array" ref="L667">_xlfn.XLOOKUP(C667,[4]C5_LMA_DIAG!$A$49:$A$66,_xlfn.XLOOKUP(B667,[4]C5_LMA_DIAG!$A$49:$M$49,[4]C5_LMA_DIAG!$A$49:$M$66))</f>
        <v>12627</v>
      </c>
      <c r="M667" s="5" cm="1">
        <f t="array" ref="M667">_xlfn.XLOOKUP(C667,[5]C6_LMA_DIAG!$A$46:$A$63,_xlfn.XLOOKUP(B667,[5]C6_LMA_DIAG!$A$46:$M$46,[5]C6_LMA_DIAG!$A$46:$M$63))</f>
        <v>16746</v>
      </c>
      <c r="N667" s="5" cm="1">
        <f t="array" ref="N667">_xlfn.XLOOKUP(
  C667,
  [6]C6_LMA_DIAG!$A$52:$A$68,
  _xlfn.XLOOKUP(
    B667,
    [6]C6_LMA_DIAG!$B$51:$O$51,
    [6]C6_LMA_DIAG!$B$52:$O$68
  )
)</f>
        <v>15021</v>
      </c>
      <c r="O667" s="20">
        <v>21626</v>
      </c>
      <c r="P667" s="5">
        <v>23400</v>
      </c>
    </row>
    <row r="668" spans="1:16" x14ac:dyDescent="0.3">
      <c r="A668" s="4" t="s">
        <v>69</v>
      </c>
      <c r="B668" s="4" t="s">
        <v>59</v>
      </c>
      <c r="C668" s="4" t="s">
        <v>30</v>
      </c>
      <c r="D668" s="4" t="s">
        <v>52</v>
      </c>
      <c r="E668" s="4" t="s">
        <v>40</v>
      </c>
      <c r="F668" s="4" t="s">
        <v>20</v>
      </c>
      <c r="G668" s="4" t="s">
        <v>1</v>
      </c>
      <c r="H668" s="5"/>
      <c r="I668" s="5"/>
      <c r="J668" s="5"/>
      <c r="K668" s="5"/>
      <c r="L668" s="5" cm="1">
        <f t="array" ref="L668">_xlfn.XLOOKUP(C668,[4]C5_LMA_DIAG!$A$49:$A$66,_xlfn.XLOOKUP(B668,[4]C5_LMA_DIAG!$A$49:$M$49,[4]C5_LMA_DIAG!$A$49:$M$66))</f>
        <v>4158</v>
      </c>
      <c r="M668" s="5" cm="1">
        <f t="array" ref="M668">_xlfn.XLOOKUP(C668,[5]C6_LMA_DIAG!$A$46:$A$63,_xlfn.XLOOKUP(B668,[5]C6_LMA_DIAG!$A$46:$M$46,[5]C6_LMA_DIAG!$A$46:$M$63))</f>
        <v>7727</v>
      </c>
      <c r="N668" s="5" cm="1">
        <f t="array" ref="N668">_xlfn.XLOOKUP(
  C668,
  [6]C6_LMA_DIAG!$A$52:$A$68,
  _xlfn.XLOOKUP(
    B668,
    [6]C6_LMA_DIAG!$B$51:$O$51,
    [6]C6_LMA_DIAG!$B$52:$O$68
  )
)</f>
        <v>4034</v>
      </c>
      <c r="O668" s="20">
        <v>5312</v>
      </c>
      <c r="P668" s="5">
        <v>7548</v>
      </c>
    </row>
    <row r="669" spans="1:16" x14ac:dyDescent="0.3">
      <c r="A669" s="4" t="s">
        <v>69</v>
      </c>
      <c r="B669" s="4" t="s">
        <v>60</v>
      </c>
      <c r="C669" s="4" t="s">
        <v>30</v>
      </c>
      <c r="D669" s="4" t="s">
        <v>52</v>
      </c>
      <c r="E669" s="4" t="s">
        <v>40</v>
      </c>
      <c r="F669" s="4" t="s">
        <v>20</v>
      </c>
      <c r="G669" s="4" t="s">
        <v>1</v>
      </c>
      <c r="H669" s="5"/>
      <c r="I669" s="5"/>
      <c r="J669" s="5"/>
      <c r="K669" s="5"/>
      <c r="L669" s="5" cm="1">
        <f t="array" ref="L669">_xlfn.XLOOKUP(C669,[4]C5_LMA_DIAG!$A$49:$A$66,_xlfn.XLOOKUP(B669,[4]C5_LMA_DIAG!$A$49:$M$49,[4]C5_LMA_DIAG!$A$49:$M$66))</f>
        <v>11661</v>
      </c>
      <c r="M669" s="5" cm="1">
        <f t="array" ref="M669">_xlfn.XLOOKUP(C669,[5]C6_LMA_DIAG!$A$46:$A$63,_xlfn.XLOOKUP(B669,[5]C6_LMA_DIAG!$A$46:$M$46,[5]C6_LMA_DIAG!$A$46:$M$63))</f>
        <v>11880</v>
      </c>
      <c r="N669" s="5" cm="1">
        <f t="array" ref="N669">_xlfn.XLOOKUP(
  C669,
  [6]C6_LMA_DIAG!$A$52:$A$68,
  _xlfn.XLOOKUP(
    B669,
    [6]C6_LMA_DIAG!$B$51:$O$51,
    [6]C6_LMA_DIAG!$B$52:$O$68
  )
)</f>
        <v>7224</v>
      </c>
      <c r="O669" s="20">
        <v>10685</v>
      </c>
      <c r="P669" s="5">
        <v>13405</v>
      </c>
    </row>
    <row r="670" spans="1:16" x14ac:dyDescent="0.3">
      <c r="A670" s="4" t="s">
        <v>69</v>
      </c>
      <c r="B670" s="4" t="s">
        <v>61</v>
      </c>
      <c r="C670" s="4" t="s">
        <v>30</v>
      </c>
      <c r="D670" s="4" t="s">
        <v>52</v>
      </c>
      <c r="E670" s="4" t="s">
        <v>40</v>
      </c>
      <c r="F670" s="4" t="s">
        <v>20</v>
      </c>
      <c r="G670" s="4" t="s">
        <v>1</v>
      </c>
      <c r="H670" s="5"/>
      <c r="I670" s="5"/>
      <c r="J670" s="5"/>
      <c r="K670" s="5"/>
      <c r="L670" s="5" cm="1">
        <f t="array" ref="L670">_xlfn.XLOOKUP(C670,[4]C5_LMA_DIAG!$A$49:$A$66,_xlfn.XLOOKUP(B670,[4]C5_LMA_DIAG!$A$49:$M$49,[4]C5_LMA_DIAG!$A$49:$M$66))</f>
        <v>7204</v>
      </c>
      <c r="M670" s="5" cm="1">
        <f t="array" ref="M670">_xlfn.XLOOKUP(C670,[5]C6_LMA_DIAG!$A$46:$A$63,_xlfn.XLOOKUP(B670,[5]C6_LMA_DIAG!$A$46:$M$46,[5]C6_LMA_DIAG!$A$46:$M$63))</f>
        <v>7586</v>
      </c>
      <c r="N670" s="5" cm="1">
        <f t="array" ref="N670">_xlfn.XLOOKUP(
  C670,
  [6]C6_LMA_DIAG!$A$52:$A$68,
  _xlfn.XLOOKUP(
    B670,
    [6]C6_LMA_DIAG!$B$51:$O$51,
    [6]C6_LMA_DIAG!$B$52:$O$68
  )
)</f>
        <v>5706</v>
      </c>
      <c r="O670" s="20">
        <v>7275</v>
      </c>
      <c r="P670" s="5">
        <v>8146</v>
      </c>
    </row>
    <row r="671" spans="1:16" x14ac:dyDescent="0.3">
      <c r="A671" s="4" t="s">
        <v>69</v>
      </c>
      <c r="B671" s="4" t="s">
        <v>62</v>
      </c>
      <c r="C671" s="4" t="s">
        <v>30</v>
      </c>
      <c r="D671" s="4" t="s">
        <v>52</v>
      </c>
      <c r="E671" s="4" t="s">
        <v>40</v>
      </c>
      <c r="F671" s="4" t="s">
        <v>20</v>
      </c>
      <c r="G671" s="4" t="s">
        <v>1</v>
      </c>
      <c r="H671" s="5"/>
      <c r="I671" s="5"/>
      <c r="J671" s="5"/>
      <c r="K671" s="5"/>
      <c r="L671" s="5" cm="1">
        <f t="array" ref="L671">_xlfn.XLOOKUP(C671,[4]C5_LMA_DIAG!$A$49:$A$66,_xlfn.XLOOKUP(B671,[4]C5_LMA_DIAG!$A$49:$M$49,[4]C5_LMA_DIAG!$A$49:$M$66))</f>
        <v>5773</v>
      </c>
      <c r="M671" s="5" cm="1">
        <f t="array" ref="M671">_xlfn.XLOOKUP(C671,[5]C6_LMA_DIAG!$A$46:$A$63,_xlfn.XLOOKUP(B671,[5]C6_LMA_DIAG!$A$46:$M$46,[5]C6_LMA_DIAG!$A$46:$M$63))</f>
        <v>6409</v>
      </c>
      <c r="N671" s="5" cm="1">
        <f t="array" ref="N671">_xlfn.XLOOKUP(
  C671,
  [6]C6_LMA_DIAG!$A$52:$A$68,
  _xlfn.XLOOKUP(
    B671,
    [6]C6_LMA_DIAG!$B$51:$O$51,
    [6]C6_LMA_DIAG!$B$52:$O$68
  )
)</f>
        <v>4368</v>
      </c>
      <c r="O671" s="20">
        <v>6142</v>
      </c>
      <c r="P671" s="5">
        <v>7176</v>
      </c>
    </row>
    <row r="672" spans="1:16" x14ac:dyDescent="0.3">
      <c r="A672" s="4" t="s">
        <v>69</v>
      </c>
      <c r="B672" s="4" t="s">
        <v>63</v>
      </c>
      <c r="C672" s="4" t="s">
        <v>30</v>
      </c>
      <c r="D672" s="4" t="s">
        <v>52</v>
      </c>
      <c r="E672" s="4" t="s">
        <v>40</v>
      </c>
      <c r="F672" s="4" t="s">
        <v>20</v>
      </c>
      <c r="G672" s="4" t="s">
        <v>1</v>
      </c>
      <c r="H672" s="5"/>
      <c r="I672" s="5"/>
      <c r="J672" s="5"/>
      <c r="K672" s="5"/>
      <c r="L672" s="5" cm="1">
        <f t="array" ref="L672">_xlfn.XLOOKUP(C672,[4]C5_LMA_DIAG!$A$49:$A$66,_xlfn.XLOOKUP(B672,[4]C5_LMA_DIAG!$A$49:$M$49,[4]C5_LMA_DIAG!$A$49:$M$66))</f>
        <v>4772</v>
      </c>
      <c r="M672" s="5" cm="1">
        <f t="array" ref="M672">_xlfn.XLOOKUP(C672,[5]C6_LMA_DIAG!$A$46:$A$63,_xlfn.XLOOKUP(B672,[5]C6_LMA_DIAG!$A$46:$M$46,[5]C6_LMA_DIAG!$A$46:$M$63))</f>
        <v>6361</v>
      </c>
      <c r="N672" s="5" cm="1">
        <f t="array" ref="N672">_xlfn.XLOOKUP(
  C672,
  [6]C6_LMA_DIAG!$A$52:$A$68,
  _xlfn.XLOOKUP(
    B672,
    [6]C6_LMA_DIAG!$B$51:$O$51,
    [6]C6_LMA_DIAG!$B$52:$O$68
  )
)</f>
        <v>5660</v>
      </c>
      <c r="O672" s="20">
        <v>6624</v>
      </c>
      <c r="P672" s="5">
        <v>7094</v>
      </c>
    </row>
    <row r="673" spans="1:16" x14ac:dyDescent="0.3">
      <c r="A673" s="4" t="s">
        <v>69</v>
      </c>
      <c r="B673" s="4" t="s">
        <v>64</v>
      </c>
      <c r="C673" s="4" t="s">
        <v>30</v>
      </c>
      <c r="D673" s="4" t="s">
        <v>52</v>
      </c>
      <c r="E673" s="4" t="s">
        <v>40</v>
      </c>
      <c r="F673" s="4" t="s">
        <v>20</v>
      </c>
      <c r="G673" s="4" t="s">
        <v>1</v>
      </c>
      <c r="H673" s="5"/>
      <c r="I673" s="5"/>
      <c r="J673" s="5"/>
      <c r="K673" s="5"/>
      <c r="L673" s="5" cm="1">
        <f t="array" ref="L673">_xlfn.XLOOKUP(C673,[4]C5_LMA_DIAG!$A$49:$A$66,_xlfn.XLOOKUP(B673,[4]C5_LMA_DIAG!$A$49:$M$49,[4]C5_LMA_DIAG!$A$49:$M$66))</f>
        <v>4859</v>
      </c>
      <c r="M673" s="5" cm="1">
        <f t="array" ref="M673">_xlfn.XLOOKUP(C673,[5]C6_LMA_DIAG!$A$46:$A$63,_xlfn.XLOOKUP(B673,[5]C6_LMA_DIAG!$A$46:$M$46,[5]C6_LMA_DIAG!$A$46:$M$63))</f>
        <v>5120</v>
      </c>
      <c r="N673" s="5" cm="1">
        <f t="array" ref="N673">_xlfn.XLOOKUP(
  C673,
  [6]C6_LMA_DIAG!$A$52:$A$68,
  _xlfn.XLOOKUP(
    B673,
    [6]C6_LMA_DIAG!$B$51:$O$51,
    [6]C6_LMA_DIAG!$B$52:$O$68
  )
)</f>
        <v>4852</v>
      </c>
      <c r="O673" s="20">
        <v>6516</v>
      </c>
      <c r="P673" s="5">
        <v>6906</v>
      </c>
    </row>
    <row r="674" spans="1:16" x14ac:dyDescent="0.3">
      <c r="A674" s="4" t="s">
        <v>69</v>
      </c>
      <c r="B674" s="4" t="s">
        <v>70</v>
      </c>
      <c r="C674" s="4" t="s">
        <v>30</v>
      </c>
      <c r="D674" s="4" t="s">
        <v>52</v>
      </c>
      <c r="E674" s="4" t="s">
        <v>40</v>
      </c>
      <c r="F674" s="4" t="s">
        <v>20</v>
      </c>
      <c r="G674" s="4" t="s">
        <v>1</v>
      </c>
      <c r="H674" s="5"/>
      <c r="I674" s="5"/>
      <c r="J674" s="5"/>
      <c r="K674" s="5"/>
      <c r="L674" s="5">
        <v>0</v>
      </c>
      <c r="M674" s="5">
        <v>0</v>
      </c>
      <c r="N674" s="5" cm="1">
        <f t="array" ref="N674">_xlfn.XLOOKUP(
  C674,
  [6]C6_LMA_DIAG!$A$52:$A$68,
  _xlfn.XLOOKUP(
    B674,
    [6]C6_LMA_DIAG!$B$51:$O$51,
    [6]C6_LMA_DIAG!$B$52:$O$68
  )
)</f>
        <v>25087</v>
      </c>
      <c r="O674" s="20">
        <v>63106</v>
      </c>
      <c r="P674" s="5">
        <v>58555</v>
      </c>
    </row>
    <row r="675" spans="1:16" x14ac:dyDescent="0.3">
      <c r="A675" s="4"/>
      <c r="B675" s="18" t="s">
        <v>71</v>
      </c>
      <c r="C675" s="4" t="s">
        <v>30</v>
      </c>
      <c r="D675" s="4" t="s">
        <v>52</v>
      </c>
      <c r="E675" s="4" t="s">
        <v>40</v>
      </c>
      <c r="F675" s="4" t="s">
        <v>20</v>
      </c>
      <c r="G675" s="4" t="s">
        <v>1</v>
      </c>
      <c r="H675" s="5"/>
      <c r="I675" s="5"/>
      <c r="J675" s="5"/>
      <c r="K675" s="5"/>
      <c r="L675" s="5">
        <v>0</v>
      </c>
      <c r="M675" s="5">
        <v>0</v>
      </c>
      <c r="N675" s="5" cm="1">
        <f t="array" ref="N675">_xlfn.XLOOKUP(
  C675,
  [6]C6_LMA_DIAG!$A$52:$A$68,
  _xlfn.XLOOKUP(
    B675,
    [6]C6_LMA_DIAG!$B$51:$O$51,
    [6]C6_LMA_DIAG!$B$52:$O$68
  )
)</f>
        <v>972</v>
      </c>
      <c r="O675" s="20">
        <v>730</v>
      </c>
      <c r="P675" s="5">
        <v>0</v>
      </c>
    </row>
    <row r="676" spans="1:16" x14ac:dyDescent="0.3">
      <c r="A676" s="4" t="s">
        <v>69</v>
      </c>
      <c r="B676" s="4" t="s">
        <v>65</v>
      </c>
      <c r="C676" s="4" t="s">
        <v>30</v>
      </c>
      <c r="D676" s="4" t="s">
        <v>52</v>
      </c>
      <c r="E676" s="4" t="s">
        <v>40</v>
      </c>
      <c r="F676" s="4" t="s">
        <v>20</v>
      </c>
      <c r="G676" s="4" t="s">
        <v>1</v>
      </c>
      <c r="H676" s="5"/>
      <c r="I676" s="5"/>
      <c r="J676" s="5"/>
      <c r="K676" s="5"/>
      <c r="L676" s="5" cm="1">
        <f t="array" ref="L676">_xlfn.XLOOKUP(C676,[4]C5_LMA_DIAG!$A$49:$A$66,_xlfn.XLOOKUP(B676,[4]C5_LMA_DIAG!$A$49:$M$49,[4]C5_LMA_DIAG!$A$49:$M$66))</f>
        <v>16789</v>
      </c>
      <c r="M676" s="5" cm="1">
        <f t="array" ref="M676">_xlfn.XLOOKUP(C676,[5]C6_LMA_DIAG!$A$46:$A$63,_xlfn.XLOOKUP(B676,[5]C6_LMA_DIAG!$A$46:$M$46,[5]C6_LMA_DIAG!$A$46:$M$63))</f>
        <v>24141</v>
      </c>
      <c r="N676" s="5" cm="1">
        <f t="array" ref="N676">_xlfn.XLOOKUP(
  C676,
  [6]C6_LMA_DIAG!$A$52:$A$68,
  _xlfn.XLOOKUP(
    B676,
    [6]C6_LMA_DIAG!$B$51:$O$51,
    [6]C6_LMA_DIAG!$B$52:$O$68
  )
)</f>
        <v>17423</v>
      </c>
      <c r="O676" s="20">
        <v>27764</v>
      </c>
      <c r="P676" s="5">
        <v>31563</v>
      </c>
    </row>
    <row r="677" spans="1:16" x14ac:dyDescent="0.3">
      <c r="A677" s="4" t="s">
        <v>69</v>
      </c>
      <c r="B677" s="4" t="s">
        <v>19</v>
      </c>
      <c r="C677" s="4" t="s">
        <v>30</v>
      </c>
      <c r="D677" s="4" t="s">
        <v>52</v>
      </c>
      <c r="E677" s="4" t="s">
        <v>40</v>
      </c>
      <c r="F677" s="4" t="s">
        <v>20</v>
      </c>
      <c r="G677" s="4" t="s">
        <v>1</v>
      </c>
      <c r="H677" s="5"/>
      <c r="I677" s="5"/>
      <c r="J677" s="5"/>
      <c r="K677" s="5"/>
      <c r="L677" s="5" cm="1">
        <f t="array" ref="L677">_xlfn.XLOOKUP(C677,[4]C5_LMA_DIAG!$A$49:$A$66,_xlfn.XLOOKUP(B677,[4]C5_LMA_DIAG!$A$49:$M$49,[4]C5_LMA_DIAG!$A$49:$M$66))</f>
        <v>0</v>
      </c>
      <c r="M677" s="5" cm="1">
        <f t="array" ref="M677">_xlfn.XLOOKUP(C677,[5]C6_LMA_DIAG!$A$46:$A$63,_xlfn.XLOOKUP(B677,[5]C6_LMA_DIAG!$A$46:$M$46,[5]C6_LMA_DIAG!$A$46:$M$63))</f>
        <v>1</v>
      </c>
      <c r="N677" s="5" cm="1">
        <f t="array" ref="N677">_xlfn.XLOOKUP(
  C677,
  [6]C6_LMA_DIAG!$A$52:$A$68,
  _xlfn.XLOOKUP(
    B677,
    [6]C6_LMA_DIAG!$B$51:$O$51,
    [6]C6_LMA_DIAG!$B$52:$O$68
  )
)</f>
        <v>0</v>
      </c>
      <c r="O677" s="20">
        <v>1</v>
      </c>
      <c r="P677" s="5">
        <v>0</v>
      </c>
    </row>
    <row r="678" spans="1:16" x14ac:dyDescent="0.3">
      <c r="A678" s="15" t="s">
        <v>69</v>
      </c>
      <c r="B678" s="15" t="s">
        <v>55</v>
      </c>
      <c r="C678" s="15" t="s">
        <v>31</v>
      </c>
      <c r="D678" s="15" t="s">
        <v>52</v>
      </c>
      <c r="E678" s="15" t="s">
        <v>40</v>
      </c>
      <c r="F678" s="15" t="s">
        <v>20</v>
      </c>
      <c r="G678" s="15" t="s">
        <v>1</v>
      </c>
      <c r="H678" s="16"/>
      <c r="I678" s="16"/>
      <c r="J678" s="16"/>
      <c r="K678" s="16"/>
      <c r="L678" s="5" cm="1">
        <f t="array" ref="L678">_xlfn.XLOOKUP(C678,[4]C5_LMA_DIAG!$A$49:$A$66,_xlfn.XLOOKUP(B678,[4]C5_LMA_DIAG!$A$49:$M$49,[4]C5_LMA_DIAG!$A$49:$M$66))</f>
        <v>12766</v>
      </c>
      <c r="M678" s="5" cm="1">
        <f t="array" ref="M678">_xlfn.XLOOKUP(C678,[5]C6_LMA_DIAG!$A$46:$A$63,_xlfn.XLOOKUP(B678,[5]C6_LMA_DIAG!$A$46:$M$46,[5]C6_LMA_DIAG!$A$46:$M$63))</f>
        <v>15244</v>
      </c>
      <c r="N678" s="5" cm="1">
        <f t="array" ref="N678">_xlfn.XLOOKUP(
  C678,
  [6]C6_LMA_DIAG!$A$52:$A$68,
  _xlfn.XLOOKUP(
    B678,
    [6]C6_LMA_DIAG!$B$51:$O$51,
    [6]C6_LMA_DIAG!$B$52:$O$68
  )
)</f>
        <v>18929</v>
      </c>
      <c r="O678" s="20">
        <v>35270</v>
      </c>
      <c r="P678" s="16">
        <v>41014</v>
      </c>
    </row>
    <row r="679" spans="1:16" x14ac:dyDescent="0.3">
      <c r="A679" s="15" t="s">
        <v>69</v>
      </c>
      <c r="B679" s="15" t="s">
        <v>56</v>
      </c>
      <c r="C679" s="15" t="s">
        <v>31</v>
      </c>
      <c r="D679" s="15" t="s">
        <v>52</v>
      </c>
      <c r="E679" s="15" t="s">
        <v>40</v>
      </c>
      <c r="F679" s="15" t="s">
        <v>20</v>
      </c>
      <c r="G679" s="15" t="s">
        <v>1</v>
      </c>
      <c r="H679" s="16"/>
      <c r="I679" s="16"/>
      <c r="J679" s="16"/>
      <c r="K679" s="16"/>
      <c r="L679" s="5" cm="1">
        <f t="array" ref="L679">_xlfn.XLOOKUP(C679,[4]C5_LMA_DIAG!$A$49:$A$66,_xlfn.XLOOKUP(B679,[4]C5_LMA_DIAG!$A$49:$M$49,[4]C5_LMA_DIAG!$A$49:$M$66))</f>
        <v>13977</v>
      </c>
      <c r="M679" s="5" cm="1">
        <f t="array" ref="M679">_xlfn.XLOOKUP(C679,[5]C6_LMA_DIAG!$A$46:$A$63,_xlfn.XLOOKUP(B679,[5]C6_LMA_DIAG!$A$46:$M$46,[5]C6_LMA_DIAG!$A$46:$M$63))</f>
        <v>15477</v>
      </c>
      <c r="N679" s="5" cm="1">
        <f t="array" ref="N679">_xlfn.XLOOKUP(
  C679,
  [6]C6_LMA_DIAG!$A$52:$A$68,
  _xlfn.XLOOKUP(
    B679,
    [6]C6_LMA_DIAG!$B$51:$O$51,
    [6]C6_LMA_DIAG!$B$52:$O$68
  )
)</f>
        <v>13602</v>
      </c>
      <c r="O679" s="20">
        <v>25552</v>
      </c>
      <c r="P679" s="16">
        <v>30935</v>
      </c>
    </row>
    <row r="680" spans="1:16" x14ac:dyDescent="0.3">
      <c r="A680" s="15" t="s">
        <v>69</v>
      </c>
      <c r="B680" s="15" t="s">
        <v>57</v>
      </c>
      <c r="C680" s="15" t="s">
        <v>31</v>
      </c>
      <c r="D680" s="15" t="s">
        <v>52</v>
      </c>
      <c r="E680" s="15" t="s">
        <v>40</v>
      </c>
      <c r="F680" s="15" t="s">
        <v>20</v>
      </c>
      <c r="G680" s="15" t="s">
        <v>1</v>
      </c>
      <c r="H680" s="16"/>
      <c r="I680" s="16"/>
      <c r="J680" s="16"/>
      <c r="K680" s="16"/>
      <c r="L680" s="5" cm="1">
        <f t="array" ref="L680">_xlfn.XLOOKUP(C680,[4]C5_LMA_DIAG!$A$49:$A$66,_xlfn.XLOOKUP(B680,[4]C5_LMA_DIAG!$A$49:$M$49,[4]C5_LMA_DIAG!$A$49:$M$66))</f>
        <v>10154</v>
      </c>
      <c r="M680" s="5" cm="1">
        <f t="array" ref="M680">_xlfn.XLOOKUP(C680,[5]C6_LMA_DIAG!$A$46:$A$63,_xlfn.XLOOKUP(B680,[5]C6_LMA_DIAG!$A$46:$M$46,[5]C6_LMA_DIAG!$A$46:$M$63))</f>
        <v>10748</v>
      </c>
      <c r="N680" s="5" cm="1">
        <f t="array" ref="N680">_xlfn.XLOOKUP(
  C680,
  [6]C6_LMA_DIAG!$A$52:$A$68,
  _xlfn.XLOOKUP(
    B680,
    [6]C6_LMA_DIAG!$B$51:$O$51,
    [6]C6_LMA_DIAG!$B$52:$O$68
  )
)</f>
        <v>3350</v>
      </c>
      <c r="O680" s="20">
        <v>3882</v>
      </c>
      <c r="P680" s="16">
        <v>13186</v>
      </c>
    </row>
    <row r="681" spans="1:16" x14ac:dyDescent="0.3">
      <c r="A681" s="15" t="s">
        <v>69</v>
      </c>
      <c r="B681" s="15" t="s">
        <v>58</v>
      </c>
      <c r="C681" s="15" t="s">
        <v>31</v>
      </c>
      <c r="D681" s="15" t="s">
        <v>52</v>
      </c>
      <c r="E681" s="15" t="s">
        <v>40</v>
      </c>
      <c r="F681" s="15" t="s">
        <v>20</v>
      </c>
      <c r="G681" s="15" t="s">
        <v>1</v>
      </c>
      <c r="H681" s="16"/>
      <c r="I681" s="16"/>
      <c r="J681" s="16"/>
      <c r="K681" s="16"/>
      <c r="L681" s="5" cm="1">
        <f t="array" ref="L681">_xlfn.XLOOKUP(C681,[4]C5_LMA_DIAG!$A$49:$A$66,_xlfn.XLOOKUP(B681,[4]C5_LMA_DIAG!$A$49:$M$49,[4]C5_LMA_DIAG!$A$49:$M$66))</f>
        <v>6027</v>
      </c>
      <c r="M681" s="5" cm="1">
        <f t="array" ref="M681">_xlfn.XLOOKUP(C681,[5]C6_LMA_DIAG!$A$46:$A$63,_xlfn.XLOOKUP(B681,[5]C6_LMA_DIAG!$A$46:$M$46,[5]C6_LMA_DIAG!$A$46:$M$63))</f>
        <v>6820</v>
      </c>
      <c r="N681" s="5" cm="1">
        <f t="array" ref="N681">_xlfn.XLOOKUP(
  C681,
  [6]C6_LMA_DIAG!$A$52:$A$68,
  _xlfn.XLOOKUP(
    B681,
    [6]C6_LMA_DIAG!$B$51:$O$51,
    [6]C6_LMA_DIAG!$B$52:$O$68
  )
)</f>
        <v>5685</v>
      </c>
      <c r="O681" s="20">
        <v>9384</v>
      </c>
      <c r="P681" s="16">
        <v>10971</v>
      </c>
    </row>
    <row r="682" spans="1:16" x14ac:dyDescent="0.3">
      <c r="A682" s="15" t="s">
        <v>69</v>
      </c>
      <c r="B682" s="15" t="s">
        <v>59</v>
      </c>
      <c r="C682" s="15" t="s">
        <v>31</v>
      </c>
      <c r="D682" s="15" t="s">
        <v>52</v>
      </c>
      <c r="E682" s="15" t="s">
        <v>40</v>
      </c>
      <c r="F682" s="15" t="s">
        <v>20</v>
      </c>
      <c r="G682" s="15" t="s">
        <v>1</v>
      </c>
      <c r="H682" s="16"/>
      <c r="I682" s="16"/>
      <c r="J682" s="16"/>
      <c r="K682" s="16"/>
      <c r="L682" s="5" cm="1">
        <f t="array" ref="L682">_xlfn.XLOOKUP(C682,[4]C5_LMA_DIAG!$A$49:$A$66,_xlfn.XLOOKUP(B682,[4]C5_LMA_DIAG!$A$49:$M$49,[4]C5_LMA_DIAG!$A$49:$M$66))</f>
        <v>2153</v>
      </c>
      <c r="M682" s="5" cm="1">
        <f t="array" ref="M682">_xlfn.XLOOKUP(C682,[5]C6_LMA_DIAG!$A$46:$A$63,_xlfn.XLOOKUP(B682,[5]C6_LMA_DIAG!$A$46:$M$46,[5]C6_LMA_DIAG!$A$46:$M$63))</f>
        <v>2357</v>
      </c>
      <c r="N682" s="5" cm="1">
        <f t="array" ref="N682">_xlfn.XLOOKUP(
  C682,
  [6]C6_LMA_DIAG!$A$52:$A$68,
  _xlfn.XLOOKUP(
    B682,
    [6]C6_LMA_DIAG!$B$51:$O$51,
    [6]C6_LMA_DIAG!$B$52:$O$68
  )
)</f>
        <v>1272</v>
      </c>
      <c r="O682" s="20">
        <v>1779</v>
      </c>
      <c r="P682" s="16">
        <v>3027</v>
      </c>
    </row>
    <row r="683" spans="1:16" x14ac:dyDescent="0.3">
      <c r="A683" s="15" t="s">
        <v>69</v>
      </c>
      <c r="B683" s="15" t="s">
        <v>60</v>
      </c>
      <c r="C683" s="15" t="s">
        <v>31</v>
      </c>
      <c r="D683" s="15" t="s">
        <v>52</v>
      </c>
      <c r="E683" s="15" t="s">
        <v>40</v>
      </c>
      <c r="F683" s="15" t="s">
        <v>20</v>
      </c>
      <c r="G683" s="15" t="s">
        <v>1</v>
      </c>
      <c r="H683" s="16"/>
      <c r="I683" s="16"/>
      <c r="J683" s="16"/>
      <c r="K683" s="16"/>
      <c r="L683" s="5" cm="1">
        <f t="array" ref="L683">_xlfn.XLOOKUP(C683,[4]C5_LMA_DIAG!$A$49:$A$66,_xlfn.XLOOKUP(B683,[4]C5_LMA_DIAG!$A$49:$M$49,[4]C5_LMA_DIAG!$A$49:$M$66))</f>
        <v>5634</v>
      </c>
      <c r="M683" s="5" cm="1">
        <f t="array" ref="M683">_xlfn.XLOOKUP(C683,[5]C6_LMA_DIAG!$A$46:$A$63,_xlfn.XLOOKUP(B683,[5]C6_LMA_DIAG!$A$46:$M$46,[5]C6_LMA_DIAG!$A$46:$M$63))</f>
        <v>6142</v>
      </c>
      <c r="N683" s="5" cm="1">
        <f t="array" ref="N683">_xlfn.XLOOKUP(
  C683,
  [6]C6_LMA_DIAG!$A$52:$A$68,
  _xlfn.XLOOKUP(
    B683,
    [6]C6_LMA_DIAG!$B$51:$O$51,
    [6]C6_LMA_DIAG!$B$52:$O$68
  )
)</f>
        <v>3399</v>
      </c>
      <c r="O683" s="20">
        <v>5368</v>
      </c>
      <c r="P683" s="16">
        <v>6934</v>
      </c>
    </row>
    <row r="684" spans="1:16" x14ac:dyDescent="0.3">
      <c r="A684" s="15" t="s">
        <v>69</v>
      </c>
      <c r="B684" s="15" t="s">
        <v>61</v>
      </c>
      <c r="C684" s="15" t="s">
        <v>31</v>
      </c>
      <c r="D684" s="15" t="s">
        <v>52</v>
      </c>
      <c r="E684" s="15" t="s">
        <v>40</v>
      </c>
      <c r="F684" s="15" t="s">
        <v>20</v>
      </c>
      <c r="G684" s="15" t="s">
        <v>1</v>
      </c>
      <c r="H684" s="16"/>
      <c r="I684" s="16"/>
      <c r="J684" s="16"/>
      <c r="K684" s="16"/>
      <c r="L684" s="5" cm="1">
        <f t="array" ref="L684">_xlfn.XLOOKUP(C684,[4]C5_LMA_DIAG!$A$49:$A$66,_xlfn.XLOOKUP(B684,[4]C5_LMA_DIAG!$A$49:$M$49,[4]C5_LMA_DIAG!$A$49:$M$66))</f>
        <v>2990</v>
      </c>
      <c r="M684" s="5" cm="1">
        <f t="array" ref="M684">_xlfn.XLOOKUP(C684,[5]C6_LMA_DIAG!$A$46:$A$63,_xlfn.XLOOKUP(B684,[5]C6_LMA_DIAG!$A$46:$M$46,[5]C6_LMA_DIAG!$A$46:$M$63))</f>
        <v>3137</v>
      </c>
      <c r="N684" s="5" cm="1">
        <f t="array" ref="N684">_xlfn.XLOOKUP(
  C684,
  [6]C6_LMA_DIAG!$A$52:$A$68,
  _xlfn.XLOOKUP(
    B684,
    [6]C6_LMA_DIAG!$B$51:$O$51,
    [6]C6_LMA_DIAG!$B$52:$O$68
  )
)</f>
        <v>2208</v>
      </c>
      <c r="O684" s="20">
        <v>2477</v>
      </c>
      <c r="P684" s="16">
        <v>2824</v>
      </c>
    </row>
    <row r="685" spans="1:16" x14ac:dyDescent="0.3">
      <c r="A685" s="15" t="s">
        <v>69</v>
      </c>
      <c r="B685" s="15" t="s">
        <v>62</v>
      </c>
      <c r="C685" s="15" t="s">
        <v>31</v>
      </c>
      <c r="D685" s="15" t="s">
        <v>52</v>
      </c>
      <c r="E685" s="15" t="s">
        <v>40</v>
      </c>
      <c r="F685" s="15" t="s">
        <v>20</v>
      </c>
      <c r="G685" s="15" t="s">
        <v>1</v>
      </c>
      <c r="H685" s="16"/>
      <c r="I685" s="16"/>
      <c r="J685" s="16"/>
      <c r="K685" s="16"/>
      <c r="L685" s="5" cm="1">
        <f t="array" ref="L685">_xlfn.XLOOKUP(C685,[4]C5_LMA_DIAG!$A$49:$A$66,_xlfn.XLOOKUP(B685,[4]C5_LMA_DIAG!$A$49:$M$49,[4]C5_LMA_DIAG!$A$49:$M$66))</f>
        <v>2140</v>
      </c>
      <c r="M685" s="5" cm="1">
        <f t="array" ref="M685">_xlfn.XLOOKUP(C685,[5]C6_LMA_DIAG!$A$46:$A$63,_xlfn.XLOOKUP(B685,[5]C6_LMA_DIAG!$A$46:$M$46,[5]C6_LMA_DIAG!$A$46:$M$63))</f>
        <v>2255</v>
      </c>
      <c r="N685" s="5" cm="1">
        <f t="array" ref="N685">_xlfn.XLOOKUP(
  C685,
  [6]C6_LMA_DIAG!$A$52:$A$68,
  _xlfn.XLOOKUP(
    B685,
    [6]C6_LMA_DIAG!$B$51:$O$51,
    [6]C6_LMA_DIAG!$B$52:$O$68
  )
)</f>
        <v>1543</v>
      </c>
      <c r="O685" s="20">
        <v>2375</v>
      </c>
      <c r="P685" s="16">
        <v>2953</v>
      </c>
    </row>
    <row r="686" spans="1:16" x14ac:dyDescent="0.3">
      <c r="A686" s="15" t="s">
        <v>69</v>
      </c>
      <c r="B686" s="15" t="s">
        <v>63</v>
      </c>
      <c r="C686" s="15" t="s">
        <v>31</v>
      </c>
      <c r="D686" s="15" t="s">
        <v>52</v>
      </c>
      <c r="E686" s="15" t="s">
        <v>40</v>
      </c>
      <c r="F686" s="15" t="s">
        <v>20</v>
      </c>
      <c r="G686" s="15" t="s">
        <v>1</v>
      </c>
      <c r="H686" s="16"/>
      <c r="I686" s="16"/>
      <c r="J686" s="16"/>
      <c r="K686" s="16"/>
      <c r="L686" s="5" cm="1">
        <f t="array" ref="L686">_xlfn.XLOOKUP(C686,[4]C5_LMA_DIAG!$A$49:$A$66,_xlfn.XLOOKUP(B686,[4]C5_LMA_DIAG!$A$49:$M$49,[4]C5_LMA_DIAG!$A$49:$M$66))</f>
        <v>1596</v>
      </c>
      <c r="M686" s="5" cm="1">
        <f t="array" ref="M686">_xlfn.XLOOKUP(C686,[5]C6_LMA_DIAG!$A$46:$A$63,_xlfn.XLOOKUP(B686,[5]C6_LMA_DIAG!$A$46:$M$46,[5]C6_LMA_DIAG!$A$46:$M$63))</f>
        <v>1845</v>
      </c>
      <c r="N686" s="5" cm="1">
        <f t="array" ref="N686">_xlfn.XLOOKUP(
  C686,
  [6]C6_LMA_DIAG!$A$52:$A$68,
  _xlfn.XLOOKUP(
    B686,
    [6]C6_LMA_DIAG!$B$51:$O$51,
    [6]C6_LMA_DIAG!$B$52:$O$68
  )
)</f>
        <v>1629</v>
      </c>
      <c r="O686" s="20">
        <v>2358</v>
      </c>
      <c r="P686" s="16">
        <v>2592</v>
      </c>
    </row>
    <row r="687" spans="1:16" x14ac:dyDescent="0.3">
      <c r="A687" s="15" t="s">
        <v>69</v>
      </c>
      <c r="B687" s="15" t="s">
        <v>64</v>
      </c>
      <c r="C687" s="15" t="s">
        <v>31</v>
      </c>
      <c r="D687" s="15" t="s">
        <v>52</v>
      </c>
      <c r="E687" s="15" t="s">
        <v>40</v>
      </c>
      <c r="F687" s="15" t="s">
        <v>20</v>
      </c>
      <c r="G687" s="15" t="s">
        <v>1</v>
      </c>
      <c r="H687" s="16"/>
      <c r="I687" s="16"/>
      <c r="J687" s="16"/>
      <c r="K687" s="16"/>
      <c r="L687" s="5" cm="1">
        <f t="array" ref="L687">_xlfn.XLOOKUP(C687,[4]C5_LMA_DIAG!$A$49:$A$66,_xlfn.XLOOKUP(B687,[4]C5_LMA_DIAG!$A$49:$M$49,[4]C5_LMA_DIAG!$A$49:$M$66))</f>
        <v>2082</v>
      </c>
      <c r="M687" s="5" cm="1">
        <f t="array" ref="M687">_xlfn.XLOOKUP(C687,[5]C6_LMA_DIAG!$A$46:$A$63,_xlfn.XLOOKUP(B687,[5]C6_LMA_DIAG!$A$46:$M$46,[5]C6_LMA_DIAG!$A$46:$M$63))</f>
        <v>2378</v>
      </c>
      <c r="N687" s="5" cm="1">
        <f t="array" ref="N687">_xlfn.XLOOKUP(
  C687,
  [6]C6_LMA_DIAG!$A$52:$A$68,
  _xlfn.XLOOKUP(
    B687,
    [6]C6_LMA_DIAG!$B$51:$O$51,
    [6]C6_LMA_DIAG!$B$52:$O$68
  )
)</f>
        <v>2198</v>
      </c>
      <c r="O687" s="20">
        <v>3091</v>
      </c>
      <c r="P687" s="16">
        <v>3464</v>
      </c>
    </row>
    <row r="688" spans="1:16" x14ac:dyDescent="0.3">
      <c r="A688" s="15" t="s">
        <v>69</v>
      </c>
      <c r="B688" s="15" t="s">
        <v>70</v>
      </c>
      <c r="C688" s="15" t="s">
        <v>31</v>
      </c>
      <c r="D688" s="15" t="s">
        <v>52</v>
      </c>
      <c r="E688" s="15" t="s">
        <v>40</v>
      </c>
      <c r="F688" s="15" t="s">
        <v>20</v>
      </c>
      <c r="G688" s="15" t="s">
        <v>1</v>
      </c>
      <c r="H688" s="16"/>
      <c r="I688" s="16"/>
      <c r="J688" s="16"/>
      <c r="K688" s="16"/>
      <c r="L688" s="5">
        <v>0</v>
      </c>
      <c r="M688" s="5">
        <v>0</v>
      </c>
      <c r="N688" s="5" cm="1">
        <f t="array" ref="N688">_xlfn.XLOOKUP(
  C688,
  [6]C6_LMA_DIAG!$A$52:$A$68,
  _xlfn.XLOOKUP(
    B688,
    [6]C6_LMA_DIAG!$B$51:$O$51,
    [6]C6_LMA_DIAG!$B$52:$O$68
  )
)</f>
        <v>13164</v>
      </c>
      <c r="O688" s="20">
        <v>33262</v>
      </c>
      <c r="P688" s="16">
        <v>34353</v>
      </c>
    </row>
    <row r="689" spans="1:16" x14ac:dyDescent="0.3">
      <c r="A689" s="15"/>
      <c r="B689" s="18" t="s">
        <v>71</v>
      </c>
      <c r="C689" s="15" t="s">
        <v>31</v>
      </c>
      <c r="D689" s="15" t="s">
        <v>52</v>
      </c>
      <c r="E689" s="15" t="s">
        <v>40</v>
      </c>
      <c r="F689" s="15" t="s">
        <v>20</v>
      </c>
      <c r="G689" s="15" t="s">
        <v>1</v>
      </c>
      <c r="H689" s="16"/>
      <c r="I689" s="16"/>
      <c r="J689" s="16"/>
      <c r="K689" s="16"/>
      <c r="L689" s="5">
        <v>0</v>
      </c>
      <c r="M689" s="5">
        <v>0</v>
      </c>
      <c r="N689" s="5" cm="1">
        <f t="array" ref="N689">_xlfn.XLOOKUP(
  C689,
  [6]C6_LMA_DIAG!$A$52:$A$68,
  _xlfn.XLOOKUP(
    B689,
    [6]C6_LMA_DIAG!$B$51:$O$51,
    [6]C6_LMA_DIAG!$B$52:$O$68
  )
)</f>
        <v>421</v>
      </c>
      <c r="O689" s="20">
        <v>333</v>
      </c>
      <c r="P689" s="16">
        <v>0</v>
      </c>
    </row>
    <row r="690" spans="1:16" x14ac:dyDescent="0.3">
      <c r="A690" s="15" t="s">
        <v>69</v>
      </c>
      <c r="B690" s="15" t="s">
        <v>65</v>
      </c>
      <c r="C690" s="15" t="s">
        <v>31</v>
      </c>
      <c r="D690" s="15" t="s">
        <v>52</v>
      </c>
      <c r="E690" s="15" t="s">
        <v>40</v>
      </c>
      <c r="F690" s="15" t="s">
        <v>20</v>
      </c>
      <c r="G690" s="15" t="s">
        <v>1</v>
      </c>
      <c r="H690" s="16"/>
      <c r="I690" s="16"/>
      <c r="J690" s="16"/>
      <c r="K690" s="16"/>
      <c r="L690" s="5" cm="1">
        <f t="array" ref="L690">_xlfn.XLOOKUP(C690,[4]C5_LMA_DIAG!$A$49:$A$66,_xlfn.XLOOKUP(B690,[4]C5_LMA_DIAG!$A$49:$M$49,[4]C5_LMA_DIAG!$A$49:$M$66))</f>
        <v>7657</v>
      </c>
      <c r="M690" s="5" cm="1">
        <f t="array" ref="M690">_xlfn.XLOOKUP(C690,[5]C6_LMA_DIAG!$A$46:$A$63,_xlfn.XLOOKUP(B690,[5]C6_LMA_DIAG!$A$46:$M$46,[5]C6_LMA_DIAG!$A$46:$M$63))</f>
        <v>8585</v>
      </c>
      <c r="N690" s="5" cm="1">
        <f t="array" ref="N690">_xlfn.XLOOKUP(
  C690,
  [6]C6_LMA_DIAG!$A$52:$A$68,
  _xlfn.XLOOKUP(
    B690,
    [6]C6_LMA_DIAG!$B$51:$O$51,
    [6]C6_LMA_DIAG!$B$52:$O$68
  )
)</f>
        <v>7352</v>
      </c>
      <c r="O690" s="20">
        <v>10270</v>
      </c>
      <c r="P690" s="16">
        <v>13388</v>
      </c>
    </row>
    <row r="691" spans="1:16" x14ac:dyDescent="0.3">
      <c r="A691" s="15" t="s">
        <v>69</v>
      </c>
      <c r="B691" s="15" t="s">
        <v>19</v>
      </c>
      <c r="C691" s="15" t="s">
        <v>31</v>
      </c>
      <c r="D691" s="15" t="s">
        <v>52</v>
      </c>
      <c r="E691" s="15" t="s">
        <v>40</v>
      </c>
      <c r="F691" s="15" t="s">
        <v>20</v>
      </c>
      <c r="G691" s="15" t="s">
        <v>1</v>
      </c>
      <c r="H691" s="16"/>
      <c r="I691" s="16"/>
      <c r="J691" s="16"/>
      <c r="K691" s="16"/>
      <c r="L691" s="5" cm="1">
        <f t="array" ref="L691">_xlfn.XLOOKUP(C691,[4]C5_LMA_DIAG!$A$49:$A$66,_xlfn.XLOOKUP(B691,[4]C5_LMA_DIAG!$A$49:$M$49,[4]C5_LMA_DIAG!$A$49:$M$66))</f>
        <v>2</v>
      </c>
      <c r="M691" s="5" cm="1">
        <f t="array" ref="M691">_xlfn.XLOOKUP(C691,[5]C6_LMA_DIAG!$A$46:$A$63,_xlfn.XLOOKUP(B691,[5]C6_LMA_DIAG!$A$46:$M$46,[5]C6_LMA_DIAG!$A$46:$M$63))</f>
        <v>1</v>
      </c>
      <c r="N691" s="5" cm="1">
        <f t="array" ref="N691">_xlfn.XLOOKUP(
  C691,
  [6]C6_LMA_DIAG!$A$52:$A$68,
  _xlfn.XLOOKUP(
    B691,
    [6]C6_LMA_DIAG!$B$51:$O$51,
    [6]C6_LMA_DIAG!$B$52:$O$68
  )
)</f>
        <v>0</v>
      </c>
      <c r="O691" s="20">
        <v>2</v>
      </c>
      <c r="P691" s="16">
        <v>0</v>
      </c>
    </row>
    <row r="692" spans="1:16" x14ac:dyDescent="0.3">
      <c r="A692" s="4" t="s">
        <v>69</v>
      </c>
      <c r="B692" s="4" t="s">
        <v>55</v>
      </c>
      <c r="C692" s="4" t="s">
        <v>32</v>
      </c>
      <c r="D692" s="4" t="s">
        <v>52</v>
      </c>
      <c r="E692" s="4" t="s">
        <v>40</v>
      </c>
      <c r="F692" s="4" t="s">
        <v>20</v>
      </c>
      <c r="G692" s="4" t="s">
        <v>1</v>
      </c>
      <c r="H692" s="5"/>
      <c r="I692" s="5"/>
      <c r="J692" s="5"/>
      <c r="K692" s="5"/>
      <c r="L692" s="5" cm="1">
        <f t="array" ref="L692">_xlfn.XLOOKUP(C692,[4]C5_LMA_DIAG!$A$49:$A$66,_xlfn.XLOOKUP(B692,[4]C5_LMA_DIAG!$A$49:$M$49,[4]C5_LMA_DIAG!$A$49:$M$66))</f>
        <v>66057</v>
      </c>
      <c r="M692" s="5" cm="1">
        <f t="array" ref="M692">_xlfn.XLOOKUP(C692,[5]C6_LMA_DIAG!$A$46:$A$63,_xlfn.XLOOKUP(B692,[5]C6_LMA_DIAG!$A$46:$M$46,[5]C6_LMA_DIAG!$A$46:$M$63))</f>
        <v>69233</v>
      </c>
      <c r="N692" s="5" cm="1">
        <f t="array" ref="N692">_xlfn.XLOOKUP(
  C692,
  [6]C6_LMA_DIAG!$A$52:$A$68,
  _xlfn.XLOOKUP(
    B692,
    [6]C6_LMA_DIAG!$B$51:$O$51,
    [6]C6_LMA_DIAG!$B$52:$O$68
  )
)</f>
        <v>92545</v>
      </c>
      <c r="O692" s="20">
        <v>171350</v>
      </c>
      <c r="P692" s="5">
        <v>197452</v>
      </c>
    </row>
    <row r="693" spans="1:16" x14ac:dyDescent="0.3">
      <c r="A693" s="4" t="s">
        <v>69</v>
      </c>
      <c r="B693" s="4" t="s">
        <v>56</v>
      </c>
      <c r="C693" s="4" t="s">
        <v>32</v>
      </c>
      <c r="D693" s="4" t="s">
        <v>52</v>
      </c>
      <c r="E693" s="4" t="s">
        <v>40</v>
      </c>
      <c r="F693" s="4" t="s">
        <v>20</v>
      </c>
      <c r="G693" s="4" t="s">
        <v>1</v>
      </c>
      <c r="H693" s="5"/>
      <c r="I693" s="5"/>
      <c r="J693" s="5"/>
      <c r="K693" s="5"/>
      <c r="L693" s="5" cm="1">
        <f t="array" ref="L693">_xlfn.XLOOKUP(C693,[4]C5_LMA_DIAG!$A$49:$A$66,_xlfn.XLOOKUP(B693,[4]C5_LMA_DIAG!$A$49:$M$49,[4]C5_LMA_DIAG!$A$49:$M$66))</f>
        <v>90043</v>
      </c>
      <c r="M693" s="5" cm="1">
        <f t="array" ref="M693">_xlfn.XLOOKUP(C693,[5]C6_LMA_DIAG!$A$46:$A$63,_xlfn.XLOOKUP(B693,[5]C6_LMA_DIAG!$A$46:$M$46,[5]C6_LMA_DIAG!$A$46:$M$63))</f>
        <v>88240</v>
      </c>
      <c r="N693" s="5" cm="1">
        <f t="array" ref="N693">_xlfn.XLOOKUP(
  C693,
  [6]C6_LMA_DIAG!$A$52:$A$68,
  _xlfn.XLOOKUP(
    B693,
    [6]C6_LMA_DIAG!$B$51:$O$51,
    [6]C6_LMA_DIAG!$B$52:$O$68
  )
)</f>
        <v>74530</v>
      </c>
      <c r="O693" s="20">
        <v>127751</v>
      </c>
      <c r="P693" s="5">
        <v>136921</v>
      </c>
    </row>
    <row r="694" spans="1:16" x14ac:dyDescent="0.3">
      <c r="A694" s="4" t="s">
        <v>69</v>
      </c>
      <c r="B694" s="4" t="s">
        <v>57</v>
      </c>
      <c r="C694" s="4" t="s">
        <v>32</v>
      </c>
      <c r="D694" s="4" t="s">
        <v>52</v>
      </c>
      <c r="E694" s="4" t="s">
        <v>40</v>
      </c>
      <c r="F694" s="4" t="s">
        <v>20</v>
      </c>
      <c r="G694" s="4" t="s">
        <v>1</v>
      </c>
      <c r="H694" s="5"/>
      <c r="I694" s="5"/>
      <c r="J694" s="5"/>
      <c r="K694" s="5"/>
      <c r="L694" s="5" cm="1">
        <f t="array" ref="L694">_xlfn.XLOOKUP(C694,[4]C5_LMA_DIAG!$A$49:$A$66,_xlfn.XLOOKUP(B694,[4]C5_LMA_DIAG!$A$49:$M$49,[4]C5_LMA_DIAG!$A$49:$M$66))</f>
        <v>43947</v>
      </c>
      <c r="M694" s="5" cm="1">
        <f t="array" ref="M694">_xlfn.XLOOKUP(C694,[5]C6_LMA_DIAG!$A$46:$A$63,_xlfn.XLOOKUP(B694,[5]C6_LMA_DIAG!$A$46:$M$46,[5]C6_LMA_DIAG!$A$46:$M$63))</f>
        <v>40550</v>
      </c>
      <c r="N694" s="5" cm="1">
        <f t="array" ref="N694">_xlfn.XLOOKUP(
  C694,
  [6]C6_LMA_DIAG!$A$52:$A$68,
  _xlfn.XLOOKUP(
    B694,
    [6]C6_LMA_DIAG!$B$51:$O$51,
    [6]C6_LMA_DIAG!$B$52:$O$68
  )
)</f>
        <v>17988</v>
      </c>
      <c r="O694" s="20">
        <v>17751</v>
      </c>
      <c r="P694" s="5">
        <v>51424</v>
      </c>
    </row>
    <row r="695" spans="1:16" x14ac:dyDescent="0.3">
      <c r="A695" s="4" t="s">
        <v>69</v>
      </c>
      <c r="B695" s="4" t="s">
        <v>58</v>
      </c>
      <c r="C695" s="4" t="s">
        <v>32</v>
      </c>
      <c r="D695" s="4" t="s">
        <v>52</v>
      </c>
      <c r="E695" s="4" t="s">
        <v>40</v>
      </c>
      <c r="F695" s="4" t="s">
        <v>20</v>
      </c>
      <c r="G695" s="4" t="s">
        <v>1</v>
      </c>
      <c r="H695" s="5"/>
      <c r="I695" s="5"/>
      <c r="J695" s="5"/>
      <c r="K695" s="5"/>
      <c r="L695" s="5" cm="1">
        <f t="array" ref="L695">_xlfn.XLOOKUP(C695,[4]C5_LMA_DIAG!$A$49:$A$66,_xlfn.XLOOKUP(B695,[4]C5_LMA_DIAG!$A$49:$M$49,[4]C5_LMA_DIAG!$A$49:$M$66))</f>
        <v>28361</v>
      </c>
      <c r="M695" s="5" cm="1">
        <f t="array" ref="M695">_xlfn.XLOOKUP(C695,[5]C6_LMA_DIAG!$A$46:$A$63,_xlfn.XLOOKUP(B695,[5]C6_LMA_DIAG!$A$46:$M$46,[5]C6_LMA_DIAG!$A$46:$M$63))</f>
        <v>29439</v>
      </c>
      <c r="N695" s="5" cm="1">
        <f t="array" ref="N695">_xlfn.XLOOKUP(
  C695,
  [6]C6_LMA_DIAG!$A$52:$A$68,
  _xlfn.XLOOKUP(
    B695,
    [6]C6_LMA_DIAG!$B$51:$O$51,
    [6]C6_LMA_DIAG!$B$52:$O$68
  )
)</f>
        <v>24997</v>
      </c>
      <c r="O695" s="20">
        <v>37955</v>
      </c>
      <c r="P695" s="5">
        <v>43143</v>
      </c>
    </row>
    <row r="696" spans="1:16" x14ac:dyDescent="0.3">
      <c r="A696" s="4" t="s">
        <v>69</v>
      </c>
      <c r="B696" s="4" t="s">
        <v>59</v>
      </c>
      <c r="C696" s="4" t="s">
        <v>32</v>
      </c>
      <c r="D696" s="4" t="s">
        <v>52</v>
      </c>
      <c r="E696" s="4" t="s">
        <v>40</v>
      </c>
      <c r="F696" s="4" t="s">
        <v>20</v>
      </c>
      <c r="G696" s="4" t="s">
        <v>1</v>
      </c>
      <c r="H696" s="5"/>
      <c r="I696" s="5"/>
      <c r="J696" s="5"/>
      <c r="K696" s="5"/>
      <c r="L696" s="5" cm="1">
        <f t="array" ref="L696">_xlfn.XLOOKUP(C696,[4]C5_LMA_DIAG!$A$49:$A$66,_xlfn.XLOOKUP(B696,[4]C5_LMA_DIAG!$A$49:$M$49,[4]C5_LMA_DIAG!$A$49:$M$66))</f>
        <v>19256</v>
      </c>
      <c r="M696" s="5" cm="1">
        <f t="array" ref="M696">_xlfn.XLOOKUP(C696,[5]C6_LMA_DIAG!$A$46:$A$63,_xlfn.XLOOKUP(B696,[5]C6_LMA_DIAG!$A$46:$M$46,[5]C6_LMA_DIAG!$A$46:$M$63))</f>
        <v>15722</v>
      </c>
      <c r="N696" s="5" cm="1">
        <f t="array" ref="N696">_xlfn.XLOOKUP(
  C696,
  [6]C6_LMA_DIAG!$A$52:$A$68,
  _xlfn.XLOOKUP(
    B696,
    [6]C6_LMA_DIAG!$B$51:$O$51,
    [6]C6_LMA_DIAG!$B$52:$O$68
  )
)</f>
        <v>8702</v>
      </c>
      <c r="O696" s="20">
        <v>9813</v>
      </c>
      <c r="P696" s="5">
        <v>15039</v>
      </c>
    </row>
    <row r="697" spans="1:16" x14ac:dyDescent="0.3">
      <c r="A697" s="4" t="s">
        <v>69</v>
      </c>
      <c r="B697" s="4" t="s">
        <v>60</v>
      </c>
      <c r="C697" s="4" t="s">
        <v>32</v>
      </c>
      <c r="D697" s="4" t="s">
        <v>52</v>
      </c>
      <c r="E697" s="4" t="s">
        <v>40</v>
      </c>
      <c r="F697" s="4" t="s">
        <v>20</v>
      </c>
      <c r="G697" s="4" t="s">
        <v>1</v>
      </c>
      <c r="H697" s="5"/>
      <c r="I697" s="5"/>
      <c r="J697" s="5"/>
      <c r="K697" s="5"/>
      <c r="L697" s="5" cm="1">
        <f t="array" ref="L697">_xlfn.XLOOKUP(C697,[4]C5_LMA_DIAG!$A$49:$A$66,_xlfn.XLOOKUP(B697,[4]C5_LMA_DIAG!$A$49:$M$49,[4]C5_LMA_DIAG!$A$49:$M$66))</f>
        <v>15104</v>
      </c>
      <c r="M697" s="5" cm="1">
        <f t="array" ref="M697">_xlfn.XLOOKUP(C697,[5]C6_LMA_DIAG!$A$46:$A$63,_xlfn.XLOOKUP(B697,[5]C6_LMA_DIAG!$A$46:$M$46,[5]C6_LMA_DIAG!$A$46:$M$63))</f>
        <v>17152</v>
      </c>
      <c r="N697" s="5" cm="1">
        <f t="array" ref="N697">_xlfn.XLOOKUP(
  C697,
  [6]C6_LMA_DIAG!$A$52:$A$68,
  _xlfn.XLOOKUP(
    B697,
    [6]C6_LMA_DIAG!$B$51:$O$51,
    [6]C6_LMA_DIAG!$B$52:$O$68
  )
)</f>
        <v>11553</v>
      </c>
      <c r="O697" s="20">
        <v>16727</v>
      </c>
      <c r="P697" s="5">
        <v>22218</v>
      </c>
    </row>
    <row r="698" spans="1:16" x14ac:dyDescent="0.3">
      <c r="A698" s="4" t="s">
        <v>69</v>
      </c>
      <c r="B698" s="4" t="s">
        <v>61</v>
      </c>
      <c r="C698" s="4" t="s">
        <v>32</v>
      </c>
      <c r="D698" s="4" t="s">
        <v>52</v>
      </c>
      <c r="E698" s="4" t="s">
        <v>40</v>
      </c>
      <c r="F698" s="4" t="s">
        <v>20</v>
      </c>
      <c r="G698" s="4" t="s">
        <v>1</v>
      </c>
      <c r="H698" s="5"/>
      <c r="I698" s="5"/>
      <c r="J698" s="5"/>
      <c r="K698" s="5"/>
      <c r="L698" s="5" cm="1">
        <f t="array" ref="L698">_xlfn.XLOOKUP(C698,[4]C5_LMA_DIAG!$A$49:$A$66,_xlfn.XLOOKUP(B698,[4]C5_LMA_DIAG!$A$49:$M$49,[4]C5_LMA_DIAG!$A$49:$M$66))</f>
        <v>12673</v>
      </c>
      <c r="M698" s="5" cm="1">
        <f t="array" ref="M698">_xlfn.XLOOKUP(C698,[5]C6_LMA_DIAG!$A$46:$A$63,_xlfn.XLOOKUP(B698,[5]C6_LMA_DIAG!$A$46:$M$46,[5]C6_LMA_DIAG!$A$46:$M$63))</f>
        <v>11036</v>
      </c>
      <c r="N698" s="5" cm="1">
        <f t="array" ref="N698">_xlfn.XLOOKUP(
  C698,
  [6]C6_LMA_DIAG!$A$52:$A$68,
  _xlfn.XLOOKUP(
    B698,
    [6]C6_LMA_DIAG!$B$51:$O$51,
    [6]C6_LMA_DIAG!$B$52:$O$68
  )
)</f>
        <v>8874</v>
      </c>
      <c r="O698" s="20">
        <v>9842</v>
      </c>
      <c r="P698" s="5">
        <v>13118</v>
      </c>
    </row>
    <row r="699" spans="1:16" x14ac:dyDescent="0.3">
      <c r="A699" s="4" t="s">
        <v>69</v>
      </c>
      <c r="B699" s="4" t="s">
        <v>62</v>
      </c>
      <c r="C699" s="4" t="s">
        <v>32</v>
      </c>
      <c r="D699" s="4" t="s">
        <v>52</v>
      </c>
      <c r="E699" s="4" t="s">
        <v>40</v>
      </c>
      <c r="F699" s="4" t="s">
        <v>20</v>
      </c>
      <c r="G699" s="4" t="s">
        <v>1</v>
      </c>
      <c r="H699" s="5"/>
      <c r="I699" s="5"/>
      <c r="J699" s="5"/>
      <c r="K699" s="5"/>
      <c r="L699" s="5" cm="1">
        <f t="array" ref="L699">_xlfn.XLOOKUP(C699,[4]C5_LMA_DIAG!$A$49:$A$66,_xlfn.XLOOKUP(B699,[4]C5_LMA_DIAG!$A$49:$M$49,[4]C5_LMA_DIAG!$A$49:$M$66))</f>
        <v>10146</v>
      </c>
      <c r="M699" s="5" cm="1">
        <f t="array" ref="M699">_xlfn.XLOOKUP(C699,[5]C6_LMA_DIAG!$A$46:$A$63,_xlfn.XLOOKUP(B699,[5]C6_LMA_DIAG!$A$46:$M$46,[5]C6_LMA_DIAG!$A$46:$M$63))</f>
        <v>9567</v>
      </c>
      <c r="N699" s="5" cm="1">
        <f t="array" ref="N699">_xlfn.XLOOKUP(
  C699,
  [6]C6_LMA_DIAG!$A$52:$A$68,
  _xlfn.XLOOKUP(
    B699,
    [6]C6_LMA_DIAG!$B$51:$O$51,
    [6]C6_LMA_DIAG!$B$52:$O$68
  )
)</f>
        <v>6377</v>
      </c>
      <c r="O699" s="20">
        <v>9479</v>
      </c>
      <c r="P699" s="5">
        <v>11658</v>
      </c>
    </row>
    <row r="700" spans="1:16" x14ac:dyDescent="0.3">
      <c r="A700" s="4" t="s">
        <v>69</v>
      </c>
      <c r="B700" s="4" t="s">
        <v>63</v>
      </c>
      <c r="C700" s="4" t="s">
        <v>32</v>
      </c>
      <c r="D700" s="4" t="s">
        <v>52</v>
      </c>
      <c r="E700" s="4" t="s">
        <v>40</v>
      </c>
      <c r="F700" s="4" t="s">
        <v>20</v>
      </c>
      <c r="G700" s="4" t="s">
        <v>1</v>
      </c>
      <c r="H700" s="5"/>
      <c r="I700" s="5"/>
      <c r="J700" s="5"/>
      <c r="K700" s="5"/>
      <c r="L700" s="5" cm="1">
        <f t="array" ref="L700">_xlfn.XLOOKUP(C700,[4]C5_LMA_DIAG!$A$49:$A$66,_xlfn.XLOOKUP(B700,[4]C5_LMA_DIAG!$A$49:$M$49,[4]C5_LMA_DIAG!$A$49:$M$66))</f>
        <v>8692</v>
      </c>
      <c r="M700" s="5" cm="1">
        <f t="array" ref="M700">_xlfn.XLOOKUP(C700,[5]C6_LMA_DIAG!$A$46:$A$63,_xlfn.XLOOKUP(B700,[5]C6_LMA_DIAG!$A$46:$M$46,[5]C6_LMA_DIAG!$A$46:$M$63))</f>
        <v>8611</v>
      </c>
      <c r="N700" s="5" cm="1">
        <f t="array" ref="N700">_xlfn.XLOOKUP(
  C700,
  [6]C6_LMA_DIAG!$A$52:$A$68,
  _xlfn.XLOOKUP(
    B700,
    [6]C6_LMA_DIAG!$B$51:$O$51,
    [6]C6_LMA_DIAG!$B$52:$O$68
  )
)</f>
        <v>7570</v>
      </c>
      <c r="O700" s="20">
        <v>9689</v>
      </c>
      <c r="P700" s="5">
        <v>10849</v>
      </c>
    </row>
    <row r="701" spans="1:16" x14ac:dyDescent="0.3">
      <c r="A701" s="4" t="s">
        <v>69</v>
      </c>
      <c r="B701" s="4" t="s">
        <v>64</v>
      </c>
      <c r="C701" s="4" t="s">
        <v>32</v>
      </c>
      <c r="D701" s="4" t="s">
        <v>52</v>
      </c>
      <c r="E701" s="4" t="s">
        <v>40</v>
      </c>
      <c r="F701" s="4" t="s">
        <v>20</v>
      </c>
      <c r="G701" s="4" t="s">
        <v>1</v>
      </c>
      <c r="H701" s="5"/>
      <c r="I701" s="5"/>
      <c r="J701" s="5"/>
      <c r="K701" s="5"/>
      <c r="L701" s="5" cm="1">
        <f t="array" ref="L701">_xlfn.XLOOKUP(C701,[4]C5_LMA_DIAG!$A$49:$A$66,_xlfn.XLOOKUP(B701,[4]C5_LMA_DIAG!$A$49:$M$49,[4]C5_LMA_DIAG!$A$49:$M$66))</f>
        <v>9245</v>
      </c>
      <c r="M701" s="5" cm="1">
        <f t="array" ref="M701">_xlfn.XLOOKUP(C701,[5]C6_LMA_DIAG!$A$46:$A$63,_xlfn.XLOOKUP(B701,[5]C6_LMA_DIAG!$A$46:$M$46,[5]C6_LMA_DIAG!$A$46:$M$63))</f>
        <v>8569</v>
      </c>
      <c r="N701" s="5" cm="1">
        <f t="array" ref="N701">_xlfn.XLOOKUP(
  C701,
  [6]C6_LMA_DIAG!$A$52:$A$68,
  _xlfn.XLOOKUP(
    B701,
    [6]C6_LMA_DIAG!$B$51:$O$51,
    [6]C6_LMA_DIAG!$B$52:$O$68
  )
)</f>
        <v>7639</v>
      </c>
      <c r="O701" s="20">
        <v>10603</v>
      </c>
      <c r="P701" s="5">
        <v>11242</v>
      </c>
    </row>
    <row r="702" spans="1:16" x14ac:dyDescent="0.3">
      <c r="A702" s="4" t="s">
        <v>69</v>
      </c>
      <c r="B702" s="4" t="s">
        <v>70</v>
      </c>
      <c r="C702" s="4" t="s">
        <v>32</v>
      </c>
      <c r="D702" s="4" t="s">
        <v>52</v>
      </c>
      <c r="E702" s="4" t="s">
        <v>40</v>
      </c>
      <c r="F702" s="4" t="s">
        <v>20</v>
      </c>
      <c r="G702" s="4" t="s">
        <v>1</v>
      </c>
      <c r="H702" s="5"/>
      <c r="I702" s="5"/>
      <c r="J702" s="5"/>
      <c r="K702" s="5"/>
      <c r="L702" s="5">
        <v>0</v>
      </c>
      <c r="M702" s="5">
        <v>0</v>
      </c>
      <c r="N702" s="5" cm="1">
        <f t="array" ref="N702">_xlfn.XLOOKUP(
  C702,
  [6]C6_LMA_DIAG!$A$52:$A$68,
  _xlfn.XLOOKUP(
    B702,
    [6]C6_LMA_DIAG!$B$51:$O$51,
    [6]C6_LMA_DIAG!$B$52:$O$68
  )
)</f>
        <v>38632</v>
      </c>
      <c r="O702" s="20">
        <v>105126</v>
      </c>
      <c r="P702" s="5">
        <v>99263</v>
      </c>
    </row>
    <row r="703" spans="1:16" x14ac:dyDescent="0.3">
      <c r="A703" s="4"/>
      <c r="B703" s="18" t="s">
        <v>71</v>
      </c>
      <c r="C703" s="4" t="s">
        <v>32</v>
      </c>
      <c r="D703" s="4" t="s">
        <v>52</v>
      </c>
      <c r="E703" s="4" t="s">
        <v>40</v>
      </c>
      <c r="F703" s="4" t="s">
        <v>20</v>
      </c>
      <c r="G703" s="4" t="s">
        <v>1</v>
      </c>
      <c r="H703" s="5"/>
      <c r="I703" s="5"/>
      <c r="J703" s="5"/>
      <c r="K703" s="5"/>
      <c r="L703" s="5">
        <v>0</v>
      </c>
      <c r="M703" s="5">
        <v>0</v>
      </c>
      <c r="N703" s="5" cm="1">
        <f t="array" ref="N703">_xlfn.XLOOKUP(
  C703,
  [6]C6_LMA_DIAG!$A$52:$A$68,
  _xlfn.XLOOKUP(
    B703,
    [6]C6_LMA_DIAG!$B$51:$O$51,
    [6]C6_LMA_DIAG!$B$52:$O$68
  )
)</f>
        <v>1240</v>
      </c>
      <c r="O703" s="20">
        <v>1019</v>
      </c>
      <c r="P703" s="5">
        <v>0</v>
      </c>
    </row>
    <row r="704" spans="1:16" x14ac:dyDescent="0.3">
      <c r="A704" s="4" t="s">
        <v>69</v>
      </c>
      <c r="B704" s="4" t="s">
        <v>65</v>
      </c>
      <c r="C704" s="4" t="s">
        <v>32</v>
      </c>
      <c r="D704" s="4" t="s">
        <v>52</v>
      </c>
      <c r="E704" s="4" t="s">
        <v>40</v>
      </c>
      <c r="F704" s="4" t="s">
        <v>20</v>
      </c>
      <c r="G704" s="4" t="s">
        <v>1</v>
      </c>
      <c r="H704" s="5"/>
      <c r="I704" s="5"/>
      <c r="J704" s="5"/>
      <c r="K704" s="5"/>
      <c r="L704" s="5" cm="1">
        <f t="array" ref="L704">_xlfn.XLOOKUP(C704,[4]C5_LMA_DIAG!$A$49:$A$66,_xlfn.XLOOKUP(B704,[4]C5_LMA_DIAG!$A$49:$M$49,[4]C5_LMA_DIAG!$A$49:$M$66))</f>
        <v>38015</v>
      </c>
      <c r="M704" s="5" cm="1">
        <f t="array" ref="M704">_xlfn.XLOOKUP(C704,[5]C6_LMA_DIAG!$A$46:$A$63,_xlfn.XLOOKUP(B704,[5]C6_LMA_DIAG!$A$46:$M$46,[5]C6_LMA_DIAG!$A$46:$M$63))</f>
        <v>38462</v>
      </c>
      <c r="N704" s="5" cm="1">
        <f t="array" ref="N704">_xlfn.XLOOKUP(
  C704,
  [6]C6_LMA_DIAG!$A$52:$A$68,
  _xlfn.XLOOKUP(
    B704,
    [6]C6_LMA_DIAG!$B$51:$O$51,
    [6]C6_LMA_DIAG!$B$52:$O$68
  )
)</f>
        <v>30473</v>
      </c>
      <c r="O704" s="20">
        <v>47450</v>
      </c>
      <c r="P704" s="5">
        <v>57187</v>
      </c>
    </row>
    <row r="705" spans="1:16" x14ac:dyDescent="0.3">
      <c r="A705" s="4" t="s">
        <v>69</v>
      </c>
      <c r="B705" s="4" t="s">
        <v>19</v>
      </c>
      <c r="C705" s="4" t="s">
        <v>32</v>
      </c>
      <c r="D705" s="4" t="s">
        <v>52</v>
      </c>
      <c r="E705" s="4" t="s">
        <v>40</v>
      </c>
      <c r="F705" s="4" t="s">
        <v>20</v>
      </c>
      <c r="G705" s="4" t="s">
        <v>1</v>
      </c>
      <c r="H705" s="5"/>
      <c r="I705" s="5"/>
      <c r="J705" s="5"/>
      <c r="K705" s="5"/>
      <c r="L705" s="5" cm="1">
        <f t="array" ref="L705">_xlfn.XLOOKUP(C705,[4]C5_LMA_DIAG!$A$49:$A$66,_xlfn.XLOOKUP(B705,[4]C5_LMA_DIAG!$A$49:$M$49,[4]C5_LMA_DIAG!$A$49:$M$66))</f>
        <v>23</v>
      </c>
      <c r="M705" s="5" cm="1">
        <f t="array" ref="M705">_xlfn.XLOOKUP(C705,[5]C6_LMA_DIAG!$A$46:$A$63,_xlfn.XLOOKUP(B705,[5]C6_LMA_DIAG!$A$46:$M$46,[5]C6_LMA_DIAG!$A$46:$M$63))</f>
        <v>98</v>
      </c>
      <c r="N705" s="5" cm="1">
        <f t="array" ref="N705">_xlfn.XLOOKUP(
  C705,
  [6]C6_LMA_DIAG!$A$52:$A$68,
  _xlfn.XLOOKUP(
    B705,
    [6]C6_LMA_DIAG!$B$51:$O$51,
    [6]C6_LMA_DIAG!$B$52:$O$68
  )
)</f>
        <v>0</v>
      </c>
      <c r="O705" s="20">
        <v>30</v>
      </c>
      <c r="P705" s="5">
        <v>0</v>
      </c>
    </row>
    <row r="706" spans="1:16" x14ac:dyDescent="0.3">
      <c r="A706" s="15" t="s">
        <v>69</v>
      </c>
      <c r="B706" s="15" t="s">
        <v>55</v>
      </c>
      <c r="C706" s="15" t="s">
        <v>33</v>
      </c>
      <c r="D706" s="15" t="s">
        <v>52</v>
      </c>
      <c r="E706" s="15" t="s">
        <v>40</v>
      </c>
      <c r="F706" s="15" t="s">
        <v>20</v>
      </c>
      <c r="G706" s="15" t="s">
        <v>1</v>
      </c>
      <c r="H706" s="16"/>
      <c r="I706" s="16"/>
      <c r="J706" s="16"/>
      <c r="K706" s="16"/>
      <c r="L706" s="5" cm="1">
        <f t="array" ref="L706">_xlfn.XLOOKUP(C706,[4]C5_LMA_DIAG!$A$49:$A$66,_xlfn.XLOOKUP(B706,[4]C5_LMA_DIAG!$A$49:$M$49,[4]C5_LMA_DIAG!$A$49:$M$66))</f>
        <v>33206</v>
      </c>
      <c r="M706" s="5" cm="1">
        <f t="array" ref="M706">_xlfn.XLOOKUP(C706,[5]C6_LMA_DIAG!$A$46:$A$63,_xlfn.XLOOKUP(B706,[5]C6_LMA_DIAG!$A$46:$M$46,[5]C6_LMA_DIAG!$A$46:$M$63))</f>
        <v>38975</v>
      </c>
      <c r="N706" s="5" cm="1">
        <f t="array" ref="N706">_xlfn.XLOOKUP(
  C706,
  [6]C6_LMA_DIAG!$A$52:$A$68,
  _xlfn.XLOOKUP(
    B706,
    [6]C6_LMA_DIAG!$B$51:$O$51,
    [6]C6_LMA_DIAG!$B$52:$O$68
  )
)</f>
        <v>29329</v>
      </c>
      <c r="O706" s="20">
        <v>65461</v>
      </c>
      <c r="P706" s="16">
        <v>70656</v>
      </c>
    </row>
    <row r="707" spans="1:16" x14ac:dyDescent="0.3">
      <c r="A707" s="15" t="s">
        <v>69</v>
      </c>
      <c r="B707" s="15" t="s">
        <v>56</v>
      </c>
      <c r="C707" s="15" t="s">
        <v>33</v>
      </c>
      <c r="D707" s="15" t="s">
        <v>52</v>
      </c>
      <c r="E707" s="15" t="s">
        <v>40</v>
      </c>
      <c r="F707" s="15" t="s">
        <v>20</v>
      </c>
      <c r="G707" s="15" t="s">
        <v>1</v>
      </c>
      <c r="H707" s="16"/>
      <c r="I707" s="16"/>
      <c r="J707" s="16"/>
      <c r="K707" s="16"/>
      <c r="L707" s="5" cm="1">
        <f t="array" ref="L707">_xlfn.XLOOKUP(C707,[4]C5_LMA_DIAG!$A$49:$A$66,_xlfn.XLOOKUP(B707,[4]C5_LMA_DIAG!$A$49:$M$49,[4]C5_LMA_DIAG!$A$49:$M$66))</f>
        <v>34087</v>
      </c>
      <c r="M707" s="5" cm="1">
        <f t="array" ref="M707">_xlfn.XLOOKUP(C707,[5]C6_LMA_DIAG!$A$46:$A$63,_xlfn.XLOOKUP(B707,[5]C6_LMA_DIAG!$A$46:$M$46,[5]C6_LMA_DIAG!$A$46:$M$63))</f>
        <v>38779</v>
      </c>
      <c r="N707" s="5" cm="1">
        <f t="array" ref="N707">_xlfn.XLOOKUP(
  C707,
  [6]C6_LMA_DIAG!$A$52:$A$68,
  _xlfn.XLOOKUP(
    B707,
    [6]C6_LMA_DIAG!$B$51:$O$51,
    [6]C6_LMA_DIAG!$B$52:$O$68
  )
)</f>
        <v>22040</v>
      </c>
      <c r="O707" s="20">
        <v>46755</v>
      </c>
      <c r="P707" s="16">
        <v>49725</v>
      </c>
    </row>
    <row r="708" spans="1:16" x14ac:dyDescent="0.3">
      <c r="A708" s="15" t="s">
        <v>69</v>
      </c>
      <c r="B708" s="15" t="s">
        <v>57</v>
      </c>
      <c r="C708" s="15" t="s">
        <v>33</v>
      </c>
      <c r="D708" s="15" t="s">
        <v>52</v>
      </c>
      <c r="E708" s="15" t="s">
        <v>40</v>
      </c>
      <c r="F708" s="15" t="s">
        <v>20</v>
      </c>
      <c r="G708" s="15" t="s">
        <v>1</v>
      </c>
      <c r="H708" s="16"/>
      <c r="I708" s="16"/>
      <c r="J708" s="16"/>
      <c r="K708" s="16"/>
      <c r="L708" s="5" cm="1">
        <f t="array" ref="L708">_xlfn.XLOOKUP(C708,[4]C5_LMA_DIAG!$A$49:$A$66,_xlfn.XLOOKUP(B708,[4]C5_LMA_DIAG!$A$49:$M$49,[4]C5_LMA_DIAG!$A$49:$M$66))</f>
        <v>18985</v>
      </c>
      <c r="M708" s="5" cm="1">
        <f t="array" ref="M708">_xlfn.XLOOKUP(C708,[5]C6_LMA_DIAG!$A$46:$A$63,_xlfn.XLOOKUP(B708,[5]C6_LMA_DIAG!$A$46:$M$46,[5]C6_LMA_DIAG!$A$46:$M$63))</f>
        <v>22046</v>
      </c>
      <c r="N708" s="5" cm="1">
        <f t="array" ref="N708">_xlfn.XLOOKUP(
  C708,
  [6]C6_LMA_DIAG!$A$52:$A$68,
  _xlfn.XLOOKUP(
    B708,
    [6]C6_LMA_DIAG!$B$51:$O$51,
    [6]C6_LMA_DIAG!$B$52:$O$68
  )
)</f>
        <v>6404</v>
      </c>
      <c r="O708" s="20">
        <v>9658</v>
      </c>
      <c r="P708" s="16">
        <v>27968</v>
      </c>
    </row>
    <row r="709" spans="1:16" x14ac:dyDescent="0.3">
      <c r="A709" s="15" t="s">
        <v>69</v>
      </c>
      <c r="B709" s="15" t="s">
        <v>58</v>
      </c>
      <c r="C709" s="15" t="s">
        <v>33</v>
      </c>
      <c r="D709" s="15" t="s">
        <v>52</v>
      </c>
      <c r="E709" s="15" t="s">
        <v>40</v>
      </c>
      <c r="F709" s="15" t="s">
        <v>20</v>
      </c>
      <c r="G709" s="15" t="s">
        <v>1</v>
      </c>
      <c r="H709" s="16"/>
      <c r="I709" s="16"/>
      <c r="J709" s="16"/>
      <c r="K709" s="16"/>
      <c r="L709" s="5" cm="1">
        <f t="array" ref="L709">_xlfn.XLOOKUP(C709,[4]C5_LMA_DIAG!$A$49:$A$66,_xlfn.XLOOKUP(B709,[4]C5_LMA_DIAG!$A$49:$M$49,[4]C5_LMA_DIAG!$A$49:$M$66))</f>
        <v>10051</v>
      </c>
      <c r="M709" s="5" cm="1">
        <f t="array" ref="M709">_xlfn.XLOOKUP(C709,[5]C6_LMA_DIAG!$A$46:$A$63,_xlfn.XLOOKUP(B709,[5]C6_LMA_DIAG!$A$46:$M$46,[5]C6_LMA_DIAG!$A$46:$M$63))</f>
        <v>13091</v>
      </c>
      <c r="N709" s="5" cm="1">
        <f t="array" ref="N709">_xlfn.XLOOKUP(
  C709,
  [6]C6_LMA_DIAG!$A$52:$A$68,
  _xlfn.XLOOKUP(
    B709,
    [6]C6_LMA_DIAG!$B$51:$O$51,
    [6]C6_LMA_DIAG!$B$52:$O$68
  )
)</f>
        <v>8956</v>
      </c>
      <c r="O709" s="20">
        <v>16578</v>
      </c>
      <c r="P709" s="16">
        <v>18259</v>
      </c>
    </row>
    <row r="710" spans="1:16" x14ac:dyDescent="0.3">
      <c r="A710" s="15" t="s">
        <v>69</v>
      </c>
      <c r="B710" s="15" t="s">
        <v>59</v>
      </c>
      <c r="C710" s="15" t="s">
        <v>33</v>
      </c>
      <c r="D710" s="15" t="s">
        <v>52</v>
      </c>
      <c r="E710" s="15" t="s">
        <v>40</v>
      </c>
      <c r="F710" s="15" t="s">
        <v>20</v>
      </c>
      <c r="G710" s="15" t="s">
        <v>1</v>
      </c>
      <c r="H710" s="16"/>
      <c r="I710" s="16"/>
      <c r="J710" s="16"/>
      <c r="K710" s="16"/>
      <c r="L710" s="5" cm="1">
        <f t="array" ref="L710">_xlfn.XLOOKUP(C710,[4]C5_LMA_DIAG!$A$49:$A$66,_xlfn.XLOOKUP(B710,[4]C5_LMA_DIAG!$A$49:$M$49,[4]C5_LMA_DIAG!$A$49:$M$66))</f>
        <v>7807</v>
      </c>
      <c r="M710" s="5" cm="1">
        <f t="array" ref="M710">_xlfn.XLOOKUP(C710,[5]C6_LMA_DIAG!$A$46:$A$63,_xlfn.XLOOKUP(B710,[5]C6_LMA_DIAG!$A$46:$M$46,[5]C6_LMA_DIAG!$A$46:$M$63))</f>
        <v>7716</v>
      </c>
      <c r="N710" s="5" cm="1">
        <f t="array" ref="N710">_xlfn.XLOOKUP(
  C710,
  [6]C6_LMA_DIAG!$A$52:$A$68,
  _xlfn.XLOOKUP(
    B710,
    [6]C6_LMA_DIAG!$B$51:$O$51,
    [6]C6_LMA_DIAG!$B$52:$O$68
  )
)</f>
        <v>3485</v>
      </c>
      <c r="O710" s="20">
        <v>6091</v>
      </c>
      <c r="P710" s="16">
        <v>8457</v>
      </c>
    </row>
    <row r="711" spans="1:16" x14ac:dyDescent="0.3">
      <c r="A711" s="15" t="s">
        <v>69</v>
      </c>
      <c r="B711" s="15" t="s">
        <v>60</v>
      </c>
      <c r="C711" s="15" t="s">
        <v>33</v>
      </c>
      <c r="D711" s="15" t="s">
        <v>52</v>
      </c>
      <c r="E711" s="15" t="s">
        <v>40</v>
      </c>
      <c r="F711" s="15" t="s">
        <v>20</v>
      </c>
      <c r="G711" s="15" t="s">
        <v>1</v>
      </c>
      <c r="H711" s="16"/>
      <c r="I711" s="16"/>
      <c r="J711" s="16"/>
      <c r="K711" s="16"/>
      <c r="L711" s="5" cm="1">
        <f t="array" ref="L711">_xlfn.XLOOKUP(C711,[4]C5_LMA_DIAG!$A$49:$A$66,_xlfn.XLOOKUP(B711,[4]C5_LMA_DIAG!$A$49:$M$49,[4]C5_LMA_DIAG!$A$49:$M$66))</f>
        <v>5695</v>
      </c>
      <c r="M711" s="5" cm="1">
        <f t="array" ref="M711">_xlfn.XLOOKUP(C711,[5]C6_LMA_DIAG!$A$46:$A$63,_xlfn.XLOOKUP(B711,[5]C6_LMA_DIAG!$A$46:$M$46,[5]C6_LMA_DIAG!$A$46:$M$63))</f>
        <v>9436</v>
      </c>
      <c r="N711" s="5" cm="1">
        <f t="array" ref="N711">_xlfn.XLOOKUP(
  C711,
  [6]C6_LMA_DIAG!$A$52:$A$68,
  _xlfn.XLOOKUP(
    B711,
    [6]C6_LMA_DIAG!$B$51:$O$51,
    [6]C6_LMA_DIAG!$B$52:$O$68
  )
)</f>
        <v>4814</v>
      </c>
      <c r="O711" s="20">
        <v>9564</v>
      </c>
      <c r="P711" s="16">
        <v>11592</v>
      </c>
    </row>
    <row r="712" spans="1:16" x14ac:dyDescent="0.3">
      <c r="A712" s="15" t="s">
        <v>69</v>
      </c>
      <c r="B712" s="15" t="s">
        <v>61</v>
      </c>
      <c r="C712" s="15" t="s">
        <v>33</v>
      </c>
      <c r="D712" s="15" t="s">
        <v>52</v>
      </c>
      <c r="E712" s="15" t="s">
        <v>40</v>
      </c>
      <c r="F712" s="15" t="s">
        <v>20</v>
      </c>
      <c r="G712" s="15" t="s">
        <v>1</v>
      </c>
      <c r="H712" s="16"/>
      <c r="I712" s="16"/>
      <c r="J712" s="16"/>
      <c r="K712" s="16"/>
      <c r="L712" s="5" cm="1">
        <f t="array" ref="L712">_xlfn.XLOOKUP(C712,[4]C5_LMA_DIAG!$A$49:$A$66,_xlfn.XLOOKUP(B712,[4]C5_LMA_DIAG!$A$49:$M$49,[4]C5_LMA_DIAG!$A$49:$M$66))</f>
        <v>4719</v>
      </c>
      <c r="M712" s="5" cm="1">
        <f t="array" ref="M712">_xlfn.XLOOKUP(C712,[5]C6_LMA_DIAG!$A$46:$A$63,_xlfn.XLOOKUP(B712,[5]C6_LMA_DIAG!$A$46:$M$46,[5]C6_LMA_DIAG!$A$46:$M$63))</f>
        <v>4844</v>
      </c>
      <c r="N712" s="5" cm="1">
        <f t="array" ref="N712">_xlfn.XLOOKUP(
  C712,
  [6]C6_LMA_DIAG!$A$52:$A$68,
  _xlfn.XLOOKUP(
    B712,
    [6]C6_LMA_DIAG!$B$51:$O$51,
    [6]C6_LMA_DIAG!$B$52:$O$68
  )
)</f>
        <v>2689</v>
      </c>
      <c r="O712" s="20">
        <v>3565</v>
      </c>
      <c r="P712" s="16">
        <v>4587</v>
      </c>
    </row>
    <row r="713" spans="1:16" x14ac:dyDescent="0.3">
      <c r="A713" s="15" t="s">
        <v>69</v>
      </c>
      <c r="B713" s="15" t="s">
        <v>62</v>
      </c>
      <c r="C713" s="15" t="s">
        <v>33</v>
      </c>
      <c r="D713" s="15" t="s">
        <v>52</v>
      </c>
      <c r="E713" s="15" t="s">
        <v>40</v>
      </c>
      <c r="F713" s="15" t="s">
        <v>20</v>
      </c>
      <c r="G713" s="15" t="s">
        <v>1</v>
      </c>
      <c r="H713" s="16"/>
      <c r="I713" s="16"/>
      <c r="J713" s="16"/>
      <c r="K713" s="16"/>
      <c r="L713" s="5" cm="1">
        <f t="array" ref="L713">_xlfn.XLOOKUP(C713,[4]C5_LMA_DIAG!$A$49:$A$66,_xlfn.XLOOKUP(B713,[4]C5_LMA_DIAG!$A$49:$M$49,[4]C5_LMA_DIAG!$A$49:$M$66))</f>
        <v>3993</v>
      </c>
      <c r="M713" s="5" cm="1">
        <f t="array" ref="M713">_xlfn.XLOOKUP(C713,[5]C6_LMA_DIAG!$A$46:$A$63,_xlfn.XLOOKUP(B713,[5]C6_LMA_DIAG!$A$46:$M$46,[5]C6_LMA_DIAG!$A$46:$M$63))</f>
        <v>4531</v>
      </c>
      <c r="N713" s="5" cm="1">
        <f t="array" ref="N713">_xlfn.XLOOKUP(
  C713,
  [6]C6_LMA_DIAG!$A$52:$A$68,
  _xlfn.XLOOKUP(
    B713,
    [6]C6_LMA_DIAG!$B$51:$O$51,
    [6]C6_LMA_DIAG!$B$52:$O$68
  )
)</f>
        <v>2238</v>
      </c>
      <c r="O713" s="20">
        <v>4351</v>
      </c>
      <c r="P713" s="16">
        <v>5227</v>
      </c>
    </row>
    <row r="714" spans="1:16" x14ac:dyDescent="0.3">
      <c r="A714" s="15" t="s">
        <v>69</v>
      </c>
      <c r="B714" s="15" t="s">
        <v>63</v>
      </c>
      <c r="C714" s="15" t="s">
        <v>33</v>
      </c>
      <c r="D714" s="15" t="s">
        <v>52</v>
      </c>
      <c r="E714" s="15" t="s">
        <v>40</v>
      </c>
      <c r="F714" s="15" t="s">
        <v>20</v>
      </c>
      <c r="G714" s="15" t="s">
        <v>1</v>
      </c>
      <c r="H714" s="16"/>
      <c r="I714" s="16"/>
      <c r="J714" s="16"/>
      <c r="K714" s="16"/>
      <c r="L714" s="5" cm="1">
        <f t="array" ref="L714">_xlfn.XLOOKUP(C714,[4]C5_LMA_DIAG!$A$49:$A$66,_xlfn.XLOOKUP(B714,[4]C5_LMA_DIAG!$A$49:$M$49,[4]C5_LMA_DIAG!$A$49:$M$66))</f>
        <v>3300</v>
      </c>
      <c r="M714" s="5" cm="1">
        <f t="array" ref="M714">_xlfn.XLOOKUP(C714,[5]C6_LMA_DIAG!$A$46:$A$63,_xlfn.XLOOKUP(B714,[5]C6_LMA_DIAG!$A$46:$M$46,[5]C6_LMA_DIAG!$A$46:$M$63))</f>
        <v>3815</v>
      </c>
      <c r="N714" s="5" cm="1">
        <f t="array" ref="N714">_xlfn.XLOOKUP(
  C714,
  [6]C6_LMA_DIAG!$A$52:$A$68,
  _xlfn.XLOOKUP(
    B714,
    [6]C6_LMA_DIAG!$B$51:$O$51,
    [6]C6_LMA_DIAG!$B$52:$O$68
  )
)</f>
        <v>3002</v>
      </c>
      <c r="O714" s="20">
        <v>4763</v>
      </c>
      <c r="P714" s="16">
        <v>5157</v>
      </c>
    </row>
    <row r="715" spans="1:16" x14ac:dyDescent="0.3">
      <c r="A715" s="15" t="s">
        <v>69</v>
      </c>
      <c r="B715" s="15" t="s">
        <v>64</v>
      </c>
      <c r="C715" s="15" t="s">
        <v>33</v>
      </c>
      <c r="D715" s="15" t="s">
        <v>52</v>
      </c>
      <c r="E715" s="15" t="s">
        <v>40</v>
      </c>
      <c r="F715" s="15" t="s">
        <v>20</v>
      </c>
      <c r="G715" s="15" t="s">
        <v>1</v>
      </c>
      <c r="H715" s="16"/>
      <c r="I715" s="16"/>
      <c r="J715" s="16"/>
      <c r="K715" s="16"/>
      <c r="L715" s="5" cm="1">
        <f t="array" ref="L715">_xlfn.XLOOKUP(C715,[4]C5_LMA_DIAG!$A$49:$A$66,_xlfn.XLOOKUP(B715,[4]C5_LMA_DIAG!$A$49:$M$49,[4]C5_LMA_DIAG!$A$49:$M$66))</f>
        <v>3293</v>
      </c>
      <c r="M715" s="5" cm="1">
        <f t="array" ref="M715">_xlfn.XLOOKUP(C715,[5]C6_LMA_DIAG!$A$46:$A$63,_xlfn.XLOOKUP(B715,[5]C6_LMA_DIAG!$A$46:$M$46,[5]C6_LMA_DIAG!$A$46:$M$63))</f>
        <v>3759</v>
      </c>
      <c r="N715" s="5" cm="1">
        <f t="array" ref="N715">_xlfn.XLOOKUP(
  C715,
  [6]C6_LMA_DIAG!$A$52:$A$68,
  _xlfn.XLOOKUP(
    B715,
    [6]C6_LMA_DIAG!$B$51:$O$51,
    [6]C6_LMA_DIAG!$B$52:$O$68
  )
)</f>
        <v>2619</v>
      </c>
      <c r="O715" s="20">
        <v>4001</v>
      </c>
      <c r="P715" s="16">
        <v>4188</v>
      </c>
    </row>
    <row r="716" spans="1:16" x14ac:dyDescent="0.3">
      <c r="A716" s="15" t="s">
        <v>69</v>
      </c>
      <c r="B716" s="15" t="s">
        <v>70</v>
      </c>
      <c r="C716" s="15" t="s">
        <v>33</v>
      </c>
      <c r="D716" s="15" t="s">
        <v>52</v>
      </c>
      <c r="E716" s="15" t="s">
        <v>40</v>
      </c>
      <c r="F716" s="15" t="s">
        <v>20</v>
      </c>
      <c r="G716" s="15" t="s">
        <v>1</v>
      </c>
      <c r="H716" s="16"/>
      <c r="I716" s="16"/>
      <c r="J716" s="16"/>
      <c r="K716" s="16"/>
      <c r="L716" s="5">
        <v>0</v>
      </c>
      <c r="M716" s="5">
        <v>0</v>
      </c>
      <c r="N716" s="5" cm="1">
        <f t="array" ref="N716">_xlfn.XLOOKUP(
  C716,
  [6]C6_LMA_DIAG!$A$52:$A$68,
  _xlfn.XLOOKUP(
    B716,
    [6]C6_LMA_DIAG!$B$51:$O$51,
    [6]C6_LMA_DIAG!$B$52:$O$68
  )
)</f>
        <v>16458</v>
      </c>
      <c r="O716" s="20">
        <v>63589</v>
      </c>
      <c r="P716" s="16">
        <v>56724</v>
      </c>
    </row>
    <row r="717" spans="1:16" x14ac:dyDescent="0.3">
      <c r="A717" s="15"/>
      <c r="B717" s="18" t="s">
        <v>71</v>
      </c>
      <c r="C717" s="15" t="s">
        <v>33</v>
      </c>
      <c r="D717" s="15" t="s">
        <v>52</v>
      </c>
      <c r="E717" s="15" t="s">
        <v>40</v>
      </c>
      <c r="F717" s="15" t="s">
        <v>20</v>
      </c>
      <c r="G717" s="15" t="s">
        <v>1</v>
      </c>
      <c r="H717" s="16"/>
      <c r="I717" s="16"/>
      <c r="J717" s="16"/>
      <c r="K717" s="16"/>
      <c r="L717" s="5">
        <v>0</v>
      </c>
      <c r="M717" s="5">
        <v>0</v>
      </c>
      <c r="N717" s="5" cm="1">
        <f t="array" ref="N717">_xlfn.XLOOKUP(
  C717,
  [6]C6_LMA_DIAG!$A$52:$A$68,
  _xlfn.XLOOKUP(
    B717,
    [6]C6_LMA_DIAG!$B$51:$O$51,
    [6]C6_LMA_DIAG!$B$52:$O$68
  )
)</f>
        <v>729</v>
      </c>
      <c r="O717" s="20">
        <v>536</v>
      </c>
      <c r="P717" s="16">
        <v>0</v>
      </c>
    </row>
    <row r="718" spans="1:16" x14ac:dyDescent="0.3">
      <c r="A718" s="15" t="s">
        <v>69</v>
      </c>
      <c r="B718" s="15" t="s">
        <v>65</v>
      </c>
      <c r="C718" s="15" t="s">
        <v>33</v>
      </c>
      <c r="D718" s="15" t="s">
        <v>52</v>
      </c>
      <c r="E718" s="15" t="s">
        <v>40</v>
      </c>
      <c r="F718" s="15" t="s">
        <v>20</v>
      </c>
      <c r="G718" s="15" t="s">
        <v>1</v>
      </c>
      <c r="H718" s="16"/>
      <c r="I718" s="16"/>
      <c r="J718" s="16"/>
      <c r="K718" s="16"/>
      <c r="L718" s="5" cm="1">
        <f t="array" ref="L718">_xlfn.XLOOKUP(C718,[4]C5_LMA_DIAG!$A$49:$A$66,_xlfn.XLOOKUP(B718,[4]C5_LMA_DIAG!$A$49:$M$49,[4]C5_LMA_DIAG!$A$49:$M$66))</f>
        <v>19154</v>
      </c>
      <c r="M718" s="5" cm="1">
        <f t="array" ref="M718">_xlfn.XLOOKUP(C718,[5]C6_LMA_DIAG!$A$46:$A$63,_xlfn.XLOOKUP(B718,[5]C6_LMA_DIAG!$A$46:$M$46,[5]C6_LMA_DIAG!$A$46:$M$63))</f>
        <v>20444</v>
      </c>
      <c r="N718" s="5" cm="1">
        <f t="array" ref="N718">_xlfn.XLOOKUP(
  C718,
  [6]C6_LMA_DIAG!$A$52:$A$68,
  _xlfn.XLOOKUP(
    B718,
    [6]C6_LMA_DIAG!$B$51:$O$51,
    [6]C6_LMA_DIAG!$B$52:$O$68
  )
)</f>
        <v>11085</v>
      </c>
      <c r="O718" s="20">
        <v>20319</v>
      </c>
      <c r="P718" s="16">
        <v>21965</v>
      </c>
    </row>
    <row r="719" spans="1:16" x14ac:dyDescent="0.3">
      <c r="A719" s="15" t="s">
        <v>69</v>
      </c>
      <c r="B719" s="15" t="s">
        <v>19</v>
      </c>
      <c r="C719" s="15" t="s">
        <v>33</v>
      </c>
      <c r="D719" s="15" t="s">
        <v>52</v>
      </c>
      <c r="E719" s="15" t="s">
        <v>40</v>
      </c>
      <c r="F719" s="15" t="s">
        <v>20</v>
      </c>
      <c r="G719" s="15" t="s">
        <v>1</v>
      </c>
      <c r="H719" s="16"/>
      <c r="I719" s="16"/>
      <c r="J719" s="16"/>
      <c r="K719" s="16"/>
      <c r="L719" s="5" cm="1">
        <f t="array" ref="L719">_xlfn.XLOOKUP(C719,[4]C5_LMA_DIAG!$A$49:$A$66,_xlfn.XLOOKUP(B719,[4]C5_LMA_DIAG!$A$49:$M$49,[4]C5_LMA_DIAG!$A$49:$M$66))</f>
        <v>1</v>
      </c>
      <c r="M719" s="5" cm="1">
        <f t="array" ref="M719">_xlfn.XLOOKUP(C719,[5]C6_LMA_DIAG!$A$46:$A$63,_xlfn.XLOOKUP(B719,[5]C6_LMA_DIAG!$A$46:$M$46,[5]C6_LMA_DIAG!$A$46:$M$63))</f>
        <v>3</v>
      </c>
      <c r="N719" s="5" cm="1">
        <f t="array" ref="N719">_xlfn.XLOOKUP(
  C719,
  [6]C6_LMA_DIAG!$A$52:$A$68,
  _xlfn.XLOOKUP(
    B719,
    [6]C6_LMA_DIAG!$B$51:$O$51,
    [6]C6_LMA_DIAG!$B$52:$O$68
  )
)</f>
        <v>0</v>
      </c>
      <c r="O719" s="20">
        <v>4</v>
      </c>
      <c r="P719" s="16">
        <v>0</v>
      </c>
    </row>
    <row r="720" spans="1:16" x14ac:dyDescent="0.3">
      <c r="A720" s="4" t="s">
        <v>69</v>
      </c>
      <c r="B720" s="4" t="s">
        <v>55</v>
      </c>
      <c r="C720" s="4" t="s">
        <v>34</v>
      </c>
      <c r="D720" s="4" t="s">
        <v>52</v>
      </c>
      <c r="E720" s="4" t="s">
        <v>40</v>
      </c>
      <c r="F720" s="4" t="s">
        <v>20</v>
      </c>
      <c r="G720" s="4" t="s">
        <v>1</v>
      </c>
      <c r="H720" s="5"/>
      <c r="I720" s="5"/>
      <c r="J720" s="5"/>
      <c r="K720" s="5"/>
      <c r="L720" s="5" cm="1">
        <f t="array" ref="L720">_xlfn.XLOOKUP(C720,[4]C5_LMA_DIAG!$A$49:$A$66,_xlfn.XLOOKUP(B720,[4]C5_LMA_DIAG!$A$49:$M$49,[4]C5_LMA_DIAG!$A$49:$M$66))</f>
        <v>6259</v>
      </c>
      <c r="M720" s="5" cm="1">
        <f t="array" ref="M720">_xlfn.XLOOKUP(C720,[5]C6_LMA_DIAG!$A$46:$A$63,_xlfn.XLOOKUP(B720,[5]C6_LMA_DIAG!$A$46:$M$46,[5]C6_LMA_DIAG!$A$46:$M$63))</f>
        <v>7802</v>
      </c>
      <c r="N720" s="5" cm="1">
        <f t="array" ref="N720">_xlfn.XLOOKUP(
  C720,
  [6]C6_LMA_DIAG!$A$52:$A$68,
  _xlfn.XLOOKUP(
    B720,
    [6]C6_LMA_DIAG!$B$51:$O$51,
    [6]C6_LMA_DIAG!$B$52:$O$68
  )
)</f>
        <v>6544</v>
      </c>
      <c r="O720" s="20">
        <v>14692</v>
      </c>
      <c r="P720" s="5">
        <v>19429</v>
      </c>
    </row>
    <row r="721" spans="1:16" x14ac:dyDescent="0.3">
      <c r="A721" s="4" t="s">
        <v>69</v>
      </c>
      <c r="B721" s="4" t="s">
        <v>56</v>
      </c>
      <c r="C721" s="4" t="s">
        <v>34</v>
      </c>
      <c r="D721" s="4" t="s">
        <v>52</v>
      </c>
      <c r="E721" s="4" t="s">
        <v>40</v>
      </c>
      <c r="F721" s="4" t="s">
        <v>20</v>
      </c>
      <c r="G721" s="4" t="s">
        <v>1</v>
      </c>
      <c r="H721" s="5"/>
      <c r="I721" s="5"/>
      <c r="J721" s="5"/>
      <c r="K721" s="5"/>
      <c r="L721" s="5" cm="1">
        <f t="array" ref="L721">_xlfn.XLOOKUP(C721,[4]C5_LMA_DIAG!$A$49:$A$66,_xlfn.XLOOKUP(B721,[4]C5_LMA_DIAG!$A$49:$M$49,[4]C5_LMA_DIAG!$A$49:$M$66))</f>
        <v>8730</v>
      </c>
      <c r="M721" s="5" cm="1">
        <f t="array" ref="M721">_xlfn.XLOOKUP(C721,[5]C6_LMA_DIAG!$A$46:$A$63,_xlfn.XLOOKUP(B721,[5]C6_LMA_DIAG!$A$46:$M$46,[5]C6_LMA_DIAG!$A$46:$M$63))</f>
        <v>11229</v>
      </c>
      <c r="N721" s="5" cm="1">
        <f t="array" ref="N721">_xlfn.XLOOKUP(
  C721,
  [6]C6_LMA_DIAG!$A$52:$A$68,
  _xlfn.XLOOKUP(
    B721,
    [6]C6_LMA_DIAG!$B$51:$O$51,
    [6]C6_LMA_DIAG!$B$52:$O$68
  )
)</f>
        <v>7615</v>
      </c>
      <c r="O721" s="20">
        <v>14725</v>
      </c>
      <c r="P721" s="5">
        <v>17343</v>
      </c>
    </row>
    <row r="722" spans="1:16" x14ac:dyDescent="0.3">
      <c r="A722" s="4" t="s">
        <v>69</v>
      </c>
      <c r="B722" s="4" t="s">
        <v>57</v>
      </c>
      <c r="C722" s="4" t="s">
        <v>34</v>
      </c>
      <c r="D722" s="4" t="s">
        <v>52</v>
      </c>
      <c r="E722" s="4" t="s">
        <v>40</v>
      </c>
      <c r="F722" s="4" t="s">
        <v>20</v>
      </c>
      <c r="G722" s="4" t="s">
        <v>1</v>
      </c>
      <c r="H722" s="5"/>
      <c r="I722" s="5"/>
      <c r="J722" s="5"/>
      <c r="K722" s="5"/>
      <c r="L722" s="5" cm="1">
        <f t="array" ref="L722">_xlfn.XLOOKUP(C722,[4]C5_LMA_DIAG!$A$49:$A$66,_xlfn.XLOOKUP(B722,[4]C5_LMA_DIAG!$A$49:$M$49,[4]C5_LMA_DIAG!$A$49:$M$66))</f>
        <v>8403</v>
      </c>
      <c r="M722" s="5" cm="1">
        <f t="array" ref="M722">_xlfn.XLOOKUP(C722,[5]C6_LMA_DIAG!$A$46:$A$63,_xlfn.XLOOKUP(B722,[5]C6_LMA_DIAG!$A$46:$M$46,[5]C6_LMA_DIAG!$A$46:$M$63))</f>
        <v>10252</v>
      </c>
      <c r="N722" s="5" cm="1">
        <f t="array" ref="N722">_xlfn.XLOOKUP(
  C722,
  [6]C6_LMA_DIAG!$A$52:$A$68,
  _xlfn.XLOOKUP(
    B722,
    [6]C6_LMA_DIAG!$B$51:$O$51,
    [6]C6_LMA_DIAG!$B$52:$O$68
  )
)</f>
        <v>3251</v>
      </c>
      <c r="O722" s="20">
        <v>3525</v>
      </c>
      <c r="P722" s="5">
        <v>14694</v>
      </c>
    </row>
    <row r="723" spans="1:16" x14ac:dyDescent="0.3">
      <c r="A723" s="4" t="s">
        <v>69</v>
      </c>
      <c r="B723" s="4" t="s">
        <v>58</v>
      </c>
      <c r="C723" s="4" t="s">
        <v>34</v>
      </c>
      <c r="D723" s="4" t="s">
        <v>52</v>
      </c>
      <c r="E723" s="4" t="s">
        <v>40</v>
      </c>
      <c r="F723" s="4" t="s">
        <v>20</v>
      </c>
      <c r="G723" s="4" t="s">
        <v>1</v>
      </c>
      <c r="H723" s="5"/>
      <c r="I723" s="5"/>
      <c r="J723" s="5"/>
      <c r="K723" s="5"/>
      <c r="L723" s="5" cm="1">
        <f t="array" ref="L723">_xlfn.XLOOKUP(C723,[4]C5_LMA_DIAG!$A$49:$A$66,_xlfn.XLOOKUP(B723,[4]C5_LMA_DIAG!$A$49:$M$49,[4]C5_LMA_DIAG!$A$49:$M$66))</f>
        <v>3610</v>
      </c>
      <c r="M723" s="5" cm="1">
        <f t="array" ref="M723">_xlfn.XLOOKUP(C723,[5]C6_LMA_DIAG!$A$46:$A$63,_xlfn.XLOOKUP(B723,[5]C6_LMA_DIAG!$A$46:$M$46,[5]C6_LMA_DIAG!$A$46:$M$63))</f>
        <v>4904</v>
      </c>
      <c r="N723" s="5" cm="1">
        <f t="array" ref="N723">_xlfn.XLOOKUP(
  C723,
  [6]C6_LMA_DIAG!$A$52:$A$68,
  _xlfn.XLOOKUP(
    B723,
    [6]C6_LMA_DIAG!$B$51:$O$51,
    [6]C6_LMA_DIAG!$B$52:$O$68
  )
)</f>
        <v>3676</v>
      </c>
      <c r="O723" s="20">
        <v>5903</v>
      </c>
      <c r="P723" s="5">
        <v>6832</v>
      </c>
    </row>
    <row r="724" spans="1:16" x14ac:dyDescent="0.3">
      <c r="A724" s="4" t="s">
        <v>69</v>
      </c>
      <c r="B724" s="4" t="s">
        <v>59</v>
      </c>
      <c r="C724" s="4" t="s">
        <v>34</v>
      </c>
      <c r="D724" s="4" t="s">
        <v>52</v>
      </c>
      <c r="E724" s="4" t="s">
        <v>40</v>
      </c>
      <c r="F724" s="4" t="s">
        <v>20</v>
      </c>
      <c r="G724" s="4" t="s">
        <v>1</v>
      </c>
      <c r="H724" s="5"/>
      <c r="I724" s="5"/>
      <c r="J724" s="5"/>
      <c r="K724" s="5"/>
      <c r="L724" s="5" cm="1">
        <f t="array" ref="L724">_xlfn.XLOOKUP(C724,[4]C5_LMA_DIAG!$A$49:$A$66,_xlfn.XLOOKUP(B724,[4]C5_LMA_DIAG!$A$49:$M$49,[4]C5_LMA_DIAG!$A$49:$M$66))</f>
        <v>3386</v>
      </c>
      <c r="M724" s="5" cm="1">
        <f t="array" ref="M724">_xlfn.XLOOKUP(C724,[5]C6_LMA_DIAG!$A$46:$A$63,_xlfn.XLOOKUP(B724,[5]C6_LMA_DIAG!$A$46:$M$46,[5]C6_LMA_DIAG!$A$46:$M$63))</f>
        <v>3234</v>
      </c>
      <c r="N724" s="5" cm="1">
        <f t="array" ref="N724">_xlfn.XLOOKUP(
  C724,
  [6]C6_LMA_DIAG!$A$52:$A$68,
  _xlfn.XLOOKUP(
    B724,
    [6]C6_LMA_DIAG!$B$51:$O$51,
    [6]C6_LMA_DIAG!$B$52:$O$68
  )
)</f>
        <v>1536</v>
      </c>
      <c r="O724" s="20">
        <v>2229</v>
      </c>
      <c r="P724" s="5">
        <v>4912</v>
      </c>
    </row>
    <row r="725" spans="1:16" x14ac:dyDescent="0.3">
      <c r="A725" s="4" t="s">
        <v>69</v>
      </c>
      <c r="B725" s="4" t="s">
        <v>60</v>
      </c>
      <c r="C725" s="4" t="s">
        <v>34</v>
      </c>
      <c r="D725" s="4" t="s">
        <v>52</v>
      </c>
      <c r="E725" s="4" t="s">
        <v>40</v>
      </c>
      <c r="F725" s="4" t="s">
        <v>20</v>
      </c>
      <c r="G725" s="4" t="s">
        <v>1</v>
      </c>
      <c r="H725" s="5"/>
      <c r="I725" s="5"/>
      <c r="J725" s="5"/>
      <c r="K725" s="5"/>
      <c r="L725" s="5" cm="1">
        <f t="array" ref="L725">_xlfn.XLOOKUP(C725,[4]C5_LMA_DIAG!$A$49:$A$66,_xlfn.XLOOKUP(B725,[4]C5_LMA_DIAG!$A$49:$M$49,[4]C5_LMA_DIAG!$A$49:$M$66))</f>
        <v>3141</v>
      </c>
      <c r="M725" s="5" cm="1">
        <f t="array" ref="M725">_xlfn.XLOOKUP(C725,[5]C6_LMA_DIAG!$A$46:$A$63,_xlfn.XLOOKUP(B725,[5]C6_LMA_DIAG!$A$46:$M$46,[5]C6_LMA_DIAG!$A$46:$M$63))</f>
        <v>4679</v>
      </c>
      <c r="N725" s="5" cm="1">
        <f t="array" ref="N725">_xlfn.XLOOKUP(
  C725,
  [6]C6_LMA_DIAG!$A$52:$A$68,
  _xlfn.XLOOKUP(
    B725,
    [6]C6_LMA_DIAG!$B$51:$O$51,
    [6]C6_LMA_DIAG!$B$52:$O$68
  )
)</f>
        <v>2398</v>
      </c>
      <c r="O725" s="20">
        <v>3443</v>
      </c>
      <c r="P725" s="5">
        <v>5037</v>
      </c>
    </row>
    <row r="726" spans="1:16" x14ac:dyDescent="0.3">
      <c r="A726" s="4" t="s">
        <v>69</v>
      </c>
      <c r="B726" s="4" t="s">
        <v>61</v>
      </c>
      <c r="C726" s="4" t="s">
        <v>34</v>
      </c>
      <c r="D726" s="4" t="s">
        <v>52</v>
      </c>
      <c r="E726" s="4" t="s">
        <v>40</v>
      </c>
      <c r="F726" s="4" t="s">
        <v>20</v>
      </c>
      <c r="G726" s="4" t="s">
        <v>1</v>
      </c>
      <c r="H726" s="5"/>
      <c r="I726" s="5"/>
      <c r="J726" s="5"/>
      <c r="K726" s="5"/>
      <c r="L726" s="5" cm="1">
        <f t="array" ref="L726">_xlfn.XLOOKUP(C726,[4]C5_LMA_DIAG!$A$49:$A$66,_xlfn.XLOOKUP(B726,[4]C5_LMA_DIAG!$A$49:$M$49,[4]C5_LMA_DIAG!$A$49:$M$66))</f>
        <v>891</v>
      </c>
      <c r="M726" s="5" cm="1">
        <f t="array" ref="M726">_xlfn.XLOOKUP(C726,[5]C6_LMA_DIAG!$A$46:$A$63,_xlfn.XLOOKUP(B726,[5]C6_LMA_DIAG!$A$46:$M$46,[5]C6_LMA_DIAG!$A$46:$M$63))</f>
        <v>1052</v>
      </c>
      <c r="N726" s="5" cm="1">
        <f t="array" ref="N726">_xlfn.XLOOKUP(
  C726,
  [6]C6_LMA_DIAG!$A$52:$A$68,
  _xlfn.XLOOKUP(
    B726,
    [6]C6_LMA_DIAG!$B$51:$O$51,
    [6]C6_LMA_DIAG!$B$52:$O$68
  )
)</f>
        <v>568</v>
      </c>
      <c r="O726" s="20">
        <v>757</v>
      </c>
      <c r="P726" s="5">
        <v>1030</v>
      </c>
    </row>
    <row r="727" spans="1:16" x14ac:dyDescent="0.3">
      <c r="A727" s="4" t="s">
        <v>69</v>
      </c>
      <c r="B727" s="4" t="s">
        <v>62</v>
      </c>
      <c r="C727" s="4" t="s">
        <v>34</v>
      </c>
      <c r="D727" s="4" t="s">
        <v>52</v>
      </c>
      <c r="E727" s="4" t="s">
        <v>40</v>
      </c>
      <c r="F727" s="4" t="s">
        <v>20</v>
      </c>
      <c r="G727" s="4" t="s">
        <v>1</v>
      </c>
      <c r="H727" s="5"/>
      <c r="I727" s="5"/>
      <c r="J727" s="5"/>
      <c r="K727" s="5"/>
      <c r="L727" s="5" cm="1">
        <f t="array" ref="L727">_xlfn.XLOOKUP(C727,[4]C5_LMA_DIAG!$A$49:$A$66,_xlfn.XLOOKUP(B727,[4]C5_LMA_DIAG!$A$49:$M$49,[4]C5_LMA_DIAG!$A$49:$M$66))</f>
        <v>1557</v>
      </c>
      <c r="M727" s="5" cm="1">
        <f t="array" ref="M727">_xlfn.XLOOKUP(C727,[5]C6_LMA_DIAG!$A$46:$A$63,_xlfn.XLOOKUP(B727,[5]C6_LMA_DIAG!$A$46:$M$46,[5]C6_LMA_DIAG!$A$46:$M$63))</f>
        <v>1783</v>
      </c>
      <c r="N727" s="5" cm="1">
        <f t="array" ref="N727">_xlfn.XLOOKUP(
  C727,
  [6]C6_LMA_DIAG!$A$52:$A$68,
  _xlfn.XLOOKUP(
    B727,
    [6]C6_LMA_DIAG!$B$51:$O$51,
    [6]C6_LMA_DIAG!$B$52:$O$68
  )
)</f>
        <v>1011</v>
      </c>
      <c r="O727" s="20">
        <v>1531</v>
      </c>
      <c r="P727" s="5">
        <v>2092</v>
      </c>
    </row>
    <row r="728" spans="1:16" x14ac:dyDescent="0.3">
      <c r="A728" s="4" t="s">
        <v>69</v>
      </c>
      <c r="B728" s="4" t="s">
        <v>63</v>
      </c>
      <c r="C728" s="4" t="s">
        <v>34</v>
      </c>
      <c r="D728" s="4" t="s">
        <v>52</v>
      </c>
      <c r="E728" s="4" t="s">
        <v>40</v>
      </c>
      <c r="F728" s="4" t="s">
        <v>20</v>
      </c>
      <c r="G728" s="4" t="s">
        <v>1</v>
      </c>
      <c r="H728" s="5"/>
      <c r="I728" s="5"/>
      <c r="J728" s="5"/>
      <c r="K728" s="5"/>
      <c r="L728" s="5" cm="1">
        <f t="array" ref="L728">_xlfn.XLOOKUP(C728,[4]C5_LMA_DIAG!$A$49:$A$66,_xlfn.XLOOKUP(B728,[4]C5_LMA_DIAG!$A$49:$M$49,[4]C5_LMA_DIAG!$A$49:$M$66))</f>
        <v>1437</v>
      </c>
      <c r="M728" s="5" cm="1">
        <f t="array" ref="M728">_xlfn.XLOOKUP(C728,[5]C6_LMA_DIAG!$A$46:$A$63,_xlfn.XLOOKUP(B728,[5]C6_LMA_DIAG!$A$46:$M$46,[5]C6_LMA_DIAG!$A$46:$M$63))</f>
        <v>1717</v>
      </c>
      <c r="N728" s="5" cm="1">
        <f t="array" ref="N728">_xlfn.XLOOKUP(
  C728,
  [6]C6_LMA_DIAG!$A$52:$A$68,
  _xlfn.XLOOKUP(
    B728,
    [6]C6_LMA_DIAG!$B$51:$O$51,
    [6]C6_LMA_DIAG!$B$52:$O$68
  )
)</f>
        <v>1364</v>
      </c>
      <c r="O728" s="20">
        <v>1528</v>
      </c>
      <c r="P728" s="5">
        <v>1812</v>
      </c>
    </row>
    <row r="729" spans="1:16" x14ac:dyDescent="0.3">
      <c r="A729" s="4" t="s">
        <v>69</v>
      </c>
      <c r="B729" s="4" t="s">
        <v>64</v>
      </c>
      <c r="C729" s="4" t="s">
        <v>34</v>
      </c>
      <c r="D729" s="4" t="s">
        <v>52</v>
      </c>
      <c r="E729" s="4" t="s">
        <v>40</v>
      </c>
      <c r="F729" s="4" t="s">
        <v>20</v>
      </c>
      <c r="G729" s="4" t="s">
        <v>1</v>
      </c>
      <c r="H729" s="5"/>
      <c r="I729" s="5"/>
      <c r="J729" s="5"/>
      <c r="K729" s="5"/>
      <c r="L729" s="5" cm="1">
        <f t="array" ref="L729">_xlfn.XLOOKUP(C729,[4]C5_LMA_DIAG!$A$49:$A$66,_xlfn.XLOOKUP(B729,[4]C5_LMA_DIAG!$A$49:$M$49,[4]C5_LMA_DIAG!$A$49:$M$66))</f>
        <v>1131</v>
      </c>
      <c r="M729" s="5" cm="1">
        <f t="array" ref="M729">_xlfn.XLOOKUP(C729,[5]C6_LMA_DIAG!$A$46:$A$63,_xlfn.XLOOKUP(B729,[5]C6_LMA_DIAG!$A$46:$M$46,[5]C6_LMA_DIAG!$A$46:$M$63))</f>
        <v>1464</v>
      </c>
      <c r="N729" s="5" cm="1">
        <f t="array" ref="N729">_xlfn.XLOOKUP(
  C729,
  [6]C6_LMA_DIAG!$A$52:$A$68,
  _xlfn.XLOOKUP(
    B729,
    [6]C6_LMA_DIAG!$B$51:$O$51,
    [6]C6_LMA_DIAG!$B$52:$O$68
  )
)</f>
        <v>1005</v>
      </c>
      <c r="O729" s="20">
        <v>1395</v>
      </c>
      <c r="P729" s="5">
        <v>1817</v>
      </c>
    </row>
    <row r="730" spans="1:16" x14ac:dyDescent="0.3">
      <c r="A730" s="4" t="s">
        <v>69</v>
      </c>
      <c r="B730" s="4" t="s">
        <v>70</v>
      </c>
      <c r="C730" s="4" t="s">
        <v>34</v>
      </c>
      <c r="D730" s="4" t="s">
        <v>52</v>
      </c>
      <c r="E730" s="4" t="s">
        <v>40</v>
      </c>
      <c r="F730" s="4" t="s">
        <v>20</v>
      </c>
      <c r="G730" s="4" t="s">
        <v>1</v>
      </c>
      <c r="H730" s="5"/>
      <c r="I730" s="5"/>
      <c r="J730" s="5"/>
      <c r="K730" s="5"/>
      <c r="L730" s="5">
        <v>0</v>
      </c>
      <c r="M730" s="5">
        <v>0</v>
      </c>
      <c r="N730" s="5" cm="1">
        <f t="array" ref="N730">_xlfn.XLOOKUP(
  C730,
  [6]C6_LMA_DIAG!$A$52:$A$68,
  _xlfn.XLOOKUP(
    B730,
    [6]C6_LMA_DIAG!$B$51:$O$51,
    [6]C6_LMA_DIAG!$B$52:$O$68
  )
)</f>
        <v>6758</v>
      </c>
      <c r="O730" s="20">
        <v>30458</v>
      </c>
      <c r="P730" s="5">
        <v>29745</v>
      </c>
    </row>
    <row r="731" spans="1:16" x14ac:dyDescent="0.3">
      <c r="A731" s="4"/>
      <c r="B731" s="18" t="s">
        <v>71</v>
      </c>
      <c r="C731" s="4" t="s">
        <v>34</v>
      </c>
      <c r="D731" s="4" t="s">
        <v>52</v>
      </c>
      <c r="E731" s="4" t="s">
        <v>40</v>
      </c>
      <c r="F731" s="4" t="s">
        <v>20</v>
      </c>
      <c r="G731" s="4" t="s">
        <v>1</v>
      </c>
      <c r="H731" s="5"/>
      <c r="I731" s="5"/>
      <c r="J731" s="5"/>
      <c r="K731" s="5"/>
      <c r="L731" s="5">
        <v>0</v>
      </c>
      <c r="M731" s="5">
        <v>0</v>
      </c>
      <c r="N731" s="5" cm="1">
        <f t="array" ref="N731">_xlfn.XLOOKUP(
  C731,
  [6]C6_LMA_DIAG!$A$52:$A$68,
  _xlfn.XLOOKUP(
    B731,
    [6]C6_LMA_DIAG!$B$51:$O$51,
    [6]C6_LMA_DIAG!$B$52:$O$68
  )
)</f>
        <v>323</v>
      </c>
      <c r="O731" s="20">
        <v>231</v>
      </c>
      <c r="P731" s="5">
        <v>0</v>
      </c>
    </row>
    <row r="732" spans="1:16" x14ac:dyDescent="0.3">
      <c r="A732" s="4" t="s">
        <v>69</v>
      </c>
      <c r="B732" s="4" t="s">
        <v>65</v>
      </c>
      <c r="C732" s="4" t="s">
        <v>34</v>
      </c>
      <c r="D732" s="4" t="s">
        <v>52</v>
      </c>
      <c r="E732" s="4" t="s">
        <v>40</v>
      </c>
      <c r="F732" s="4" t="s">
        <v>20</v>
      </c>
      <c r="G732" s="4" t="s">
        <v>1</v>
      </c>
      <c r="H732" s="5"/>
      <c r="I732" s="5"/>
      <c r="J732" s="5"/>
      <c r="K732" s="5"/>
      <c r="L732" s="5" cm="1">
        <f t="array" ref="L732">_xlfn.XLOOKUP(C732,[4]C5_LMA_DIAG!$A$49:$A$66,_xlfn.XLOOKUP(B732,[4]C5_LMA_DIAG!$A$49:$M$49,[4]C5_LMA_DIAG!$A$49:$M$66))</f>
        <v>5011</v>
      </c>
      <c r="M732" s="5" cm="1">
        <f t="array" ref="M732">_xlfn.XLOOKUP(C732,[5]C6_LMA_DIAG!$A$46:$A$63,_xlfn.XLOOKUP(B732,[5]C6_LMA_DIAG!$A$46:$M$46,[5]C6_LMA_DIAG!$A$46:$M$63))</f>
        <v>6711</v>
      </c>
      <c r="N732" s="5" cm="1">
        <f t="array" ref="N732">_xlfn.XLOOKUP(
  C732,
  [6]C6_LMA_DIAG!$A$52:$A$68,
  _xlfn.XLOOKUP(
    B732,
    [6]C6_LMA_DIAG!$B$51:$O$51,
    [6]C6_LMA_DIAG!$B$52:$O$68
  )
)</f>
        <v>3947</v>
      </c>
      <c r="O732" s="20">
        <v>6755</v>
      </c>
      <c r="P732" s="5">
        <v>8982</v>
      </c>
    </row>
    <row r="733" spans="1:16" x14ac:dyDescent="0.3">
      <c r="A733" s="4" t="s">
        <v>69</v>
      </c>
      <c r="B733" s="4" t="s">
        <v>19</v>
      </c>
      <c r="C733" s="4" t="s">
        <v>34</v>
      </c>
      <c r="D733" s="4" t="s">
        <v>52</v>
      </c>
      <c r="E733" s="4" t="s">
        <v>40</v>
      </c>
      <c r="F733" s="4" t="s">
        <v>20</v>
      </c>
      <c r="G733" s="4" t="s">
        <v>1</v>
      </c>
      <c r="H733" s="5"/>
      <c r="I733" s="5"/>
      <c r="J733" s="5"/>
      <c r="K733" s="5"/>
      <c r="L733" s="5" cm="1">
        <f t="array" ref="L733">_xlfn.XLOOKUP(C733,[4]C5_LMA_DIAG!$A$49:$A$66,_xlfn.XLOOKUP(B733,[4]C5_LMA_DIAG!$A$49:$M$49,[4]C5_LMA_DIAG!$A$49:$M$66))</f>
        <v>1</v>
      </c>
      <c r="M733" s="5" cm="1">
        <f t="array" ref="M733">_xlfn.XLOOKUP(C733,[5]C6_LMA_DIAG!$A$46:$A$63,_xlfn.XLOOKUP(B733,[5]C6_LMA_DIAG!$A$46:$M$46,[5]C6_LMA_DIAG!$A$46:$M$63))</f>
        <v>1</v>
      </c>
      <c r="N733" s="5" cm="1">
        <f t="array" ref="N733">_xlfn.XLOOKUP(
  C733,
  [6]C6_LMA_DIAG!$A$52:$A$68,
  _xlfn.XLOOKUP(
    B733,
    [6]C6_LMA_DIAG!$B$51:$O$51,
    [6]C6_LMA_DIAG!$B$52:$O$68
  )
)</f>
        <v>0</v>
      </c>
      <c r="O733" s="20">
        <v>1</v>
      </c>
      <c r="P733" s="5">
        <v>0</v>
      </c>
    </row>
    <row r="734" spans="1:16" x14ac:dyDescent="0.3">
      <c r="A734" s="15" t="s">
        <v>69</v>
      </c>
      <c r="B734" s="15" t="s">
        <v>55</v>
      </c>
      <c r="C734" s="15" t="s">
        <v>35</v>
      </c>
      <c r="D734" s="15" t="s">
        <v>52</v>
      </c>
      <c r="E734" s="15" t="s">
        <v>40</v>
      </c>
      <c r="F734" s="15" t="s">
        <v>20</v>
      </c>
      <c r="G734" s="15" t="s">
        <v>1</v>
      </c>
      <c r="H734" s="16"/>
      <c r="I734" s="16"/>
      <c r="J734" s="16"/>
      <c r="K734" s="16"/>
      <c r="L734" s="5" cm="1">
        <f t="array" ref="L734">_xlfn.XLOOKUP(C734,[4]C5_LMA_DIAG!$A$49:$A$66,_xlfn.XLOOKUP(B734,[4]C5_LMA_DIAG!$A$49:$M$49,[4]C5_LMA_DIAG!$A$49:$M$66))</f>
        <v>27841</v>
      </c>
      <c r="M734" s="5" cm="1">
        <f t="array" ref="M734">_xlfn.XLOOKUP(C734,[5]C6_LMA_DIAG!$A$46:$A$63,_xlfn.XLOOKUP(B734,[5]C6_LMA_DIAG!$A$46:$M$46,[5]C6_LMA_DIAG!$A$46:$M$63))</f>
        <v>33592</v>
      </c>
      <c r="N734" s="5" cm="1">
        <f t="array" ref="N734">_xlfn.XLOOKUP(
  C734,
  [6]C6_LMA_DIAG!$A$52:$A$68,
  _xlfn.XLOOKUP(
    B734,
    [6]C6_LMA_DIAG!$B$51:$O$51,
    [6]C6_LMA_DIAG!$B$52:$O$68
  )
)</f>
        <v>37648</v>
      </c>
      <c r="O734" s="20">
        <v>67519</v>
      </c>
      <c r="P734" s="16">
        <v>77283</v>
      </c>
    </row>
    <row r="735" spans="1:16" x14ac:dyDescent="0.3">
      <c r="A735" s="15" t="s">
        <v>69</v>
      </c>
      <c r="B735" s="15" t="s">
        <v>56</v>
      </c>
      <c r="C735" s="15" t="s">
        <v>35</v>
      </c>
      <c r="D735" s="15" t="s">
        <v>52</v>
      </c>
      <c r="E735" s="15" t="s">
        <v>40</v>
      </c>
      <c r="F735" s="15" t="s">
        <v>20</v>
      </c>
      <c r="G735" s="15" t="s">
        <v>1</v>
      </c>
      <c r="H735" s="16"/>
      <c r="I735" s="16"/>
      <c r="J735" s="16"/>
      <c r="K735" s="16"/>
      <c r="L735" s="5" cm="1">
        <f t="array" ref="L735">_xlfn.XLOOKUP(C735,[4]C5_LMA_DIAG!$A$49:$A$66,_xlfn.XLOOKUP(B735,[4]C5_LMA_DIAG!$A$49:$M$49,[4]C5_LMA_DIAG!$A$49:$M$66))</f>
        <v>37434</v>
      </c>
      <c r="M735" s="5" cm="1">
        <f t="array" ref="M735">_xlfn.XLOOKUP(C735,[5]C6_LMA_DIAG!$A$46:$A$63,_xlfn.XLOOKUP(B735,[5]C6_LMA_DIAG!$A$46:$M$46,[5]C6_LMA_DIAG!$A$46:$M$63))</f>
        <v>40578</v>
      </c>
      <c r="N735" s="5" cm="1">
        <f t="array" ref="N735">_xlfn.XLOOKUP(
  C735,
  [6]C6_LMA_DIAG!$A$52:$A$68,
  _xlfn.XLOOKUP(
    B735,
    [6]C6_LMA_DIAG!$B$51:$O$51,
    [6]C6_LMA_DIAG!$B$52:$O$68
  )
)</f>
        <v>33671</v>
      </c>
      <c r="O735" s="20">
        <v>58831</v>
      </c>
      <c r="P735" s="16">
        <v>64218</v>
      </c>
    </row>
    <row r="736" spans="1:16" x14ac:dyDescent="0.3">
      <c r="A736" s="15" t="s">
        <v>69</v>
      </c>
      <c r="B736" s="15" t="s">
        <v>57</v>
      </c>
      <c r="C736" s="15" t="s">
        <v>35</v>
      </c>
      <c r="D736" s="15" t="s">
        <v>52</v>
      </c>
      <c r="E736" s="15" t="s">
        <v>40</v>
      </c>
      <c r="F736" s="15" t="s">
        <v>20</v>
      </c>
      <c r="G736" s="15" t="s">
        <v>1</v>
      </c>
      <c r="H736" s="16"/>
      <c r="I736" s="16"/>
      <c r="J736" s="16"/>
      <c r="K736" s="16"/>
      <c r="L736" s="5" cm="1">
        <f t="array" ref="L736">_xlfn.XLOOKUP(C736,[4]C5_LMA_DIAG!$A$49:$A$66,_xlfn.XLOOKUP(B736,[4]C5_LMA_DIAG!$A$49:$M$49,[4]C5_LMA_DIAG!$A$49:$M$66))</f>
        <v>27781</v>
      </c>
      <c r="M736" s="5" cm="1">
        <f t="array" ref="M736">_xlfn.XLOOKUP(C736,[5]C6_LMA_DIAG!$A$46:$A$63,_xlfn.XLOOKUP(B736,[5]C6_LMA_DIAG!$A$46:$M$46,[5]C6_LMA_DIAG!$A$46:$M$63))</f>
        <v>28289</v>
      </c>
      <c r="N736" s="5" cm="1">
        <f t="array" ref="N736">_xlfn.XLOOKUP(
  C736,
  [6]C6_LMA_DIAG!$A$52:$A$68,
  _xlfn.XLOOKUP(
    B736,
    [6]C6_LMA_DIAG!$B$51:$O$51,
    [6]C6_LMA_DIAG!$B$52:$O$68
  )
)</f>
        <v>10414</v>
      </c>
      <c r="O736" s="20">
        <v>12732</v>
      </c>
      <c r="P736" s="16">
        <v>43199</v>
      </c>
    </row>
    <row r="737" spans="1:16" x14ac:dyDescent="0.3">
      <c r="A737" s="15" t="s">
        <v>69</v>
      </c>
      <c r="B737" s="15" t="s">
        <v>58</v>
      </c>
      <c r="C737" s="15" t="s">
        <v>35</v>
      </c>
      <c r="D737" s="15" t="s">
        <v>52</v>
      </c>
      <c r="E737" s="15" t="s">
        <v>40</v>
      </c>
      <c r="F737" s="15" t="s">
        <v>20</v>
      </c>
      <c r="G737" s="15" t="s">
        <v>1</v>
      </c>
      <c r="H737" s="16"/>
      <c r="I737" s="16"/>
      <c r="J737" s="16"/>
      <c r="K737" s="16"/>
      <c r="L737" s="5" cm="1">
        <f t="array" ref="L737">_xlfn.XLOOKUP(C737,[4]C5_LMA_DIAG!$A$49:$A$66,_xlfn.XLOOKUP(B737,[4]C5_LMA_DIAG!$A$49:$M$49,[4]C5_LMA_DIAG!$A$49:$M$66))</f>
        <v>12775</v>
      </c>
      <c r="M737" s="5" cm="1">
        <f t="array" ref="M737">_xlfn.XLOOKUP(C737,[5]C6_LMA_DIAG!$A$46:$A$63,_xlfn.XLOOKUP(B737,[5]C6_LMA_DIAG!$A$46:$M$46,[5]C6_LMA_DIAG!$A$46:$M$63))</f>
        <v>15535</v>
      </c>
      <c r="N737" s="5" cm="1">
        <f t="array" ref="N737">_xlfn.XLOOKUP(
  C737,
  [6]C6_LMA_DIAG!$A$52:$A$68,
  _xlfn.XLOOKUP(
    B737,
    [6]C6_LMA_DIAG!$B$51:$O$51,
    [6]C6_LMA_DIAG!$B$52:$O$68
  )
)</f>
        <v>12966</v>
      </c>
      <c r="O737" s="20">
        <v>20431</v>
      </c>
      <c r="P737" s="16">
        <v>24022</v>
      </c>
    </row>
    <row r="738" spans="1:16" x14ac:dyDescent="0.3">
      <c r="A738" s="15" t="s">
        <v>69</v>
      </c>
      <c r="B738" s="15" t="s">
        <v>59</v>
      </c>
      <c r="C738" s="15" t="s">
        <v>35</v>
      </c>
      <c r="D738" s="15" t="s">
        <v>52</v>
      </c>
      <c r="E738" s="15" t="s">
        <v>40</v>
      </c>
      <c r="F738" s="15" t="s">
        <v>20</v>
      </c>
      <c r="G738" s="15" t="s">
        <v>1</v>
      </c>
      <c r="H738" s="16"/>
      <c r="I738" s="16"/>
      <c r="J738" s="16"/>
      <c r="K738" s="16"/>
      <c r="L738" s="5" cm="1">
        <f t="array" ref="L738">_xlfn.XLOOKUP(C738,[4]C5_LMA_DIAG!$A$49:$A$66,_xlfn.XLOOKUP(B738,[4]C5_LMA_DIAG!$A$49:$M$49,[4]C5_LMA_DIAG!$A$49:$M$66))</f>
        <v>13326</v>
      </c>
      <c r="M738" s="5" cm="1">
        <f t="array" ref="M738">_xlfn.XLOOKUP(C738,[5]C6_LMA_DIAG!$A$46:$A$63,_xlfn.XLOOKUP(B738,[5]C6_LMA_DIAG!$A$46:$M$46,[5]C6_LMA_DIAG!$A$46:$M$63))</f>
        <v>10647</v>
      </c>
      <c r="N738" s="5" cm="1">
        <f t="array" ref="N738">_xlfn.XLOOKUP(
  C738,
  [6]C6_LMA_DIAG!$A$52:$A$68,
  _xlfn.XLOOKUP(
    B738,
    [6]C6_LMA_DIAG!$B$51:$O$51,
    [6]C6_LMA_DIAG!$B$52:$O$68
  )
)</f>
        <v>5589</v>
      </c>
      <c r="O738" s="20">
        <v>7083</v>
      </c>
      <c r="P738" s="16">
        <v>11910</v>
      </c>
    </row>
    <row r="739" spans="1:16" x14ac:dyDescent="0.3">
      <c r="A739" s="15" t="s">
        <v>69</v>
      </c>
      <c r="B739" s="15" t="s">
        <v>60</v>
      </c>
      <c r="C739" s="15" t="s">
        <v>35</v>
      </c>
      <c r="D739" s="15" t="s">
        <v>52</v>
      </c>
      <c r="E739" s="15" t="s">
        <v>40</v>
      </c>
      <c r="F739" s="15" t="s">
        <v>20</v>
      </c>
      <c r="G739" s="15" t="s">
        <v>1</v>
      </c>
      <c r="H739" s="16"/>
      <c r="I739" s="16"/>
      <c r="J739" s="16"/>
      <c r="K739" s="16"/>
      <c r="L739" s="5" cm="1">
        <f t="array" ref="L739">_xlfn.XLOOKUP(C739,[4]C5_LMA_DIAG!$A$49:$A$66,_xlfn.XLOOKUP(B739,[4]C5_LMA_DIAG!$A$49:$M$49,[4]C5_LMA_DIAG!$A$49:$M$66))</f>
        <v>8902</v>
      </c>
      <c r="M739" s="5" cm="1">
        <f t="array" ref="M739">_xlfn.XLOOKUP(C739,[5]C6_LMA_DIAG!$A$46:$A$63,_xlfn.XLOOKUP(B739,[5]C6_LMA_DIAG!$A$46:$M$46,[5]C6_LMA_DIAG!$A$46:$M$63))</f>
        <v>10829</v>
      </c>
      <c r="N739" s="5" cm="1">
        <f t="array" ref="N739">_xlfn.XLOOKUP(
  C739,
  [6]C6_LMA_DIAG!$A$52:$A$68,
  _xlfn.XLOOKUP(
    B739,
    [6]C6_LMA_DIAG!$B$51:$O$51,
    [6]C6_LMA_DIAG!$B$52:$O$68
  )
)</f>
        <v>7496</v>
      </c>
      <c r="O739" s="20">
        <v>12184</v>
      </c>
      <c r="P739" s="16">
        <v>16101</v>
      </c>
    </row>
    <row r="740" spans="1:16" x14ac:dyDescent="0.3">
      <c r="A740" s="15" t="s">
        <v>69</v>
      </c>
      <c r="B740" s="15" t="s">
        <v>61</v>
      </c>
      <c r="C740" s="15" t="s">
        <v>35</v>
      </c>
      <c r="D740" s="15" t="s">
        <v>52</v>
      </c>
      <c r="E740" s="15" t="s">
        <v>40</v>
      </c>
      <c r="F740" s="15" t="s">
        <v>20</v>
      </c>
      <c r="G740" s="15" t="s">
        <v>1</v>
      </c>
      <c r="H740" s="16"/>
      <c r="I740" s="16"/>
      <c r="J740" s="16"/>
      <c r="K740" s="16"/>
      <c r="L740" s="5" cm="1">
        <f t="array" ref="L740">_xlfn.XLOOKUP(C740,[4]C5_LMA_DIAG!$A$49:$A$66,_xlfn.XLOOKUP(B740,[4]C5_LMA_DIAG!$A$49:$M$49,[4]C5_LMA_DIAG!$A$49:$M$66))</f>
        <v>3197</v>
      </c>
      <c r="M740" s="5" cm="1">
        <f t="array" ref="M740">_xlfn.XLOOKUP(C740,[5]C6_LMA_DIAG!$A$46:$A$63,_xlfn.XLOOKUP(B740,[5]C6_LMA_DIAG!$A$46:$M$46,[5]C6_LMA_DIAG!$A$46:$M$63))</f>
        <v>3145</v>
      </c>
      <c r="N740" s="5" cm="1">
        <f t="array" ref="N740">_xlfn.XLOOKUP(
  C740,
  [6]C6_LMA_DIAG!$A$52:$A$68,
  _xlfn.XLOOKUP(
    B740,
    [6]C6_LMA_DIAG!$B$51:$O$51,
    [6]C6_LMA_DIAG!$B$52:$O$68
  )
)</f>
        <v>1891</v>
      </c>
      <c r="O740" s="20">
        <v>2620</v>
      </c>
      <c r="P740" s="16">
        <v>3216</v>
      </c>
    </row>
    <row r="741" spans="1:16" x14ac:dyDescent="0.3">
      <c r="A741" s="15" t="s">
        <v>69</v>
      </c>
      <c r="B741" s="15" t="s">
        <v>62</v>
      </c>
      <c r="C741" s="15" t="s">
        <v>35</v>
      </c>
      <c r="D741" s="15" t="s">
        <v>52</v>
      </c>
      <c r="E741" s="15" t="s">
        <v>40</v>
      </c>
      <c r="F741" s="15" t="s">
        <v>20</v>
      </c>
      <c r="G741" s="15" t="s">
        <v>1</v>
      </c>
      <c r="H741" s="16"/>
      <c r="I741" s="16"/>
      <c r="J741" s="16"/>
      <c r="K741" s="16"/>
      <c r="L741" s="5" cm="1">
        <f t="array" ref="L741">_xlfn.XLOOKUP(C741,[4]C5_LMA_DIAG!$A$49:$A$66,_xlfn.XLOOKUP(B741,[4]C5_LMA_DIAG!$A$49:$M$49,[4]C5_LMA_DIAG!$A$49:$M$66))</f>
        <v>4334</v>
      </c>
      <c r="M741" s="5" cm="1">
        <f t="array" ref="M741">_xlfn.XLOOKUP(C741,[5]C6_LMA_DIAG!$A$46:$A$63,_xlfn.XLOOKUP(B741,[5]C6_LMA_DIAG!$A$46:$M$46,[5]C6_LMA_DIAG!$A$46:$M$63))</f>
        <v>4595</v>
      </c>
      <c r="N741" s="5" cm="1">
        <f t="array" ref="N741">_xlfn.XLOOKUP(
  C741,
  [6]C6_LMA_DIAG!$A$52:$A$68,
  _xlfn.XLOOKUP(
    B741,
    [6]C6_LMA_DIAG!$B$51:$O$51,
    [6]C6_LMA_DIAG!$B$52:$O$68
  )
)</f>
        <v>3162</v>
      </c>
      <c r="O741" s="20">
        <v>4735</v>
      </c>
      <c r="P741" s="16">
        <v>5893</v>
      </c>
    </row>
    <row r="742" spans="1:16" x14ac:dyDescent="0.3">
      <c r="A742" s="15" t="s">
        <v>69</v>
      </c>
      <c r="B742" s="15" t="s">
        <v>63</v>
      </c>
      <c r="C742" s="15" t="s">
        <v>35</v>
      </c>
      <c r="D742" s="15" t="s">
        <v>52</v>
      </c>
      <c r="E742" s="15" t="s">
        <v>40</v>
      </c>
      <c r="F742" s="15" t="s">
        <v>20</v>
      </c>
      <c r="G742" s="15" t="s">
        <v>1</v>
      </c>
      <c r="H742" s="16"/>
      <c r="I742" s="16"/>
      <c r="J742" s="16"/>
      <c r="K742" s="16"/>
      <c r="L742" s="5" cm="1">
        <f t="array" ref="L742">_xlfn.XLOOKUP(C742,[4]C5_LMA_DIAG!$A$49:$A$66,_xlfn.XLOOKUP(B742,[4]C5_LMA_DIAG!$A$49:$M$49,[4]C5_LMA_DIAG!$A$49:$M$66))</f>
        <v>3352</v>
      </c>
      <c r="M742" s="5" cm="1">
        <f t="array" ref="M742">_xlfn.XLOOKUP(C742,[5]C6_LMA_DIAG!$A$46:$A$63,_xlfn.XLOOKUP(B742,[5]C6_LMA_DIAG!$A$46:$M$46,[5]C6_LMA_DIAG!$A$46:$M$63))</f>
        <v>3765</v>
      </c>
      <c r="N742" s="5" cm="1">
        <f t="array" ref="N742">_xlfn.XLOOKUP(
  C742,
  [6]C6_LMA_DIAG!$A$52:$A$68,
  _xlfn.XLOOKUP(
    B742,
    [6]C6_LMA_DIAG!$B$51:$O$51,
    [6]C6_LMA_DIAG!$B$52:$O$68
  )
)</f>
        <v>3138</v>
      </c>
      <c r="O742" s="20">
        <v>3930</v>
      </c>
      <c r="P742" s="16">
        <v>4397</v>
      </c>
    </row>
    <row r="743" spans="1:16" x14ac:dyDescent="0.3">
      <c r="A743" s="15" t="s">
        <v>69</v>
      </c>
      <c r="B743" s="15" t="s">
        <v>64</v>
      </c>
      <c r="C743" s="15" t="s">
        <v>35</v>
      </c>
      <c r="D743" s="15" t="s">
        <v>52</v>
      </c>
      <c r="E743" s="15" t="s">
        <v>40</v>
      </c>
      <c r="F743" s="15" t="s">
        <v>20</v>
      </c>
      <c r="G743" s="15" t="s">
        <v>1</v>
      </c>
      <c r="H743" s="16"/>
      <c r="I743" s="16"/>
      <c r="J743" s="16"/>
      <c r="K743" s="16"/>
      <c r="L743" s="5" cm="1">
        <f t="array" ref="L743">_xlfn.XLOOKUP(C743,[4]C5_LMA_DIAG!$A$49:$A$66,_xlfn.XLOOKUP(B743,[4]C5_LMA_DIAG!$A$49:$M$49,[4]C5_LMA_DIAG!$A$49:$M$66))</f>
        <v>4169</v>
      </c>
      <c r="M743" s="5" cm="1">
        <f t="array" ref="M743">_xlfn.XLOOKUP(C743,[5]C6_LMA_DIAG!$A$46:$A$63,_xlfn.XLOOKUP(B743,[5]C6_LMA_DIAG!$A$46:$M$46,[5]C6_LMA_DIAG!$A$46:$M$63))</f>
        <v>4408</v>
      </c>
      <c r="N743" s="5" cm="1">
        <f t="array" ref="N743">_xlfn.XLOOKUP(
  C743,
  [6]C6_LMA_DIAG!$A$52:$A$68,
  _xlfn.XLOOKUP(
    B743,
    [6]C6_LMA_DIAG!$B$51:$O$51,
    [6]C6_LMA_DIAG!$B$52:$O$68
  )
)</f>
        <v>4074</v>
      </c>
      <c r="O743" s="20">
        <v>5493</v>
      </c>
      <c r="P743" s="16">
        <v>5663</v>
      </c>
    </row>
    <row r="744" spans="1:16" x14ac:dyDescent="0.3">
      <c r="A744" s="15" t="s">
        <v>69</v>
      </c>
      <c r="B744" s="15" t="s">
        <v>70</v>
      </c>
      <c r="C744" s="15" t="s">
        <v>35</v>
      </c>
      <c r="D744" s="15" t="s">
        <v>52</v>
      </c>
      <c r="E744" s="15" t="s">
        <v>40</v>
      </c>
      <c r="F744" s="15" t="s">
        <v>20</v>
      </c>
      <c r="G744" s="15" t="s">
        <v>1</v>
      </c>
      <c r="H744" s="16"/>
      <c r="I744" s="16"/>
      <c r="J744" s="16"/>
      <c r="K744" s="16"/>
      <c r="L744" s="5">
        <v>0</v>
      </c>
      <c r="M744" s="5">
        <v>0</v>
      </c>
      <c r="N744" s="5" cm="1">
        <f t="array" ref="N744">_xlfn.XLOOKUP(
  C744,
  [6]C6_LMA_DIAG!$A$52:$A$68,
  _xlfn.XLOOKUP(
    B744,
    [6]C6_LMA_DIAG!$B$51:$O$51,
    [6]C6_LMA_DIAG!$B$52:$O$68
  )
)</f>
        <v>25671</v>
      </c>
      <c r="O744" s="20">
        <v>83923</v>
      </c>
      <c r="P744" s="16">
        <v>57987</v>
      </c>
    </row>
    <row r="745" spans="1:16" x14ac:dyDescent="0.3">
      <c r="A745" s="15"/>
      <c r="B745" s="18" t="s">
        <v>71</v>
      </c>
      <c r="C745" s="15" t="s">
        <v>35</v>
      </c>
      <c r="D745" s="15" t="s">
        <v>52</v>
      </c>
      <c r="E745" s="15" t="s">
        <v>40</v>
      </c>
      <c r="F745" s="15" t="s">
        <v>20</v>
      </c>
      <c r="G745" s="15" t="s">
        <v>1</v>
      </c>
      <c r="H745" s="16"/>
      <c r="I745" s="16"/>
      <c r="J745" s="16"/>
      <c r="K745" s="16"/>
      <c r="L745" s="5">
        <v>0</v>
      </c>
      <c r="M745" s="5">
        <v>0</v>
      </c>
      <c r="N745" s="5" cm="1">
        <f t="array" ref="N745">_xlfn.XLOOKUP(
  C745,
  [6]C6_LMA_DIAG!$A$52:$A$68,
  _xlfn.XLOOKUP(
    B745,
    [6]C6_LMA_DIAG!$B$51:$O$51,
    [6]C6_LMA_DIAG!$B$52:$O$68
  )
)</f>
        <v>739</v>
      </c>
      <c r="O745" s="20">
        <v>621</v>
      </c>
      <c r="P745" s="16">
        <v>0</v>
      </c>
    </row>
    <row r="746" spans="1:16" x14ac:dyDescent="0.3">
      <c r="A746" s="15" t="s">
        <v>69</v>
      </c>
      <c r="B746" s="15" t="s">
        <v>65</v>
      </c>
      <c r="C746" s="15" t="s">
        <v>35</v>
      </c>
      <c r="D746" s="15" t="s">
        <v>52</v>
      </c>
      <c r="E746" s="15" t="s">
        <v>40</v>
      </c>
      <c r="F746" s="15" t="s">
        <v>20</v>
      </c>
      <c r="G746" s="15" t="s">
        <v>1</v>
      </c>
      <c r="H746" s="16"/>
      <c r="I746" s="16"/>
      <c r="J746" s="16"/>
      <c r="K746" s="16"/>
      <c r="L746" s="5" cm="1">
        <f t="array" ref="L746">_xlfn.XLOOKUP(C746,[4]C5_LMA_DIAG!$A$49:$A$66,_xlfn.XLOOKUP(B746,[4]C5_LMA_DIAG!$A$49:$M$49,[4]C5_LMA_DIAG!$A$49:$M$66))</f>
        <v>18216</v>
      </c>
      <c r="M746" s="5" cm="1">
        <f t="array" ref="M746">_xlfn.XLOOKUP(C746,[5]C6_LMA_DIAG!$A$46:$A$63,_xlfn.XLOOKUP(B746,[5]C6_LMA_DIAG!$A$46:$M$46,[5]C6_LMA_DIAG!$A$46:$M$63))</f>
        <v>19473</v>
      </c>
      <c r="N746" s="5" cm="1">
        <f t="array" ref="N746">_xlfn.XLOOKUP(
  C746,
  [6]C6_LMA_DIAG!$A$52:$A$68,
  _xlfn.XLOOKUP(
    B746,
    [6]C6_LMA_DIAG!$B$51:$O$51,
    [6]C6_LMA_DIAG!$B$52:$O$68
  )
)</f>
        <v>14077</v>
      </c>
      <c r="O746" s="20">
        <v>22958</v>
      </c>
      <c r="P746" s="16">
        <v>27787</v>
      </c>
    </row>
    <row r="747" spans="1:16" x14ac:dyDescent="0.3">
      <c r="A747" s="15" t="s">
        <v>69</v>
      </c>
      <c r="B747" s="15" t="s">
        <v>19</v>
      </c>
      <c r="C747" s="15" t="s">
        <v>35</v>
      </c>
      <c r="D747" s="15" t="s">
        <v>52</v>
      </c>
      <c r="E747" s="15" t="s">
        <v>40</v>
      </c>
      <c r="F747" s="15" t="s">
        <v>20</v>
      </c>
      <c r="G747" s="15" t="s">
        <v>1</v>
      </c>
      <c r="H747" s="16"/>
      <c r="I747" s="16"/>
      <c r="J747" s="16"/>
      <c r="K747" s="16"/>
      <c r="L747" s="5" cm="1">
        <f t="array" ref="L747">_xlfn.XLOOKUP(C747,[4]C5_LMA_DIAG!$A$49:$A$66,_xlfn.XLOOKUP(B747,[4]C5_LMA_DIAG!$A$49:$M$49,[4]C5_LMA_DIAG!$A$49:$M$66))</f>
        <v>0</v>
      </c>
      <c r="M747" s="5" cm="1">
        <f t="array" ref="M747">_xlfn.XLOOKUP(C747,[5]C6_LMA_DIAG!$A$46:$A$63,_xlfn.XLOOKUP(B747,[5]C6_LMA_DIAG!$A$46:$M$46,[5]C6_LMA_DIAG!$A$46:$M$63))</f>
        <v>1</v>
      </c>
      <c r="N747" s="5" cm="1">
        <f t="array" ref="N747">_xlfn.XLOOKUP(
  C747,
  [6]C6_LMA_DIAG!$A$52:$A$68,
  _xlfn.XLOOKUP(
    B747,
    [6]C6_LMA_DIAG!$B$51:$O$51,
    [6]C6_LMA_DIAG!$B$52:$O$68
  )
)</f>
        <v>0</v>
      </c>
      <c r="O747" s="20">
        <v>22</v>
      </c>
      <c r="P747" s="16">
        <v>0</v>
      </c>
    </row>
    <row r="748" spans="1:16" x14ac:dyDescent="0.3">
      <c r="A748" s="4" t="s">
        <v>69</v>
      </c>
      <c r="B748" s="4" t="s">
        <v>55</v>
      </c>
      <c r="C748" s="4" t="s">
        <v>36</v>
      </c>
      <c r="D748" s="4" t="s">
        <v>52</v>
      </c>
      <c r="E748" s="4" t="s">
        <v>40</v>
      </c>
      <c r="F748" s="4" t="s">
        <v>20</v>
      </c>
      <c r="G748" s="4" t="s">
        <v>1</v>
      </c>
      <c r="H748" s="5"/>
      <c r="I748" s="5"/>
      <c r="J748" s="5"/>
      <c r="K748" s="5"/>
      <c r="L748" s="5" cm="1">
        <f t="array" ref="L748">_xlfn.XLOOKUP(C748,[4]C5_LMA_DIAG!$A$49:$A$66,_xlfn.XLOOKUP(B748,[4]C5_LMA_DIAG!$A$49:$M$49,[4]C5_LMA_DIAG!$A$49:$M$66))</f>
        <v>4724</v>
      </c>
      <c r="M748" s="5" cm="1">
        <f t="array" ref="M748">_xlfn.XLOOKUP(C748,[5]C6_LMA_DIAG!$A$46:$A$63,_xlfn.XLOOKUP(B748,[5]C6_LMA_DIAG!$A$46:$M$46,[5]C6_LMA_DIAG!$A$46:$M$63))</f>
        <v>5562</v>
      </c>
      <c r="N748" s="5" cm="1">
        <f t="array" ref="N748">_xlfn.XLOOKUP(
  C748,
  [6]C6_LMA_DIAG!$A$52:$A$68,
  _xlfn.XLOOKUP(
    B748,
    [6]C6_LMA_DIAG!$B$51:$O$51,
    [6]C6_LMA_DIAG!$B$52:$O$68
  )
)</f>
        <v>4389</v>
      </c>
      <c r="O748" s="20">
        <v>8758</v>
      </c>
      <c r="P748" s="5">
        <v>10713</v>
      </c>
    </row>
    <row r="749" spans="1:16" x14ac:dyDescent="0.3">
      <c r="A749" s="4" t="s">
        <v>69</v>
      </c>
      <c r="B749" s="4" t="s">
        <v>56</v>
      </c>
      <c r="C749" s="4" t="s">
        <v>36</v>
      </c>
      <c r="D749" s="4" t="s">
        <v>52</v>
      </c>
      <c r="E749" s="4" t="s">
        <v>40</v>
      </c>
      <c r="F749" s="4" t="s">
        <v>20</v>
      </c>
      <c r="G749" s="4" t="s">
        <v>1</v>
      </c>
      <c r="H749" s="5"/>
      <c r="I749" s="5"/>
      <c r="J749" s="5"/>
      <c r="K749" s="5"/>
      <c r="L749" s="5" cm="1">
        <f t="array" ref="L749">_xlfn.XLOOKUP(C749,[4]C5_LMA_DIAG!$A$49:$A$66,_xlfn.XLOOKUP(B749,[4]C5_LMA_DIAG!$A$49:$M$49,[4]C5_LMA_DIAG!$A$49:$M$66))</f>
        <v>4041</v>
      </c>
      <c r="M749" s="5" cm="1">
        <f t="array" ref="M749">_xlfn.XLOOKUP(C749,[5]C6_LMA_DIAG!$A$46:$A$63,_xlfn.XLOOKUP(B749,[5]C6_LMA_DIAG!$A$46:$M$46,[5]C6_LMA_DIAG!$A$46:$M$63))</f>
        <v>4385</v>
      </c>
      <c r="N749" s="5" cm="1">
        <f t="array" ref="N749">_xlfn.XLOOKUP(
  C749,
  [6]C6_LMA_DIAG!$A$52:$A$68,
  _xlfn.XLOOKUP(
    B749,
    [6]C6_LMA_DIAG!$B$51:$O$51,
    [6]C6_LMA_DIAG!$B$52:$O$68
  )
)</f>
        <v>2547</v>
      </c>
      <c r="O749" s="20">
        <v>4696</v>
      </c>
      <c r="P749" s="5">
        <v>6102</v>
      </c>
    </row>
    <row r="750" spans="1:16" x14ac:dyDescent="0.3">
      <c r="A750" s="4" t="s">
        <v>69</v>
      </c>
      <c r="B750" s="4" t="s">
        <v>57</v>
      </c>
      <c r="C750" s="4" t="s">
        <v>36</v>
      </c>
      <c r="D750" s="4" t="s">
        <v>52</v>
      </c>
      <c r="E750" s="4" t="s">
        <v>40</v>
      </c>
      <c r="F750" s="4" t="s">
        <v>20</v>
      </c>
      <c r="G750" s="4" t="s">
        <v>1</v>
      </c>
      <c r="H750" s="5"/>
      <c r="I750" s="5"/>
      <c r="J750" s="5"/>
      <c r="K750" s="5"/>
      <c r="L750" s="5" cm="1">
        <f t="array" ref="L750">_xlfn.XLOOKUP(C750,[4]C5_LMA_DIAG!$A$49:$A$66,_xlfn.XLOOKUP(B750,[4]C5_LMA_DIAG!$A$49:$M$49,[4]C5_LMA_DIAG!$A$49:$M$66))</f>
        <v>3324</v>
      </c>
      <c r="M750" s="5" cm="1">
        <f t="array" ref="M750">_xlfn.XLOOKUP(C750,[5]C6_LMA_DIAG!$A$46:$A$63,_xlfn.XLOOKUP(B750,[5]C6_LMA_DIAG!$A$46:$M$46,[5]C6_LMA_DIAG!$A$46:$M$63))</f>
        <v>3607</v>
      </c>
      <c r="N750" s="5" cm="1">
        <f t="array" ref="N750">_xlfn.XLOOKUP(
  C750,
  [6]C6_LMA_DIAG!$A$52:$A$68,
  _xlfn.XLOOKUP(
    B750,
    [6]C6_LMA_DIAG!$B$51:$O$51,
    [6]C6_LMA_DIAG!$B$52:$O$68
  )
)</f>
        <v>1228</v>
      </c>
      <c r="O750" s="20">
        <v>1586</v>
      </c>
      <c r="P750" s="5">
        <v>5731</v>
      </c>
    </row>
    <row r="751" spans="1:16" x14ac:dyDescent="0.3">
      <c r="A751" s="4" t="s">
        <v>69</v>
      </c>
      <c r="B751" s="4" t="s">
        <v>58</v>
      </c>
      <c r="C751" s="4" t="s">
        <v>36</v>
      </c>
      <c r="D751" s="4" t="s">
        <v>52</v>
      </c>
      <c r="E751" s="4" t="s">
        <v>40</v>
      </c>
      <c r="F751" s="4" t="s">
        <v>20</v>
      </c>
      <c r="G751" s="4" t="s">
        <v>1</v>
      </c>
      <c r="H751" s="5"/>
      <c r="I751" s="5"/>
      <c r="J751" s="5"/>
      <c r="K751" s="5"/>
      <c r="L751" s="5" cm="1">
        <f t="array" ref="L751">_xlfn.XLOOKUP(C751,[4]C5_LMA_DIAG!$A$49:$A$66,_xlfn.XLOOKUP(B751,[4]C5_LMA_DIAG!$A$49:$M$49,[4]C5_LMA_DIAG!$A$49:$M$66))</f>
        <v>1933</v>
      </c>
      <c r="M751" s="5" cm="1">
        <f t="array" ref="M751">_xlfn.XLOOKUP(C751,[5]C6_LMA_DIAG!$A$46:$A$63,_xlfn.XLOOKUP(B751,[5]C6_LMA_DIAG!$A$46:$M$46,[5]C6_LMA_DIAG!$A$46:$M$63))</f>
        <v>1905</v>
      </c>
      <c r="N751" s="5" cm="1">
        <f t="array" ref="N751">_xlfn.XLOOKUP(
  C751,
  [6]C6_LMA_DIAG!$A$52:$A$68,
  _xlfn.XLOOKUP(
    B751,
    [6]C6_LMA_DIAG!$B$51:$O$51,
    [6]C6_LMA_DIAG!$B$52:$O$68
  )
)</f>
        <v>1507</v>
      </c>
      <c r="O751" s="20">
        <v>2156</v>
      </c>
      <c r="P751" s="5">
        <v>2678</v>
      </c>
    </row>
    <row r="752" spans="1:16" x14ac:dyDescent="0.3">
      <c r="A752" s="4" t="s">
        <v>69</v>
      </c>
      <c r="B752" s="4" t="s">
        <v>59</v>
      </c>
      <c r="C752" s="4" t="s">
        <v>36</v>
      </c>
      <c r="D752" s="4" t="s">
        <v>52</v>
      </c>
      <c r="E752" s="4" t="s">
        <v>40</v>
      </c>
      <c r="F752" s="4" t="s">
        <v>20</v>
      </c>
      <c r="G752" s="4" t="s">
        <v>1</v>
      </c>
      <c r="H752" s="5"/>
      <c r="I752" s="5"/>
      <c r="J752" s="5"/>
      <c r="K752" s="5"/>
      <c r="L752" s="5" cm="1">
        <f t="array" ref="L752">_xlfn.XLOOKUP(C752,[4]C5_LMA_DIAG!$A$49:$A$66,_xlfn.XLOOKUP(B752,[4]C5_LMA_DIAG!$A$49:$M$49,[4]C5_LMA_DIAG!$A$49:$M$66))</f>
        <v>1422</v>
      </c>
      <c r="M752" s="5" cm="1">
        <f t="array" ref="M752">_xlfn.XLOOKUP(C752,[5]C6_LMA_DIAG!$A$46:$A$63,_xlfn.XLOOKUP(B752,[5]C6_LMA_DIAG!$A$46:$M$46,[5]C6_LMA_DIAG!$A$46:$M$63))</f>
        <v>1312</v>
      </c>
      <c r="N752" s="5" cm="1">
        <f t="array" ref="N752">_xlfn.XLOOKUP(
  C752,
  [6]C6_LMA_DIAG!$A$52:$A$68,
  _xlfn.XLOOKUP(
    B752,
    [6]C6_LMA_DIAG!$B$51:$O$51,
    [6]C6_LMA_DIAG!$B$52:$O$68
  )
)</f>
        <v>570</v>
      </c>
      <c r="O752" s="20">
        <v>1124</v>
      </c>
      <c r="P752" s="5">
        <v>1699</v>
      </c>
    </row>
    <row r="753" spans="1:16" x14ac:dyDescent="0.3">
      <c r="A753" s="4" t="s">
        <v>69</v>
      </c>
      <c r="B753" s="4" t="s">
        <v>60</v>
      </c>
      <c r="C753" s="4" t="s">
        <v>36</v>
      </c>
      <c r="D753" s="4" t="s">
        <v>52</v>
      </c>
      <c r="E753" s="4" t="s">
        <v>40</v>
      </c>
      <c r="F753" s="4" t="s">
        <v>20</v>
      </c>
      <c r="G753" s="4" t="s">
        <v>1</v>
      </c>
      <c r="H753" s="5"/>
      <c r="I753" s="5"/>
      <c r="J753" s="5"/>
      <c r="K753" s="5"/>
      <c r="L753" s="5" cm="1">
        <f t="array" ref="L753">_xlfn.XLOOKUP(C753,[4]C5_LMA_DIAG!$A$49:$A$66,_xlfn.XLOOKUP(B753,[4]C5_LMA_DIAG!$A$49:$M$49,[4]C5_LMA_DIAG!$A$49:$M$66))</f>
        <v>1101</v>
      </c>
      <c r="M753" s="5" cm="1">
        <f t="array" ref="M753">_xlfn.XLOOKUP(C753,[5]C6_LMA_DIAG!$A$46:$A$63,_xlfn.XLOOKUP(B753,[5]C6_LMA_DIAG!$A$46:$M$46,[5]C6_LMA_DIAG!$A$46:$M$63))</f>
        <v>1490</v>
      </c>
      <c r="N753" s="5" cm="1">
        <f t="array" ref="N753">_xlfn.XLOOKUP(
  C753,
  [6]C6_LMA_DIAG!$A$52:$A$68,
  _xlfn.XLOOKUP(
    B753,
    [6]C6_LMA_DIAG!$B$51:$O$51,
    [6]C6_LMA_DIAG!$B$52:$O$68
  )
)</f>
        <v>794</v>
      </c>
      <c r="O753" s="20">
        <v>1356</v>
      </c>
      <c r="P753" s="5">
        <v>1827</v>
      </c>
    </row>
    <row r="754" spans="1:16" x14ac:dyDescent="0.3">
      <c r="A754" s="4" t="s">
        <v>69</v>
      </c>
      <c r="B754" s="4" t="s">
        <v>61</v>
      </c>
      <c r="C754" s="4" t="s">
        <v>36</v>
      </c>
      <c r="D754" s="4" t="s">
        <v>52</v>
      </c>
      <c r="E754" s="4" t="s">
        <v>40</v>
      </c>
      <c r="F754" s="4" t="s">
        <v>20</v>
      </c>
      <c r="G754" s="4" t="s">
        <v>1</v>
      </c>
      <c r="H754" s="5"/>
      <c r="I754" s="5"/>
      <c r="J754" s="5"/>
      <c r="K754" s="5"/>
      <c r="L754" s="5" cm="1">
        <f t="array" ref="L754">_xlfn.XLOOKUP(C754,[4]C5_LMA_DIAG!$A$49:$A$66,_xlfn.XLOOKUP(B754,[4]C5_LMA_DIAG!$A$49:$M$49,[4]C5_LMA_DIAG!$A$49:$M$66))</f>
        <v>446</v>
      </c>
      <c r="M754" s="5" cm="1">
        <f t="array" ref="M754">_xlfn.XLOOKUP(C754,[5]C6_LMA_DIAG!$A$46:$A$63,_xlfn.XLOOKUP(B754,[5]C6_LMA_DIAG!$A$46:$M$46,[5]C6_LMA_DIAG!$A$46:$M$63))</f>
        <v>540</v>
      </c>
      <c r="N754" s="5" cm="1">
        <f t="array" ref="N754">_xlfn.XLOOKUP(
  C754,
  [6]C6_LMA_DIAG!$A$52:$A$68,
  _xlfn.XLOOKUP(
    B754,
    [6]C6_LMA_DIAG!$B$51:$O$51,
    [6]C6_LMA_DIAG!$B$52:$O$68
  )
)</f>
        <v>304</v>
      </c>
      <c r="O754" s="20">
        <v>504</v>
      </c>
      <c r="P754" s="5">
        <v>731</v>
      </c>
    </row>
    <row r="755" spans="1:16" x14ac:dyDescent="0.3">
      <c r="A755" s="4" t="s">
        <v>69</v>
      </c>
      <c r="B755" s="4" t="s">
        <v>62</v>
      </c>
      <c r="C755" s="4" t="s">
        <v>36</v>
      </c>
      <c r="D755" s="4" t="s">
        <v>52</v>
      </c>
      <c r="E755" s="4" t="s">
        <v>40</v>
      </c>
      <c r="F755" s="4" t="s">
        <v>20</v>
      </c>
      <c r="G755" s="4" t="s">
        <v>1</v>
      </c>
      <c r="H755" s="5"/>
      <c r="I755" s="5"/>
      <c r="J755" s="5"/>
      <c r="K755" s="5"/>
      <c r="L755" s="5" cm="1">
        <f t="array" ref="L755">_xlfn.XLOOKUP(C755,[4]C5_LMA_DIAG!$A$49:$A$66,_xlfn.XLOOKUP(B755,[4]C5_LMA_DIAG!$A$49:$M$49,[4]C5_LMA_DIAG!$A$49:$M$66))</f>
        <v>779</v>
      </c>
      <c r="M755" s="5" cm="1">
        <f t="array" ref="M755">_xlfn.XLOOKUP(C755,[5]C6_LMA_DIAG!$A$46:$A$63,_xlfn.XLOOKUP(B755,[5]C6_LMA_DIAG!$A$46:$M$46,[5]C6_LMA_DIAG!$A$46:$M$63))</f>
        <v>844</v>
      </c>
      <c r="N755" s="5" cm="1">
        <f t="array" ref="N755">_xlfn.XLOOKUP(
  C755,
  [6]C6_LMA_DIAG!$A$52:$A$68,
  _xlfn.XLOOKUP(
    B755,
    [6]C6_LMA_DIAG!$B$51:$O$51,
    [6]C6_LMA_DIAG!$B$52:$O$68
  )
)</f>
        <v>507</v>
      </c>
      <c r="O755" s="20">
        <v>735</v>
      </c>
      <c r="P755" s="5">
        <v>868</v>
      </c>
    </row>
    <row r="756" spans="1:16" x14ac:dyDescent="0.3">
      <c r="A756" s="4" t="s">
        <v>69</v>
      </c>
      <c r="B756" s="4" t="s">
        <v>63</v>
      </c>
      <c r="C756" s="4" t="s">
        <v>36</v>
      </c>
      <c r="D756" s="4" t="s">
        <v>52</v>
      </c>
      <c r="E756" s="4" t="s">
        <v>40</v>
      </c>
      <c r="F756" s="4" t="s">
        <v>20</v>
      </c>
      <c r="G756" s="4" t="s">
        <v>1</v>
      </c>
      <c r="H756" s="5"/>
      <c r="I756" s="5"/>
      <c r="J756" s="5"/>
      <c r="K756" s="5"/>
      <c r="L756" s="5" cm="1">
        <f t="array" ref="L756">_xlfn.XLOOKUP(C756,[4]C5_LMA_DIAG!$A$49:$A$66,_xlfn.XLOOKUP(B756,[4]C5_LMA_DIAG!$A$49:$M$49,[4]C5_LMA_DIAG!$A$49:$M$66))</f>
        <v>636</v>
      </c>
      <c r="M756" s="5" cm="1">
        <f t="array" ref="M756">_xlfn.XLOOKUP(C756,[5]C6_LMA_DIAG!$A$46:$A$63,_xlfn.XLOOKUP(B756,[5]C6_LMA_DIAG!$A$46:$M$46,[5]C6_LMA_DIAG!$A$46:$M$63))</f>
        <v>578</v>
      </c>
      <c r="N756" s="5" cm="1">
        <f t="array" ref="N756">_xlfn.XLOOKUP(
  C756,
  [6]C6_LMA_DIAG!$A$52:$A$68,
  _xlfn.XLOOKUP(
    B756,
    [6]C6_LMA_DIAG!$B$51:$O$51,
    [6]C6_LMA_DIAG!$B$52:$O$68
  )
)</f>
        <v>439</v>
      </c>
      <c r="O756" s="20">
        <v>570</v>
      </c>
      <c r="P756" s="5">
        <v>638</v>
      </c>
    </row>
    <row r="757" spans="1:16" x14ac:dyDescent="0.3">
      <c r="A757" s="4" t="s">
        <v>69</v>
      </c>
      <c r="B757" s="4" t="s">
        <v>64</v>
      </c>
      <c r="C757" s="4" t="s">
        <v>36</v>
      </c>
      <c r="D757" s="4" t="s">
        <v>52</v>
      </c>
      <c r="E757" s="4" t="s">
        <v>40</v>
      </c>
      <c r="F757" s="4" t="s">
        <v>20</v>
      </c>
      <c r="G757" s="4" t="s">
        <v>1</v>
      </c>
      <c r="H757" s="5"/>
      <c r="I757" s="5"/>
      <c r="J757" s="5"/>
      <c r="K757" s="5"/>
      <c r="L757" s="5" cm="1">
        <f t="array" ref="L757">_xlfn.XLOOKUP(C757,[4]C5_LMA_DIAG!$A$49:$A$66,_xlfn.XLOOKUP(B757,[4]C5_LMA_DIAG!$A$49:$M$49,[4]C5_LMA_DIAG!$A$49:$M$66))</f>
        <v>533</v>
      </c>
      <c r="M757" s="5" cm="1">
        <f t="array" ref="M757">_xlfn.XLOOKUP(C757,[5]C6_LMA_DIAG!$A$46:$A$63,_xlfn.XLOOKUP(B757,[5]C6_LMA_DIAG!$A$46:$M$46,[5]C6_LMA_DIAG!$A$46:$M$63))</f>
        <v>530</v>
      </c>
      <c r="N757" s="5" cm="1">
        <f t="array" ref="N757">_xlfn.XLOOKUP(
  C757,
  [6]C6_LMA_DIAG!$A$52:$A$68,
  _xlfn.XLOOKUP(
    B757,
    [6]C6_LMA_DIAG!$B$51:$O$51,
    [6]C6_LMA_DIAG!$B$52:$O$68
  )
)</f>
        <v>354</v>
      </c>
      <c r="O757" s="20">
        <v>476</v>
      </c>
      <c r="P757" s="5">
        <v>583</v>
      </c>
    </row>
    <row r="758" spans="1:16" x14ac:dyDescent="0.3">
      <c r="A758" s="4" t="s">
        <v>69</v>
      </c>
      <c r="B758" s="4" t="s">
        <v>70</v>
      </c>
      <c r="C758" s="4" t="s">
        <v>36</v>
      </c>
      <c r="D758" s="4" t="s">
        <v>52</v>
      </c>
      <c r="E758" s="4" t="s">
        <v>40</v>
      </c>
      <c r="F758" s="4" t="s">
        <v>20</v>
      </c>
      <c r="G758" s="4" t="s">
        <v>1</v>
      </c>
      <c r="H758" s="5"/>
      <c r="I758" s="5"/>
      <c r="J758" s="5"/>
      <c r="K758" s="5"/>
      <c r="L758" s="5">
        <v>0</v>
      </c>
      <c r="M758" s="5">
        <v>0</v>
      </c>
      <c r="N758" s="5" cm="1">
        <f t="array" ref="N758">_xlfn.XLOOKUP(
  C758,
  [6]C6_LMA_DIAG!$A$52:$A$68,
  _xlfn.XLOOKUP(
    B758,
    [6]C6_LMA_DIAG!$B$51:$O$51,
    [6]C6_LMA_DIAG!$B$52:$O$68
  )
)</f>
        <v>1564</v>
      </c>
      <c r="O758" s="20">
        <v>8257</v>
      </c>
      <c r="P758" s="5">
        <v>9607</v>
      </c>
    </row>
    <row r="759" spans="1:16" x14ac:dyDescent="0.3">
      <c r="A759" s="4"/>
      <c r="B759" s="18" t="s">
        <v>71</v>
      </c>
      <c r="C759" s="4" t="s">
        <v>36</v>
      </c>
      <c r="D759" s="4" t="s">
        <v>52</v>
      </c>
      <c r="E759" s="4" t="s">
        <v>40</v>
      </c>
      <c r="F759" s="4" t="s">
        <v>20</v>
      </c>
      <c r="G759" s="4" t="s">
        <v>1</v>
      </c>
      <c r="H759" s="5"/>
      <c r="I759" s="5"/>
      <c r="J759" s="5"/>
      <c r="K759" s="5"/>
      <c r="L759" s="5">
        <v>0</v>
      </c>
      <c r="M759" s="5">
        <v>0</v>
      </c>
      <c r="N759" s="5" cm="1">
        <f t="array" ref="N759">_xlfn.XLOOKUP(
  C759,
  [6]C6_LMA_DIAG!$A$52:$A$68,
  _xlfn.XLOOKUP(
    B759,
    [6]C6_LMA_DIAG!$B$51:$O$51,
    [6]C6_LMA_DIAG!$B$52:$O$68
  )
)</f>
        <v>111</v>
      </c>
      <c r="O759" s="20">
        <v>99</v>
      </c>
      <c r="P759" s="5">
        <v>0</v>
      </c>
    </row>
    <row r="760" spans="1:16" x14ac:dyDescent="0.3">
      <c r="A760" s="4" t="s">
        <v>69</v>
      </c>
      <c r="B760" s="4" t="s">
        <v>65</v>
      </c>
      <c r="C760" s="4" t="s">
        <v>36</v>
      </c>
      <c r="D760" s="4" t="s">
        <v>52</v>
      </c>
      <c r="E760" s="4" t="s">
        <v>40</v>
      </c>
      <c r="F760" s="4" t="s">
        <v>20</v>
      </c>
      <c r="G760" s="4" t="s">
        <v>1</v>
      </c>
      <c r="H760" s="5"/>
      <c r="I760" s="5"/>
      <c r="J760" s="5"/>
      <c r="K760" s="5"/>
      <c r="L760" s="5" cm="1">
        <f t="array" ref="L760">_xlfn.XLOOKUP(C760,[4]C5_LMA_DIAG!$A$49:$A$66,_xlfn.XLOOKUP(B760,[4]C5_LMA_DIAG!$A$49:$M$49,[4]C5_LMA_DIAG!$A$49:$M$66))</f>
        <v>2475</v>
      </c>
      <c r="M760" s="5" cm="1">
        <f t="array" ref="M760">_xlfn.XLOOKUP(C760,[5]C6_LMA_DIAG!$A$46:$A$63,_xlfn.XLOOKUP(B760,[5]C6_LMA_DIAG!$A$46:$M$46,[5]C6_LMA_DIAG!$A$46:$M$63))</f>
        <v>2744</v>
      </c>
      <c r="N760" s="5" cm="1">
        <f t="array" ref="N760">_xlfn.XLOOKUP(
  C760,
  [6]C6_LMA_DIAG!$A$52:$A$68,
  _xlfn.XLOOKUP(
    B760,
    [6]C6_LMA_DIAG!$B$51:$O$51,
    [6]C6_LMA_DIAG!$B$52:$O$68
  )
)</f>
        <v>1718</v>
      </c>
      <c r="O760" s="20">
        <v>2583</v>
      </c>
      <c r="P760" s="5">
        <v>3333</v>
      </c>
    </row>
    <row r="761" spans="1:16" x14ac:dyDescent="0.3">
      <c r="A761" s="4" t="s">
        <v>69</v>
      </c>
      <c r="B761" s="4" t="s">
        <v>19</v>
      </c>
      <c r="C761" s="4" t="s">
        <v>36</v>
      </c>
      <c r="D761" s="4" t="s">
        <v>52</v>
      </c>
      <c r="E761" s="4" t="s">
        <v>40</v>
      </c>
      <c r="F761" s="4" t="s">
        <v>20</v>
      </c>
      <c r="G761" s="4" t="s">
        <v>1</v>
      </c>
      <c r="H761" s="5"/>
      <c r="I761" s="5"/>
      <c r="J761" s="5"/>
      <c r="K761" s="5"/>
      <c r="L761" s="5" cm="1">
        <f t="array" ref="L761">_xlfn.XLOOKUP(C761,[4]C5_LMA_DIAG!$A$49:$A$66,_xlfn.XLOOKUP(B761,[4]C5_LMA_DIAG!$A$49:$M$49,[4]C5_LMA_DIAG!$A$49:$M$66))</f>
        <v>0</v>
      </c>
      <c r="M761" s="5" cm="1">
        <f t="array" ref="M761">_xlfn.XLOOKUP(C761,[5]C6_LMA_DIAG!$A$46:$A$63,_xlfn.XLOOKUP(B761,[5]C6_LMA_DIAG!$A$46:$M$46,[5]C6_LMA_DIAG!$A$46:$M$63))</f>
        <v>0</v>
      </c>
      <c r="N761" s="5" cm="1">
        <f t="array" ref="N761">_xlfn.XLOOKUP(
  C761,
  [6]C6_LMA_DIAG!$A$52:$A$68,
  _xlfn.XLOOKUP(
    B761,
    [6]C6_LMA_DIAG!$B$51:$O$51,
    [6]C6_LMA_DIAG!$B$52:$O$68
  )
)</f>
        <v>0</v>
      </c>
      <c r="O761" s="20">
        <v>2</v>
      </c>
      <c r="P761" s="5">
        <v>0</v>
      </c>
    </row>
    <row r="762" spans="1:16" x14ac:dyDescent="0.3">
      <c r="A762" s="15" t="s">
        <v>69</v>
      </c>
      <c r="B762" s="15" t="s">
        <v>55</v>
      </c>
      <c r="C762" s="15" t="s">
        <v>37</v>
      </c>
      <c r="D762" s="15" t="s">
        <v>52</v>
      </c>
      <c r="E762" s="15" t="s">
        <v>40</v>
      </c>
      <c r="F762" s="15" t="s">
        <v>20</v>
      </c>
      <c r="G762" s="15" t="s">
        <v>1</v>
      </c>
      <c r="H762" s="16"/>
      <c r="I762" s="16"/>
      <c r="J762" s="16"/>
      <c r="K762" s="16"/>
      <c r="L762" s="5" cm="1">
        <f t="array" ref="L762">_xlfn.XLOOKUP(C762,[4]C5_LMA_DIAG!$A$49:$A$66,_xlfn.XLOOKUP(B762,[4]C5_LMA_DIAG!$A$49:$M$49,[4]C5_LMA_DIAG!$A$49:$M$66))</f>
        <v>6278</v>
      </c>
      <c r="M762" s="5" cm="1">
        <f t="array" ref="M762">_xlfn.XLOOKUP(C762,[5]C6_LMA_DIAG!$A$46:$A$63,_xlfn.XLOOKUP(B762,[5]C6_LMA_DIAG!$A$46:$M$46,[5]C6_LMA_DIAG!$A$46:$M$63))</f>
        <v>8468</v>
      </c>
      <c r="N762" s="5" cm="1">
        <f t="array" ref="N762">_xlfn.XLOOKUP(
  C762,
  [6]C6_LMA_DIAG!$A$52:$A$68,
  _xlfn.XLOOKUP(
    B762,
    [6]C6_LMA_DIAG!$B$51:$O$51,
    [6]C6_LMA_DIAG!$B$52:$O$68
  )
)</f>
        <v>9223</v>
      </c>
      <c r="O762" s="20">
        <v>15432</v>
      </c>
      <c r="P762" s="16">
        <v>15057</v>
      </c>
    </row>
    <row r="763" spans="1:16" x14ac:dyDescent="0.3">
      <c r="A763" s="15" t="s">
        <v>69</v>
      </c>
      <c r="B763" s="15" t="s">
        <v>56</v>
      </c>
      <c r="C763" s="15" t="s">
        <v>37</v>
      </c>
      <c r="D763" s="15" t="s">
        <v>52</v>
      </c>
      <c r="E763" s="15" t="s">
        <v>40</v>
      </c>
      <c r="F763" s="15" t="s">
        <v>20</v>
      </c>
      <c r="G763" s="15" t="s">
        <v>1</v>
      </c>
      <c r="H763" s="16"/>
      <c r="I763" s="16"/>
      <c r="J763" s="16"/>
      <c r="K763" s="16"/>
      <c r="L763" s="5" cm="1">
        <f t="array" ref="L763">_xlfn.XLOOKUP(C763,[4]C5_LMA_DIAG!$A$49:$A$66,_xlfn.XLOOKUP(B763,[4]C5_LMA_DIAG!$A$49:$M$49,[4]C5_LMA_DIAG!$A$49:$M$66))</f>
        <v>9025</v>
      </c>
      <c r="M763" s="5" cm="1">
        <f t="array" ref="M763">_xlfn.XLOOKUP(C763,[5]C6_LMA_DIAG!$A$46:$A$63,_xlfn.XLOOKUP(B763,[5]C6_LMA_DIAG!$A$46:$M$46,[5]C6_LMA_DIAG!$A$46:$M$63))</f>
        <v>10752</v>
      </c>
      <c r="N763" s="5" cm="1">
        <f t="array" ref="N763">_xlfn.XLOOKUP(
  C763,
  [6]C6_LMA_DIAG!$A$52:$A$68,
  _xlfn.XLOOKUP(
    B763,
    [6]C6_LMA_DIAG!$B$51:$O$51,
    [6]C6_LMA_DIAG!$B$52:$O$68
  )
)</f>
        <v>6856</v>
      </c>
      <c r="O763" s="20">
        <v>11268</v>
      </c>
      <c r="P763" s="16">
        <v>12308</v>
      </c>
    </row>
    <row r="764" spans="1:16" x14ac:dyDescent="0.3">
      <c r="A764" s="15" t="s">
        <v>69</v>
      </c>
      <c r="B764" s="15" t="s">
        <v>57</v>
      </c>
      <c r="C764" s="15" t="s">
        <v>37</v>
      </c>
      <c r="D764" s="15" t="s">
        <v>52</v>
      </c>
      <c r="E764" s="15" t="s">
        <v>40</v>
      </c>
      <c r="F764" s="15" t="s">
        <v>20</v>
      </c>
      <c r="G764" s="15" t="s">
        <v>1</v>
      </c>
      <c r="H764" s="16"/>
      <c r="I764" s="16"/>
      <c r="J764" s="16"/>
      <c r="K764" s="16"/>
      <c r="L764" s="5" cm="1">
        <f t="array" ref="L764">_xlfn.XLOOKUP(C764,[4]C5_LMA_DIAG!$A$49:$A$66,_xlfn.XLOOKUP(B764,[4]C5_LMA_DIAG!$A$49:$M$49,[4]C5_LMA_DIAG!$A$49:$M$66))</f>
        <v>4683</v>
      </c>
      <c r="M764" s="5" cm="1">
        <f t="array" ref="M764">_xlfn.XLOOKUP(C764,[5]C6_LMA_DIAG!$A$46:$A$63,_xlfn.XLOOKUP(B764,[5]C6_LMA_DIAG!$A$46:$M$46,[5]C6_LMA_DIAG!$A$46:$M$63))</f>
        <v>6380</v>
      </c>
      <c r="N764" s="5" cm="1">
        <f t="array" ref="N764">_xlfn.XLOOKUP(
  C764,
  [6]C6_LMA_DIAG!$A$52:$A$68,
  _xlfn.XLOOKUP(
    B764,
    [6]C6_LMA_DIAG!$B$51:$O$51,
    [6]C6_LMA_DIAG!$B$52:$O$68
  )
)</f>
        <v>2481</v>
      </c>
      <c r="O764" s="20">
        <v>2398</v>
      </c>
      <c r="P764" s="16">
        <v>6492</v>
      </c>
    </row>
    <row r="765" spans="1:16" x14ac:dyDescent="0.3">
      <c r="A765" s="15" t="s">
        <v>69</v>
      </c>
      <c r="B765" s="15" t="s">
        <v>58</v>
      </c>
      <c r="C765" s="15" t="s">
        <v>37</v>
      </c>
      <c r="D765" s="15" t="s">
        <v>52</v>
      </c>
      <c r="E765" s="15" t="s">
        <v>40</v>
      </c>
      <c r="F765" s="15" t="s">
        <v>20</v>
      </c>
      <c r="G765" s="15" t="s">
        <v>1</v>
      </c>
      <c r="H765" s="16"/>
      <c r="I765" s="16"/>
      <c r="J765" s="16"/>
      <c r="K765" s="16"/>
      <c r="L765" s="5" cm="1">
        <f t="array" ref="L765">_xlfn.XLOOKUP(C765,[4]C5_LMA_DIAG!$A$49:$A$66,_xlfn.XLOOKUP(B765,[4]C5_LMA_DIAG!$A$49:$M$49,[4]C5_LMA_DIAG!$A$49:$M$66))</f>
        <v>2781</v>
      </c>
      <c r="M765" s="5" cm="1">
        <f t="array" ref="M765">_xlfn.XLOOKUP(C765,[5]C6_LMA_DIAG!$A$46:$A$63,_xlfn.XLOOKUP(B765,[5]C6_LMA_DIAG!$A$46:$M$46,[5]C6_LMA_DIAG!$A$46:$M$63))</f>
        <v>3446</v>
      </c>
      <c r="N765" s="5" cm="1">
        <f t="array" ref="N765">_xlfn.XLOOKUP(
  C765,
  [6]C6_LMA_DIAG!$A$52:$A$68,
  _xlfn.XLOOKUP(
    B765,
    [6]C6_LMA_DIAG!$B$51:$O$51,
    [6]C6_LMA_DIAG!$B$52:$O$68
  )
)</f>
        <v>2521</v>
      </c>
      <c r="O765" s="20">
        <v>4040</v>
      </c>
      <c r="P765" s="16">
        <v>4980</v>
      </c>
    </row>
    <row r="766" spans="1:16" x14ac:dyDescent="0.3">
      <c r="A766" s="15" t="s">
        <v>69</v>
      </c>
      <c r="B766" s="15" t="s">
        <v>59</v>
      </c>
      <c r="C766" s="15" t="s">
        <v>37</v>
      </c>
      <c r="D766" s="15" t="s">
        <v>52</v>
      </c>
      <c r="E766" s="15" t="s">
        <v>40</v>
      </c>
      <c r="F766" s="15" t="s">
        <v>20</v>
      </c>
      <c r="G766" s="15" t="s">
        <v>1</v>
      </c>
      <c r="H766" s="16"/>
      <c r="I766" s="16"/>
      <c r="J766" s="16"/>
      <c r="K766" s="16"/>
      <c r="L766" s="5" cm="1">
        <f t="array" ref="L766">_xlfn.XLOOKUP(C766,[4]C5_LMA_DIAG!$A$49:$A$66,_xlfn.XLOOKUP(B766,[4]C5_LMA_DIAG!$A$49:$M$49,[4]C5_LMA_DIAG!$A$49:$M$66))</f>
        <v>1537</v>
      </c>
      <c r="M766" s="5" cm="1">
        <f t="array" ref="M766">_xlfn.XLOOKUP(C766,[5]C6_LMA_DIAG!$A$46:$A$63,_xlfn.XLOOKUP(B766,[5]C6_LMA_DIAG!$A$46:$M$46,[5]C6_LMA_DIAG!$A$46:$M$63))</f>
        <v>2098</v>
      </c>
      <c r="N766" s="5" cm="1">
        <f t="array" ref="N766">_xlfn.XLOOKUP(
  C766,
  [6]C6_LMA_DIAG!$A$52:$A$68,
  _xlfn.XLOOKUP(
    B766,
    [6]C6_LMA_DIAG!$B$51:$O$51,
    [6]C6_LMA_DIAG!$B$52:$O$68
  )
)</f>
        <v>1028</v>
      </c>
      <c r="O766" s="20">
        <v>1362</v>
      </c>
      <c r="P766" s="16">
        <v>2202</v>
      </c>
    </row>
    <row r="767" spans="1:16" x14ac:dyDescent="0.3">
      <c r="A767" s="15" t="s">
        <v>69</v>
      </c>
      <c r="B767" s="15" t="s">
        <v>60</v>
      </c>
      <c r="C767" s="15" t="s">
        <v>37</v>
      </c>
      <c r="D767" s="15" t="s">
        <v>52</v>
      </c>
      <c r="E767" s="15" t="s">
        <v>40</v>
      </c>
      <c r="F767" s="15" t="s">
        <v>20</v>
      </c>
      <c r="G767" s="15" t="s">
        <v>1</v>
      </c>
      <c r="H767" s="16"/>
      <c r="I767" s="16"/>
      <c r="J767" s="16"/>
      <c r="K767" s="16"/>
      <c r="L767" s="5" cm="1">
        <f t="array" ref="L767">_xlfn.XLOOKUP(C767,[4]C5_LMA_DIAG!$A$49:$A$66,_xlfn.XLOOKUP(B767,[4]C5_LMA_DIAG!$A$49:$M$49,[4]C5_LMA_DIAG!$A$49:$M$66))</f>
        <v>3037</v>
      </c>
      <c r="M767" s="5" cm="1">
        <f t="array" ref="M767">_xlfn.XLOOKUP(C767,[5]C6_LMA_DIAG!$A$46:$A$63,_xlfn.XLOOKUP(B767,[5]C6_LMA_DIAG!$A$46:$M$46,[5]C6_LMA_DIAG!$A$46:$M$63))</f>
        <v>3304</v>
      </c>
      <c r="N767" s="5" cm="1">
        <f t="array" ref="N767">_xlfn.XLOOKUP(
  C767,
  [6]C6_LMA_DIAG!$A$52:$A$68,
  _xlfn.XLOOKUP(
    B767,
    [6]C6_LMA_DIAG!$B$51:$O$51,
    [6]C6_LMA_DIAG!$B$52:$O$68
  )
)</f>
        <v>1781</v>
      </c>
      <c r="O767" s="20">
        <v>2928</v>
      </c>
      <c r="P767" s="16">
        <v>3176</v>
      </c>
    </row>
    <row r="768" spans="1:16" x14ac:dyDescent="0.3">
      <c r="A768" s="15" t="s">
        <v>69</v>
      </c>
      <c r="B768" s="15" t="s">
        <v>61</v>
      </c>
      <c r="C768" s="15" t="s">
        <v>37</v>
      </c>
      <c r="D768" s="15" t="s">
        <v>52</v>
      </c>
      <c r="E768" s="15" t="s">
        <v>40</v>
      </c>
      <c r="F768" s="15" t="s">
        <v>20</v>
      </c>
      <c r="G768" s="15" t="s">
        <v>1</v>
      </c>
      <c r="H768" s="16"/>
      <c r="I768" s="16"/>
      <c r="J768" s="16"/>
      <c r="K768" s="16"/>
      <c r="L768" s="5" cm="1">
        <f t="array" ref="L768">_xlfn.XLOOKUP(C768,[4]C5_LMA_DIAG!$A$49:$A$66,_xlfn.XLOOKUP(B768,[4]C5_LMA_DIAG!$A$49:$M$49,[4]C5_LMA_DIAG!$A$49:$M$66))</f>
        <v>784</v>
      </c>
      <c r="M768" s="5" cm="1">
        <f t="array" ref="M768">_xlfn.XLOOKUP(C768,[5]C6_LMA_DIAG!$A$46:$A$63,_xlfn.XLOOKUP(B768,[5]C6_LMA_DIAG!$A$46:$M$46,[5]C6_LMA_DIAG!$A$46:$M$63))</f>
        <v>887</v>
      </c>
      <c r="N768" s="5" cm="1">
        <f t="array" ref="N768">_xlfn.XLOOKUP(
  C768,
  [6]C6_LMA_DIAG!$A$52:$A$68,
  _xlfn.XLOOKUP(
    B768,
    [6]C6_LMA_DIAG!$B$51:$O$51,
    [6]C6_LMA_DIAG!$B$52:$O$68
  )
)</f>
        <v>647</v>
      </c>
      <c r="O768" s="20">
        <v>770</v>
      </c>
      <c r="P768" s="16">
        <v>761</v>
      </c>
    </row>
    <row r="769" spans="1:16" x14ac:dyDescent="0.3">
      <c r="A769" s="15" t="s">
        <v>69</v>
      </c>
      <c r="B769" s="15" t="s">
        <v>62</v>
      </c>
      <c r="C769" s="15" t="s">
        <v>37</v>
      </c>
      <c r="D769" s="15" t="s">
        <v>52</v>
      </c>
      <c r="E769" s="15" t="s">
        <v>40</v>
      </c>
      <c r="F769" s="15" t="s">
        <v>20</v>
      </c>
      <c r="G769" s="15" t="s">
        <v>1</v>
      </c>
      <c r="H769" s="16"/>
      <c r="I769" s="16"/>
      <c r="J769" s="16"/>
      <c r="K769" s="16"/>
      <c r="L769" s="5" cm="1">
        <f t="array" ref="L769">_xlfn.XLOOKUP(C769,[4]C5_LMA_DIAG!$A$49:$A$66,_xlfn.XLOOKUP(B769,[4]C5_LMA_DIAG!$A$49:$M$49,[4]C5_LMA_DIAG!$A$49:$M$66))</f>
        <v>1145</v>
      </c>
      <c r="M769" s="5" cm="1">
        <f t="array" ref="M769">_xlfn.XLOOKUP(C769,[5]C6_LMA_DIAG!$A$46:$A$63,_xlfn.XLOOKUP(B769,[5]C6_LMA_DIAG!$A$46:$M$46,[5]C6_LMA_DIAG!$A$46:$M$63))</f>
        <v>1202</v>
      </c>
      <c r="N769" s="5" cm="1">
        <f t="array" ref="N769">_xlfn.XLOOKUP(
  C769,
  [6]C6_LMA_DIAG!$A$52:$A$68,
  _xlfn.XLOOKUP(
    B769,
    [6]C6_LMA_DIAG!$B$51:$O$51,
    [6]C6_LMA_DIAG!$B$52:$O$68
  )
)</f>
        <v>766</v>
      </c>
      <c r="O769" s="20">
        <v>1029</v>
      </c>
      <c r="P769" s="16">
        <v>1089</v>
      </c>
    </row>
    <row r="770" spans="1:16" x14ac:dyDescent="0.3">
      <c r="A770" s="15" t="s">
        <v>69</v>
      </c>
      <c r="B770" s="15" t="s">
        <v>63</v>
      </c>
      <c r="C770" s="15" t="s">
        <v>37</v>
      </c>
      <c r="D770" s="15" t="s">
        <v>52</v>
      </c>
      <c r="E770" s="15" t="s">
        <v>40</v>
      </c>
      <c r="F770" s="15" t="s">
        <v>20</v>
      </c>
      <c r="G770" s="15" t="s">
        <v>1</v>
      </c>
      <c r="H770" s="16"/>
      <c r="I770" s="16"/>
      <c r="J770" s="16"/>
      <c r="K770" s="16"/>
      <c r="L770" s="5" cm="1">
        <f t="array" ref="L770">_xlfn.XLOOKUP(C770,[4]C5_LMA_DIAG!$A$49:$A$66,_xlfn.XLOOKUP(B770,[4]C5_LMA_DIAG!$A$49:$M$49,[4]C5_LMA_DIAG!$A$49:$M$66))</f>
        <v>1166</v>
      </c>
      <c r="M770" s="5" cm="1">
        <f t="array" ref="M770">_xlfn.XLOOKUP(C770,[5]C6_LMA_DIAG!$A$46:$A$63,_xlfn.XLOOKUP(B770,[5]C6_LMA_DIAG!$A$46:$M$46,[5]C6_LMA_DIAG!$A$46:$M$63))</f>
        <v>1261</v>
      </c>
      <c r="N770" s="5" cm="1">
        <f t="array" ref="N770">_xlfn.XLOOKUP(
  C770,
  [6]C6_LMA_DIAG!$A$52:$A$68,
  _xlfn.XLOOKUP(
    B770,
    [6]C6_LMA_DIAG!$B$51:$O$51,
    [6]C6_LMA_DIAG!$B$52:$O$68
  )
)</f>
        <v>1059</v>
      </c>
      <c r="O770" s="20">
        <v>1166</v>
      </c>
      <c r="P770" s="16">
        <v>1214</v>
      </c>
    </row>
    <row r="771" spans="1:16" x14ac:dyDescent="0.3">
      <c r="A771" s="15" t="s">
        <v>69</v>
      </c>
      <c r="B771" s="15" t="s">
        <v>64</v>
      </c>
      <c r="C771" s="15" t="s">
        <v>37</v>
      </c>
      <c r="D771" s="15" t="s">
        <v>52</v>
      </c>
      <c r="E771" s="15" t="s">
        <v>40</v>
      </c>
      <c r="F771" s="15" t="s">
        <v>20</v>
      </c>
      <c r="G771" s="15" t="s">
        <v>1</v>
      </c>
      <c r="H771" s="16"/>
      <c r="I771" s="16"/>
      <c r="J771" s="16"/>
      <c r="K771" s="16"/>
      <c r="L771" s="5" cm="1">
        <f t="array" ref="L771">_xlfn.XLOOKUP(C771,[4]C5_LMA_DIAG!$A$49:$A$66,_xlfn.XLOOKUP(B771,[4]C5_LMA_DIAG!$A$49:$M$49,[4]C5_LMA_DIAG!$A$49:$M$66))</f>
        <v>895</v>
      </c>
      <c r="M771" s="5" cm="1">
        <f t="array" ref="M771">_xlfn.XLOOKUP(C771,[5]C6_LMA_DIAG!$A$46:$A$63,_xlfn.XLOOKUP(B771,[5]C6_LMA_DIAG!$A$46:$M$46,[5]C6_LMA_DIAG!$A$46:$M$63))</f>
        <v>1047</v>
      </c>
      <c r="N771" s="5" cm="1">
        <f t="array" ref="N771">_xlfn.XLOOKUP(
  C771,
  [6]C6_LMA_DIAG!$A$52:$A$68,
  _xlfn.XLOOKUP(
    B771,
    [6]C6_LMA_DIAG!$B$51:$O$51,
    [6]C6_LMA_DIAG!$B$52:$O$68
  )
)</f>
        <v>862</v>
      </c>
      <c r="O771" s="20">
        <v>1026</v>
      </c>
      <c r="P771" s="16">
        <v>902</v>
      </c>
    </row>
    <row r="772" spans="1:16" x14ac:dyDescent="0.3">
      <c r="A772" s="15" t="s">
        <v>69</v>
      </c>
      <c r="B772" s="15" t="s">
        <v>70</v>
      </c>
      <c r="C772" s="15" t="s">
        <v>37</v>
      </c>
      <c r="D772" s="15" t="s">
        <v>52</v>
      </c>
      <c r="E772" s="15" t="s">
        <v>40</v>
      </c>
      <c r="F772" s="15" t="s">
        <v>20</v>
      </c>
      <c r="G772" s="15" t="s">
        <v>1</v>
      </c>
      <c r="H772" s="16"/>
      <c r="I772" s="16"/>
      <c r="J772" s="16"/>
      <c r="K772" s="16"/>
      <c r="L772" s="5">
        <v>0</v>
      </c>
      <c r="M772" s="5">
        <v>0</v>
      </c>
      <c r="N772" s="5" cm="1">
        <f t="array" ref="N772">_xlfn.XLOOKUP(
  C772,
  [6]C6_LMA_DIAG!$A$52:$A$68,
  _xlfn.XLOOKUP(
    B772,
    [6]C6_LMA_DIAG!$B$51:$O$51,
    [6]C6_LMA_DIAG!$B$52:$O$68
  )
)</f>
        <v>12034</v>
      </c>
      <c r="O772" s="20">
        <v>16584</v>
      </c>
      <c r="P772" s="16">
        <v>17691</v>
      </c>
    </row>
    <row r="773" spans="1:16" x14ac:dyDescent="0.3">
      <c r="A773" s="15"/>
      <c r="B773" s="18" t="s">
        <v>71</v>
      </c>
      <c r="C773" s="15" t="s">
        <v>37</v>
      </c>
      <c r="D773" s="15" t="s">
        <v>52</v>
      </c>
      <c r="E773" s="15" t="s">
        <v>40</v>
      </c>
      <c r="F773" s="15" t="s">
        <v>20</v>
      </c>
      <c r="G773" s="15" t="s">
        <v>1</v>
      </c>
      <c r="H773" s="16"/>
      <c r="I773" s="16"/>
      <c r="J773" s="16"/>
      <c r="K773" s="16"/>
      <c r="L773" s="5">
        <v>0</v>
      </c>
      <c r="M773" s="5">
        <v>0</v>
      </c>
      <c r="N773" s="5" cm="1">
        <f t="array" ref="N773">_xlfn.XLOOKUP(
  C773,
  [6]C6_LMA_DIAG!$A$52:$A$68,
  _xlfn.XLOOKUP(
    B773,
    [6]C6_LMA_DIAG!$B$51:$O$51,
    [6]C6_LMA_DIAG!$B$52:$O$68
  )
)</f>
        <v>145</v>
      </c>
      <c r="O773" s="20">
        <v>171</v>
      </c>
      <c r="P773" s="16">
        <v>0</v>
      </c>
    </row>
    <row r="774" spans="1:16" x14ac:dyDescent="0.3">
      <c r="A774" s="15" t="s">
        <v>69</v>
      </c>
      <c r="B774" s="15" t="s">
        <v>65</v>
      </c>
      <c r="C774" s="15" t="s">
        <v>37</v>
      </c>
      <c r="D774" s="15" t="s">
        <v>52</v>
      </c>
      <c r="E774" s="15" t="s">
        <v>40</v>
      </c>
      <c r="F774" s="15" t="s">
        <v>20</v>
      </c>
      <c r="G774" s="15" t="s">
        <v>1</v>
      </c>
      <c r="H774" s="16"/>
      <c r="I774" s="16"/>
      <c r="J774" s="16"/>
      <c r="K774" s="16"/>
      <c r="L774" s="5" cm="1">
        <f t="array" ref="L774">_xlfn.XLOOKUP(C774,[4]C5_LMA_DIAG!$A$49:$A$66,_xlfn.XLOOKUP(B774,[4]C5_LMA_DIAG!$A$49:$M$49,[4]C5_LMA_DIAG!$A$49:$M$66))</f>
        <v>4477</v>
      </c>
      <c r="M774" s="5" cm="1">
        <f t="array" ref="M774">_xlfn.XLOOKUP(C774,[5]C6_LMA_DIAG!$A$46:$A$63,_xlfn.XLOOKUP(B774,[5]C6_LMA_DIAG!$A$46:$M$46,[5]C6_LMA_DIAG!$A$46:$M$63))</f>
        <v>5055</v>
      </c>
      <c r="N774" s="5" cm="1">
        <f t="array" ref="N774">_xlfn.XLOOKUP(
  C774,
  [6]C6_LMA_DIAG!$A$52:$A$68,
  _xlfn.XLOOKUP(
    B774,
    [6]C6_LMA_DIAG!$B$51:$O$51,
    [6]C6_LMA_DIAG!$B$52:$O$68
  )
)</f>
        <v>3105</v>
      </c>
      <c r="O774" s="20">
        <v>5129</v>
      </c>
      <c r="P774" s="16">
        <v>5507</v>
      </c>
    </row>
    <row r="775" spans="1:16" x14ac:dyDescent="0.3">
      <c r="A775" s="15" t="s">
        <v>69</v>
      </c>
      <c r="B775" s="15" t="s">
        <v>19</v>
      </c>
      <c r="C775" s="15" t="s">
        <v>37</v>
      </c>
      <c r="D775" s="15" t="s">
        <v>52</v>
      </c>
      <c r="E775" s="15" t="s">
        <v>40</v>
      </c>
      <c r="F775" s="15" t="s">
        <v>20</v>
      </c>
      <c r="G775" s="15" t="s">
        <v>1</v>
      </c>
      <c r="H775" s="16"/>
      <c r="I775" s="16"/>
      <c r="J775" s="16"/>
      <c r="K775" s="16"/>
      <c r="L775" s="5" cm="1">
        <f t="array" ref="L775">_xlfn.XLOOKUP(C775,[4]C5_LMA_DIAG!$A$49:$A$66,_xlfn.XLOOKUP(B775,[4]C5_LMA_DIAG!$A$49:$M$49,[4]C5_LMA_DIAG!$A$49:$M$66))</f>
        <v>0</v>
      </c>
      <c r="M775" s="5" cm="1">
        <f t="array" ref="M775">_xlfn.XLOOKUP(C775,[5]C6_LMA_DIAG!$A$46:$A$63,_xlfn.XLOOKUP(B775,[5]C6_LMA_DIAG!$A$46:$M$46,[5]C6_LMA_DIAG!$A$46:$M$63))</f>
        <v>0</v>
      </c>
      <c r="N775" s="5" cm="1">
        <f t="array" ref="N775">_xlfn.XLOOKUP(
  C775,
  [6]C6_LMA_DIAG!$A$52:$A$68,
  _xlfn.XLOOKUP(
    B775,
    [6]C6_LMA_DIAG!$B$51:$O$51,
    [6]C6_LMA_DIAG!$B$52:$O$68
  )
)</f>
        <v>0</v>
      </c>
      <c r="O775" s="20">
        <v>1</v>
      </c>
      <c r="P775" s="16">
        <v>0</v>
      </c>
    </row>
    <row r="776" spans="1:16" x14ac:dyDescent="0.3">
      <c r="A776" s="4" t="s">
        <v>69</v>
      </c>
      <c r="B776" s="4" t="s">
        <v>55</v>
      </c>
      <c r="C776" s="4" t="s">
        <v>19</v>
      </c>
      <c r="D776" s="4" t="s">
        <v>52</v>
      </c>
      <c r="E776" s="4" t="s">
        <v>40</v>
      </c>
      <c r="F776" s="4" t="s">
        <v>20</v>
      </c>
      <c r="G776" s="4" t="s">
        <v>1</v>
      </c>
      <c r="H776" s="5"/>
      <c r="I776" s="5"/>
      <c r="J776" s="5"/>
      <c r="K776" s="5"/>
      <c r="L776" s="5" cm="1">
        <f t="array" ref="L776">_xlfn.XLOOKUP(C776,[4]C5_LMA_DIAG!$A$49:$A$66,_xlfn.XLOOKUP(B776,[4]C5_LMA_DIAG!$A$49:$M$49,[4]C5_LMA_DIAG!$A$49:$M$66))</f>
        <v>0</v>
      </c>
      <c r="M776" s="5" cm="1">
        <f t="array" ref="M776">_xlfn.XLOOKUP(C776,[5]C6_LMA_DIAG!$A$46:$A$63,_xlfn.XLOOKUP(B776,[5]C6_LMA_DIAG!$A$46:$M$46,[5]C6_LMA_DIAG!$A$46:$M$63))</f>
        <v>0</v>
      </c>
      <c r="N776" s="5" cm="1">
        <f t="array" ref="N776">_xlfn.XLOOKUP(
  C776,
  [6]C6_LMA_DIAG!$A$52:$A$68,
  _xlfn.XLOOKUP(
    B776,
    [6]C6_LMA_DIAG!$B$51:$O$51,
    [6]C6_LMA_DIAG!$B$52:$O$68
  )
)</f>
        <v>0</v>
      </c>
      <c r="O776" s="20">
        <v>0</v>
      </c>
      <c r="P776" s="5">
        <v>0</v>
      </c>
    </row>
    <row r="777" spans="1:16" x14ac:dyDescent="0.3">
      <c r="A777" s="4" t="s">
        <v>69</v>
      </c>
      <c r="B777" s="4" t="s">
        <v>56</v>
      </c>
      <c r="C777" s="4" t="s">
        <v>19</v>
      </c>
      <c r="D777" s="4" t="s">
        <v>52</v>
      </c>
      <c r="E777" s="4" t="s">
        <v>40</v>
      </c>
      <c r="F777" s="4" t="s">
        <v>20</v>
      </c>
      <c r="G777" s="4" t="s">
        <v>1</v>
      </c>
      <c r="H777" s="5"/>
      <c r="I777" s="5"/>
      <c r="J777" s="5"/>
      <c r="K777" s="5"/>
      <c r="L777" s="5" cm="1">
        <f t="array" ref="L777">_xlfn.XLOOKUP(C777,[4]C5_LMA_DIAG!$A$49:$A$66,_xlfn.XLOOKUP(B777,[4]C5_LMA_DIAG!$A$49:$M$49,[4]C5_LMA_DIAG!$A$49:$M$66))</f>
        <v>0</v>
      </c>
      <c r="M777" s="5" cm="1">
        <f t="array" ref="M777">_xlfn.XLOOKUP(C777,[5]C6_LMA_DIAG!$A$46:$A$63,_xlfn.XLOOKUP(B777,[5]C6_LMA_DIAG!$A$46:$M$46,[5]C6_LMA_DIAG!$A$46:$M$63))</f>
        <v>0</v>
      </c>
      <c r="N777" s="5" cm="1">
        <f t="array" ref="N777">_xlfn.XLOOKUP(
  C777,
  [6]C6_LMA_DIAG!$A$52:$A$68,
  _xlfn.XLOOKUP(
    B777,
    [6]C6_LMA_DIAG!$B$51:$O$51,
    [6]C6_LMA_DIAG!$B$52:$O$68
  )
)</f>
        <v>0</v>
      </c>
      <c r="O777" s="20">
        <v>0</v>
      </c>
      <c r="P777" s="5">
        <v>0</v>
      </c>
    </row>
    <row r="778" spans="1:16" x14ac:dyDescent="0.3">
      <c r="A778" s="4" t="s">
        <v>69</v>
      </c>
      <c r="B778" s="4" t="s">
        <v>57</v>
      </c>
      <c r="C778" s="4" t="s">
        <v>19</v>
      </c>
      <c r="D778" s="4" t="s">
        <v>52</v>
      </c>
      <c r="E778" s="4" t="s">
        <v>40</v>
      </c>
      <c r="F778" s="4" t="s">
        <v>20</v>
      </c>
      <c r="G778" s="4" t="s">
        <v>1</v>
      </c>
      <c r="H778" s="5"/>
      <c r="I778" s="5"/>
      <c r="J778" s="5"/>
      <c r="K778" s="5"/>
      <c r="L778" s="5" cm="1">
        <f t="array" ref="L778">_xlfn.XLOOKUP(C778,[4]C5_LMA_DIAG!$A$49:$A$66,_xlfn.XLOOKUP(B778,[4]C5_LMA_DIAG!$A$49:$M$49,[4]C5_LMA_DIAG!$A$49:$M$66))</f>
        <v>0</v>
      </c>
      <c r="M778" s="5" cm="1">
        <f t="array" ref="M778">_xlfn.XLOOKUP(C778,[5]C6_LMA_DIAG!$A$46:$A$63,_xlfn.XLOOKUP(B778,[5]C6_LMA_DIAG!$A$46:$M$46,[5]C6_LMA_DIAG!$A$46:$M$63))</f>
        <v>0</v>
      </c>
      <c r="N778" s="5" cm="1">
        <f t="array" ref="N778">_xlfn.XLOOKUP(
  C778,
  [6]C6_LMA_DIAG!$A$52:$A$68,
  _xlfn.XLOOKUP(
    B778,
    [6]C6_LMA_DIAG!$B$51:$O$51,
    [6]C6_LMA_DIAG!$B$52:$O$68
  )
)</f>
        <v>0</v>
      </c>
      <c r="O778" s="20">
        <v>0</v>
      </c>
      <c r="P778" s="5">
        <v>0</v>
      </c>
    </row>
    <row r="779" spans="1:16" x14ac:dyDescent="0.3">
      <c r="A779" s="4" t="s">
        <v>69</v>
      </c>
      <c r="B779" s="4" t="s">
        <v>58</v>
      </c>
      <c r="C779" s="4" t="s">
        <v>19</v>
      </c>
      <c r="D779" s="4" t="s">
        <v>52</v>
      </c>
      <c r="E779" s="4" t="s">
        <v>40</v>
      </c>
      <c r="F779" s="4" t="s">
        <v>20</v>
      </c>
      <c r="G779" s="4" t="s">
        <v>1</v>
      </c>
      <c r="H779" s="5"/>
      <c r="I779" s="5"/>
      <c r="J779" s="5"/>
      <c r="K779" s="5"/>
      <c r="L779" s="5" cm="1">
        <f t="array" ref="L779">_xlfn.XLOOKUP(C779,[4]C5_LMA_DIAG!$A$49:$A$66,_xlfn.XLOOKUP(B779,[4]C5_LMA_DIAG!$A$49:$M$49,[4]C5_LMA_DIAG!$A$49:$M$66))</f>
        <v>0</v>
      </c>
      <c r="M779" s="5" cm="1">
        <f t="array" ref="M779">_xlfn.XLOOKUP(C779,[5]C6_LMA_DIAG!$A$46:$A$63,_xlfn.XLOOKUP(B779,[5]C6_LMA_DIAG!$A$46:$M$46,[5]C6_LMA_DIAG!$A$46:$M$63))</f>
        <v>0</v>
      </c>
      <c r="N779" s="5" cm="1">
        <f t="array" ref="N779">_xlfn.XLOOKUP(
  C779,
  [6]C6_LMA_DIAG!$A$52:$A$68,
  _xlfn.XLOOKUP(
    B779,
    [6]C6_LMA_DIAG!$B$51:$O$51,
    [6]C6_LMA_DIAG!$B$52:$O$68
  )
)</f>
        <v>0</v>
      </c>
      <c r="O779" s="20">
        <v>0</v>
      </c>
      <c r="P779" s="5">
        <v>0</v>
      </c>
    </row>
    <row r="780" spans="1:16" x14ac:dyDescent="0.3">
      <c r="A780" s="4" t="s">
        <v>69</v>
      </c>
      <c r="B780" s="4" t="s">
        <v>59</v>
      </c>
      <c r="C780" s="4" t="s">
        <v>19</v>
      </c>
      <c r="D780" s="4" t="s">
        <v>52</v>
      </c>
      <c r="E780" s="4" t="s">
        <v>40</v>
      </c>
      <c r="F780" s="4" t="s">
        <v>20</v>
      </c>
      <c r="G780" s="4" t="s">
        <v>1</v>
      </c>
      <c r="H780" s="5"/>
      <c r="I780" s="5"/>
      <c r="J780" s="5"/>
      <c r="K780" s="5"/>
      <c r="L780" s="5" cm="1">
        <f t="array" ref="L780">_xlfn.XLOOKUP(C780,[4]C5_LMA_DIAG!$A$49:$A$66,_xlfn.XLOOKUP(B780,[4]C5_LMA_DIAG!$A$49:$M$49,[4]C5_LMA_DIAG!$A$49:$M$66))</f>
        <v>0</v>
      </c>
      <c r="M780" s="5" cm="1">
        <f t="array" ref="M780">_xlfn.XLOOKUP(C780,[5]C6_LMA_DIAG!$A$46:$A$63,_xlfn.XLOOKUP(B780,[5]C6_LMA_DIAG!$A$46:$M$46,[5]C6_LMA_DIAG!$A$46:$M$63))</f>
        <v>0</v>
      </c>
      <c r="N780" s="5" cm="1">
        <f t="array" ref="N780">_xlfn.XLOOKUP(
  C780,
  [6]C6_LMA_DIAG!$A$52:$A$68,
  _xlfn.XLOOKUP(
    B780,
    [6]C6_LMA_DIAG!$B$51:$O$51,
    [6]C6_LMA_DIAG!$B$52:$O$68
  )
)</f>
        <v>0</v>
      </c>
      <c r="O780" s="20">
        <v>0</v>
      </c>
      <c r="P780" s="5">
        <v>0</v>
      </c>
    </row>
    <row r="781" spans="1:16" x14ac:dyDescent="0.3">
      <c r="A781" s="4" t="s">
        <v>69</v>
      </c>
      <c r="B781" s="4" t="s">
        <v>60</v>
      </c>
      <c r="C781" s="4" t="s">
        <v>19</v>
      </c>
      <c r="D781" s="4" t="s">
        <v>52</v>
      </c>
      <c r="E781" s="4" t="s">
        <v>40</v>
      </c>
      <c r="F781" s="4" t="s">
        <v>20</v>
      </c>
      <c r="G781" s="4" t="s">
        <v>1</v>
      </c>
      <c r="H781" s="5"/>
      <c r="I781" s="5"/>
      <c r="J781" s="5"/>
      <c r="K781" s="5"/>
      <c r="L781" s="5" cm="1">
        <f t="array" ref="L781">_xlfn.XLOOKUP(C781,[4]C5_LMA_DIAG!$A$49:$A$66,_xlfn.XLOOKUP(B781,[4]C5_LMA_DIAG!$A$49:$M$49,[4]C5_LMA_DIAG!$A$49:$M$66))</f>
        <v>0</v>
      </c>
      <c r="M781" s="5" cm="1">
        <f t="array" ref="M781">_xlfn.XLOOKUP(C781,[5]C6_LMA_DIAG!$A$46:$A$63,_xlfn.XLOOKUP(B781,[5]C6_LMA_DIAG!$A$46:$M$46,[5]C6_LMA_DIAG!$A$46:$M$63))</f>
        <v>0</v>
      </c>
      <c r="N781" s="5" cm="1">
        <f t="array" ref="N781">_xlfn.XLOOKUP(
  C781,
  [6]C6_LMA_DIAG!$A$52:$A$68,
  _xlfn.XLOOKUP(
    B781,
    [6]C6_LMA_DIAG!$B$51:$O$51,
    [6]C6_LMA_DIAG!$B$52:$O$68
  )
)</f>
        <v>0</v>
      </c>
      <c r="O781" s="20">
        <v>0</v>
      </c>
      <c r="P781" s="5">
        <v>0</v>
      </c>
    </row>
    <row r="782" spans="1:16" x14ac:dyDescent="0.3">
      <c r="A782" s="4" t="s">
        <v>69</v>
      </c>
      <c r="B782" s="4" t="s">
        <v>61</v>
      </c>
      <c r="C782" s="4" t="s">
        <v>19</v>
      </c>
      <c r="D782" s="4" t="s">
        <v>52</v>
      </c>
      <c r="E782" s="4" t="s">
        <v>40</v>
      </c>
      <c r="F782" s="4" t="s">
        <v>20</v>
      </c>
      <c r="G782" s="4" t="s">
        <v>1</v>
      </c>
      <c r="H782" s="5"/>
      <c r="I782" s="5"/>
      <c r="J782" s="5"/>
      <c r="K782" s="5"/>
      <c r="L782" s="5" cm="1">
        <f t="array" ref="L782">_xlfn.XLOOKUP(C782,[4]C5_LMA_DIAG!$A$49:$A$66,_xlfn.XLOOKUP(B782,[4]C5_LMA_DIAG!$A$49:$M$49,[4]C5_LMA_DIAG!$A$49:$M$66))</f>
        <v>0</v>
      </c>
      <c r="M782" s="5" cm="1">
        <f t="array" ref="M782">_xlfn.XLOOKUP(C782,[5]C6_LMA_DIAG!$A$46:$A$63,_xlfn.XLOOKUP(B782,[5]C6_LMA_DIAG!$A$46:$M$46,[5]C6_LMA_DIAG!$A$46:$M$63))</f>
        <v>0</v>
      </c>
      <c r="N782" s="5" cm="1">
        <f t="array" ref="N782">_xlfn.XLOOKUP(
  C782,
  [6]C6_LMA_DIAG!$A$52:$A$68,
  _xlfn.XLOOKUP(
    B782,
    [6]C6_LMA_DIAG!$B$51:$O$51,
    [6]C6_LMA_DIAG!$B$52:$O$68
  )
)</f>
        <v>0</v>
      </c>
      <c r="O782" s="20">
        <v>0</v>
      </c>
      <c r="P782" s="5">
        <v>0</v>
      </c>
    </row>
    <row r="783" spans="1:16" x14ac:dyDescent="0.3">
      <c r="A783" s="4" t="s">
        <v>69</v>
      </c>
      <c r="B783" s="4" t="s">
        <v>62</v>
      </c>
      <c r="C783" s="4" t="s">
        <v>19</v>
      </c>
      <c r="D783" s="4" t="s">
        <v>52</v>
      </c>
      <c r="E783" s="4" t="s">
        <v>40</v>
      </c>
      <c r="F783" s="4" t="s">
        <v>20</v>
      </c>
      <c r="G783" s="4" t="s">
        <v>1</v>
      </c>
      <c r="H783" s="5"/>
      <c r="I783" s="5"/>
      <c r="J783" s="5"/>
      <c r="K783" s="5"/>
      <c r="L783" s="5" cm="1">
        <f t="array" ref="L783">_xlfn.XLOOKUP(C783,[4]C5_LMA_DIAG!$A$49:$A$66,_xlfn.XLOOKUP(B783,[4]C5_LMA_DIAG!$A$49:$M$49,[4]C5_LMA_DIAG!$A$49:$M$66))</f>
        <v>0</v>
      </c>
      <c r="M783" s="5" cm="1">
        <f t="array" ref="M783">_xlfn.XLOOKUP(C783,[5]C6_LMA_DIAG!$A$46:$A$63,_xlfn.XLOOKUP(B783,[5]C6_LMA_DIAG!$A$46:$M$46,[5]C6_LMA_DIAG!$A$46:$M$63))</f>
        <v>0</v>
      </c>
      <c r="N783" s="5" cm="1">
        <f t="array" ref="N783">_xlfn.XLOOKUP(
  C783,
  [6]C6_LMA_DIAG!$A$52:$A$68,
  _xlfn.XLOOKUP(
    B783,
    [6]C6_LMA_DIAG!$B$51:$O$51,
    [6]C6_LMA_DIAG!$B$52:$O$68
  )
)</f>
        <v>0</v>
      </c>
      <c r="O783" s="20">
        <v>0</v>
      </c>
      <c r="P783" s="5">
        <v>0</v>
      </c>
    </row>
    <row r="784" spans="1:16" x14ac:dyDescent="0.3">
      <c r="A784" s="4" t="s">
        <v>69</v>
      </c>
      <c r="B784" s="4" t="s">
        <v>63</v>
      </c>
      <c r="C784" s="4" t="s">
        <v>19</v>
      </c>
      <c r="D784" s="4" t="s">
        <v>52</v>
      </c>
      <c r="E784" s="4" t="s">
        <v>40</v>
      </c>
      <c r="F784" s="4" t="s">
        <v>20</v>
      </c>
      <c r="G784" s="4" t="s">
        <v>1</v>
      </c>
      <c r="H784" s="5"/>
      <c r="I784" s="5"/>
      <c r="J784" s="5"/>
      <c r="K784" s="5"/>
      <c r="L784" s="5" cm="1">
        <f t="array" ref="L784">_xlfn.XLOOKUP(C784,[4]C5_LMA_DIAG!$A$49:$A$66,_xlfn.XLOOKUP(B784,[4]C5_LMA_DIAG!$A$49:$M$49,[4]C5_LMA_DIAG!$A$49:$M$66))</f>
        <v>0</v>
      </c>
      <c r="M784" s="5" cm="1">
        <f t="array" ref="M784">_xlfn.XLOOKUP(C784,[5]C6_LMA_DIAG!$A$46:$A$63,_xlfn.XLOOKUP(B784,[5]C6_LMA_DIAG!$A$46:$M$46,[5]C6_LMA_DIAG!$A$46:$M$63))</f>
        <v>0</v>
      </c>
      <c r="N784" s="5" cm="1">
        <f t="array" ref="N784">_xlfn.XLOOKUP(
  C784,
  [6]C6_LMA_DIAG!$A$52:$A$68,
  _xlfn.XLOOKUP(
    B784,
    [6]C6_LMA_DIAG!$B$51:$O$51,
    [6]C6_LMA_DIAG!$B$52:$O$68
  )
)</f>
        <v>0</v>
      </c>
      <c r="O784" s="20">
        <v>0</v>
      </c>
      <c r="P784" s="5">
        <v>0</v>
      </c>
    </row>
    <row r="785" spans="1:16" x14ac:dyDescent="0.3">
      <c r="A785" s="4" t="s">
        <v>69</v>
      </c>
      <c r="B785" s="4" t="s">
        <v>64</v>
      </c>
      <c r="C785" s="4" t="s">
        <v>19</v>
      </c>
      <c r="D785" s="4" t="s">
        <v>52</v>
      </c>
      <c r="E785" s="4" t="s">
        <v>40</v>
      </c>
      <c r="F785" s="4" t="s">
        <v>20</v>
      </c>
      <c r="G785" s="4" t="s">
        <v>1</v>
      </c>
      <c r="H785" s="5"/>
      <c r="I785" s="5"/>
      <c r="J785" s="5"/>
      <c r="K785" s="5"/>
      <c r="L785" s="5" cm="1">
        <f t="array" ref="L785">_xlfn.XLOOKUP(C785,[4]C5_LMA_DIAG!$A$49:$A$66,_xlfn.XLOOKUP(B785,[4]C5_LMA_DIAG!$A$49:$M$49,[4]C5_LMA_DIAG!$A$49:$M$66))</f>
        <v>0</v>
      </c>
      <c r="M785" s="5" cm="1">
        <f t="array" ref="M785">_xlfn.XLOOKUP(C785,[5]C6_LMA_DIAG!$A$46:$A$63,_xlfn.XLOOKUP(B785,[5]C6_LMA_DIAG!$A$46:$M$46,[5]C6_LMA_DIAG!$A$46:$M$63))</f>
        <v>0</v>
      </c>
      <c r="N785" s="5" cm="1">
        <f t="array" ref="N785">_xlfn.XLOOKUP(
  C785,
  [6]C6_LMA_DIAG!$A$52:$A$68,
  _xlfn.XLOOKUP(
    B785,
    [6]C6_LMA_DIAG!$B$51:$O$51,
    [6]C6_LMA_DIAG!$B$52:$O$68
  )
)</f>
        <v>0</v>
      </c>
      <c r="O785" s="20">
        <v>0</v>
      </c>
      <c r="P785" s="5">
        <v>0</v>
      </c>
    </row>
    <row r="786" spans="1:16" x14ac:dyDescent="0.3">
      <c r="A786" s="4" t="s">
        <v>69</v>
      </c>
      <c r="B786" s="4" t="s">
        <v>70</v>
      </c>
      <c r="C786" s="4" t="s">
        <v>19</v>
      </c>
      <c r="D786" s="4" t="s">
        <v>52</v>
      </c>
      <c r="E786" s="4" t="s">
        <v>40</v>
      </c>
      <c r="F786" s="4" t="s">
        <v>20</v>
      </c>
      <c r="G786" s="4" t="s">
        <v>1</v>
      </c>
      <c r="H786" s="5"/>
      <c r="I786" s="5"/>
      <c r="J786" s="5"/>
      <c r="K786" s="5"/>
      <c r="L786" s="5">
        <v>0</v>
      </c>
      <c r="M786" s="5">
        <v>0</v>
      </c>
      <c r="N786" s="5" cm="1">
        <f t="array" ref="N786">_xlfn.XLOOKUP(
  C786,
  [6]C6_LMA_DIAG!$A$52:$A$68,
  _xlfn.XLOOKUP(
    B786,
    [6]C6_LMA_DIAG!$B$51:$O$51,
    [6]C6_LMA_DIAG!$B$52:$O$68
  )
)</f>
        <v>0</v>
      </c>
      <c r="O786" s="20">
        <v>0</v>
      </c>
      <c r="P786" s="5">
        <v>0</v>
      </c>
    </row>
    <row r="787" spans="1:16" x14ac:dyDescent="0.3">
      <c r="A787" s="4"/>
      <c r="B787" s="18" t="s">
        <v>71</v>
      </c>
      <c r="C787" s="4" t="s">
        <v>19</v>
      </c>
      <c r="D787" s="4" t="s">
        <v>52</v>
      </c>
      <c r="E787" s="4" t="s">
        <v>40</v>
      </c>
      <c r="F787" s="4" t="s">
        <v>20</v>
      </c>
      <c r="G787" s="4" t="s">
        <v>1</v>
      </c>
      <c r="H787" s="5"/>
      <c r="I787" s="5"/>
      <c r="J787" s="5"/>
      <c r="K787" s="5"/>
      <c r="L787" s="5">
        <v>0</v>
      </c>
      <c r="M787" s="5">
        <v>0</v>
      </c>
      <c r="N787" s="5" cm="1">
        <f t="array" ref="N787">_xlfn.XLOOKUP(
  C787,
  [6]C6_LMA_DIAG!$A$52:$A$68,
  _xlfn.XLOOKUP(
    B787,
    [6]C6_LMA_DIAG!$B$51:$O$51,
    [6]C6_LMA_DIAG!$B$52:$O$68
  )
)</f>
        <v>0</v>
      </c>
      <c r="O787" s="20">
        <v>0</v>
      </c>
      <c r="P787" s="5">
        <v>0</v>
      </c>
    </row>
    <row r="788" spans="1:16" x14ac:dyDescent="0.3">
      <c r="A788" s="4" t="s">
        <v>69</v>
      </c>
      <c r="B788" s="4" t="s">
        <v>65</v>
      </c>
      <c r="C788" s="4" t="s">
        <v>19</v>
      </c>
      <c r="D788" s="4" t="s">
        <v>52</v>
      </c>
      <c r="E788" s="4" t="s">
        <v>40</v>
      </c>
      <c r="F788" s="4" t="s">
        <v>20</v>
      </c>
      <c r="G788" s="4" t="s">
        <v>1</v>
      </c>
      <c r="H788" s="5"/>
      <c r="I788" s="5"/>
      <c r="J788" s="5"/>
      <c r="K788" s="5"/>
      <c r="L788" s="5" cm="1">
        <f t="array" ref="L788">_xlfn.XLOOKUP(C788,[4]C5_LMA_DIAG!$A$49:$A$66,_xlfn.XLOOKUP(B788,[4]C5_LMA_DIAG!$A$49:$M$49,[4]C5_LMA_DIAG!$A$49:$M$66))</f>
        <v>0</v>
      </c>
      <c r="M788" s="5" cm="1">
        <f t="array" ref="M788">_xlfn.XLOOKUP(C788,[5]C6_LMA_DIAG!$A$46:$A$63,_xlfn.XLOOKUP(B788,[5]C6_LMA_DIAG!$A$46:$M$46,[5]C6_LMA_DIAG!$A$46:$M$63))</f>
        <v>0</v>
      </c>
      <c r="N788" s="5" cm="1">
        <f t="array" ref="N788">_xlfn.XLOOKUP(
  C788,
  [6]C6_LMA_DIAG!$A$52:$A$68,
  _xlfn.XLOOKUP(
    B788,
    [6]C6_LMA_DIAG!$B$51:$O$51,
    [6]C6_LMA_DIAG!$B$52:$O$68
  )
)</f>
        <v>0</v>
      </c>
      <c r="O788" s="20">
        <v>0</v>
      </c>
      <c r="P788" s="5">
        <v>0</v>
      </c>
    </row>
    <row r="789" spans="1:16" x14ac:dyDescent="0.3">
      <c r="A789" s="4" t="s">
        <v>69</v>
      </c>
      <c r="B789" s="4" t="s">
        <v>19</v>
      </c>
      <c r="C789" s="4" t="s">
        <v>19</v>
      </c>
      <c r="D789" s="4" t="s">
        <v>52</v>
      </c>
      <c r="E789" s="4" t="s">
        <v>40</v>
      </c>
      <c r="F789" s="4" t="s">
        <v>20</v>
      </c>
      <c r="G789" s="4" t="s">
        <v>1</v>
      </c>
      <c r="H789" s="5"/>
      <c r="I789" s="5"/>
      <c r="J789" s="5"/>
      <c r="K789" s="5"/>
      <c r="L789" s="5" cm="1">
        <f t="array" ref="L789">_xlfn.XLOOKUP(C789,[4]C5_LMA_DIAG!$A$49:$A$66,_xlfn.XLOOKUP(B789,[4]C5_LMA_DIAG!$A$49:$M$49,[4]C5_LMA_DIAG!$A$49:$M$66))</f>
        <v>0</v>
      </c>
      <c r="M789" s="5" cm="1">
        <f t="array" ref="M789">_xlfn.XLOOKUP(C789,[5]C6_LMA_DIAG!$A$46:$A$63,_xlfn.XLOOKUP(B789,[5]C6_LMA_DIAG!$A$46:$M$46,[5]C6_LMA_DIAG!$A$46:$M$63))</f>
        <v>0</v>
      </c>
      <c r="N789" s="5" cm="1">
        <f t="array" ref="N789">_xlfn.XLOOKUP(
  C789,
  [6]C6_LMA_DIAG!$A$52:$A$68,
  _xlfn.XLOOKUP(
    B789,
    [6]C6_LMA_DIAG!$B$51:$O$51,
    [6]C6_LMA_DIAG!$B$52:$O$68
  )
)</f>
        <v>0</v>
      </c>
      <c r="O789" s="20">
        <v>0</v>
      </c>
      <c r="P789" s="5">
        <v>0</v>
      </c>
    </row>
    <row r="790" spans="1:16" x14ac:dyDescent="0.3">
      <c r="A790" s="15" t="s">
        <v>69</v>
      </c>
      <c r="B790" s="15" t="s">
        <v>55</v>
      </c>
      <c r="C790" s="15" t="s">
        <v>22</v>
      </c>
      <c r="D790" s="15" t="s">
        <v>52</v>
      </c>
      <c r="E790" s="15" t="s">
        <v>40</v>
      </c>
      <c r="F790" s="15" t="s">
        <v>20</v>
      </c>
      <c r="G790" s="15" t="s">
        <v>9</v>
      </c>
      <c r="H790" s="16"/>
      <c r="I790" s="16"/>
      <c r="J790" s="16"/>
      <c r="K790" s="16"/>
      <c r="L790" s="16" cm="1">
        <f t="array" ref="L790">_xlfn.XLOOKUP(C790,[4]C5_LMA_DIAG!$P$49:$P$66,_xlfn.XLOOKUP(B790,[4]C5_LMA_DIAG!$P$49:$AB$49,[4]C5_LMA_DIAG!$P$49:$AB$66))</f>
        <v>1214.3623704309111</v>
      </c>
      <c r="M790" s="16" cm="1">
        <f t="array" ref="M790">_xlfn.XLOOKUP(C790,[5]C6_LMA_DIAG!$P$46:$P$63,_xlfn.XLOOKUP(B790,[5]C6_LMA_DIAG!$P$46:$AB$46,[5]C6_LMA_DIAG!$P$46:$AB$63))</f>
        <v>1152.757006691764</v>
      </c>
      <c r="N790" s="16" cm="1">
        <f t="array" ref="N790">_xlfn.XLOOKUP(C790,[6]C6_LMA_DIAG!$R$51:$R$68,_xlfn.XLOOKUP(B790,[6]C6_LMA_DIAG!$R$51:$AF$51,[6]C6_LMA_DIAG!$R$51:$AF$68))</f>
        <v>875.42</v>
      </c>
      <c r="O790" s="20" cm="1">
        <f t="array" ref="O790:O1027">_xlfn.TOCOL([1]C5_LMT_DIAG!$S$52:$AF$68)</f>
        <v>1639</v>
      </c>
      <c r="P790" s="16" cm="1">
        <f t="array" ref="P790:P1027">_xlfn.TOCOL([7]C6_LMA_DIAG!$T$52:$AG$68)</f>
        <v>1701</v>
      </c>
    </row>
    <row r="791" spans="1:16" x14ac:dyDescent="0.3">
      <c r="A791" s="15" t="s">
        <v>69</v>
      </c>
      <c r="B791" s="15" t="s">
        <v>56</v>
      </c>
      <c r="C791" s="15" t="s">
        <v>22</v>
      </c>
      <c r="D791" s="15" t="s">
        <v>52</v>
      </c>
      <c r="E791" s="15" t="s">
        <v>40</v>
      </c>
      <c r="F791" s="15" t="s">
        <v>20</v>
      </c>
      <c r="G791" s="15" t="s">
        <v>9</v>
      </c>
      <c r="H791" s="16"/>
      <c r="I791" s="16"/>
      <c r="J791" s="16"/>
      <c r="K791" s="16"/>
      <c r="L791" s="16" cm="1">
        <f t="array" ref="L791">_xlfn.XLOOKUP(C791,[4]C5_LMA_DIAG!$P$49:$P$66,_xlfn.XLOOKUP(B791,[4]C5_LMA_DIAG!$P$49:$AB$49,[4]C5_LMA_DIAG!$P$49:$AB$66))</f>
        <v>1530.3674482382114</v>
      </c>
      <c r="M791" s="16" cm="1">
        <f t="array" ref="M791">_xlfn.XLOOKUP(C791,[5]C6_LMA_DIAG!$P$46:$P$63,_xlfn.XLOOKUP(B791,[5]C6_LMA_DIAG!$P$46:$AB$46,[5]C6_LMA_DIAG!$P$46:$AB$63))</f>
        <v>1511.0661909373569</v>
      </c>
      <c r="N791" s="16" cm="1">
        <f t="array" ref="N791">_xlfn.XLOOKUP(C791,[6]C6_LMA_DIAG!$R$51:$R$68,_xlfn.XLOOKUP(B791,[6]C6_LMA_DIAG!$R$51:$AF$51,[6]C6_LMA_DIAG!$R$51:$AF$68))</f>
        <v>984.84</v>
      </c>
      <c r="O791" s="20">
        <v>1236</v>
      </c>
      <c r="P791" s="16">
        <v>1199</v>
      </c>
    </row>
    <row r="792" spans="1:16" x14ac:dyDescent="0.3">
      <c r="A792" s="15" t="s">
        <v>69</v>
      </c>
      <c r="B792" s="15" t="s">
        <v>57</v>
      </c>
      <c r="C792" s="15" t="s">
        <v>22</v>
      </c>
      <c r="D792" s="15" t="s">
        <v>52</v>
      </c>
      <c r="E792" s="15" t="s">
        <v>40</v>
      </c>
      <c r="F792" s="15" t="s">
        <v>20</v>
      </c>
      <c r="G792" s="15" t="s">
        <v>9</v>
      </c>
      <c r="H792" s="16"/>
      <c r="I792" s="16"/>
      <c r="J792" s="16"/>
      <c r="K792" s="16"/>
      <c r="L792" s="16" cm="1">
        <f t="array" ref="L792">_xlfn.XLOOKUP(C792,[4]C5_LMA_DIAG!$P$49:$P$66,_xlfn.XLOOKUP(B792,[4]C5_LMA_DIAG!$P$49:$AB$49,[4]C5_LMA_DIAG!$P$49:$AB$66))</f>
        <v>2850.0648446048895</v>
      </c>
      <c r="M792" s="16" cm="1">
        <f t="array" ref="M792">_xlfn.XLOOKUP(C792,[5]C6_LMA_DIAG!$P$46:$P$63,_xlfn.XLOOKUP(B792,[5]C6_LMA_DIAG!$P$46:$AB$46,[5]C6_LMA_DIAG!$P$46:$AB$63))</f>
        <v>2898.7800397573783</v>
      </c>
      <c r="N792" s="16" cm="1">
        <f t="array" ref="N792">_xlfn.XLOOKUP(C792,[6]C6_LMA_DIAG!$R$51:$R$68,_xlfn.XLOOKUP(B792,[6]C6_LMA_DIAG!$R$51:$AF$51,[6]C6_LMA_DIAG!$R$51:$AF$68))</f>
        <v>713.52</v>
      </c>
      <c r="O792" s="20">
        <v>614</v>
      </c>
      <c r="P792" s="16">
        <v>1681</v>
      </c>
    </row>
    <row r="793" spans="1:16" x14ac:dyDescent="0.3">
      <c r="A793" s="15" t="s">
        <v>69</v>
      </c>
      <c r="B793" s="15" t="s">
        <v>58</v>
      </c>
      <c r="C793" s="15" t="s">
        <v>22</v>
      </c>
      <c r="D793" s="15" t="s">
        <v>52</v>
      </c>
      <c r="E793" s="15" t="s">
        <v>40</v>
      </c>
      <c r="F793" s="15" t="s">
        <v>20</v>
      </c>
      <c r="G793" s="15" t="s">
        <v>9</v>
      </c>
      <c r="H793" s="16"/>
      <c r="I793" s="16"/>
      <c r="J793" s="16"/>
      <c r="K793" s="16"/>
      <c r="L793" s="16" cm="1">
        <f t="array" ref="L793">_xlfn.XLOOKUP(C793,[4]C5_LMA_DIAG!$P$49:$P$66,_xlfn.XLOOKUP(B793,[4]C5_LMA_DIAG!$P$49:$AB$49,[4]C5_LMA_DIAG!$P$49:$AB$66))</f>
        <v>747.87868414394393</v>
      </c>
      <c r="M793" s="16" cm="1">
        <f t="array" ref="M793">_xlfn.XLOOKUP(C793,[5]C6_LMA_DIAG!$P$46:$P$63,_xlfn.XLOOKUP(B793,[5]C6_LMA_DIAG!$P$46:$AB$46,[5]C6_LMA_DIAG!$P$46:$AB$63))</f>
        <v>884.02511850756923</v>
      </c>
      <c r="N793" s="16" cm="1">
        <f t="array" ref="N793">_xlfn.XLOOKUP(C793,[6]C6_LMA_DIAG!$R$51:$R$68,_xlfn.XLOOKUP(B793,[6]C6_LMA_DIAG!$R$51:$AF$51,[6]C6_LMA_DIAG!$R$51:$AF$68))</f>
        <v>683.54</v>
      </c>
      <c r="O793" s="20">
        <v>709</v>
      </c>
      <c r="P793" s="16">
        <v>768</v>
      </c>
    </row>
    <row r="794" spans="1:16" x14ac:dyDescent="0.3">
      <c r="A794" s="15" t="s">
        <v>69</v>
      </c>
      <c r="B794" s="15" t="s">
        <v>59</v>
      </c>
      <c r="C794" s="15" t="s">
        <v>22</v>
      </c>
      <c r="D794" s="15" t="s">
        <v>52</v>
      </c>
      <c r="E794" s="15" t="s">
        <v>40</v>
      </c>
      <c r="F794" s="15" t="s">
        <v>20</v>
      </c>
      <c r="G794" s="15" t="s">
        <v>9</v>
      </c>
      <c r="H794" s="16"/>
      <c r="I794" s="16"/>
      <c r="J794" s="16"/>
      <c r="K794" s="16"/>
      <c r="L794" s="16" cm="1">
        <f t="array" ref="L794">_xlfn.XLOOKUP(C794,[4]C5_LMA_DIAG!$P$49:$P$66,_xlfn.XLOOKUP(B794,[4]C5_LMA_DIAG!$P$49:$AB$49,[4]C5_LMA_DIAG!$P$49:$AB$66))</f>
        <v>1268.5346694835912</v>
      </c>
      <c r="M794" s="16" cm="1">
        <f t="array" ref="M794">_xlfn.XLOOKUP(C794,[5]C6_LMA_DIAG!$P$46:$P$63,_xlfn.XLOOKUP(B794,[5]C6_LMA_DIAG!$P$46:$AB$46,[5]C6_LMA_DIAG!$P$46:$AB$63))</f>
        <v>1444.9845790887844</v>
      </c>
      <c r="N794" s="16" cm="1">
        <f t="array" ref="N794">_xlfn.XLOOKUP(C794,[6]C6_LMA_DIAG!$R$51:$R$68,_xlfn.XLOOKUP(B794,[6]C6_LMA_DIAG!$R$51:$AF$51,[6]C6_LMA_DIAG!$R$51:$AF$68))</f>
        <v>674.55</v>
      </c>
      <c r="O794" s="20">
        <v>439</v>
      </c>
      <c r="P794" s="16">
        <v>622</v>
      </c>
    </row>
    <row r="795" spans="1:16" x14ac:dyDescent="0.3">
      <c r="A795" s="15" t="s">
        <v>69</v>
      </c>
      <c r="B795" s="15" t="s">
        <v>60</v>
      </c>
      <c r="C795" s="15" t="s">
        <v>22</v>
      </c>
      <c r="D795" s="15" t="s">
        <v>52</v>
      </c>
      <c r="E795" s="15" t="s">
        <v>40</v>
      </c>
      <c r="F795" s="15" t="s">
        <v>20</v>
      </c>
      <c r="G795" s="15" t="s">
        <v>9</v>
      </c>
      <c r="H795" s="16"/>
      <c r="I795" s="16"/>
      <c r="J795" s="16"/>
      <c r="K795" s="16"/>
      <c r="L795" s="16" cm="1">
        <f t="array" ref="L795">_xlfn.XLOOKUP(C795,[4]C5_LMA_DIAG!$P$49:$P$66,_xlfn.XLOOKUP(B795,[4]C5_LMA_DIAG!$P$49:$AB$49,[4]C5_LMA_DIAG!$P$49:$AB$66))</f>
        <v>1601.0923942236548</v>
      </c>
      <c r="M795" s="16" cm="1">
        <f t="array" ref="M795">_xlfn.XLOOKUP(C795,[5]C6_LMA_DIAG!$P$46:$P$63,_xlfn.XLOOKUP(B795,[5]C6_LMA_DIAG!$P$46:$AB$46,[5]C6_LMA_DIAG!$P$46:$AB$63))</f>
        <v>1766.581756751837</v>
      </c>
      <c r="N795" s="16" cm="1">
        <f t="array" ref="N795">_xlfn.XLOOKUP(C795,[6]C6_LMA_DIAG!$R$51:$R$68,_xlfn.XLOOKUP(B795,[6]C6_LMA_DIAG!$R$51:$AF$51,[6]C6_LMA_DIAG!$R$51:$AF$68))</f>
        <v>810.96</v>
      </c>
      <c r="O795" s="20">
        <v>730</v>
      </c>
      <c r="P795" s="16">
        <v>951</v>
      </c>
    </row>
    <row r="796" spans="1:16" x14ac:dyDescent="0.3">
      <c r="A796" s="15" t="s">
        <v>69</v>
      </c>
      <c r="B796" s="15" t="s">
        <v>61</v>
      </c>
      <c r="C796" s="15" t="s">
        <v>22</v>
      </c>
      <c r="D796" s="15" t="s">
        <v>52</v>
      </c>
      <c r="E796" s="15" t="s">
        <v>40</v>
      </c>
      <c r="F796" s="15" t="s">
        <v>20</v>
      </c>
      <c r="G796" s="15" t="s">
        <v>9</v>
      </c>
      <c r="H796" s="16"/>
      <c r="I796" s="16"/>
      <c r="J796" s="16"/>
      <c r="K796" s="16"/>
      <c r="L796" s="16" cm="1">
        <f t="array" ref="L796">_xlfn.XLOOKUP(C796,[4]C5_LMA_DIAG!$P$49:$P$66,_xlfn.XLOOKUP(B796,[4]C5_LMA_DIAG!$P$49:$AB$49,[4]C5_LMA_DIAG!$P$49:$AB$66))</f>
        <v>433.37839242144037</v>
      </c>
      <c r="M796" s="16" cm="1">
        <f t="array" ref="M796">_xlfn.XLOOKUP(C796,[5]C6_LMA_DIAG!$P$46:$P$63,_xlfn.XLOOKUP(B796,[5]C6_LMA_DIAG!$P$46:$AB$46,[5]C6_LMA_DIAG!$P$46:$AB$63))</f>
        <v>348.02982240248161</v>
      </c>
      <c r="N796" s="16" cm="1">
        <f t="array" ref="N796">_xlfn.XLOOKUP(C796,[6]C6_LMA_DIAG!$R$51:$R$68,_xlfn.XLOOKUP(B796,[6]C6_LMA_DIAG!$R$51:$AF$51,[6]C6_LMA_DIAG!$R$51:$AF$68))</f>
        <v>259.33</v>
      </c>
      <c r="O796" s="20">
        <v>175</v>
      </c>
      <c r="P796" s="16">
        <v>188</v>
      </c>
    </row>
    <row r="797" spans="1:16" x14ac:dyDescent="0.3">
      <c r="A797" s="15" t="s">
        <v>69</v>
      </c>
      <c r="B797" s="15" t="s">
        <v>62</v>
      </c>
      <c r="C797" s="15" t="s">
        <v>22</v>
      </c>
      <c r="D797" s="15" t="s">
        <v>52</v>
      </c>
      <c r="E797" s="15" t="s">
        <v>40</v>
      </c>
      <c r="F797" s="15" t="s">
        <v>20</v>
      </c>
      <c r="G797" s="15" t="s">
        <v>9</v>
      </c>
      <c r="H797" s="16"/>
      <c r="I797" s="16"/>
      <c r="J797" s="16"/>
      <c r="K797" s="16"/>
      <c r="L797" s="16" cm="1">
        <f t="array" ref="L797">_xlfn.XLOOKUP(C797,[4]C5_LMA_DIAG!$P$49:$P$66,_xlfn.XLOOKUP(B797,[4]C5_LMA_DIAG!$P$49:$AB$49,[4]C5_LMA_DIAG!$P$49:$AB$66))</f>
        <v>589.87614524029379</v>
      </c>
      <c r="M797" s="16" cm="1">
        <f t="array" ref="M797">_xlfn.XLOOKUP(C797,[5]C6_LMA_DIAG!$P$46:$P$63,_xlfn.XLOOKUP(B797,[5]C6_LMA_DIAG!$P$46:$AB$46,[5]C6_LMA_DIAG!$P$46:$AB$63))</f>
        <v>560.95946058121513</v>
      </c>
      <c r="N797" s="16" cm="1">
        <f t="array" ref="N797">_xlfn.XLOOKUP(C797,[6]C6_LMA_DIAG!$R$51:$R$68,_xlfn.XLOOKUP(B797,[6]C6_LMA_DIAG!$R$51:$AF$51,[6]C6_LMA_DIAG!$R$51:$AF$68))</f>
        <v>310.29000000000002</v>
      </c>
      <c r="O797" s="20">
        <v>358</v>
      </c>
      <c r="P797" s="16">
        <v>376</v>
      </c>
    </row>
    <row r="798" spans="1:16" x14ac:dyDescent="0.3">
      <c r="A798" s="15" t="s">
        <v>69</v>
      </c>
      <c r="B798" s="15" t="s">
        <v>63</v>
      </c>
      <c r="C798" s="15" t="s">
        <v>22</v>
      </c>
      <c r="D798" s="15" t="s">
        <v>52</v>
      </c>
      <c r="E798" s="15" t="s">
        <v>40</v>
      </c>
      <c r="F798" s="15" t="s">
        <v>20</v>
      </c>
      <c r="G798" s="15" t="s">
        <v>9</v>
      </c>
      <c r="H798" s="16"/>
      <c r="I798" s="16"/>
      <c r="J798" s="16"/>
      <c r="K798" s="16"/>
      <c r="L798" s="16" cm="1">
        <f t="array" ref="L798">_xlfn.XLOOKUP(C798,[4]C5_LMA_DIAG!$P$49:$P$66,_xlfn.XLOOKUP(B798,[4]C5_LMA_DIAG!$P$49:$AB$49,[4]C5_LMA_DIAG!$P$49:$AB$66))</f>
        <v>580.8474287315139</v>
      </c>
      <c r="M798" s="16" cm="1">
        <f t="array" ref="M798">_xlfn.XLOOKUP(C798,[5]C6_LMA_DIAG!$P$46:$P$63,_xlfn.XLOOKUP(B798,[5]C6_LMA_DIAG!$P$46:$AB$46,[5]C6_LMA_DIAG!$P$46:$AB$63))</f>
        <v>571.23882242432637</v>
      </c>
      <c r="N798" s="16" cm="1">
        <f t="array" ref="N798">_xlfn.XLOOKUP(C798,[6]C6_LMA_DIAG!$R$51:$R$68,_xlfn.XLOOKUP(B798,[6]C6_LMA_DIAG!$R$51:$AF$51,[6]C6_LMA_DIAG!$R$51:$AF$68))</f>
        <v>347.77</v>
      </c>
      <c r="O798" s="20">
        <v>344</v>
      </c>
      <c r="P798" s="16">
        <v>329</v>
      </c>
    </row>
    <row r="799" spans="1:16" x14ac:dyDescent="0.3">
      <c r="A799" s="15" t="s">
        <v>69</v>
      </c>
      <c r="B799" s="15" t="s">
        <v>64</v>
      </c>
      <c r="C799" s="15" t="s">
        <v>22</v>
      </c>
      <c r="D799" s="15" t="s">
        <v>52</v>
      </c>
      <c r="E799" s="15" t="s">
        <v>40</v>
      </c>
      <c r="F799" s="15" t="s">
        <v>20</v>
      </c>
      <c r="G799" s="15" t="s">
        <v>9</v>
      </c>
      <c r="H799" s="16"/>
      <c r="I799" s="16"/>
      <c r="J799" s="16"/>
      <c r="K799" s="16"/>
      <c r="L799" s="16" cm="1">
        <f t="array" ref="L799">_xlfn.XLOOKUP(C799,[4]C5_LMA_DIAG!$P$49:$P$66,_xlfn.XLOOKUP(B799,[4]C5_LMA_DIAG!$P$49:$AB$49,[4]C5_LMA_DIAG!$P$49:$AB$66))</f>
        <v>303.96678912892696</v>
      </c>
      <c r="M799" s="16" cm="1">
        <f t="array" ref="M799">_xlfn.XLOOKUP(C799,[5]C6_LMA_DIAG!$P$46:$P$63,_xlfn.XLOOKUP(B799,[5]C6_LMA_DIAG!$P$46:$AB$46,[5]C6_LMA_DIAG!$P$46:$AB$63))</f>
        <v>309.84933555663974</v>
      </c>
      <c r="N799" s="16" cm="1">
        <f t="array" ref="N799">_xlfn.XLOOKUP(C799,[6]C6_LMA_DIAG!$R$51:$R$68,_xlfn.XLOOKUP(B799,[6]C6_LMA_DIAG!$R$51:$AF$51,[6]C6_LMA_DIAG!$R$51:$AF$68))</f>
        <v>181.38</v>
      </c>
      <c r="O799" s="20">
        <v>137</v>
      </c>
      <c r="P799" s="16">
        <v>170</v>
      </c>
    </row>
    <row r="800" spans="1:16" x14ac:dyDescent="0.3">
      <c r="A800" s="15" t="s">
        <v>69</v>
      </c>
      <c r="B800" s="15" t="s">
        <v>70</v>
      </c>
      <c r="C800" s="15" t="s">
        <v>22</v>
      </c>
      <c r="D800" s="15" t="s">
        <v>52</v>
      </c>
      <c r="E800" s="15" t="s">
        <v>40</v>
      </c>
      <c r="F800" s="15" t="s">
        <v>20</v>
      </c>
      <c r="G800" s="15" t="s">
        <v>9</v>
      </c>
      <c r="H800" s="16"/>
      <c r="I800" s="16"/>
      <c r="J800" s="16"/>
      <c r="K800" s="16"/>
      <c r="L800" s="16" t="e" cm="1">
        <f t="array" ref="L800">_xlfn.XLOOKUP(C800,[4]C5_LMA_DIAG!$P$49:$P$66,_xlfn.XLOOKUP(B800,[4]C5_LMA_DIAG!$P$49:$AB$49,[4]C5_LMA_DIAG!$P$49:$AB$66))</f>
        <v>#N/A</v>
      </c>
      <c r="M800" s="16">
        <v>0</v>
      </c>
      <c r="N800" s="16" cm="1">
        <f t="array" ref="N800">_xlfn.XLOOKUP(C800,[6]C6_LMA_DIAG!$R$51:$R$68,_xlfn.XLOOKUP(B800,[6]C6_LMA_DIAG!$R$51:$AF$51,[6]C6_LMA_DIAG!$R$51:$AF$68))</f>
        <v>1644.41</v>
      </c>
      <c r="O800" s="20">
        <v>1406</v>
      </c>
      <c r="P800" s="16">
        <v>2772</v>
      </c>
    </row>
    <row r="801" spans="1:16" x14ac:dyDescent="0.3">
      <c r="A801" s="15"/>
      <c r="B801" s="18" t="s">
        <v>71</v>
      </c>
      <c r="C801" s="15" t="s">
        <v>22</v>
      </c>
      <c r="D801" s="15" t="s">
        <v>52</v>
      </c>
      <c r="E801" s="15" t="s">
        <v>40</v>
      </c>
      <c r="F801" s="15" t="s">
        <v>20</v>
      </c>
      <c r="G801" s="15" t="s">
        <v>9</v>
      </c>
      <c r="H801" s="16"/>
      <c r="I801" s="16"/>
      <c r="J801" s="16"/>
      <c r="K801" s="16"/>
      <c r="L801" s="16" t="e" cm="1">
        <f t="array" ref="L801">_xlfn.XLOOKUP(C801,[4]C5_LMA_DIAG!$P$49:$P$66,_xlfn.XLOOKUP(B801,[4]C5_LMA_DIAG!$P$49:$AB$49,[4]C5_LMA_DIAG!$P$49:$AB$66))</f>
        <v>#N/A</v>
      </c>
      <c r="M801" s="16">
        <v>0</v>
      </c>
      <c r="N801" s="16" cm="1">
        <f t="array" ref="N801">_xlfn.XLOOKUP(C801,[6]C6_LMA_DIAG!$R$51:$R$68,_xlfn.XLOOKUP(B801,[6]C6_LMA_DIAG!$R$51:$AF$51,[6]C6_LMA_DIAG!$R$51:$AF$68))</f>
        <v>106.43</v>
      </c>
      <c r="O801" s="20">
        <v>152</v>
      </c>
      <c r="P801" s="16">
        <v>0</v>
      </c>
    </row>
    <row r="802" spans="1:16" x14ac:dyDescent="0.3">
      <c r="A802" s="15" t="s">
        <v>69</v>
      </c>
      <c r="B802" s="15" t="s">
        <v>65</v>
      </c>
      <c r="C802" s="15" t="s">
        <v>22</v>
      </c>
      <c r="D802" s="15" t="s">
        <v>52</v>
      </c>
      <c r="E802" s="15" t="s">
        <v>40</v>
      </c>
      <c r="F802" s="15" t="s">
        <v>20</v>
      </c>
      <c r="G802" s="15" t="s">
        <v>9</v>
      </c>
      <c r="H802" s="16"/>
      <c r="I802" s="16"/>
      <c r="J802" s="16"/>
      <c r="K802" s="16"/>
      <c r="L802" s="16" cm="1">
        <f t="array" ref="L802">_xlfn.XLOOKUP(C802,[4]C5_LMA_DIAG!$P$49:$P$66,_xlfn.XLOOKUP(B802,[4]C5_LMA_DIAG!$P$49:$AB$49,[4]C5_LMA_DIAG!$P$49:$AB$66))</f>
        <v>1607.1115385628416</v>
      </c>
      <c r="M802" s="16" cm="1">
        <f t="array" ref="M802">_xlfn.XLOOKUP(C802,[5]C6_LMA_DIAG!$P$46:$P$63,_xlfn.XLOOKUP(B802,[5]C6_LMA_DIAG!$P$46:$AB$46,[5]C6_LMA_DIAG!$P$46:$AB$63))</f>
        <v>1558.0575593630085</v>
      </c>
      <c r="N802" s="16" cm="1">
        <f t="array" ref="N802">_xlfn.XLOOKUP(C802,[6]C6_LMA_DIAG!$R$51:$R$68,_xlfn.XLOOKUP(B802,[6]C6_LMA_DIAG!$R$51:$AF$51,[6]C6_LMA_DIAG!$R$51:$AF$68))</f>
        <v>908.4</v>
      </c>
      <c r="O802" s="20">
        <v>1247</v>
      </c>
      <c r="P802" s="16">
        <v>1129</v>
      </c>
    </row>
    <row r="803" spans="1:16" x14ac:dyDescent="0.3">
      <c r="A803" s="15" t="s">
        <v>69</v>
      </c>
      <c r="B803" s="15" t="s">
        <v>19</v>
      </c>
      <c r="C803" s="15" t="s">
        <v>22</v>
      </c>
      <c r="D803" s="15" t="s">
        <v>52</v>
      </c>
      <c r="E803" s="15" t="s">
        <v>40</v>
      </c>
      <c r="F803" s="15" t="s">
        <v>20</v>
      </c>
      <c r="G803" s="15" t="s">
        <v>9</v>
      </c>
      <c r="H803" s="16"/>
      <c r="I803" s="16"/>
      <c r="J803" s="16"/>
      <c r="K803" s="16"/>
      <c r="L803" s="16" cm="1">
        <f t="array" ref="L803">_xlfn.XLOOKUP(C803,[4]C5_LMA_DIAG!$P$49:$P$66,_xlfn.XLOOKUP(B803,[4]C5_LMA_DIAG!$P$49:$AB$49,[4]C5_LMA_DIAG!$P$49:$AB$66))</f>
        <v>0</v>
      </c>
      <c r="M803" s="16" cm="1">
        <f t="array" ref="M803">_xlfn.XLOOKUP(C803,[5]C6_LMA_DIAG!$P$46:$P$63,_xlfn.XLOOKUP(B803,[5]C6_LMA_DIAG!$P$46:$AB$46,[5]C6_LMA_DIAG!$P$46:$AB$63))</f>
        <v>4.4054407899048309</v>
      </c>
      <c r="N803" s="16" cm="1">
        <f t="array" ref="N803">_xlfn.XLOOKUP(C803,[6]C6_LMA_DIAG!$R$51:$R$68,_xlfn.XLOOKUP(B803,[6]C6_LMA_DIAG!$R$51:$AF$51,[6]C6_LMA_DIAG!$R$51:$AF$68))</f>
        <v>0</v>
      </c>
      <c r="O803" s="20">
        <v>1</v>
      </c>
      <c r="P803" s="16">
        <v>1</v>
      </c>
    </row>
    <row r="804" spans="1:16" x14ac:dyDescent="0.3">
      <c r="A804" s="26" t="s">
        <v>69</v>
      </c>
      <c r="B804" s="26" t="s">
        <v>55</v>
      </c>
      <c r="C804" s="26" t="s">
        <v>23</v>
      </c>
      <c r="D804" s="26" t="s">
        <v>52</v>
      </c>
      <c r="E804" s="26" t="s">
        <v>40</v>
      </c>
      <c r="F804" s="26" t="s">
        <v>20</v>
      </c>
      <c r="G804" s="26" t="s">
        <v>9</v>
      </c>
      <c r="H804" s="27"/>
      <c r="I804" s="27"/>
      <c r="J804" s="27"/>
      <c r="K804" s="27"/>
      <c r="L804" s="16" cm="1">
        <f t="array" ref="L804">_xlfn.XLOOKUP(C804,[4]C5_LMA_DIAG!$P$49:$P$66,_xlfn.XLOOKUP(B804,[4]C5_LMA_DIAG!$P$49:$AB$49,[4]C5_LMA_DIAG!$P$49:$AB$66))</f>
        <v>4169.7622409715668</v>
      </c>
      <c r="M804" s="16" cm="1">
        <f t="array" ref="M804">_xlfn.XLOOKUP(C804,[5]C6_LMA_DIAG!$P$46:$P$63,_xlfn.XLOOKUP(B804,[5]C6_LMA_DIAG!$P$46:$AB$46,[5]C6_LMA_DIAG!$P$46:$AB$63))</f>
        <v>4439.2158359607674</v>
      </c>
      <c r="N804" s="16" cm="1">
        <f t="array" ref="N804">_xlfn.XLOOKUP(C804,[6]C6_LMA_DIAG!$R$51:$R$68,_xlfn.XLOOKUP(B804,[6]C6_LMA_DIAG!$R$51:$AF$51,[6]C6_LMA_DIAG!$R$51:$AF$68))</f>
        <v>4898.74</v>
      </c>
      <c r="O804" s="20">
        <v>8411</v>
      </c>
      <c r="P804" s="27">
        <v>8499</v>
      </c>
    </row>
    <row r="805" spans="1:16" x14ac:dyDescent="0.3">
      <c r="A805" s="26" t="s">
        <v>69</v>
      </c>
      <c r="B805" s="26" t="s">
        <v>56</v>
      </c>
      <c r="C805" s="26" t="s">
        <v>23</v>
      </c>
      <c r="D805" s="26" t="s">
        <v>52</v>
      </c>
      <c r="E805" s="26" t="s">
        <v>40</v>
      </c>
      <c r="F805" s="26" t="s">
        <v>20</v>
      </c>
      <c r="G805" s="26" t="s">
        <v>9</v>
      </c>
      <c r="H805" s="27"/>
      <c r="I805" s="27"/>
      <c r="J805" s="27"/>
      <c r="K805" s="27"/>
      <c r="L805" s="16" cm="1">
        <f t="array" ref="L805">_xlfn.XLOOKUP(C805,[4]C5_LMA_DIAG!$P$49:$P$66,_xlfn.XLOOKUP(B805,[4]C5_LMA_DIAG!$P$49:$AB$49,[4]C5_LMA_DIAG!$P$49:$AB$66))</f>
        <v>5180.9784899549277</v>
      </c>
      <c r="M805" s="16" cm="1">
        <f t="array" ref="M805">_xlfn.XLOOKUP(C805,[5]C6_LMA_DIAG!$P$46:$P$63,_xlfn.XLOOKUP(B805,[5]C6_LMA_DIAG!$P$46:$AB$46,[5]C6_LMA_DIAG!$P$46:$AB$63))</f>
        <v>5204.2940531409067</v>
      </c>
      <c r="N805" s="16" cm="1">
        <f t="array" ref="N805">_xlfn.XLOOKUP(C805,[6]C6_LMA_DIAG!$R$51:$R$68,_xlfn.XLOOKUP(B805,[6]C6_LMA_DIAG!$R$51:$AF$51,[6]C6_LMA_DIAG!$R$51:$AF$68))</f>
        <v>4317.13</v>
      </c>
      <c r="O805" s="20">
        <v>5756</v>
      </c>
      <c r="P805" s="27">
        <v>5601</v>
      </c>
    </row>
    <row r="806" spans="1:16" x14ac:dyDescent="0.3">
      <c r="A806" s="26" t="s">
        <v>69</v>
      </c>
      <c r="B806" s="26" t="s">
        <v>57</v>
      </c>
      <c r="C806" s="26" t="s">
        <v>23</v>
      </c>
      <c r="D806" s="26" t="s">
        <v>52</v>
      </c>
      <c r="E806" s="26" t="s">
        <v>40</v>
      </c>
      <c r="F806" s="26" t="s">
        <v>20</v>
      </c>
      <c r="G806" s="26" t="s">
        <v>9</v>
      </c>
      <c r="H806" s="27"/>
      <c r="I806" s="27"/>
      <c r="J806" s="27"/>
      <c r="K806" s="27"/>
      <c r="L806" s="16" cm="1">
        <f t="array" ref="L806">_xlfn.XLOOKUP(C806,[4]C5_LMA_DIAG!$P$49:$P$66,_xlfn.XLOOKUP(B806,[4]C5_LMA_DIAG!$P$49:$AB$49,[4]C5_LMA_DIAG!$P$49:$AB$66))</f>
        <v>4172.7718131411602</v>
      </c>
      <c r="M806" s="16" cm="1">
        <f t="array" ref="M806">_xlfn.XLOOKUP(C806,[5]C6_LMA_DIAG!$P$46:$P$63,_xlfn.XLOOKUP(B806,[5]C6_LMA_DIAG!$P$46:$AB$46,[5]C6_LMA_DIAG!$P$46:$AB$63))</f>
        <v>4737.3173294109947</v>
      </c>
      <c r="N806" s="16" cm="1">
        <f t="array" ref="N806">_xlfn.XLOOKUP(C806,[6]C6_LMA_DIAG!$R$51:$R$68,_xlfn.XLOOKUP(B806,[6]C6_LMA_DIAG!$R$51:$AF$51,[6]C6_LMA_DIAG!$R$51:$AF$68))</f>
        <v>2008.66</v>
      </c>
      <c r="O806" s="20">
        <v>1856</v>
      </c>
      <c r="P806" s="27">
        <v>3888</v>
      </c>
    </row>
    <row r="807" spans="1:16" x14ac:dyDescent="0.3">
      <c r="A807" s="26" t="s">
        <v>69</v>
      </c>
      <c r="B807" s="26" t="s">
        <v>58</v>
      </c>
      <c r="C807" s="26" t="s">
        <v>23</v>
      </c>
      <c r="D807" s="26" t="s">
        <v>52</v>
      </c>
      <c r="E807" s="26" t="s">
        <v>40</v>
      </c>
      <c r="F807" s="26" t="s">
        <v>20</v>
      </c>
      <c r="G807" s="26" t="s">
        <v>9</v>
      </c>
      <c r="H807" s="27"/>
      <c r="I807" s="27"/>
      <c r="J807" s="27"/>
      <c r="K807" s="27"/>
      <c r="L807" s="16" cm="1">
        <f t="array" ref="L807">_xlfn.XLOOKUP(C807,[4]C5_LMA_DIAG!$P$49:$P$66,_xlfn.XLOOKUP(B807,[4]C5_LMA_DIAG!$P$49:$AB$49,[4]C5_LMA_DIAG!$P$49:$AB$66))</f>
        <v>2479.8874677449089</v>
      </c>
      <c r="M807" s="16" cm="1">
        <f t="array" ref="M807">_xlfn.XLOOKUP(C807,[5]C6_LMA_DIAG!$P$46:$P$63,_xlfn.XLOOKUP(B807,[5]C6_LMA_DIAG!$P$46:$AB$46,[5]C6_LMA_DIAG!$P$46:$AB$63))</f>
        <v>2697.5982436850582</v>
      </c>
      <c r="N807" s="16" cm="1">
        <f t="array" ref="N807">_xlfn.XLOOKUP(C807,[6]C6_LMA_DIAG!$R$51:$R$68,_xlfn.XLOOKUP(B807,[6]C6_LMA_DIAG!$R$51:$AF$51,[6]C6_LMA_DIAG!$R$51:$AF$68))</f>
        <v>1815.29</v>
      </c>
      <c r="O807" s="20">
        <v>2261</v>
      </c>
      <c r="P807" s="27">
        <v>2523</v>
      </c>
    </row>
    <row r="808" spans="1:16" x14ac:dyDescent="0.3">
      <c r="A808" s="26" t="s">
        <v>69</v>
      </c>
      <c r="B808" s="26" t="s">
        <v>59</v>
      </c>
      <c r="C808" s="26" t="s">
        <v>23</v>
      </c>
      <c r="D808" s="26" t="s">
        <v>52</v>
      </c>
      <c r="E808" s="26" t="s">
        <v>40</v>
      </c>
      <c r="F808" s="26" t="s">
        <v>20</v>
      </c>
      <c r="G808" s="26" t="s">
        <v>9</v>
      </c>
      <c r="H808" s="27"/>
      <c r="I808" s="27"/>
      <c r="J808" s="27"/>
      <c r="K808" s="27"/>
      <c r="L808" s="16" cm="1">
        <f t="array" ref="L808">_xlfn.XLOOKUP(C808,[4]C5_LMA_DIAG!$P$49:$P$66,_xlfn.XLOOKUP(B808,[4]C5_LMA_DIAG!$P$49:$AB$49,[4]C5_LMA_DIAG!$P$49:$AB$66))</f>
        <v>1906.5639694373783</v>
      </c>
      <c r="M808" s="16" cm="1">
        <f t="array" ref="M808">_xlfn.XLOOKUP(C808,[5]C6_LMA_DIAG!$P$46:$P$63,_xlfn.XLOOKUP(B808,[5]C6_LMA_DIAG!$P$46:$AB$46,[5]C6_LMA_DIAG!$P$46:$AB$63))</f>
        <v>2185.0986317927959</v>
      </c>
      <c r="N808" s="16" cm="1">
        <f t="array" ref="N808">_xlfn.XLOOKUP(C808,[6]C6_LMA_DIAG!$R$51:$R$68,_xlfn.XLOOKUP(B808,[6]C6_LMA_DIAG!$R$51:$AF$51,[6]C6_LMA_DIAG!$R$51:$AF$68))</f>
        <v>1205.2</v>
      </c>
      <c r="O808" s="20">
        <v>894</v>
      </c>
      <c r="P808" s="27">
        <v>1244</v>
      </c>
    </row>
    <row r="809" spans="1:16" x14ac:dyDescent="0.3">
      <c r="A809" s="26" t="s">
        <v>69</v>
      </c>
      <c r="B809" s="26" t="s">
        <v>60</v>
      </c>
      <c r="C809" s="26" t="s">
        <v>23</v>
      </c>
      <c r="D809" s="26" t="s">
        <v>52</v>
      </c>
      <c r="E809" s="26" t="s">
        <v>40</v>
      </c>
      <c r="F809" s="26" t="s">
        <v>20</v>
      </c>
      <c r="G809" s="26" t="s">
        <v>9</v>
      </c>
      <c r="H809" s="27"/>
      <c r="I809" s="27"/>
      <c r="J809" s="27"/>
      <c r="K809" s="27"/>
      <c r="L809" s="16" cm="1">
        <f t="array" ref="L809">_xlfn.XLOOKUP(C809,[4]C5_LMA_DIAG!$P$49:$P$66,_xlfn.XLOOKUP(B809,[4]C5_LMA_DIAG!$P$49:$AB$49,[4]C5_LMA_DIAG!$P$49:$AB$66))</f>
        <v>2612.3086432070158</v>
      </c>
      <c r="M809" s="16" cm="1">
        <f t="array" ref="M809">_xlfn.XLOOKUP(C809,[5]C6_LMA_DIAG!$P$46:$P$63,_xlfn.XLOOKUP(B809,[5]C6_LMA_DIAG!$P$46:$AB$46,[5]C6_LMA_DIAG!$P$46:$AB$63))</f>
        <v>2612.4263884135644</v>
      </c>
      <c r="N809" s="16" cm="1">
        <f t="array" ref="N809">_xlfn.XLOOKUP(C809,[6]C6_LMA_DIAG!$R$51:$R$68,_xlfn.XLOOKUP(B809,[6]C6_LMA_DIAG!$R$51:$AF$51,[6]C6_LMA_DIAG!$R$51:$AF$68))</f>
        <v>1605.43</v>
      </c>
      <c r="O809" s="20">
        <v>1674</v>
      </c>
      <c r="P809" s="27">
        <v>1819</v>
      </c>
    </row>
    <row r="810" spans="1:16" x14ac:dyDescent="0.3">
      <c r="A810" s="26" t="s">
        <v>69</v>
      </c>
      <c r="B810" s="26" t="s">
        <v>61</v>
      </c>
      <c r="C810" s="26" t="s">
        <v>23</v>
      </c>
      <c r="D810" s="26" t="s">
        <v>52</v>
      </c>
      <c r="E810" s="26" t="s">
        <v>40</v>
      </c>
      <c r="F810" s="26" t="s">
        <v>20</v>
      </c>
      <c r="G810" s="26" t="s">
        <v>9</v>
      </c>
      <c r="H810" s="27"/>
      <c r="I810" s="27"/>
      <c r="J810" s="27"/>
      <c r="K810" s="27"/>
      <c r="L810" s="16" cm="1">
        <f t="array" ref="L810">_xlfn.XLOOKUP(C810,[4]C5_LMA_DIAG!$P$49:$P$66,_xlfn.XLOOKUP(B810,[4]C5_LMA_DIAG!$P$49:$AB$49,[4]C5_LMA_DIAG!$P$49:$AB$66))</f>
        <v>729.82125112638403</v>
      </c>
      <c r="M810" s="16" cm="1">
        <f t="array" ref="M810">_xlfn.XLOOKUP(C810,[5]C6_LMA_DIAG!$P$46:$P$63,_xlfn.XLOOKUP(B810,[5]C6_LMA_DIAG!$P$46:$AB$46,[5]C6_LMA_DIAG!$P$46:$AB$63))</f>
        <v>582.98666453073929</v>
      </c>
      <c r="N810" s="16" cm="1">
        <f t="array" ref="N810">_xlfn.XLOOKUP(C810,[6]C6_LMA_DIAG!$R$51:$R$68,_xlfn.XLOOKUP(B810,[6]C6_LMA_DIAG!$R$51:$AF$51,[6]C6_LMA_DIAG!$R$51:$AF$68))</f>
        <v>314.79000000000002</v>
      </c>
      <c r="O810" s="20">
        <v>288</v>
      </c>
      <c r="P810" s="27">
        <v>230</v>
      </c>
    </row>
    <row r="811" spans="1:16" x14ac:dyDescent="0.3">
      <c r="A811" s="26" t="s">
        <v>69</v>
      </c>
      <c r="B811" s="26" t="s">
        <v>62</v>
      </c>
      <c r="C811" s="26" t="s">
        <v>23</v>
      </c>
      <c r="D811" s="26" t="s">
        <v>52</v>
      </c>
      <c r="E811" s="26" t="s">
        <v>40</v>
      </c>
      <c r="F811" s="26" t="s">
        <v>20</v>
      </c>
      <c r="G811" s="26" t="s">
        <v>9</v>
      </c>
      <c r="H811" s="27"/>
      <c r="I811" s="27"/>
      <c r="J811" s="27"/>
      <c r="K811" s="27"/>
      <c r="L811" s="16" cm="1">
        <f t="array" ref="L811">_xlfn.XLOOKUP(C811,[4]C5_LMA_DIAG!$P$49:$P$66,_xlfn.XLOOKUP(B811,[4]C5_LMA_DIAG!$P$49:$AB$49,[4]C5_LMA_DIAG!$P$49:$AB$66))</f>
        <v>1122.5704192583144</v>
      </c>
      <c r="M811" s="16" cm="1">
        <f t="array" ref="M811">_xlfn.XLOOKUP(C811,[5]C6_LMA_DIAG!$P$46:$P$63,_xlfn.XLOOKUP(B811,[5]C6_LMA_DIAG!$P$46:$AB$46,[5]C6_LMA_DIAG!$P$46:$AB$63))</f>
        <v>1077.8645132633817</v>
      </c>
      <c r="N811" s="16" cm="1">
        <f t="array" ref="N811">_xlfn.XLOOKUP(C811,[6]C6_LMA_DIAG!$R$51:$R$68,_xlfn.XLOOKUP(B811,[6]C6_LMA_DIAG!$R$51:$AF$51,[6]C6_LMA_DIAG!$R$51:$AF$68))</f>
        <v>698.53</v>
      </c>
      <c r="O811" s="20">
        <v>676</v>
      </c>
      <c r="P811" s="27">
        <v>799</v>
      </c>
    </row>
    <row r="812" spans="1:16" x14ac:dyDescent="0.3">
      <c r="A812" s="26" t="s">
        <v>69</v>
      </c>
      <c r="B812" s="26" t="s">
        <v>63</v>
      </c>
      <c r="C812" s="26" t="s">
        <v>23</v>
      </c>
      <c r="D812" s="26" t="s">
        <v>52</v>
      </c>
      <c r="E812" s="26" t="s">
        <v>40</v>
      </c>
      <c r="F812" s="26" t="s">
        <v>20</v>
      </c>
      <c r="G812" s="26" t="s">
        <v>9</v>
      </c>
      <c r="H812" s="27"/>
      <c r="I812" s="27"/>
      <c r="J812" s="27"/>
      <c r="K812" s="27"/>
      <c r="L812" s="16" cm="1">
        <f t="array" ref="L812">_xlfn.XLOOKUP(C812,[4]C5_LMA_DIAG!$P$49:$P$66,_xlfn.XLOOKUP(B812,[4]C5_LMA_DIAG!$P$49:$AB$49,[4]C5_LMA_DIAG!$P$49:$AB$66))</f>
        <v>847.19456574052413</v>
      </c>
      <c r="M812" s="16" cm="1">
        <f t="array" ref="M812">_xlfn.XLOOKUP(C812,[5]C6_LMA_DIAG!$P$46:$P$63,_xlfn.XLOOKUP(B812,[5]C6_LMA_DIAG!$P$46:$AB$46,[5]C6_LMA_DIAG!$P$46:$AB$63))</f>
        <v>976.53937509557068</v>
      </c>
      <c r="N812" s="16" cm="1">
        <f t="array" ref="N812">_xlfn.XLOOKUP(C812,[6]C6_LMA_DIAG!$R$51:$R$68,_xlfn.XLOOKUP(B812,[6]C6_LMA_DIAG!$R$51:$AF$51,[6]C6_LMA_DIAG!$R$51:$AF$68))</f>
        <v>704.53</v>
      </c>
      <c r="O812" s="20">
        <v>653</v>
      </c>
      <c r="P812" s="27">
        <v>765</v>
      </c>
    </row>
    <row r="813" spans="1:16" x14ac:dyDescent="0.3">
      <c r="A813" s="26" t="s">
        <v>69</v>
      </c>
      <c r="B813" s="26" t="s">
        <v>64</v>
      </c>
      <c r="C813" s="26" t="s">
        <v>23</v>
      </c>
      <c r="D813" s="26" t="s">
        <v>52</v>
      </c>
      <c r="E813" s="26" t="s">
        <v>40</v>
      </c>
      <c r="F813" s="26" t="s">
        <v>20</v>
      </c>
      <c r="G813" s="26" t="s">
        <v>9</v>
      </c>
      <c r="H813" s="27"/>
      <c r="I813" s="27"/>
      <c r="J813" s="27"/>
      <c r="K813" s="27"/>
      <c r="L813" s="16" cm="1">
        <f t="array" ref="L813">_xlfn.XLOOKUP(C813,[4]C5_LMA_DIAG!$P$49:$P$66,_xlfn.XLOOKUP(B813,[4]C5_LMA_DIAG!$P$49:$AB$49,[4]C5_LMA_DIAG!$P$49:$AB$66))</f>
        <v>722.29732070240061</v>
      </c>
      <c r="M813" s="16" cm="1">
        <f t="array" ref="M813">_xlfn.XLOOKUP(C813,[5]C6_LMA_DIAG!$P$46:$P$63,_xlfn.XLOOKUP(B813,[5]C6_LMA_DIAG!$P$46:$AB$46,[5]C6_LMA_DIAG!$P$46:$AB$63))</f>
        <v>750.3934145471228</v>
      </c>
      <c r="N813" s="16" cm="1">
        <f t="array" ref="N813">_xlfn.XLOOKUP(C813,[6]C6_LMA_DIAG!$R$51:$R$68,_xlfn.XLOOKUP(B813,[6]C6_LMA_DIAG!$R$51:$AF$51,[6]C6_LMA_DIAG!$R$51:$AF$68))</f>
        <v>557.63</v>
      </c>
      <c r="O813" s="20">
        <v>543</v>
      </c>
      <c r="P813" s="27">
        <v>562</v>
      </c>
    </row>
    <row r="814" spans="1:16" x14ac:dyDescent="0.3">
      <c r="A814" s="26" t="s">
        <v>69</v>
      </c>
      <c r="B814" s="26" t="s">
        <v>70</v>
      </c>
      <c r="C814" s="26" t="s">
        <v>23</v>
      </c>
      <c r="D814" s="26" t="s">
        <v>52</v>
      </c>
      <c r="E814" s="26" t="s">
        <v>40</v>
      </c>
      <c r="F814" s="26" t="s">
        <v>20</v>
      </c>
      <c r="G814" s="26" t="s">
        <v>9</v>
      </c>
      <c r="H814" s="27"/>
      <c r="I814" s="27"/>
      <c r="J814" s="27"/>
      <c r="K814" s="27"/>
      <c r="L814" s="16">
        <v>0</v>
      </c>
      <c r="M814" s="16">
        <v>0</v>
      </c>
      <c r="N814" s="16" cm="1">
        <f t="array" ref="N814">_xlfn.XLOOKUP(C814,[6]C6_LMA_DIAG!$R$51:$R$68,_xlfn.XLOOKUP(B814,[6]C6_LMA_DIAG!$R$51:$AF$51,[6]C6_LMA_DIAG!$R$51:$AF$68))</f>
        <v>4660.3999999999996</v>
      </c>
      <c r="O814" s="20">
        <v>6276</v>
      </c>
      <c r="P814" s="27">
        <v>7936</v>
      </c>
    </row>
    <row r="815" spans="1:16" x14ac:dyDescent="0.3">
      <c r="A815" s="26"/>
      <c r="B815" s="18" t="s">
        <v>71</v>
      </c>
      <c r="C815" s="26" t="s">
        <v>23</v>
      </c>
      <c r="D815" s="26" t="s">
        <v>52</v>
      </c>
      <c r="E815" s="26" t="s">
        <v>40</v>
      </c>
      <c r="F815" s="26" t="s">
        <v>20</v>
      </c>
      <c r="G815" s="26" t="s">
        <v>9</v>
      </c>
      <c r="H815" s="27"/>
      <c r="I815" s="27"/>
      <c r="J815" s="27"/>
      <c r="K815" s="27"/>
      <c r="L815" s="16">
        <v>0</v>
      </c>
      <c r="M815" s="16">
        <v>0</v>
      </c>
      <c r="N815" s="16" cm="1">
        <f t="array" ref="N815">_xlfn.XLOOKUP(C815,[6]C6_LMA_DIAG!$R$51:$R$68,_xlfn.XLOOKUP(B815,[6]C6_LMA_DIAG!$R$51:$AF$51,[6]C6_LMA_DIAG!$R$51:$AF$68))</f>
        <v>416.72</v>
      </c>
      <c r="O815" s="20">
        <v>347</v>
      </c>
      <c r="P815" s="27">
        <v>0</v>
      </c>
    </row>
    <row r="816" spans="1:16" x14ac:dyDescent="0.3">
      <c r="A816" s="26" t="s">
        <v>69</v>
      </c>
      <c r="B816" s="26" t="s">
        <v>65</v>
      </c>
      <c r="C816" s="26" t="s">
        <v>23</v>
      </c>
      <c r="D816" s="26" t="s">
        <v>52</v>
      </c>
      <c r="E816" s="26" t="s">
        <v>40</v>
      </c>
      <c r="F816" s="26" t="s">
        <v>20</v>
      </c>
      <c r="G816" s="26" t="s">
        <v>9</v>
      </c>
      <c r="H816" s="27"/>
      <c r="I816" s="27"/>
      <c r="J816" s="27"/>
      <c r="K816" s="27"/>
      <c r="L816" s="16" cm="1">
        <f t="array" ref="L816">_xlfn.XLOOKUP(C816,[4]C5_LMA_DIAG!$P$49:$P$66,_xlfn.XLOOKUP(B816,[4]C5_LMA_DIAG!$P$49:$AB$49,[4]C5_LMA_DIAG!$P$49:$AB$66))</f>
        <v>3303.0054561286861</v>
      </c>
      <c r="M816" s="16" cm="1">
        <f t="array" ref="M816">_xlfn.XLOOKUP(C816,[5]C6_LMA_DIAG!$P$46:$P$63,_xlfn.XLOOKUP(B816,[5]C6_LMA_DIAG!$P$46:$AB$46,[5]C6_LMA_DIAG!$P$46:$AB$63))</f>
        <v>3537.5689542935788</v>
      </c>
      <c r="N816" s="16" cm="1">
        <f t="array" ref="N816">_xlfn.XLOOKUP(C816,[6]C6_LMA_DIAG!$R$51:$R$68,_xlfn.XLOOKUP(B816,[6]C6_LMA_DIAG!$R$51:$AF$51,[6]C6_LMA_DIAG!$R$51:$AF$68))</f>
        <v>2414.89</v>
      </c>
      <c r="O816" s="20">
        <v>3430</v>
      </c>
      <c r="P816" s="27">
        <v>3142</v>
      </c>
    </row>
    <row r="817" spans="1:16" x14ac:dyDescent="0.3">
      <c r="A817" s="26" t="s">
        <v>69</v>
      </c>
      <c r="B817" s="26" t="s">
        <v>19</v>
      </c>
      <c r="C817" s="26" t="s">
        <v>23</v>
      </c>
      <c r="D817" s="26" t="s">
        <v>52</v>
      </c>
      <c r="E817" s="26" t="s">
        <v>40</v>
      </c>
      <c r="F817" s="26" t="s">
        <v>20</v>
      </c>
      <c r="G817" s="26" t="s">
        <v>9</v>
      </c>
      <c r="H817" s="27"/>
      <c r="I817" s="27"/>
      <c r="J817" s="27"/>
      <c r="K817" s="27"/>
      <c r="L817" s="16" cm="1">
        <f t="array" ref="L817">_xlfn.XLOOKUP(C817,[4]C5_LMA_DIAG!$P$49:$P$66,_xlfn.XLOOKUP(B817,[4]C5_LMA_DIAG!$P$49:$AB$49,[4]C5_LMA_DIAG!$P$49:$AB$66))</f>
        <v>0</v>
      </c>
      <c r="M817" s="16" cm="1">
        <f t="array" ref="M817">_xlfn.XLOOKUP(C817,[5]C6_LMA_DIAG!$P$46:$P$63,_xlfn.XLOOKUP(B817,[5]C6_LMA_DIAG!$P$46:$AB$46,[5]C6_LMA_DIAG!$P$46:$AB$63))</f>
        <v>1.4684802633016101</v>
      </c>
      <c r="N817" s="16" cm="1">
        <f t="array" ref="N817">_xlfn.XLOOKUP(C817,[6]C6_LMA_DIAG!$R$51:$R$68,_xlfn.XLOOKUP(B817,[6]C6_LMA_DIAG!$R$51:$AF$51,[6]C6_LMA_DIAG!$R$51:$AF$68))</f>
        <v>1.5</v>
      </c>
      <c r="O817" s="20">
        <v>0</v>
      </c>
      <c r="P817" s="27">
        <v>18</v>
      </c>
    </row>
    <row r="818" spans="1:16" x14ac:dyDescent="0.3">
      <c r="A818" s="15" t="s">
        <v>69</v>
      </c>
      <c r="B818" s="15" t="s">
        <v>55</v>
      </c>
      <c r="C818" s="15" t="s">
        <v>24</v>
      </c>
      <c r="D818" s="15" t="s">
        <v>52</v>
      </c>
      <c r="E818" s="15" t="s">
        <v>40</v>
      </c>
      <c r="F818" s="15" t="s">
        <v>20</v>
      </c>
      <c r="G818" s="15" t="s">
        <v>9</v>
      </c>
      <c r="H818" s="16"/>
      <c r="I818" s="16"/>
      <c r="J818" s="16"/>
      <c r="K818" s="16"/>
      <c r="L818" s="16" cm="1">
        <f t="array" ref="L818">_xlfn.XLOOKUP(C818,[4]C5_LMA_DIAG!$P$49:$P$66,_xlfn.XLOOKUP(B818,[4]C5_LMA_DIAG!$P$49:$AB$49,[4]C5_LMA_DIAG!$P$49:$AB$66))</f>
        <v>8407.239855758984</v>
      </c>
      <c r="M818" s="16" cm="1">
        <f t="array" ref="M818">_xlfn.XLOOKUP(C818,[5]C6_LMA_DIAG!$P$46:$P$63,_xlfn.XLOOKUP(B818,[5]C6_LMA_DIAG!$P$46:$AB$46,[5]C6_LMA_DIAG!$P$46:$AB$63))</f>
        <v>11095.836869506966</v>
      </c>
      <c r="N818" s="16" cm="1">
        <f t="array" ref="N818">_xlfn.XLOOKUP(C818,[6]C6_LMA_DIAG!$R$51:$R$68,_xlfn.XLOOKUP(B818,[6]C6_LMA_DIAG!$R$51:$AF$51,[6]C6_LMA_DIAG!$R$51:$AF$68))</f>
        <v>12308.31</v>
      </c>
      <c r="O818" s="20">
        <v>19548</v>
      </c>
      <c r="P818" s="16">
        <v>16851</v>
      </c>
    </row>
    <row r="819" spans="1:16" x14ac:dyDescent="0.3">
      <c r="A819" s="15" t="s">
        <v>69</v>
      </c>
      <c r="B819" s="15" t="s">
        <v>56</v>
      </c>
      <c r="C819" s="15" t="s">
        <v>24</v>
      </c>
      <c r="D819" s="15" t="s">
        <v>52</v>
      </c>
      <c r="E819" s="15" t="s">
        <v>40</v>
      </c>
      <c r="F819" s="15" t="s">
        <v>20</v>
      </c>
      <c r="G819" s="15" t="s">
        <v>9</v>
      </c>
      <c r="H819" s="16"/>
      <c r="I819" s="16"/>
      <c r="J819" s="16"/>
      <c r="K819" s="16"/>
      <c r="L819" s="16" cm="1">
        <f t="array" ref="L819">_xlfn.XLOOKUP(C819,[4]C5_LMA_DIAG!$P$49:$P$66,_xlfn.XLOOKUP(B819,[4]C5_LMA_DIAG!$P$49:$AB$49,[4]C5_LMA_DIAG!$P$49:$AB$66))</f>
        <v>16035.000519593295</v>
      </c>
      <c r="M819" s="16" cm="1">
        <f t="array" ref="M819">_xlfn.XLOOKUP(C819,[5]C6_LMA_DIAG!$P$46:$P$63,_xlfn.XLOOKUP(B819,[5]C6_LMA_DIAG!$P$46:$AB$46,[5]C6_LMA_DIAG!$P$46:$AB$63))</f>
        <v>16858.153422702482</v>
      </c>
      <c r="N819" s="16" cm="1">
        <f t="array" ref="N819">_xlfn.XLOOKUP(C819,[6]C6_LMA_DIAG!$R$51:$R$68,_xlfn.XLOOKUP(B819,[6]C6_LMA_DIAG!$R$51:$AF$51,[6]C6_LMA_DIAG!$R$51:$AF$68))</f>
        <v>12591.62</v>
      </c>
      <c r="O819" s="20">
        <v>14550</v>
      </c>
      <c r="P819" s="16">
        <v>14357</v>
      </c>
    </row>
    <row r="820" spans="1:16" x14ac:dyDescent="0.3">
      <c r="A820" s="15" t="s">
        <v>69</v>
      </c>
      <c r="B820" s="15" t="s">
        <v>57</v>
      </c>
      <c r="C820" s="15" t="s">
        <v>24</v>
      </c>
      <c r="D820" s="15" t="s">
        <v>52</v>
      </c>
      <c r="E820" s="15" t="s">
        <v>40</v>
      </c>
      <c r="F820" s="15" t="s">
        <v>20</v>
      </c>
      <c r="G820" s="15" t="s">
        <v>9</v>
      </c>
      <c r="H820" s="16"/>
      <c r="I820" s="16"/>
      <c r="J820" s="16"/>
      <c r="K820" s="16"/>
      <c r="L820" s="16" cm="1">
        <f t="array" ref="L820">_xlfn.XLOOKUP(C820,[4]C5_LMA_DIAG!$P$49:$P$66,_xlfn.XLOOKUP(B820,[4]C5_LMA_DIAG!$P$49:$AB$49,[4]C5_LMA_DIAG!$P$49:$AB$66))</f>
        <v>11219.685048243957</v>
      </c>
      <c r="M820" s="16" cm="1">
        <f t="array" ref="M820">_xlfn.XLOOKUP(C820,[5]C6_LMA_DIAG!$P$46:$P$63,_xlfn.XLOOKUP(B820,[5]C6_LMA_DIAG!$P$46:$AB$46,[5]C6_LMA_DIAG!$P$46:$AB$63))</f>
        <v>12718.507560455246</v>
      </c>
      <c r="N820" s="16" cm="1">
        <f t="array" ref="N820">_xlfn.XLOOKUP(C820,[6]C6_LMA_DIAG!$R$51:$R$68,_xlfn.XLOOKUP(B820,[6]C6_LMA_DIAG!$R$51:$AF$51,[6]C6_LMA_DIAG!$R$51:$AF$68))</f>
        <v>6727.52</v>
      </c>
      <c r="O820" s="20">
        <v>5254</v>
      </c>
      <c r="P820" s="16">
        <v>10461</v>
      </c>
    </row>
    <row r="821" spans="1:16" x14ac:dyDescent="0.3">
      <c r="A821" s="15" t="s">
        <v>69</v>
      </c>
      <c r="B821" s="15" t="s">
        <v>58</v>
      </c>
      <c r="C821" s="15" t="s">
        <v>24</v>
      </c>
      <c r="D821" s="15" t="s">
        <v>52</v>
      </c>
      <c r="E821" s="15" t="s">
        <v>40</v>
      </c>
      <c r="F821" s="15" t="s">
        <v>20</v>
      </c>
      <c r="G821" s="15" t="s">
        <v>9</v>
      </c>
      <c r="H821" s="16"/>
      <c r="I821" s="16"/>
      <c r="J821" s="16"/>
      <c r="K821" s="16"/>
      <c r="L821" s="16" cm="1">
        <f t="array" ref="L821">_xlfn.XLOOKUP(C821,[4]C5_LMA_DIAG!$P$49:$P$66,_xlfn.XLOOKUP(B821,[4]C5_LMA_DIAG!$P$49:$AB$49,[4]C5_LMA_DIAG!$P$49:$AB$66))</f>
        <v>7811.3445661795031</v>
      </c>
      <c r="M821" s="16" cm="1">
        <f t="array" ref="M821">_xlfn.XLOOKUP(C821,[5]C6_LMA_DIAG!$P$46:$P$63,_xlfn.XLOOKUP(B821,[5]C6_LMA_DIAG!$P$46:$AB$46,[5]C6_LMA_DIAG!$P$46:$AB$63))</f>
        <v>8445.2299942475584</v>
      </c>
      <c r="N821" s="16" cm="1">
        <f t="array" ref="N821">_xlfn.XLOOKUP(C821,[6]C6_LMA_DIAG!$R$51:$R$68,_xlfn.XLOOKUP(B821,[6]C6_LMA_DIAG!$R$51:$AF$51,[6]C6_LMA_DIAG!$R$51:$AF$68))</f>
        <v>5838.61</v>
      </c>
      <c r="O821" s="20">
        <v>6224</v>
      </c>
      <c r="P821" s="16">
        <v>7014</v>
      </c>
    </row>
    <row r="822" spans="1:16" x14ac:dyDescent="0.3">
      <c r="A822" s="15" t="s">
        <v>69</v>
      </c>
      <c r="B822" s="15" t="s">
        <v>59</v>
      </c>
      <c r="C822" s="15" t="s">
        <v>24</v>
      </c>
      <c r="D822" s="15" t="s">
        <v>52</v>
      </c>
      <c r="E822" s="15" t="s">
        <v>40</v>
      </c>
      <c r="F822" s="15" t="s">
        <v>20</v>
      </c>
      <c r="G822" s="15" t="s">
        <v>9</v>
      </c>
      <c r="H822" s="16"/>
      <c r="I822" s="16"/>
      <c r="J822" s="16"/>
      <c r="K822" s="16"/>
      <c r="L822" s="16" cm="1">
        <f t="array" ref="L822">_xlfn.XLOOKUP(C822,[4]C5_LMA_DIAG!$P$49:$P$66,_xlfn.XLOOKUP(B822,[4]C5_LMA_DIAG!$P$49:$AB$49,[4]C5_LMA_DIAG!$P$49:$AB$66))</f>
        <v>4619.6932803257705</v>
      </c>
      <c r="M822" s="16" cm="1">
        <f t="array" ref="M822">_xlfn.XLOOKUP(C822,[5]C6_LMA_DIAG!$P$46:$P$63,_xlfn.XLOOKUP(B822,[5]C6_LMA_DIAG!$P$46:$AB$46,[5]C6_LMA_DIAG!$P$46:$AB$63))</f>
        <v>4907.6610399539804</v>
      </c>
      <c r="N822" s="16" cm="1">
        <f t="array" ref="N822">_xlfn.XLOOKUP(C822,[6]C6_LMA_DIAG!$R$51:$R$68,_xlfn.XLOOKUP(B822,[6]C6_LMA_DIAG!$R$51:$AF$51,[6]C6_LMA_DIAG!$R$51:$AF$68))</f>
        <v>2819.62</v>
      </c>
      <c r="O822" s="20">
        <v>2001</v>
      </c>
      <c r="P822" s="16">
        <v>2852</v>
      </c>
    </row>
    <row r="823" spans="1:16" x14ac:dyDescent="0.3">
      <c r="A823" s="15" t="s">
        <v>69</v>
      </c>
      <c r="B823" s="15" t="s">
        <v>60</v>
      </c>
      <c r="C823" s="15" t="s">
        <v>24</v>
      </c>
      <c r="D823" s="15" t="s">
        <v>52</v>
      </c>
      <c r="E823" s="15" t="s">
        <v>40</v>
      </c>
      <c r="F823" s="15" t="s">
        <v>20</v>
      </c>
      <c r="G823" s="15" t="s">
        <v>9</v>
      </c>
      <c r="H823" s="16"/>
      <c r="I823" s="16"/>
      <c r="J823" s="16"/>
      <c r="K823" s="16"/>
      <c r="L823" s="16" cm="1">
        <f t="array" ref="L823">_xlfn.XLOOKUP(C823,[4]C5_LMA_DIAG!$P$49:$P$66,_xlfn.XLOOKUP(B823,[4]C5_LMA_DIAG!$P$49:$AB$49,[4]C5_LMA_DIAG!$P$49:$AB$66))</f>
        <v>5895.7518802333452</v>
      </c>
      <c r="M823" s="16" cm="1">
        <f t="array" ref="M823">_xlfn.XLOOKUP(C823,[5]C6_LMA_DIAG!$P$46:$P$63,_xlfn.XLOOKUP(B823,[5]C6_LMA_DIAG!$P$46:$AB$46,[5]C6_LMA_DIAG!$P$46:$AB$63))</f>
        <v>6374.6728229922892</v>
      </c>
      <c r="N823" s="16" cm="1">
        <f t="array" ref="N823">_xlfn.XLOOKUP(C823,[6]C6_LMA_DIAG!$R$51:$R$68,_xlfn.XLOOKUP(B823,[6]C6_LMA_DIAG!$R$51:$AF$51,[6]C6_LMA_DIAG!$R$51:$AF$68))</f>
        <v>3731.02</v>
      </c>
      <c r="O823" s="20">
        <v>3466</v>
      </c>
      <c r="P823" s="16">
        <v>3832</v>
      </c>
    </row>
    <row r="824" spans="1:16" x14ac:dyDescent="0.3">
      <c r="A824" s="15" t="s">
        <v>69</v>
      </c>
      <c r="B824" s="15" t="s">
        <v>61</v>
      </c>
      <c r="C824" s="15" t="s">
        <v>24</v>
      </c>
      <c r="D824" s="15" t="s">
        <v>52</v>
      </c>
      <c r="E824" s="15" t="s">
        <v>40</v>
      </c>
      <c r="F824" s="15" t="s">
        <v>20</v>
      </c>
      <c r="G824" s="15" t="s">
        <v>9</v>
      </c>
      <c r="H824" s="16"/>
      <c r="I824" s="16"/>
      <c r="J824" s="16"/>
      <c r="K824" s="16"/>
      <c r="L824" s="16" cm="1">
        <f t="array" ref="L824">_xlfn.XLOOKUP(C824,[4]C5_LMA_DIAG!$P$49:$P$66,_xlfn.XLOOKUP(B824,[4]C5_LMA_DIAG!$P$49:$AB$49,[4]C5_LMA_DIAG!$P$49:$AB$66))</f>
        <v>1989.3272041011951</v>
      </c>
      <c r="M824" s="16" cm="1">
        <f t="array" ref="M824">_xlfn.XLOOKUP(C824,[5]C6_LMA_DIAG!$P$46:$P$63,_xlfn.XLOOKUP(B824,[5]C6_LMA_DIAG!$P$46:$AB$46,[5]C6_LMA_DIAG!$P$46:$AB$63))</f>
        <v>1862.0329738664416</v>
      </c>
      <c r="N824" s="16" cm="1">
        <f t="array" ref="N824">_xlfn.XLOOKUP(C824,[6]C6_LMA_DIAG!$R$51:$R$68,_xlfn.XLOOKUP(B824,[6]C6_LMA_DIAG!$R$51:$AF$51,[6]C6_LMA_DIAG!$R$51:$AF$68))</f>
        <v>1350.6</v>
      </c>
      <c r="O824" s="20">
        <v>1149</v>
      </c>
      <c r="P824" s="16">
        <v>1236</v>
      </c>
    </row>
    <row r="825" spans="1:16" x14ac:dyDescent="0.3">
      <c r="A825" s="15" t="s">
        <v>69</v>
      </c>
      <c r="B825" s="15" t="s">
        <v>62</v>
      </c>
      <c r="C825" s="15" t="s">
        <v>24</v>
      </c>
      <c r="D825" s="15" t="s">
        <v>52</v>
      </c>
      <c r="E825" s="15" t="s">
        <v>40</v>
      </c>
      <c r="F825" s="15" t="s">
        <v>20</v>
      </c>
      <c r="G825" s="15" t="s">
        <v>9</v>
      </c>
      <c r="H825" s="16"/>
      <c r="I825" s="16"/>
      <c r="J825" s="16"/>
      <c r="K825" s="16"/>
      <c r="L825" s="16" cm="1">
        <f t="array" ref="L825">_xlfn.XLOOKUP(C825,[4]C5_LMA_DIAG!$P$49:$P$66,_xlfn.XLOOKUP(B825,[4]C5_LMA_DIAG!$P$49:$AB$49,[4]C5_LMA_DIAG!$P$49:$AB$66))</f>
        <v>3221.7470075496663</v>
      </c>
      <c r="M825" s="16" cm="1">
        <f t="array" ref="M825">_xlfn.XLOOKUP(C825,[5]C6_LMA_DIAG!$P$46:$P$63,_xlfn.XLOOKUP(B825,[5]C6_LMA_DIAG!$P$46:$AB$46,[5]C6_LMA_DIAG!$P$46:$AB$63))</f>
        <v>3467.0819016551018</v>
      </c>
      <c r="N825" s="16" cm="1">
        <f t="array" ref="N825">_xlfn.XLOOKUP(C825,[6]C6_LMA_DIAG!$R$51:$R$68,_xlfn.XLOOKUP(B825,[6]C6_LMA_DIAG!$R$51:$AF$51,[6]C6_LMA_DIAG!$R$51:$AF$68))</f>
        <v>2182.5500000000002</v>
      </c>
      <c r="O825" s="20">
        <v>2025</v>
      </c>
      <c r="P825" s="16">
        <v>2253</v>
      </c>
    </row>
    <row r="826" spans="1:16" x14ac:dyDescent="0.3">
      <c r="A826" s="15" t="s">
        <v>69</v>
      </c>
      <c r="B826" s="15" t="s">
        <v>63</v>
      </c>
      <c r="C826" s="15" t="s">
        <v>24</v>
      </c>
      <c r="D826" s="15" t="s">
        <v>52</v>
      </c>
      <c r="E826" s="15" t="s">
        <v>40</v>
      </c>
      <c r="F826" s="15" t="s">
        <v>20</v>
      </c>
      <c r="G826" s="15" t="s">
        <v>9</v>
      </c>
      <c r="H826" s="16"/>
      <c r="I826" s="16"/>
      <c r="J826" s="16"/>
      <c r="K826" s="16"/>
      <c r="L826" s="16" cm="1">
        <f t="array" ref="L826">_xlfn.XLOOKUP(C826,[4]C5_LMA_DIAG!$P$49:$P$66,_xlfn.XLOOKUP(B826,[4]C5_LMA_DIAG!$P$49:$AB$49,[4]C5_LMA_DIAG!$P$49:$AB$66))</f>
        <v>2525.0310502888087</v>
      </c>
      <c r="M826" s="16" cm="1">
        <f t="array" ref="M826">_xlfn.XLOOKUP(C826,[5]C6_LMA_DIAG!$P$46:$P$63,_xlfn.XLOOKUP(B826,[5]C6_LMA_DIAG!$P$46:$AB$46,[5]C6_LMA_DIAG!$P$46:$AB$63))</f>
        <v>2666.7601581557242</v>
      </c>
      <c r="N826" s="16" cm="1">
        <f t="array" ref="N826">_xlfn.XLOOKUP(C826,[6]C6_LMA_DIAG!$R$51:$R$68,_xlfn.XLOOKUP(B826,[6]C6_LMA_DIAG!$R$51:$AF$51,[6]C6_LMA_DIAG!$R$51:$AF$68))</f>
        <v>2245.5100000000002</v>
      </c>
      <c r="O826" s="20">
        <v>2066</v>
      </c>
      <c r="P826" s="16">
        <v>1667</v>
      </c>
    </row>
    <row r="827" spans="1:16" x14ac:dyDescent="0.3">
      <c r="A827" s="15" t="s">
        <v>69</v>
      </c>
      <c r="B827" s="15" t="s">
        <v>64</v>
      </c>
      <c r="C827" s="15" t="s">
        <v>24</v>
      </c>
      <c r="D827" s="15" t="s">
        <v>52</v>
      </c>
      <c r="E827" s="15" t="s">
        <v>40</v>
      </c>
      <c r="F827" s="15" t="s">
        <v>20</v>
      </c>
      <c r="G827" s="15" t="s">
        <v>9</v>
      </c>
      <c r="H827" s="16"/>
      <c r="I827" s="16"/>
      <c r="J827" s="16"/>
      <c r="K827" s="16"/>
      <c r="L827" s="16" cm="1">
        <f t="array" ref="L827">_xlfn.XLOOKUP(C827,[4]C5_LMA_DIAG!$P$49:$P$66,_xlfn.XLOOKUP(B827,[4]C5_LMA_DIAG!$P$49:$AB$49,[4]C5_LMA_DIAG!$P$49:$AB$66))</f>
        <v>1959.2314824052617</v>
      </c>
      <c r="M827" s="16" cm="1">
        <f t="array" ref="M827">_xlfn.XLOOKUP(C827,[5]C6_LMA_DIAG!$P$46:$P$63,_xlfn.XLOOKUP(B827,[5]C6_LMA_DIAG!$P$46:$AB$46,[5]C6_LMA_DIAG!$P$46:$AB$63))</f>
        <v>2083.7734936249844</v>
      </c>
      <c r="N827" s="16" cm="1">
        <f t="array" ref="N827">_xlfn.XLOOKUP(C827,[6]C6_LMA_DIAG!$R$51:$R$68,_xlfn.XLOOKUP(B827,[6]C6_LMA_DIAG!$R$51:$AF$51,[6]C6_LMA_DIAG!$R$51:$AF$68))</f>
        <v>1557.46</v>
      </c>
      <c r="O827" s="20">
        <v>1551</v>
      </c>
      <c r="P827" s="16">
        <v>1481</v>
      </c>
    </row>
    <row r="828" spans="1:16" x14ac:dyDescent="0.3">
      <c r="A828" s="15" t="s">
        <v>69</v>
      </c>
      <c r="B828" s="15" t="s">
        <v>70</v>
      </c>
      <c r="C828" s="15" t="s">
        <v>24</v>
      </c>
      <c r="D828" s="15" t="s">
        <v>52</v>
      </c>
      <c r="E828" s="15" t="s">
        <v>40</v>
      </c>
      <c r="F828" s="15" t="s">
        <v>20</v>
      </c>
      <c r="G828" s="15" t="s">
        <v>9</v>
      </c>
      <c r="H828" s="16"/>
      <c r="I828" s="16"/>
      <c r="J828" s="16"/>
      <c r="K828" s="16"/>
      <c r="L828" s="16">
        <v>0</v>
      </c>
      <c r="M828" s="16">
        <v>0</v>
      </c>
      <c r="N828" s="16" cm="1">
        <f t="array" ref="N828">_xlfn.XLOOKUP(C828,[6]C6_LMA_DIAG!$R$51:$R$68,_xlfn.XLOOKUP(B828,[6]C6_LMA_DIAG!$R$51:$AF$51,[6]C6_LMA_DIAG!$R$51:$AF$68))</f>
        <v>11477.86</v>
      </c>
      <c r="O828" s="20">
        <v>12382</v>
      </c>
      <c r="P828" s="16">
        <v>19037</v>
      </c>
    </row>
    <row r="829" spans="1:16" x14ac:dyDescent="0.3">
      <c r="A829" s="15"/>
      <c r="B829" s="18" t="s">
        <v>71</v>
      </c>
      <c r="C829" s="15" t="s">
        <v>24</v>
      </c>
      <c r="D829" s="15" t="s">
        <v>52</v>
      </c>
      <c r="E829" s="15" t="s">
        <v>40</v>
      </c>
      <c r="F829" s="15" t="s">
        <v>20</v>
      </c>
      <c r="G829" s="15" t="s">
        <v>9</v>
      </c>
      <c r="H829" s="16"/>
      <c r="I829" s="16"/>
      <c r="J829" s="16"/>
      <c r="K829" s="16"/>
      <c r="L829" s="16">
        <v>0</v>
      </c>
      <c r="M829" s="16">
        <v>0</v>
      </c>
      <c r="N829" s="16" cm="1">
        <f t="array" ref="N829">_xlfn.XLOOKUP(C829,[6]C6_LMA_DIAG!$R$51:$R$68,_xlfn.XLOOKUP(B829,[6]C6_LMA_DIAG!$R$51:$AF$51,[6]C6_LMA_DIAG!$R$51:$AF$68))</f>
        <v>792.97</v>
      </c>
      <c r="O829" s="20">
        <v>730</v>
      </c>
      <c r="P829" s="16">
        <v>0</v>
      </c>
    </row>
    <row r="830" spans="1:16" x14ac:dyDescent="0.3">
      <c r="A830" s="15" t="s">
        <v>69</v>
      </c>
      <c r="B830" s="15" t="s">
        <v>65</v>
      </c>
      <c r="C830" s="15" t="s">
        <v>24</v>
      </c>
      <c r="D830" s="15" t="s">
        <v>52</v>
      </c>
      <c r="E830" s="15" t="s">
        <v>40</v>
      </c>
      <c r="F830" s="15" t="s">
        <v>20</v>
      </c>
      <c r="G830" s="15" t="s">
        <v>9</v>
      </c>
      <c r="H830" s="16"/>
      <c r="I830" s="16"/>
      <c r="J830" s="16"/>
      <c r="K830" s="16"/>
      <c r="L830" s="16" cm="1">
        <f t="array" ref="L830">_xlfn.XLOOKUP(C830,[4]C5_LMA_DIAG!$P$49:$P$66,_xlfn.XLOOKUP(B830,[4]C5_LMA_DIAG!$P$49:$AB$49,[4]C5_LMA_DIAG!$P$49:$AB$66))</f>
        <v>8702.1779283791311</v>
      </c>
      <c r="M830" s="16" cm="1">
        <f t="array" ref="M830">_xlfn.XLOOKUP(C830,[5]C6_LMA_DIAG!$P$46:$P$63,_xlfn.XLOOKUP(B830,[5]C6_LMA_DIAG!$P$46:$AB$46,[5]C6_LMA_DIAG!$P$46:$AB$63))</f>
        <v>9806.5111983281513</v>
      </c>
      <c r="N830" s="16" cm="1">
        <f t="array" ref="N830">_xlfn.XLOOKUP(C830,[6]C6_LMA_DIAG!$R$51:$R$68,_xlfn.XLOOKUP(B830,[6]C6_LMA_DIAG!$R$51:$AF$51,[6]C6_LMA_DIAG!$R$51:$AF$68))</f>
        <v>7366.1</v>
      </c>
      <c r="O830" s="20">
        <v>9355</v>
      </c>
      <c r="P830" s="16">
        <v>6971</v>
      </c>
    </row>
    <row r="831" spans="1:16" x14ac:dyDescent="0.3">
      <c r="A831" s="15" t="s">
        <v>69</v>
      </c>
      <c r="B831" s="15" t="s">
        <v>19</v>
      </c>
      <c r="C831" s="15" t="s">
        <v>24</v>
      </c>
      <c r="D831" s="15" t="s">
        <v>52</v>
      </c>
      <c r="E831" s="15" t="s">
        <v>40</v>
      </c>
      <c r="F831" s="15" t="s">
        <v>20</v>
      </c>
      <c r="G831" s="15" t="s">
        <v>9</v>
      </c>
      <c r="H831" s="16"/>
      <c r="I831" s="16"/>
      <c r="J831" s="16"/>
      <c r="K831" s="16"/>
      <c r="L831" s="16" cm="1">
        <f t="array" ref="L831">_xlfn.XLOOKUP(C831,[4]C5_LMA_DIAG!$P$49:$P$66,_xlfn.XLOOKUP(B831,[4]C5_LMA_DIAG!$P$49:$AB$49,[4]C5_LMA_DIAG!$P$49:$AB$66))</f>
        <v>6.0191443391866724</v>
      </c>
      <c r="M831" s="16" cm="1">
        <f t="array" ref="M831">_xlfn.XLOOKUP(C831,[5]C6_LMA_DIAG!$P$46:$P$63,_xlfn.XLOOKUP(B831,[5]C6_LMA_DIAG!$P$46:$AB$46,[5]C6_LMA_DIAG!$P$46:$AB$63))</f>
        <v>16.153282896317712</v>
      </c>
      <c r="N831" s="16" cm="1">
        <f t="array" ref="N831">_xlfn.XLOOKUP(C831,[6]C6_LMA_DIAG!$R$51:$R$68,_xlfn.XLOOKUP(B831,[6]C6_LMA_DIAG!$R$51:$AF$51,[6]C6_LMA_DIAG!$R$51:$AF$68))</f>
        <v>4.5</v>
      </c>
      <c r="O831" s="20">
        <v>1</v>
      </c>
      <c r="P831" s="16">
        <v>25</v>
      </c>
    </row>
    <row r="832" spans="1:16" x14ac:dyDescent="0.3">
      <c r="A832" s="26" t="s">
        <v>69</v>
      </c>
      <c r="B832" s="26" t="s">
        <v>55</v>
      </c>
      <c r="C832" s="26" t="s">
        <v>25</v>
      </c>
      <c r="D832" s="26" t="s">
        <v>52</v>
      </c>
      <c r="E832" s="26" t="s">
        <v>40</v>
      </c>
      <c r="F832" s="26" t="s">
        <v>20</v>
      </c>
      <c r="G832" s="26" t="s">
        <v>9</v>
      </c>
      <c r="H832" s="27"/>
      <c r="I832" s="27"/>
      <c r="J832" s="27"/>
      <c r="K832" s="27"/>
      <c r="L832" s="16" cm="1">
        <f t="array" ref="L832">_xlfn.XLOOKUP(C832,[4]C5_LMA_DIAG!$P$49:$P$66,_xlfn.XLOOKUP(B832,[4]C5_LMA_DIAG!$P$49:$AB$49,[4]C5_LMA_DIAG!$P$49:$AB$66))</f>
        <v>2136.7962404112686</v>
      </c>
      <c r="M832" s="16" cm="1">
        <f t="array" ref="M832">_xlfn.XLOOKUP(C832,[5]C6_LMA_DIAG!$P$46:$P$63,_xlfn.XLOOKUP(B832,[5]C6_LMA_DIAG!$P$46:$AB$46,[5]C6_LMA_DIAG!$P$46:$AB$63))</f>
        <v>2387.748908128418</v>
      </c>
      <c r="N832" s="16" cm="1">
        <f t="array" ref="N832">_xlfn.XLOOKUP(C832,[6]C6_LMA_DIAG!$R$51:$R$68,_xlfn.XLOOKUP(B832,[6]C6_LMA_DIAG!$R$51:$AF$51,[6]C6_LMA_DIAG!$R$51:$AF$68))</f>
        <v>2309.96</v>
      </c>
      <c r="O832" s="20">
        <v>4503</v>
      </c>
      <c r="P832" s="27">
        <v>4095</v>
      </c>
    </row>
    <row r="833" spans="1:16" x14ac:dyDescent="0.3">
      <c r="A833" s="26" t="s">
        <v>69</v>
      </c>
      <c r="B833" s="26" t="s">
        <v>56</v>
      </c>
      <c r="C833" s="26" t="s">
        <v>25</v>
      </c>
      <c r="D833" s="26" t="s">
        <v>52</v>
      </c>
      <c r="E833" s="26" t="s">
        <v>40</v>
      </c>
      <c r="F833" s="26" t="s">
        <v>20</v>
      </c>
      <c r="G833" s="26" t="s">
        <v>9</v>
      </c>
      <c r="H833" s="27"/>
      <c r="I833" s="27"/>
      <c r="J833" s="27"/>
      <c r="K833" s="27"/>
      <c r="L833" s="16" cm="1">
        <f t="array" ref="L833">_xlfn.XLOOKUP(C833,[4]C5_LMA_DIAG!$P$49:$P$66,_xlfn.XLOOKUP(B833,[4]C5_LMA_DIAG!$P$49:$AB$49,[4]C5_LMA_DIAG!$P$49:$AB$66))</f>
        <v>3942.5395421672702</v>
      </c>
      <c r="M833" s="16" cm="1">
        <f t="array" ref="M833">_xlfn.XLOOKUP(C833,[5]C6_LMA_DIAG!$P$46:$P$63,_xlfn.XLOOKUP(B833,[5]C6_LMA_DIAG!$P$46:$AB$46,[5]C6_LMA_DIAG!$P$46:$AB$63))</f>
        <v>3630.0832108815803</v>
      </c>
      <c r="N833" s="16" cm="1">
        <f t="array" ref="N833">_xlfn.XLOOKUP(C833,[6]C6_LMA_DIAG!$R$51:$R$68,_xlfn.XLOOKUP(B833,[6]C6_LMA_DIAG!$R$51:$AF$51,[6]C6_LMA_DIAG!$R$51:$AF$68))</f>
        <v>2890.08</v>
      </c>
      <c r="O833" s="20">
        <v>3579</v>
      </c>
      <c r="P833" s="27">
        <v>3341</v>
      </c>
    </row>
    <row r="834" spans="1:16" x14ac:dyDescent="0.3">
      <c r="A834" s="26" t="s">
        <v>69</v>
      </c>
      <c r="B834" s="26" t="s">
        <v>57</v>
      </c>
      <c r="C834" s="26" t="s">
        <v>25</v>
      </c>
      <c r="D834" s="26" t="s">
        <v>52</v>
      </c>
      <c r="E834" s="26" t="s">
        <v>40</v>
      </c>
      <c r="F834" s="26" t="s">
        <v>20</v>
      </c>
      <c r="G834" s="26" t="s">
        <v>9</v>
      </c>
      <c r="H834" s="27"/>
      <c r="I834" s="27"/>
      <c r="J834" s="27"/>
      <c r="K834" s="27"/>
      <c r="L834" s="16" cm="1">
        <f t="array" ref="L834">_xlfn.XLOOKUP(C834,[4]C5_LMA_DIAG!$P$49:$P$66,_xlfn.XLOOKUP(B834,[4]C5_LMA_DIAG!$P$49:$AB$49,[4]C5_LMA_DIAG!$P$49:$AB$66))</f>
        <v>3787.5465754332135</v>
      </c>
      <c r="M834" s="16" cm="1">
        <f t="array" ref="M834">_xlfn.XLOOKUP(C834,[5]C6_LMA_DIAG!$P$46:$P$63,_xlfn.XLOOKUP(B834,[5]C6_LMA_DIAG!$P$46:$AB$46,[5]C6_LMA_DIAG!$P$46:$AB$63))</f>
        <v>4029.5098424996181</v>
      </c>
      <c r="N834" s="16" cm="1">
        <f t="array" ref="N834">_xlfn.XLOOKUP(C834,[6]C6_LMA_DIAG!$R$51:$R$68,_xlfn.XLOOKUP(B834,[6]C6_LMA_DIAG!$R$51:$AF$51,[6]C6_LMA_DIAG!$R$51:$AF$68))</f>
        <v>1410.56</v>
      </c>
      <c r="O834" s="20">
        <v>1129</v>
      </c>
      <c r="P834" s="27">
        <v>2800</v>
      </c>
    </row>
    <row r="835" spans="1:16" x14ac:dyDescent="0.3">
      <c r="A835" s="26" t="s">
        <v>69</v>
      </c>
      <c r="B835" s="26" t="s">
        <v>58</v>
      </c>
      <c r="C835" s="26" t="s">
        <v>25</v>
      </c>
      <c r="D835" s="26" t="s">
        <v>52</v>
      </c>
      <c r="E835" s="26" t="s">
        <v>40</v>
      </c>
      <c r="F835" s="26" t="s">
        <v>20</v>
      </c>
      <c r="G835" s="26" t="s">
        <v>9</v>
      </c>
      <c r="H835" s="27"/>
      <c r="I835" s="27"/>
      <c r="J835" s="27"/>
      <c r="K835" s="27"/>
      <c r="L835" s="16" cm="1">
        <f t="array" ref="L835">_xlfn.XLOOKUP(C835,[4]C5_LMA_DIAG!$P$49:$P$66,_xlfn.XLOOKUP(B835,[4]C5_LMA_DIAG!$P$49:$AB$49,[4]C5_LMA_DIAG!$P$49:$AB$66))</f>
        <v>1766.6188635512883</v>
      </c>
      <c r="M835" s="16" cm="1">
        <f t="array" ref="M835">_xlfn.XLOOKUP(C835,[5]C6_LMA_DIAG!$P$46:$P$63,_xlfn.XLOOKUP(B835,[5]C6_LMA_DIAG!$P$46:$AB$46,[5]C6_LMA_DIAG!$P$46:$AB$63))</f>
        <v>1751.896954118821</v>
      </c>
      <c r="N835" s="16" cm="1">
        <f t="array" ref="N835">_xlfn.XLOOKUP(C835,[6]C6_LMA_DIAG!$R$51:$R$68,_xlfn.XLOOKUP(B835,[6]C6_LMA_DIAG!$R$51:$AF$51,[6]C6_LMA_DIAG!$R$51:$AF$68))</f>
        <v>1440.54</v>
      </c>
      <c r="O835" s="20">
        <v>1537</v>
      </c>
      <c r="P835" s="27">
        <v>1708</v>
      </c>
    </row>
    <row r="836" spans="1:16" x14ac:dyDescent="0.3">
      <c r="A836" s="26" t="s">
        <v>69</v>
      </c>
      <c r="B836" s="26" t="s">
        <v>59</v>
      </c>
      <c r="C836" s="26" t="s">
        <v>25</v>
      </c>
      <c r="D836" s="26" t="s">
        <v>52</v>
      </c>
      <c r="E836" s="26" t="s">
        <v>40</v>
      </c>
      <c r="F836" s="26" t="s">
        <v>20</v>
      </c>
      <c r="G836" s="26" t="s">
        <v>9</v>
      </c>
      <c r="H836" s="27"/>
      <c r="I836" s="27"/>
      <c r="J836" s="27"/>
      <c r="K836" s="27"/>
      <c r="L836" s="16" cm="1">
        <f t="array" ref="L836">_xlfn.XLOOKUP(C836,[4]C5_LMA_DIAG!$P$49:$P$66,_xlfn.XLOOKUP(B836,[4]C5_LMA_DIAG!$P$49:$AB$49,[4]C5_LMA_DIAG!$P$49:$AB$66))</f>
        <v>1646.2359767675548</v>
      </c>
      <c r="M836" s="16" cm="1">
        <f t="array" ref="M836">_xlfn.XLOOKUP(C836,[5]C6_LMA_DIAG!$P$46:$P$63,_xlfn.XLOOKUP(B836,[5]C6_LMA_DIAG!$P$46:$AB$46,[5]C6_LMA_DIAG!$P$46:$AB$63))</f>
        <v>1443.5160988254827</v>
      </c>
      <c r="N836" s="16" cm="1">
        <f t="array" ref="N836">_xlfn.XLOOKUP(C836,[6]C6_LMA_DIAG!$R$51:$R$68,_xlfn.XLOOKUP(B836,[6]C6_LMA_DIAG!$R$51:$AF$51,[6]C6_LMA_DIAG!$R$51:$AF$68))</f>
        <v>583.11</v>
      </c>
      <c r="O836" s="20">
        <v>465</v>
      </c>
      <c r="P836" s="27">
        <v>752</v>
      </c>
    </row>
    <row r="837" spans="1:16" x14ac:dyDescent="0.3">
      <c r="A837" s="26" t="s">
        <v>69</v>
      </c>
      <c r="B837" s="26" t="s">
        <v>60</v>
      </c>
      <c r="C837" s="26" t="s">
        <v>25</v>
      </c>
      <c r="D837" s="26" t="s">
        <v>52</v>
      </c>
      <c r="E837" s="26" t="s">
        <v>40</v>
      </c>
      <c r="F837" s="26" t="s">
        <v>20</v>
      </c>
      <c r="G837" s="26" t="s">
        <v>9</v>
      </c>
      <c r="H837" s="27"/>
      <c r="I837" s="27"/>
      <c r="J837" s="27"/>
      <c r="K837" s="27"/>
      <c r="L837" s="16" cm="1">
        <f t="array" ref="L837">_xlfn.XLOOKUP(C837,[4]C5_LMA_DIAG!$P$49:$P$66,_xlfn.XLOOKUP(B837,[4]C5_LMA_DIAG!$P$49:$AB$49,[4]C5_LMA_DIAG!$P$49:$AB$66))</f>
        <v>1543.9105230013813</v>
      </c>
      <c r="M837" s="16" cm="1">
        <f t="array" ref="M837">_xlfn.XLOOKUP(C837,[5]C6_LMA_DIAG!$P$46:$P$63,_xlfn.XLOOKUP(B837,[5]C6_LMA_DIAG!$P$46:$AB$46,[5]C6_LMA_DIAG!$P$46:$AB$63))</f>
        <v>1722.5273488527887</v>
      </c>
      <c r="N837" s="16" cm="1">
        <f t="array" ref="N837">_xlfn.XLOOKUP(C837,[6]C6_LMA_DIAG!$R$51:$R$68,_xlfn.XLOOKUP(B837,[6]C6_LMA_DIAG!$R$51:$AF$51,[6]C6_LMA_DIAG!$R$51:$AF$68))</f>
        <v>1056.8</v>
      </c>
      <c r="O837" s="20">
        <v>1077</v>
      </c>
      <c r="P837" s="27">
        <v>1251</v>
      </c>
    </row>
    <row r="838" spans="1:16" x14ac:dyDescent="0.3">
      <c r="A838" s="26" t="s">
        <v>69</v>
      </c>
      <c r="B838" s="26" t="s">
        <v>61</v>
      </c>
      <c r="C838" s="26" t="s">
        <v>25</v>
      </c>
      <c r="D838" s="26" t="s">
        <v>52</v>
      </c>
      <c r="E838" s="26" t="s">
        <v>40</v>
      </c>
      <c r="F838" s="26" t="s">
        <v>20</v>
      </c>
      <c r="G838" s="26" t="s">
        <v>9</v>
      </c>
      <c r="H838" s="27"/>
      <c r="I838" s="27"/>
      <c r="J838" s="27"/>
      <c r="K838" s="27"/>
      <c r="L838" s="16" cm="1">
        <f t="array" ref="L838">_xlfn.XLOOKUP(C838,[4]C5_LMA_DIAG!$P$49:$P$66,_xlfn.XLOOKUP(B838,[4]C5_LMA_DIAG!$P$49:$AB$49,[4]C5_LMA_DIAG!$P$49:$AB$66))</f>
        <v>430.36882025184707</v>
      </c>
      <c r="M838" s="16" cm="1">
        <f t="array" ref="M838">_xlfn.XLOOKUP(C838,[5]C6_LMA_DIAG!$P$46:$P$63,_xlfn.XLOOKUP(B838,[5]C6_LMA_DIAG!$P$46:$AB$46,[5]C6_LMA_DIAG!$P$46:$AB$63))</f>
        <v>544.80617768489731</v>
      </c>
      <c r="N838" s="16" cm="1">
        <f t="array" ref="N838">_xlfn.XLOOKUP(C838,[6]C6_LMA_DIAG!$R$51:$R$68,_xlfn.XLOOKUP(B838,[6]C6_LMA_DIAG!$R$51:$AF$51,[6]C6_LMA_DIAG!$R$51:$AF$68))</f>
        <v>350.77</v>
      </c>
      <c r="O838" s="20">
        <v>284</v>
      </c>
      <c r="P838" s="27">
        <v>314</v>
      </c>
    </row>
    <row r="839" spans="1:16" x14ac:dyDescent="0.3">
      <c r="A839" s="26" t="s">
        <v>69</v>
      </c>
      <c r="B839" s="26" t="s">
        <v>62</v>
      </c>
      <c r="C839" s="26" t="s">
        <v>25</v>
      </c>
      <c r="D839" s="26" t="s">
        <v>52</v>
      </c>
      <c r="E839" s="26" t="s">
        <v>40</v>
      </c>
      <c r="F839" s="26" t="s">
        <v>20</v>
      </c>
      <c r="G839" s="26" t="s">
        <v>9</v>
      </c>
      <c r="H839" s="27"/>
      <c r="I839" s="27"/>
      <c r="J839" s="27"/>
      <c r="K839" s="27"/>
      <c r="L839" s="16" cm="1">
        <f t="array" ref="L839">_xlfn.XLOOKUP(C839,[4]C5_LMA_DIAG!$P$49:$P$66,_xlfn.XLOOKUP(B839,[4]C5_LMA_DIAG!$P$49:$AB$49,[4]C5_LMA_DIAG!$P$49:$AB$66))</f>
        <v>958.54873601547752</v>
      </c>
      <c r="M839" s="16" cm="1">
        <f t="array" ref="M839">_xlfn.XLOOKUP(C839,[5]C6_LMA_DIAG!$P$46:$P$63,_xlfn.XLOOKUP(B839,[5]C6_LMA_DIAG!$P$46:$AB$46,[5]C6_LMA_DIAG!$P$46:$AB$63))</f>
        <v>809.13262507918716</v>
      </c>
      <c r="N839" s="16" cm="1">
        <f t="array" ref="N839">_xlfn.XLOOKUP(C839,[6]C6_LMA_DIAG!$R$51:$R$68,_xlfn.XLOOKUP(B839,[6]C6_LMA_DIAG!$R$51:$AF$51,[6]C6_LMA_DIAG!$R$51:$AF$68))</f>
        <v>526.15</v>
      </c>
      <c r="O839" s="20">
        <v>585</v>
      </c>
      <c r="P839" s="27">
        <v>628</v>
      </c>
    </row>
    <row r="840" spans="1:16" x14ac:dyDescent="0.3">
      <c r="A840" s="26" t="s">
        <v>69</v>
      </c>
      <c r="B840" s="26" t="s">
        <v>63</v>
      </c>
      <c r="C840" s="26" t="s">
        <v>25</v>
      </c>
      <c r="D840" s="26" t="s">
        <v>52</v>
      </c>
      <c r="E840" s="26" t="s">
        <v>40</v>
      </c>
      <c r="F840" s="26" t="s">
        <v>20</v>
      </c>
      <c r="G840" s="26" t="s">
        <v>9</v>
      </c>
      <c r="H840" s="27"/>
      <c r="I840" s="27"/>
      <c r="J840" s="27"/>
      <c r="K840" s="27"/>
      <c r="L840" s="16" cm="1">
        <f t="array" ref="L840">_xlfn.XLOOKUP(C840,[4]C5_LMA_DIAG!$P$49:$P$66,_xlfn.XLOOKUP(B840,[4]C5_LMA_DIAG!$P$49:$AB$49,[4]C5_LMA_DIAG!$P$49:$AB$66))</f>
        <v>708.7542459392306</v>
      </c>
      <c r="M840" s="16" cm="1">
        <f t="array" ref="M840">_xlfn.XLOOKUP(C840,[5]C6_LMA_DIAG!$P$46:$P$63,_xlfn.XLOOKUP(B840,[5]C6_LMA_DIAG!$P$46:$AB$46,[5]C6_LMA_DIAG!$P$46:$AB$63))</f>
        <v>762.14125665353572</v>
      </c>
      <c r="N840" s="16" cm="1">
        <f t="array" ref="N840">_xlfn.XLOOKUP(C840,[6]C6_LMA_DIAG!$R$51:$R$68,_xlfn.XLOOKUP(B840,[6]C6_LMA_DIAG!$R$51:$AF$51,[6]C6_LMA_DIAG!$R$51:$AF$68))</f>
        <v>517.16</v>
      </c>
      <c r="O840" s="20">
        <v>558</v>
      </c>
      <c r="P840" s="27">
        <v>480</v>
      </c>
    </row>
    <row r="841" spans="1:16" x14ac:dyDescent="0.3">
      <c r="A841" s="26" t="s">
        <v>69</v>
      </c>
      <c r="B841" s="26" t="s">
        <v>64</v>
      </c>
      <c r="C841" s="26" t="s">
        <v>25</v>
      </c>
      <c r="D841" s="26" t="s">
        <v>52</v>
      </c>
      <c r="E841" s="26" t="s">
        <v>40</v>
      </c>
      <c r="F841" s="26" t="s">
        <v>20</v>
      </c>
      <c r="G841" s="26" t="s">
        <v>9</v>
      </c>
      <c r="H841" s="27"/>
      <c r="I841" s="27"/>
      <c r="J841" s="27"/>
      <c r="K841" s="27"/>
      <c r="L841" s="16" cm="1">
        <f t="array" ref="L841">_xlfn.XLOOKUP(C841,[4]C5_LMA_DIAG!$P$49:$P$66,_xlfn.XLOOKUP(B841,[4]C5_LMA_DIAG!$P$49:$AB$49,[4]C5_LMA_DIAG!$P$49:$AB$66))</f>
        <v>588.3713591554972</v>
      </c>
      <c r="M841" s="16" cm="1">
        <f t="array" ref="M841">_xlfn.XLOOKUP(C841,[5]C6_LMA_DIAG!$P$46:$P$63,_xlfn.XLOOKUP(B841,[5]C6_LMA_DIAG!$P$46:$AB$46,[5]C6_LMA_DIAG!$P$46:$AB$63))</f>
        <v>534.52681584178606</v>
      </c>
      <c r="N841" s="16" cm="1">
        <f t="array" ref="N841">_xlfn.XLOOKUP(C841,[6]C6_LMA_DIAG!$R$51:$R$68,_xlfn.XLOOKUP(B841,[6]C6_LMA_DIAG!$R$51:$AF$51,[6]C6_LMA_DIAG!$R$51:$AF$68))</f>
        <v>412.23</v>
      </c>
      <c r="O841" s="20">
        <v>425</v>
      </c>
      <c r="P841" s="27">
        <v>403</v>
      </c>
    </row>
    <row r="842" spans="1:16" x14ac:dyDescent="0.3">
      <c r="A842" s="26" t="s">
        <v>69</v>
      </c>
      <c r="B842" s="26" t="s">
        <v>70</v>
      </c>
      <c r="C842" s="26" t="s">
        <v>25</v>
      </c>
      <c r="D842" s="26" t="s">
        <v>52</v>
      </c>
      <c r="E842" s="26" t="s">
        <v>40</v>
      </c>
      <c r="F842" s="26" t="s">
        <v>20</v>
      </c>
      <c r="G842" s="26" t="s">
        <v>9</v>
      </c>
      <c r="H842" s="27"/>
      <c r="I842" s="27"/>
      <c r="J842" s="27"/>
      <c r="K842" s="27"/>
      <c r="L842" s="16">
        <v>0</v>
      </c>
      <c r="M842" s="16">
        <v>0</v>
      </c>
      <c r="N842" s="16" cm="1">
        <f t="array" ref="N842">_xlfn.XLOOKUP(C842,[6]C6_LMA_DIAG!$R$51:$R$68,_xlfn.XLOOKUP(B842,[6]C6_LMA_DIAG!$R$51:$AF$51,[6]C6_LMA_DIAG!$R$51:$AF$68))</f>
        <v>2638.24</v>
      </c>
      <c r="O842" s="20">
        <v>3197</v>
      </c>
      <c r="P842" s="27">
        <v>6115</v>
      </c>
    </row>
    <row r="843" spans="1:16" x14ac:dyDescent="0.3">
      <c r="A843" s="26"/>
      <c r="B843" s="18" t="s">
        <v>71</v>
      </c>
      <c r="C843" s="26" t="s">
        <v>25</v>
      </c>
      <c r="D843" s="26" t="s">
        <v>52</v>
      </c>
      <c r="E843" s="26" t="s">
        <v>40</v>
      </c>
      <c r="F843" s="26" t="s">
        <v>20</v>
      </c>
      <c r="G843" s="26" t="s">
        <v>9</v>
      </c>
      <c r="H843" s="27"/>
      <c r="I843" s="27"/>
      <c r="J843" s="27"/>
      <c r="K843" s="27"/>
      <c r="L843" s="16">
        <v>0</v>
      </c>
      <c r="M843" s="16">
        <v>0</v>
      </c>
      <c r="N843" s="16" cm="1">
        <f t="array" ref="N843">_xlfn.XLOOKUP(C843,[6]C6_LMA_DIAG!$R$51:$R$68,_xlfn.XLOOKUP(B843,[6]C6_LMA_DIAG!$R$51:$AF$51,[6]C6_LMA_DIAG!$R$51:$AF$68))</f>
        <v>287.81</v>
      </c>
      <c r="O843" s="20">
        <v>241</v>
      </c>
      <c r="P843" s="27">
        <v>0</v>
      </c>
    </row>
    <row r="844" spans="1:16" x14ac:dyDescent="0.3">
      <c r="A844" s="26" t="s">
        <v>69</v>
      </c>
      <c r="B844" s="26" t="s">
        <v>65</v>
      </c>
      <c r="C844" s="26" t="s">
        <v>25</v>
      </c>
      <c r="D844" s="26" t="s">
        <v>52</v>
      </c>
      <c r="E844" s="26" t="s">
        <v>40</v>
      </c>
      <c r="F844" s="26" t="s">
        <v>20</v>
      </c>
      <c r="G844" s="26" t="s">
        <v>9</v>
      </c>
      <c r="H844" s="27"/>
      <c r="I844" s="27"/>
      <c r="J844" s="27"/>
      <c r="K844" s="27"/>
      <c r="L844" s="16" cm="1">
        <f t="array" ref="L844">_xlfn.XLOOKUP(C844,[4]C5_LMA_DIAG!$P$49:$P$66,_xlfn.XLOOKUP(B844,[4]C5_LMA_DIAG!$P$49:$AB$49,[4]C5_LMA_DIAG!$P$49:$AB$66))</f>
        <v>3059.2301103916261</v>
      </c>
      <c r="M844" s="16" cm="1">
        <f t="array" ref="M844">_xlfn.XLOOKUP(C844,[5]C6_LMA_DIAG!$P$46:$P$63,_xlfn.XLOOKUP(B844,[5]C6_LMA_DIAG!$P$46:$AB$46,[5]C6_LMA_DIAG!$P$46:$AB$63))</f>
        <v>2953.1138094995381</v>
      </c>
      <c r="N844" s="16" cm="1">
        <f t="array" ref="N844">_xlfn.XLOOKUP(C844,[6]C6_LMA_DIAG!$R$51:$R$68,_xlfn.XLOOKUP(B844,[6]C6_LMA_DIAG!$R$51:$AF$51,[6]C6_LMA_DIAG!$R$51:$AF$68))</f>
        <v>1929.22</v>
      </c>
      <c r="O844" s="20">
        <v>2591</v>
      </c>
      <c r="P844" s="27">
        <v>2143</v>
      </c>
    </row>
    <row r="845" spans="1:16" x14ac:dyDescent="0.3">
      <c r="A845" s="26" t="s">
        <v>69</v>
      </c>
      <c r="B845" s="26" t="s">
        <v>19</v>
      </c>
      <c r="C845" s="26" t="s">
        <v>25</v>
      </c>
      <c r="D845" s="26" t="s">
        <v>52</v>
      </c>
      <c r="E845" s="26" t="s">
        <v>40</v>
      </c>
      <c r="F845" s="26" t="s">
        <v>20</v>
      </c>
      <c r="G845" s="26" t="s">
        <v>9</v>
      </c>
      <c r="H845" s="27"/>
      <c r="I845" s="27"/>
      <c r="J845" s="27"/>
      <c r="K845" s="27"/>
      <c r="L845" s="16" cm="1">
        <f t="array" ref="L845">_xlfn.XLOOKUP(C845,[4]C5_LMA_DIAG!$P$49:$P$66,_xlfn.XLOOKUP(B845,[4]C5_LMA_DIAG!$P$49:$AB$49,[4]C5_LMA_DIAG!$P$49:$AB$66))</f>
        <v>0</v>
      </c>
      <c r="M845" s="16" cm="1">
        <f t="array" ref="M845">_xlfn.XLOOKUP(C845,[5]C6_LMA_DIAG!$P$46:$P$63,_xlfn.XLOOKUP(B845,[5]C6_LMA_DIAG!$P$46:$AB$46,[5]C6_LMA_DIAG!$P$46:$AB$63))</f>
        <v>1.4684802633016101</v>
      </c>
      <c r="N845" s="16" cm="1">
        <f t="array" ref="N845">_xlfn.XLOOKUP(C845,[6]C6_LMA_DIAG!$R$51:$R$68,_xlfn.XLOOKUP(B845,[6]C6_LMA_DIAG!$R$51:$AF$51,[6]C6_LMA_DIAG!$R$51:$AF$68))</f>
        <v>3</v>
      </c>
      <c r="O845" s="20">
        <v>0</v>
      </c>
      <c r="P845" s="27">
        <v>9</v>
      </c>
    </row>
    <row r="846" spans="1:16" x14ac:dyDescent="0.3">
      <c r="A846" s="15" t="s">
        <v>69</v>
      </c>
      <c r="B846" s="15" t="s">
        <v>55</v>
      </c>
      <c r="C846" s="15" t="s">
        <v>26</v>
      </c>
      <c r="D846" s="15" t="s">
        <v>52</v>
      </c>
      <c r="E846" s="15" t="s">
        <v>40</v>
      </c>
      <c r="F846" s="15" t="s">
        <v>20</v>
      </c>
      <c r="G846" s="15" t="s">
        <v>9</v>
      </c>
      <c r="H846" s="16"/>
      <c r="I846" s="16"/>
      <c r="J846" s="16"/>
      <c r="K846" s="16"/>
      <c r="L846" s="16" cm="1">
        <f t="array" ref="L846">_xlfn.XLOOKUP(C846,[4]C5_LMA_DIAG!$P$49:$P$66,_xlfn.XLOOKUP(B846,[4]C5_LMA_DIAG!$P$49:$AB$49,[4]C5_LMA_DIAG!$P$49:$AB$66))</f>
        <v>3420.3787707428264</v>
      </c>
      <c r="M846" s="16" cm="1">
        <f t="array" ref="M846">_xlfn.XLOOKUP(C846,[5]C6_LMA_DIAG!$P$46:$P$63,_xlfn.XLOOKUP(B846,[5]C6_LMA_DIAG!$P$46:$AB$46,[5]C6_LMA_DIAG!$P$46:$AB$63))</f>
        <v>3810.7062832676779</v>
      </c>
      <c r="N846" s="16" cm="1">
        <f t="array" ref="N846">_xlfn.XLOOKUP(C846,[6]C6_LMA_DIAG!$R$51:$R$68,_xlfn.XLOOKUP(B846,[6]C6_LMA_DIAG!$R$51:$AF$51,[6]C6_LMA_DIAG!$R$51:$AF$68))</f>
        <v>3805.97</v>
      </c>
      <c r="O846" s="20">
        <v>6208</v>
      </c>
      <c r="P846" s="16">
        <v>6611</v>
      </c>
    </row>
    <row r="847" spans="1:16" x14ac:dyDescent="0.3">
      <c r="A847" s="15" t="s">
        <v>69</v>
      </c>
      <c r="B847" s="15" t="s">
        <v>56</v>
      </c>
      <c r="C847" s="15" t="s">
        <v>26</v>
      </c>
      <c r="D847" s="15" t="s">
        <v>52</v>
      </c>
      <c r="E847" s="15" t="s">
        <v>40</v>
      </c>
      <c r="F847" s="15" t="s">
        <v>20</v>
      </c>
      <c r="G847" s="15" t="s">
        <v>9</v>
      </c>
      <c r="H847" s="16"/>
      <c r="I847" s="16"/>
      <c r="J847" s="16"/>
      <c r="K847" s="16"/>
      <c r="L847" s="16" cm="1">
        <f t="array" ref="L847">_xlfn.XLOOKUP(C847,[4]C5_LMA_DIAG!$P$49:$P$66,_xlfn.XLOOKUP(B847,[4]C5_LMA_DIAG!$P$49:$AB$49,[4]C5_LMA_DIAG!$P$49:$AB$66))</f>
        <v>3510.6659358306265</v>
      </c>
      <c r="M847" s="16" cm="1">
        <f t="array" ref="M847">_xlfn.XLOOKUP(C847,[5]C6_LMA_DIAG!$P$46:$P$63,_xlfn.XLOOKUP(B847,[5]C6_LMA_DIAG!$P$46:$AB$46,[5]C6_LMA_DIAG!$P$46:$AB$63))</f>
        <v>3732.8768293126927</v>
      </c>
      <c r="N847" s="16" cm="1">
        <f t="array" ref="N847">_xlfn.XLOOKUP(C847,[6]C6_LMA_DIAG!$R$51:$R$68,_xlfn.XLOOKUP(B847,[6]C6_LMA_DIAG!$R$51:$AF$51,[6]C6_LMA_DIAG!$R$51:$AF$68))</f>
        <v>2554.3000000000002</v>
      </c>
      <c r="O847" s="20">
        <v>3166</v>
      </c>
      <c r="P847" s="16">
        <v>3533</v>
      </c>
    </row>
    <row r="848" spans="1:16" x14ac:dyDescent="0.3">
      <c r="A848" s="15" t="s">
        <v>69</v>
      </c>
      <c r="B848" s="15" t="s">
        <v>57</v>
      </c>
      <c r="C848" s="15" t="s">
        <v>26</v>
      </c>
      <c r="D848" s="15" t="s">
        <v>52</v>
      </c>
      <c r="E848" s="15" t="s">
        <v>40</v>
      </c>
      <c r="F848" s="15" t="s">
        <v>20</v>
      </c>
      <c r="G848" s="15" t="s">
        <v>9</v>
      </c>
      <c r="H848" s="16"/>
      <c r="I848" s="16"/>
      <c r="J848" s="16"/>
      <c r="K848" s="16"/>
      <c r="L848" s="16" cm="1">
        <f t="array" ref="L848">_xlfn.XLOOKUP(C848,[4]C5_LMA_DIAG!$P$49:$P$66,_xlfn.XLOOKUP(B848,[4]C5_LMA_DIAG!$P$49:$AB$49,[4]C5_LMA_DIAG!$P$49:$AB$66))</f>
        <v>4997.3945876097341</v>
      </c>
      <c r="M848" s="16" cm="1">
        <f t="array" ref="M848">_xlfn.XLOOKUP(C848,[5]C6_LMA_DIAG!$P$46:$P$63,_xlfn.XLOOKUP(B848,[5]C6_LMA_DIAG!$P$46:$AB$46,[5]C6_LMA_DIAG!$P$46:$AB$63))</f>
        <v>5531.7651518571656</v>
      </c>
      <c r="N848" s="16" cm="1">
        <f t="array" ref="N848">_xlfn.XLOOKUP(C848,[6]C6_LMA_DIAG!$R$51:$R$68,_xlfn.XLOOKUP(B848,[6]C6_LMA_DIAG!$R$51:$AF$51,[6]C6_LMA_DIAG!$R$51:$AF$68))</f>
        <v>1540.97</v>
      </c>
      <c r="O848" s="20">
        <v>1062</v>
      </c>
      <c r="P848" s="16">
        <v>3689</v>
      </c>
    </row>
    <row r="849" spans="1:16" x14ac:dyDescent="0.3">
      <c r="A849" s="15" t="s">
        <v>69</v>
      </c>
      <c r="B849" s="15" t="s">
        <v>58</v>
      </c>
      <c r="C849" s="15" t="s">
        <v>26</v>
      </c>
      <c r="D849" s="15" t="s">
        <v>52</v>
      </c>
      <c r="E849" s="15" t="s">
        <v>40</v>
      </c>
      <c r="F849" s="15" t="s">
        <v>20</v>
      </c>
      <c r="G849" s="15" t="s">
        <v>9</v>
      </c>
      <c r="H849" s="16"/>
      <c r="I849" s="16"/>
      <c r="J849" s="16"/>
      <c r="K849" s="16"/>
      <c r="L849" s="16" cm="1">
        <f t="array" ref="L849">_xlfn.XLOOKUP(C849,[4]C5_LMA_DIAG!$P$49:$P$66,_xlfn.XLOOKUP(B849,[4]C5_LMA_DIAG!$P$49:$AB$49,[4]C5_LMA_DIAG!$P$49:$AB$66))</f>
        <v>1786.181082653645</v>
      </c>
      <c r="M849" s="16" cm="1">
        <f t="array" ref="M849">_xlfn.XLOOKUP(C849,[5]C6_LMA_DIAG!$P$46:$P$63,_xlfn.XLOOKUP(B849,[5]C6_LMA_DIAG!$P$46:$AB$46,[5]C6_LMA_DIAG!$P$46:$AB$63))</f>
        <v>1693.1577435867564</v>
      </c>
      <c r="N849" s="16" cm="1">
        <f t="array" ref="N849">_xlfn.XLOOKUP(C849,[6]C6_LMA_DIAG!$R$51:$R$68,_xlfn.XLOOKUP(B849,[6]C6_LMA_DIAG!$R$51:$AF$51,[6]C6_LMA_DIAG!$R$51:$AF$68))</f>
        <v>1320.62</v>
      </c>
      <c r="O849" s="20">
        <v>1294</v>
      </c>
      <c r="P849" s="16">
        <v>1725</v>
      </c>
    </row>
    <row r="850" spans="1:16" x14ac:dyDescent="0.3">
      <c r="A850" s="15" t="s">
        <v>69</v>
      </c>
      <c r="B850" s="15" t="s">
        <v>59</v>
      </c>
      <c r="C850" s="15" t="s">
        <v>26</v>
      </c>
      <c r="D850" s="15" t="s">
        <v>52</v>
      </c>
      <c r="E850" s="15" t="s">
        <v>40</v>
      </c>
      <c r="F850" s="15" t="s">
        <v>20</v>
      </c>
      <c r="G850" s="15" t="s">
        <v>9</v>
      </c>
      <c r="H850" s="16"/>
      <c r="I850" s="16"/>
      <c r="J850" s="16"/>
      <c r="K850" s="16"/>
      <c r="L850" s="16" cm="1">
        <f t="array" ref="L850">_xlfn.XLOOKUP(C850,[4]C5_LMA_DIAG!$P$49:$P$66,_xlfn.XLOOKUP(B850,[4]C5_LMA_DIAG!$P$49:$AB$49,[4]C5_LMA_DIAG!$P$49:$AB$66))</f>
        <v>1862.925172978275</v>
      </c>
      <c r="M850" s="16" cm="1">
        <f t="array" ref="M850">_xlfn.XLOOKUP(C850,[5]C6_LMA_DIAG!$P$46:$P$63,_xlfn.XLOOKUP(B850,[5]C6_LMA_DIAG!$P$46:$AB$46,[5]C6_LMA_DIAG!$P$46:$AB$63))</f>
        <v>2036.7821251993332</v>
      </c>
      <c r="N850" s="16" cm="1">
        <f t="array" ref="N850">_xlfn.XLOOKUP(C850,[6]C6_LMA_DIAG!$R$51:$R$68,_xlfn.XLOOKUP(B850,[6]C6_LMA_DIAG!$R$51:$AF$51,[6]C6_LMA_DIAG!$R$51:$AF$68))</f>
        <v>842.44</v>
      </c>
      <c r="O850" s="20">
        <v>581</v>
      </c>
      <c r="P850" s="16">
        <v>1053</v>
      </c>
    </row>
    <row r="851" spans="1:16" x14ac:dyDescent="0.3">
      <c r="A851" s="15" t="s">
        <v>69</v>
      </c>
      <c r="B851" s="15" t="s">
        <v>60</v>
      </c>
      <c r="C851" s="15" t="s">
        <v>26</v>
      </c>
      <c r="D851" s="15" t="s">
        <v>52</v>
      </c>
      <c r="E851" s="15" t="s">
        <v>40</v>
      </c>
      <c r="F851" s="15" t="s">
        <v>20</v>
      </c>
      <c r="G851" s="15" t="s">
        <v>9</v>
      </c>
      <c r="H851" s="16"/>
      <c r="I851" s="16"/>
      <c r="J851" s="16"/>
      <c r="K851" s="16"/>
      <c r="L851" s="16" cm="1">
        <f t="array" ref="L851">_xlfn.XLOOKUP(C851,[4]C5_LMA_DIAG!$P$49:$P$66,_xlfn.XLOOKUP(B851,[4]C5_LMA_DIAG!$P$49:$AB$49,[4]C5_LMA_DIAG!$P$49:$AB$66))</f>
        <v>2103.6909465457416</v>
      </c>
      <c r="M851" s="16" cm="1">
        <f t="array" ref="M851">_xlfn.XLOOKUP(C851,[5]C6_LMA_DIAG!$P$46:$P$63,_xlfn.XLOOKUP(B851,[5]C6_LMA_DIAG!$P$46:$AB$46,[5]C6_LMA_DIAG!$P$46:$AB$63))</f>
        <v>2373.0641054954021</v>
      </c>
      <c r="N851" s="16" cm="1">
        <f t="array" ref="N851">_xlfn.XLOOKUP(C851,[6]C6_LMA_DIAG!$R$51:$R$68,_xlfn.XLOOKUP(B851,[6]C6_LMA_DIAG!$R$51:$AF$51,[6]C6_LMA_DIAG!$R$51:$AF$68))</f>
        <v>1305.6300000000001</v>
      </c>
      <c r="O851" s="20">
        <v>1325</v>
      </c>
      <c r="P851" s="16">
        <v>1776</v>
      </c>
    </row>
    <row r="852" spans="1:16" x14ac:dyDescent="0.3">
      <c r="A852" s="15" t="s">
        <v>69</v>
      </c>
      <c r="B852" s="15" t="s">
        <v>61</v>
      </c>
      <c r="C852" s="15" t="s">
        <v>26</v>
      </c>
      <c r="D852" s="15" t="s">
        <v>52</v>
      </c>
      <c r="E852" s="15" t="s">
        <v>40</v>
      </c>
      <c r="F852" s="15" t="s">
        <v>20</v>
      </c>
      <c r="G852" s="15" t="s">
        <v>9</v>
      </c>
      <c r="H852" s="16"/>
      <c r="I852" s="16"/>
      <c r="J852" s="16"/>
      <c r="K852" s="16"/>
      <c r="L852" s="16" cm="1">
        <f t="array" ref="L852">_xlfn.XLOOKUP(C852,[4]C5_LMA_DIAG!$P$49:$P$66,_xlfn.XLOOKUP(B852,[4]C5_LMA_DIAG!$P$49:$AB$49,[4]C5_LMA_DIAG!$P$49:$AB$66))</f>
        <v>618.46708085143052</v>
      </c>
      <c r="M852" s="16" cm="1">
        <f t="array" ref="M852">_xlfn.XLOOKUP(C852,[5]C6_LMA_DIAG!$P$46:$P$63,_xlfn.XLOOKUP(B852,[5]C6_LMA_DIAG!$P$46:$AB$46,[5]C6_LMA_DIAG!$P$46:$AB$63))</f>
        <v>538.93225663169085</v>
      </c>
      <c r="N852" s="16" cm="1">
        <f t="array" ref="N852">_xlfn.XLOOKUP(C852,[6]C6_LMA_DIAG!$R$51:$R$68,_xlfn.XLOOKUP(B852,[6]C6_LMA_DIAG!$R$51:$AF$51,[6]C6_LMA_DIAG!$R$51:$AF$68))</f>
        <v>490.17</v>
      </c>
      <c r="O852" s="20">
        <v>480</v>
      </c>
      <c r="P852" s="16">
        <v>490</v>
      </c>
    </row>
    <row r="853" spans="1:16" x14ac:dyDescent="0.3">
      <c r="A853" s="15" t="s">
        <v>69</v>
      </c>
      <c r="B853" s="15" t="s">
        <v>62</v>
      </c>
      <c r="C853" s="15" t="s">
        <v>26</v>
      </c>
      <c r="D853" s="15" t="s">
        <v>52</v>
      </c>
      <c r="E853" s="15" t="s">
        <v>40</v>
      </c>
      <c r="F853" s="15" t="s">
        <v>20</v>
      </c>
      <c r="G853" s="15" t="s">
        <v>9</v>
      </c>
      <c r="H853" s="16"/>
      <c r="I853" s="16"/>
      <c r="J853" s="16"/>
      <c r="K853" s="16"/>
      <c r="L853" s="16" cm="1">
        <f t="array" ref="L853">_xlfn.XLOOKUP(C853,[4]C5_LMA_DIAG!$P$49:$P$66,_xlfn.XLOOKUP(B853,[4]C5_LMA_DIAG!$P$49:$AB$49,[4]C5_LMA_DIAG!$P$49:$AB$66))</f>
        <v>969.08223860905423</v>
      </c>
      <c r="M853" s="16" cm="1">
        <f t="array" ref="M853">_xlfn.XLOOKUP(C853,[5]C6_LMA_DIAG!$P$46:$P$63,_xlfn.XLOOKUP(B853,[5]C6_LMA_DIAG!$P$46:$AB$46,[5]C6_LMA_DIAG!$P$46:$AB$63))</f>
        <v>978.00785535887235</v>
      </c>
      <c r="N853" s="16" cm="1">
        <f t="array" ref="N853">_xlfn.XLOOKUP(C853,[6]C6_LMA_DIAG!$R$51:$R$68,_xlfn.XLOOKUP(B853,[6]C6_LMA_DIAG!$R$51:$AF$51,[6]C6_LMA_DIAG!$R$51:$AF$68))</f>
        <v>545.64</v>
      </c>
      <c r="O853" s="20">
        <v>661</v>
      </c>
      <c r="P853" s="16">
        <v>806</v>
      </c>
    </row>
    <row r="854" spans="1:16" x14ac:dyDescent="0.3">
      <c r="A854" s="15" t="s">
        <v>69</v>
      </c>
      <c r="B854" s="15" t="s">
        <v>63</v>
      </c>
      <c r="C854" s="15" t="s">
        <v>26</v>
      </c>
      <c r="D854" s="15" t="s">
        <v>52</v>
      </c>
      <c r="E854" s="15" t="s">
        <v>40</v>
      </c>
      <c r="F854" s="15" t="s">
        <v>20</v>
      </c>
      <c r="G854" s="15" t="s">
        <v>9</v>
      </c>
      <c r="H854" s="16"/>
      <c r="I854" s="16"/>
      <c r="J854" s="16"/>
      <c r="K854" s="16"/>
      <c r="L854" s="16" cm="1">
        <f t="array" ref="L854">_xlfn.XLOOKUP(C854,[4]C5_LMA_DIAG!$P$49:$P$66,_xlfn.XLOOKUP(B854,[4]C5_LMA_DIAG!$P$49:$AB$49,[4]C5_LMA_DIAG!$P$49:$AB$66))</f>
        <v>941.99608908271421</v>
      </c>
      <c r="M854" s="16" cm="1">
        <f t="array" ref="M854">_xlfn.XLOOKUP(C854,[5]C6_LMA_DIAG!$P$46:$P$63,_xlfn.XLOOKUP(B854,[5]C6_LMA_DIAG!$P$46:$AB$46,[5]C6_LMA_DIAG!$P$46:$AB$63))</f>
        <v>857.59247376814028</v>
      </c>
      <c r="N854" s="16" cm="1">
        <f t="array" ref="N854">_xlfn.XLOOKUP(C854,[6]C6_LMA_DIAG!$R$51:$R$68,_xlfn.XLOOKUP(B854,[6]C6_LMA_DIAG!$R$51:$AF$51,[6]C6_LMA_DIAG!$R$51:$AF$68))</f>
        <v>584.61</v>
      </c>
      <c r="O854" s="20">
        <v>580</v>
      </c>
      <c r="P854" s="16">
        <v>626</v>
      </c>
    </row>
    <row r="855" spans="1:16" x14ac:dyDescent="0.3">
      <c r="A855" s="15" t="s">
        <v>69</v>
      </c>
      <c r="B855" s="15" t="s">
        <v>64</v>
      </c>
      <c r="C855" s="15" t="s">
        <v>26</v>
      </c>
      <c r="D855" s="15" t="s">
        <v>52</v>
      </c>
      <c r="E855" s="15" t="s">
        <v>40</v>
      </c>
      <c r="F855" s="15" t="s">
        <v>20</v>
      </c>
      <c r="G855" s="15" t="s">
        <v>9</v>
      </c>
      <c r="H855" s="16"/>
      <c r="I855" s="16"/>
      <c r="J855" s="16"/>
      <c r="K855" s="16"/>
      <c r="L855" s="16" cm="1">
        <f t="array" ref="L855">_xlfn.XLOOKUP(C855,[4]C5_LMA_DIAG!$P$49:$P$66,_xlfn.XLOOKUP(B855,[4]C5_LMA_DIAG!$P$49:$AB$49,[4]C5_LMA_DIAG!$P$49:$AB$66))</f>
        <v>495.07462189810383</v>
      </c>
      <c r="M855" s="16" cm="1">
        <f t="array" ref="M855">_xlfn.XLOOKUP(C855,[5]C6_LMA_DIAG!$P$46:$P$63,_xlfn.XLOOKUP(B855,[5]C6_LMA_DIAG!$P$46:$AB$46,[5]C6_LMA_DIAG!$P$46:$AB$63))</f>
        <v>469.91368425651524</v>
      </c>
      <c r="N855" s="16" cm="1">
        <f t="array" ref="N855">_xlfn.XLOOKUP(C855,[6]C6_LMA_DIAG!$R$51:$R$68,_xlfn.XLOOKUP(B855,[6]C6_LMA_DIAG!$R$51:$AF$51,[6]C6_LMA_DIAG!$R$51:$AF$68))</f>
        <v>332.78</v>
      </c>
      <c r="O855" s="20">
        <v>373</v>
      </c>
      <c r="P855" s="16">
        <v>484</v>
      </c>
    </row>
    <row r="856" spans="1:16" x14ac:dyDescent="0.3">
      <c r="A856" s="15" t="s">
        <v>69</v>
      </c>
      <c r="B856" s="15" t="s">
        <v>70</v>
      </c>
      <c r="C856" s="15" t="s">
        <v>26</v>
      </c>
      <c r="D856" s="15" t="s">
        <v>52</v>
      </c>
      <c r="E856" s="15" t="s">
        <v>40</v>
      </c>
      <c r="F856" s="15" t="s">
        <v>20</v>
      </c>
      <c r="G856" s="15" t="s">
        <v>9</v>
      </c>
      <c r="H856" s="16"/>
      <c r="I856" s="16"/>
      <c r="J856" s="16"/>
      <c r="K856" s="16"/>
      <c r="L856" s="16">
        <v>0</v>
      </c>
      <c r="M856" s="16">
        <v>0</v>
      </c>
      <c r="N856" s="16" cm="1">
        <f t="array" ref="N856">_xlfn.XLOOKUP(C856,[6]C6_LMA_DIAG!$R$51:$R$68,_xlfn.XLOOKUP(B856,[6]C6_LMA_DIAG!$R$51:$AF$51,[6]C6_LMA_DIAG!$R$51:$AF$68))</f>
        <v>2303.9699999999998</v>
      </c>
      <c r="O856" s="20">
        <v>2804</v>
      </c>
      <c r="P856" s="16">
        <v>6247</v>
      </c>
    </row>
    <row r="857" spans="1:16" x14ac:dyDescent="0.3">
      <c r="A857" s="15"/>
      <c r="B857" s="18" t="s">
        <v>71</v>
      </c>
      <c r="C857" s="15" t="s">
        <v>26</v>
      </c>
      <c r="D857" s="15" t="s">
        <v>52</v>
      </c>
      <c r="E857" s="15" t="s">
        <v>40</v>
      </c>
      <c r="F857" s="15" t="s">
        <v>20</v>
      </c>
      <c r="G857" s="15" t="s">
        <v>9</v>
      </c>
      <c r="H857" s="16"/>
      <c r="I857" s="16"/>
      <c r="J857" s="16"/>
      <c r="K857" s="16"/>
      <c r="L857" s="16">
        <v>0</v>
      </c>
      <c r="M857" s="16">
        <v>0</v>
      </c>
      <c r="N857" s="16" cm="1">
        <f t="array" ref="N857">_xlfn.XLOOKUP(C857,[6]C6_LMA_DIAG!$R$51:$R$68,_xlfn.XLOOKUP(B857,[6]C6_LMA_DIAG!$R$51:$AF$51,[6]C6_LMA_DIAG!$R$51:$AF$68))</f>
        <v>368.75</v>
      </c>
      <c r="O857" s="20">
        <v>378</v>
      </c>
      <c r="P857" s="16">
        <v>0</v>
      </c>
    </row>
    <row r="858" spans="1:16" x14ac:dyDescent="0.3">
      <c r="A858" s="15" t="s">
        <v>69</v>
      </c>
      <c r="B858" s="15" t="s">
        <v>65</v>
      </c>
      <c r="C858" s="15" t="s">
        <v>26</v>
      </c>
      <c r="D858" s="15" t="s">
        <v>52</v>
      </c>
      <c r="E858" s="15" t="s">
        <v>40</v>
      </c>
      <c r="F858" s="15" t="s">
        <v>20</v>
      </c>
      <c r="G858" s="15" t="s">
        <v>9</v>
      </c>
      <c r="H858" s="16"/>
      <c r="I858" s="16"/>
      <c r="J858" s="16"/>
      <c r="K858" s="16"/>
      <c r="L858" s="16" cm="1">
        <f t="array" ref="L858">_xlfn.XLOOKUP(C858,[4]C5_LMA_DIAG!$P$49:$P$66,_xlfn.XLOOKUP(B858,[4]C5_LMA_DIAG!$P$49:$AB$49,[4]C5_LMA_DIAG!$P$49:$AB$66))</f>
        <v>2583.7177075958793</v>
      </c>
      <c r="M858" s="16" cm="1">
        <f t="array" ref="M858">_xlfn.XLOOKUP(C858,[5]C6_LMA_DIAG!$P$46:$P$63,_xlfn.XLOOKUP(B858,[5]C6_LMA_DIAG!$P$46:$AB$46,[5]C6_LMA_DIAG!$P$46:$AB$63))</f>
        <v>2766.6168160602333</v>
      </c>
      <c r="N858" s="16" cm="1">
        <f t="array" ref="N858">_xlfn.XLOOKUP(C858,[6]C6_LMA_DIAG!$R$51:$R$68,_xlfn.XLOOKUP(B858,[6]C6_LMA_DIAG!$R$51:$AF$51,[6]C6_LMA_DIAG!$R$51:$AF$68))</f>
        <v>1561.96</v>
      </c>
      <c r="O858" s="20">
        <v>2337</v>
      </c>
      <c r="P858" s="16">
        <v>2404</v>
      </c>
    </row>
    <row r="859" spans="1:16" x14ac:dyDescent="0.3">
      <c r="A859" s="15" t="s">
        <v>69</v>
      </c>
      <c r="B859" s="15" t="s">
        <v>19</v>
      </c>
      <c r="C859" s="15" t="s">
        <v>26</v>
      </c>
      <c r="D859" s="15" t="s">
        <v>52</v>
      </c>
      <c r="E859" s="15" t="s">
        <v>40</v>
      </c>
      <c r="F859" s="15" t="s">
        <v>20</v>
      </c>
      <c r="G859" s="15" t="s">
        <v>9</v>
      </c>
      <c r="H859" s="16"/>
      <c r="I859" s="16"/>
      <c r="J859" s="16"/>
      <c r="K859" s="16"/>
      <c r="L859" s="16" cm="1">
        <f t="array" ref="L859">_xlfn.XLOOKUP(C859,[4]C5_LMA_DIAG!$P$49:$P$66,_xlfn.XLOOKUP(B859,[4]C5_LMA_DIAG!$P$49:$AB$49,[4]C5_LMA_DIAG!$P$49:$AB$66))</f>
        <v>0</v>
      </c>
      <c r="M859" s="16" cm="1">
        <f t="array" ref="M859">_xlfn.XLOOKUP(C859,[5]C6_LMA_DIAG!$P$46:$P$63,_xlfn.XLOOKUP(B859,[5]C6_LMA_DIAG!$P$46:$AB$46,[5]C6_LMA_DIAG!$P$46:$AB$63))</f>
        <v>8.8108815798096618</v>
      </c>
      <c r="N859" s="16" cm="1">
        <f t="array" ref="N859">_xlfn.XLOOKUP(C859,[6]C6_LMA_DIAG!$R$51:$R$68,_xlfn.XLOOKUP(B859,[6]C6_LMA_DIAG!$R$51:$AF$51,[6]C6_LMA_DIAG!$R$51:$AF$68))</f>
        <v>3</v>
      </c>
      <c r="O859" s="20">
        <v>1</v>
      </c>
      <c r="P859" s="16">
        <v>7</v>
      </c>
    </row>
    <row r="860" spans="1:16" x14ac:dyDescent="0.3">
      <c r="A860" s="26" t="s">
        <v>69</v>
      </c>
      <c r="B860" s="26" t="s">
        <v>55</v>
      </c>
      <c r="C860" s="26" t="s">
        <v>27</v>
      </c>
      <c r="D860" s="26" t="s">
        <v>52</v>
      </c>
      <c r="E860" s="26" t="s">
        <v>40</v>
      </c>
      <c r="F860" s="26" t="s">
        <v>20</v>
      </c>
      <c r="G860" s="26" t="s">
        <v>9</v>
      </c>
      <c r="H860" s="27"/>
      <c r="I860" s="27"/>
      <c r="J860" s="27"/>
      <c r="K860" s="27"/>
      <c r="L860" s="16" cm="1">
        <f t="array" ref="L860">_xlfn.XLOOKUP(C860,[4]C5_LMA_DIAG!$P$49:$P$66,_xlfn.XLOOKUP(B860,[4]C5_LMA_DIAG!$P$49:$AB$49,[4]C5_LMA_DIAG!$P$49:$AB$66))</f>
        <v>14194.647137886968</v>
      </c>
      <c r="M860" s="16" cm="1">
        <f t="array" ref="M860">_xlfn.XLOOKUP(C860,[5]C6_LMA_DIAG!$P$46:$P$63,_xlfn.XLOOKUP(B860,[5]C6_LMA_DIAG!$P$46:$AB$46,[5]C6_LMA_DIAG!$P$46:$AB$63))</f>
        <v>15325.060027815603</v>
      </c>
      <c r="N860" s="16" cm="1">
        <f t="array" ref="N860">_xlfn.XLOOKUP(C860,[6]C6_LMA_DIAG!$R$51:$R$68,_xlfn.XLOOKUP(B860,[6]C6_LMA_DIAG!$R$51:$AF$51,[6]C6_LMA_DIAG!$R$51:$AF$68))</f>
        <v>15661.57</v>
      </c>
      <c r="O860" s="20">
        <v>30191</v>
      </c>
      <c r="P860" s="27">
        <v>27895</v>
      </c>
    </row>
    <row r="861" spans="1:16" x14ac:dyDescent="0.3">
      <c r="A861" s="26" t="s">
        <v>69</v>
      </c>
      <c r="B861" s="26" t="s">
        <v>56</v>
      </c>
      <c r="C861" s="26" t="s">
        <v>27</v>
      </c>
      <c r="D861" s="26" t="s">
        <v>52</v>
      </c>
      <c r="E861" s="26" t="s">
        <v>40</v>
      </c>
      <c r="F861" s="26" t="s">
        <v>20</v>
      </c>
      <c r="G861" s="26" t="s">
        <v>9</v>
      </c>
      <c r="H861" s="27"/>
      <c r="I861" s="27"/>
      <c r="J861" s="27"/>
      <c r="K861" s="27"/>
      <c r="L861" s="16" cm="1">
        <f t="array" ref="L861">_xlfn.XLOOKUP(C861,[4]C5_LMA_DIAG!$P$49:$P$66,_xlfn.XLOOKUP(B861,[4]C5_LMA_DIAG!$P$49:$AB$49,[4]C5_LMA_DIAG!$P$49:$AB$66))</f>
        <v>16295.328512263117</v>
      </c>
      <c r="M861" s="16" cm="1">
        <f t="array" ref="M861">_xlfn.XLOOKUP(C861,[5]C6_LMA_DIAG!$P$46:$P$63,_xlfn.XLOOKUP(B861,[5]C6_LMA_DIAG!$P$46:$AB$46,[5]C6_LMA_DIAG!$P$46:$AB$63))</f>
        <v>16380.89733712946</v>
      </c>
      <c r="N861" s="16" cm="1">
        <f t="array" ref="N861">_xlfn.XLOOKUP(C861,[6]C6_LMA_DIAG!$R$51:$R$68,_xlfn.XLOOKUP(B861,[6]C6_LMA_DIAG!$R$51:$AF$51,[6]C6_LMA_DIAG!$R$51:$AF$68))</f>
        <v>12981.36</v>
      </c>
      <c r="O861" s="20">
        <v>14704</v>
      </c>
      <c r="P861" s="27">
        <v>14354</v>
      </c>
    </row>
    <row r="862" spans="1:16" x14ac:dyDescent="0.3">
      <c r="A862" s="26" t="s">
        <v>69</v>
      </c>
      <c r="B862" s="26" t="s">
        <v>57</v>
      </c>
      <c r="C862" s="26" t="s">
        <v>27</v>
      </c>
      <c r="D862" s="26" t="s">
        <v>52</v>
      </c>
      <c r="E862" s="26" t="s">
        <v>40</v>
      </c>
      <c r="F862" s="26" t="s">
        <v>20</v>
      </c>
      <c r="G862" s="26" t="s">
        <v>9</v>
      </c>
      <c r="H862" s="27"/>
      <c r="I862" s="27"/>
      <c r="J862" s="27"/>
      <c r="K862" s="27"/>
      <c r="L862" s="16" cm="1">
        <f t="array" ref="L862">_xlfn.XLOOKUP(C862,[4]C5_LMA_DIAG!$P$49:$P$66,_xlfn.XLOOKUP(B862,[4]C5_LMA_DIAG!$P$49:$AB$49,[4]C5_LMA_DIAG!$P$49:$AB$66))</f>
        <v>21939.78111633542</v>
      </c>
      <c r="M862" s="16" cm="1">
        <f t="array" ref="M862">_xlfn.XLOOKUP(C862,[5]C6_LMA_DIAG!$P$46:$P$63,_xlfn.XLOOKUP(B862,[5]C6_LMA_DIAG!$P$46:$AB$46,[5]C6_LMA_DIAG!$P$46:$AB$63))</f>
        <v>23824.623791805323</v>
      </c>
      <c r="N862" s="16" cm="1">
        <f t="array" ref="N862">_xlfn.XLOOKUP(C862,[6]C6_LMA_DIAG!$R$51:$R$68,_xlfn.XLOOKUP(B862,[6]C6_LMA_DIAG!$R$51:$AF$51,[6]C6_LMA_DIAG!$R$51:$AF$68))</f>
        <v>6943.38</v>
      </c>
      <c r="O862" s="20">
        <v>4681</v>
      </c>
      <c r="P862" s="27">
        <v>14413</v>
      </c>
    </row>
    <row r="863" spans="1:16" x14ac:dyDescent="0.3">
      <c r="A863" s="26" t="s">
        <v>69</v>
      </c>
      <c r="B863" s="26" t="s">
        <v>58</v>
      </c>
      <c r="C863" s="26" t="s">
        <v>27</v>
      </c>
      <c r="D863" s="26" t="s">
        <v>52</v>
      </c>
      <c r="E863" s="26" t="s">
        <v>40</v>
      </c>
      <c r="F863" s="26" t="s">
        <v>20</v>
      </c>
      <c r="G863" s="26" t="s">
        <v>9</v>
      </c>
      <c r="H863" s="27"/>
      <c r="I863" s="27"/>
      <c r="J863" s="27"/>
      <c r="K863" s="27"/>
      <c r="L863" s="16" cm="1">
        <f t="array" ref="L863">_xlfn.XLOOKUP(C863,[4]C5_LMA_DIAG!$P$49:$P$66,_xlfn.XLOOKUP(B863,[4]C5_LMA_DIAG!$P$49:$AB$49,[4]C5_LMA_DIAG!$P$49:$AB$66))</f>
        <v>8312.4383324167939</v>
      </c>
      <c r="M863" s="16" cm="1">
        <f t="array" ref="M863">_xlfn.XLOOKUP(C863,[5]C6_LMA_DIAG!$P$46:$P$63,_xlfn.XLOOKUP(B863,[5]C6_LMA_DIAG!$P$46:$AB$46,[5]C6_LMA_DIAG!$P$46:$AB$63))</f>
        <v>8652.2857113730861</v>
      </c>
      <c r="N863" s="16" cm="1">
        <f t="array" ref="N863">_xlfn.XLOOKUP(C863,[6]C6_LMA_DIAG!$R$51:$R$68,_xlfn.XLOOKUP(B863,[6]C6_LMA_DIAG!$R$51:$AF$51,[6]C6_LMA_DIAG!$R$51:$AF$68))</f>
        <v>6724.52</v>
      </c>
      <c r="O863" s="20">
        <v>6877</v>
      </c>
      <c r="P863" s="27">
        <v>7235</v>
      </c>
    </row>
    <row r="864" spans="1:16" x14ac:dyDescent="0.3">
      <c r="A864" s="26" t="s">
        <v>69</v>
      </c>
      <c r="B864" s="26" t="s">
        <v>59</v>
      </c>
      <c r="C864" s="26" t="s">
        <v>27</v>
      </c>
      <c r="D864" s="26" t="s">
        <v>52</v>
      </c>
      <c r="E864" s="26" t="s">
        <v>40</v>
      </c>
      <c r="F864" s="26" t="s">
        <v>20</v>
      </c>
      <c r="G864" s="26" t="s">
        <v>9</v>
      </c>
      <c r="H864" s="27"/>
      <c r="I864" s="27"/>
      <c r="J864" s="27"/>
      <c r="K864" s="27"/>
      <c r="L864" s="16" cm="1">
        <f t="array" ref="L864">_xlfn.XLOOKUP(C864,[4]C5_LMA_DIAG!$P$49:$P$66,_xlfn.XLOOKUP(B864,[4]C5_LMA_DIAG!$P$49:$AB$49,[4]C5_LMA_DIAG!$P$49:$AB$66))</f>
        <v>9183.7094755140661</v>
      </c>
      <c r="M864" s="16" cm="1">
        <f t="array" ref="M864">_xlfn.XLOOKUP(C864,[5]C6_LMA_DIAG!$P$46:$P$63,_xlfn.XLOOKUP(B864,[5]C6_LMA_DIAG!$P$46:$AB$46,[5]C6_LMA_DIAG!$P$46:$AB$63))</f>
        <v>8371.8059810824798</v>
      </c>
      <c r="N864" s="16" cm="1">
        <f t="array" ref="N864">_xlfn.XLOOKUP(C864,[6]C6_LMA_DIAG!$R$51:$R$68,_xlfn.XLOOKUP(B864,[6]C6_LMA_DIAG!$R$51:$AF$51,[6]C6_LMA_DIAG!$R$51:$AF$68))</f>
        <v>3909.4</v>
      </c>
      <c r="O864" s="20">
        <v>2747</v>
      </c>
      <c r="P864" s="27">
        <v>4409</v>
      </c>
    </row>
    <row r="865" spans="1:16" x14ac:dyDescent="0.3">
      <c r="A865" s="26" t="s">
        <v>69</v>
      </c>
      <c r="B865" s="26" t="s">
        <v>60</v>
      </c>
      <c r="C865" s="26" t="s">
        <v>27</v>
      </c>
      <c r="D865" s="26" t="s">
        <v>52</v>
      </c>
      <c r="E865" s="26" t="s">
        <v>40</v>
      </c>
      <c r="F865" s="26" t="s">
        <v>20</v>
      </c>
      <c r="G865" s="26" t="s">
        <v>9</v>
      </c>
      <c r="H865" s="27"/>
      <c r="I865" s="27"/>
      <c r="J865" s="27"/>
      <c r="K865" s="27"/>
      <c r="L865" s="16" cm="1">
        <f t="array" ref="L865">_xlfn.XLOOKUP(C865,[4]C5_LMA_DIAG!$P$49:$P$66,_xlfn.XLOOKUP(B865,[4]C5_LMA_DIAG!$P$49:$AB$49,[4]C5_LMA_DIAG!$P$49:$AB$66))</f>
        <v>8160.4549378523316</v>
      </c>
      <c r="M865" s="16" cm="1">
        <f t="array" ref="M865">_xlfn.XLOOKUP(C865,[5]C6_LMA_DIAG!$P$46:$P$63,_xlfn.XLOOKUP(B865,[5]C6_LMA_DIAG!$P$46:$AB$46,[5]C6_LMA_DIAG!$P$46:$AB$63))</f>
        <v>8553.8975337318789</v>
      </c>
      <c r="N865" s="16" cm="1">
        <f t="array" ref="N865">_xlfn.XLOOKUP(C865,[6]C6_LMA_DIAG!$R$51:$R$68,_xlfn.XLOOKUP(B865,[6]C6_LMA_DIAG!$R$51:$AF$51,[6]C6_LMA_DIAG!$R$51:$AF$68))</f>
        <v>4825.29</v>
      </c>
      <c r="O865" s="20">
        <v>4570</v>
      </c>
      <c r="P865" s="27">
        <v>5960</v>
      </c>
    </row>
    <row r="866" spans="1:16" x14ac:dyDescent="0.3">
      <c r="A866" s="26" t="s">
        <v>69</v>
      </c>
      <c r="B866" s="26" t="s">
        <v>61</v>
      </c>
      <c r="C866" s="26" t="s">
        <v>27</v>
      </c>
      <c r="D866" s="26" t="s">
        <v>52</v>
      </c>
      <c r="E866" s="26" t="s">
        <v>40</v>
      </c>
      <c r="F866" s="26" t="s">
        <v>20</v>
      </c>
      <c r="G866" s="26" t="s">
        <v>9</v>
      </c>
      <c r="H866" s="27"/>
      <c r="I866" s="27"/>
      <c r="J866" s="27"/>
      <c r="K866" s="27"/>
      <c r="L866" s="16" cm="1">
        <f t="array" ref="L866">_xlfn.XLOOKUP(C866,[4]C5_LMA_DIAG!$P$49:$P$66,_xlfn.XLOOKUP(B866,[4]C5_LMA_DIAG!$P$49:$AB$49,[4]C5_LMA_DIAG!$P$49:$AB$66))</f>
        <v>3033.6487469500826</v>
      </c>
      <c r="M866" s="16" cm="1">
        <f t="array" ref="M866">_xlfn.XLOOKUP(C866,[5]C6_LMA_DIAG!$P$46:$P$63,_xlfn.XLOOKUP(B866,[5]C6_LMA_DIAG!$P$46:$AB$46,[5]C6_LMA_DIAG!$P$46:$AB$63))</f>
        <v>2613.8948686768663</v>
      </c>
      <c r="N866" s="16" cm="1">
        <f t="array" ref="N866">_xlfn.XLOOKUP(C866,[6]C6_LMA_DIAG!$R$51:$R$68,_xlfn.XLOOKUP(B866,[6]C6_LMA_DIAG!$R$51:$AF$51,[6]C6_LMA_DIAG!$R$51:$AF$68))</f>
        <v>2086.61</v>
      </c>
      <c r="O866" s="20">
        <v>1926</v>
      </c>
      <c r="P866" s="27">
        <v>1854</v>
      </c>
    </row>
    <row r="867" spans="1:16" x14ac:dyDescent="0.3">
      <c r="A867" s="26" t="s">
        <v>69</v>
      </c>
      <c r="B867" s="26" t="s">
        <v>62</v>
      </c>
      <c r="C867" s="26" t="s">
        <v>27</v>
      </c>
      <c r="D867" s="26" t="s">
        <v>52</v>
      </c>
      <c r="E867" s="26" t="s">
        <v>40</v>
      </c>
      <c r="F867" s="26" t="s">
        <v>20</v>
      </c>
      <c r="G867" s="26" t="s">
        <v>9</v>
      </c>
      <c r="H867" s="27"/>
      <c r="I867" s="27"/>
      <c r="J867" s="27"/>
      <c r="K867" s="27"/>
      <c r="L867" s="16" cm="1">
        <f t="array" ref="L867">_xlfn.XLOOKUP(C867,[4]C5_LMA_DIAG!$P$49:$P$66,_xlfn.XLOOKUP(B867,[4]C5_LMA_DIAG!$P$49:$AB$49,[4]C5_LMA_DIAG!$P$49:$AB$66))</f>
        <v>4090.0085784773437</v>
      </c>
      <c r="M867" s="16" cm="1">
        <f t="array" ref="M867">_xlfn.XLOOKUP(C867,[5]C6_LMA_DIAG!$P$46:$P$63,_xlfn.XLOOKUP(B867,[5]C6_LMA_DIAG!$P$46:$AB$46,[5]C6_LMA_DIAG!$P$46:$AB$63))</f>
        <v>4105.8708161913019</v>
      </c>
      <c r="N867" s="16" cm="1">
        <f t="array" ref="N867">_xlfn.XLOOKUP(C867,[6]C6_LMA_DIAG!$R$51:$R$68,_xlfn.XLOOKUP(B867,[6]C6_LMA_DIAG!$R$51:$AF$51,[6]C6_LMA_DIAG!$R$51:$AF$68))</f>
        <v>2629.25</v>
      </c>
      <c r="O867" s="20">
        <v>2631</v>
      </c>
      <c r="P867" s="27">
        <v>2895</v>
      </c>
    </row>
    <row r="868" spans="1:16" x14ac:dyDescent="0.3">
      <c r="A868" s="26" t="s">
        <v>69</v>
      </c>
      <c r="B868" s="26" t="s">
        <v>63</v>
      </c>
      <c r="C868" s="26" t="s">
        <v>27</v>
      </c>
      <c r="D868" s="26" t="s">
        <v>52</v>
      </c>
      <c r="E868" s="26" t="s">
        <v>40</v>
      </c>
      <c r="F868" s="26" t="s">
        <v>20</v>
      </c>
      <c r="G868" s="26" t="s">
        <v>9</v>
      </c>
      <c r="H868" s="27"/>
      <c r="I868" s="27"/>
      <c r="J868" s="27"/>
      <c r="K868" s="27"/>
      <c r="L868" s="16" cm="1">
        <f t="array" ref="L868">_xlfn.XLOOKUP(C868,[4]C5_LMA_DIAG!$P$49:$P$66,_xlfn.XLOOKUP(B868,[4]C5_LMA_DIAG!$P$49:$AB$49,[4]C5_LMA_DIAG!$P$49:$AB$66))</f>
        <v>3325.5772474006362</v>
      </c>
      <c r="M868" s="16" cm="1">
        <f t="array" ref="M868">_xlfn.XLOOKUP(C868,[5]C6_LMA_DIAG!$P$46:$P$63,_xlfn.XLOOKUP(B868,[5]C6_LMA_DIAG!$P$46:$AB$46,[5]C6_LMA_DIAG!$P$46:$AB$63))</f>
        <v>3616.8668885118659</v>
      </c>
      <c r="N868" s="16" cm="1">
        <f t="array" ref="N868">_xlfn.XLOOKUP(C868,[6]C6_LMA_DIAG!$R$51:$R$68,_xlfn.XLOOKUP(B868,[6]C6_LMA_DIAG!$R$51:$AF$51,[6]C6_LMA_DIAG!$R$51:$AF$68))</f>
        <v>2678.72</v>
      </c>
      <c r="O868" s="20">
        <v>2262</v>
      </c>
      <c r="P868" s="27">
        <v>2433</v>
      </c>
    </row>
    <row r="869" spans="1:16" x14ac:dyDescent="0.3">
      <c r="A869" s="26" t="s">
        <v>69</v>
      </c>
      <c r="B869" s="26" t="s">
        <v>64</v>
      </c>
      <c r="C869" s="26" t="s">
        <v>27</v>
      </c>
      <c r="D869" s="26" t="s">
        <v>52</v>
      </c>
      <c r="E869" s="26" t="s">
        <v>40</v>
      </c>
      <c r="F869" s="26" t="s">
        <v>20</v>
      </c>
      <c r="G869" s="26" t="s">
        <v>9</v>
      </c>
      <c r="H869" s="27"/>
      <c r="I869" s="27"/>
      <c r="J869" s="27"/>
      <c r="K869" s="27"/>
      <c r="L869" s="16" cm="1">
        <f t="array" ref="L869">_xlfn.XLOOKUP(C869,[4]C5_LMA_DIAG!$P$49:$P$66,_xlfn.XLOOKUP(B869,[4]C5_LMA_DIAG!$P$49:$AB$49,[4]C5_LMA_DIAG!$P$49:$AB$66))</f>
        <v>2397.1242330810924</v>
      </c>
      <c r="M869" s="16" cm="1">
        <f t="array" ref="M869">_xlfn.XLOOKUP(C869,[5]C6_LMA_DIAG!$P$46:$P$63,_xlfn.XLOOKUP(B869,[5]C6_LMA_DIAG!$P$46:$AB$46,[5]C6_LMA_DIAG!$P$46:$AB$63))</f>
        <v>2154.2605462634624</v>
      </c>
      <c r="N869" s="16" cm="1">
        <f t="array" ref="N869">_xlfn.XLOOKUP(C869,[6]C6_LMA_DIAG!$R$51:$R$68,_xlfn.XLOOKUP(B869,[6]C6_LMA_DIAG!$R$51:$AF$51,[6]C6_LMA_DIAG!$R$51:$AF$68))</f>
        <v>2035.64</v>
      </c>
      <c r="O869" s="20">
        <v>1819</v>
      </c>
      <c r="P869" s="27">
        <v>1677</v>
      </c>
    </row>
    <row r="870" spans="1:16" x14ac:dyDescent="0.3">
      <c r="A870" s="26" t="s">
        <v>69</v>
      </c>
      <c r="B870" s="26" t="s">
        <v>70</v>
      </c>
      <c r="C870" s="26" t="s">
        <v>27</v>
      </c>
      <c r="D870" s="26" t="s">
        <v>52</v>
      </c>
      <c r="E870" s="26" t="s">
        <v>40</v>
      </c>
      <c r="F870" s="26" t="s">
        <v>20</v>
      </c>
      <c r="G870" s="26" t="s">
        <v>9</v>
      </c>
      <c r="H870" s="27"/>
      <c r="I870" s="27"/>
      <c r="J870" s="27"/>
      <c r="K870" s="27"/>
      <c r="L870" s="16">
        <v>0</v>
      </c>
      <c r="M870" s="16">
        <v>0</v>
      </c>
      <c r="N870" s="16" cm="1">
        <f t="array" ref="N870">_xlfn.XLOOKUP(C870,[6]C6_LMA_DIAG!$R$51:$R$68,_xlfn.XLOOKUP(B870,[6]C6_LMA_DIAG!$R$51:$AF$51,[6]C6_LMA_DIAG!$R$51:$AF$68))</f>
        <v>12810.47</v>
      </c>
      <c r="O870" s="20">
        <v>14325</v>
      </c>
      <c r="P870" s="27">
        <v>25575</v>
      </c>
    </row>
    <row r="871" spans="1:16" x14ac:dyDescent="0.3">
      <c r="A871" s="26"/>
      <c r="B871" s="18" t="s">
        <v>71</v>
      </c>
      <c r="C871" s="26" t="s">
        <v>27</v>
      </c>
      <c r="D871" s="26" t="s">
        <v>52</v>
      </c>
      <c r="E871" s="26" t="s">
        <v>40</v>
      </c>
      <c r="F871" s="26" t="s">
        <v>20</v>
      </c>
      <c r="G871" s="26" t="s">
        <v>9</v>
      </c>
      <c r="H871" s="27"/>
      <c r="I871" s="27"/>
      <c r="J871" s="27"/>
      <c r="K871" s="27"/>
      <c r="L871" s="16">
        <v>0</v>
      </c>
      <c r="M871" s="16">
        <v>0</v>
      </c>
      <c r="N871" s="16" cm="1">
        <f t="array" ref="N871">_xlfn.XLOOKUP(C871,[6]C6_LMA_DIAG!$R$51:$R$68,_xlfn.XLOOKUP(B871,[6]C6_LMA_DIAG!$R$51:$AF$51,[6]C6_LMA_DIAG!$R$51:$AF$68))</f>
        <v>2411.89</v>
      </c>
      <c r="O871" s="20">
        <v>2319</v>
      </c>
      <c r="P871" s="27">
        <v>0</v>
      </c>
    </row>
    <row r="872" spans="1:16" x14ac:dyDescent="0.3">
      <c r="A872" s="26" t="s">
        <v>69</v>
      </c>
      <c r="B872" s="26" t="s">
        <v>65</v>
      </c>
      <c r="C872" s="26" t="s">
        <v>27</v>
      </c>
      <c r="D872" s="26" t="s">
        <v>52</v>
      </c>
      <c r="E872" s="26" t="s">
        <v>40</v>
      </c>
      <c r="F872" s="26" t="s">
        <v>20</v>
      </c>
      <c r="G872" s="26" t="s">
        <v>9</v>
      </c>
      <c r="H872" s="27"/>
      <c r="I872" s="27"/>
      <c r="J872" s="27"/>
      <c r="K872" s="27"/>
      <c r="L872" s="16" cm="1">
        <f t="array" ref="L872">_xlfn.XLOOKUP(C872,[4]C5_LMA_DIAG!$P$49:$P$66,_xlfn.XLOOKUP(B872,[4]C5_LMA_DIAG!$P$49:$AB$49,[4]C5_LMA_DIAG!$P$49:$AB$66))</f>
        <v>12176.728998174636</v>
      </c>
      <c r="M872" s="16" cm="1">
        <f t="array" ref="M872">_xlfn.XLOOKUP(C872,[5]C6_LMA_DIAG!$P$46:$P$63,_xlfn.XLOOKUP(B872,[5]C6_LMA_DIAG!$P$46:$AB$46,[5]C6_LMA_DIAG!$P$46:$AB$63))</f>
        <v>12382.225580159176</v>
      </c>
      <c r="N872" s="16" cm="1">
        <f t="array" ref="N872">_xlfn.XLOOKUP(C872,[6]C6_LMA_DIAG!$R$51:$R$68,_xlfn.XLOOKUP(B872,[6]C6_LMA_DIAG!$R$51:$AF$51,[6]C6_LMA_DIAG!$R$51:$AF$68))</f>
        <v>8517.33</v>
      </c>
      <c r="O872" s="20">
        <v>9945</v>
      </c>
      <c r="P872" s="27">
        <v>9432</v>
      </c>
    </row>
    <row r="873" spans="1:16" x14ac:dyDescent="0.3">
      <c r="A873" s="26" t="s">
        <v>69</v>
      </c>
      <c r="B873" s="26" t="s">
        <v>19</v>
      </c>
      <c r="C873" s="26" t="s">
        <v>27</v>
      </c>
      <c r="D873" s="26" t="s">
        <v>52</v>
      </c>
      <c r="E873" s="26" t="s">
        <v>40</v>
      </c>
      <c r="F873" s="26" t="s">
        <v>20</v>
      </c>
      <c r="G873" s="26" t="s">
        <v>9</v>
      </c>
      <c r="H873" s="27"/>
      <c r="I873" s="27"/>
      <c r="J873" s="27"/>
      <c r="K873" s="27"/>
      <c r="L873" s="16" cm="1">
        <f t="array" ref="L873">_xlfn.XLOOKUP(C873,[4]C5_LMA_DIAG!$P$49:$P$66,_xlfn.XLOOKUP(B873,[4]C5_LMA_DIAG!$P$49:$AB$49,[4]C5_LMA_DIAG!$P$49:$AB$66))</f>
        <v>4.5143582543900038</v>
      </c>
      <c r="M873" s="16" cm="1">
        <f t="array" ref="M873">_xlfn.XLOOKUP(C873,[5]C6_LMA_DIAG!$P$46:$P$63,_xlfn.XLOOKUP(B873,[5]C6_LMA_DIAG!$P$46:$AB$46,[5]C6_LMA_DIAG!$P$46:$AB$63))</f>
        <v>19.090243422920931</v>
      </c>
      <c r="N873" s="16" cm="1">
        <f t="array" ref="N873">_xlfn.XLOOKUP(C873,[6]C6_LMA_DIAG!$R$51:$R$68,_xlfn.XLOOKUP(B873,[6]C6_LMA_DIAG!$R$51:$AF$51,[6]C6_LMA_DIAG!$R$51:$AF$68))</f>
        <v>11.99</v>
      </c>
      <c r="O873" s="20">
        <v>0</v>
      </c>
      <c r="P873" s="27">
        <v>16</v>
      </c>
    </row>
    <row r="874" spans="1:16" x14ac:dyDescent="0.3">
      <c r="A874" s="15" t="s">
        <v>69</v>
      </c>
      <c r="B874" s="15" t="s">
        <v>55</v>
      </c>
      <c r="C874" s="15" t="s">
        <v>28</v>
      </c>
      <c r="D874" s="15" t="s">
        <v>52</v>
      </c>
      <c r="E874" s="15" t="s">
        <v>40</v>
      </c>
      <c r="F874" s="15" t="s">
        <v>20</v>
      </c>
      <c r="G874" s="15" t="s">
        <v>9</v>
      </c>
      <c r="H874" s="16"/>
      <c r="I874" s="16"/>
      <c r="J874" s="16"/>
      <c r="K874" s="16"/>
      <c r="L874" s="16" cm="1">
        <f t="array" ref="L874">_xlfn.XLOOKUP(C874,[4]C5_LMA_DIAG!$P$49:$P$66,_xlfn.XLOOKUP(B874,[4]C5_LMA_DIAG!$P$49:$AB$49,[4]C5_LMA_DIAG!$P$49:$AB$66))</f>
        <v>166802.52792754106</v>
      </c>
      <c r="M874" s="16" cm="1">
        <f t="array" ref="M874">_xlfn.XLOOKUP(C874,[5]C6_LMA_DIAG!$P$46:$P$63,_xlfn.XLOOKUP(B874,[5]C6_LMA_DIAG!$P$46:$AB$46,[5]C6_LMA_DIAG!$P$46:$AB$63))</f>
        <v>187867.08552496487</v>
      </c>
      <c r="N874" s="16" cm="1">
        <f t="array" ref="N874">_xlfn.XLOOKUP(C874,[6]C6_LMA_DIAG!$R$51:$R$68,_xlfn.XLOOKUP(B874,[6]C6_LMA_DIAG!$R$51:$AF$51,[6]C6_LMA_DIAG!$R$51:$AF$68))</f>
        <v>206766.34</v>
      </c>
      <c r="O874" s="20">
        <v>332714</v>
      </c>
      <c r="P874" s="16">
        <v>239115</v>
      </c>
    </row>
    <row r="875" spans="1:16" x14ac:dyDescent="0.3">
      <c r="A875" s="15" t="s">
        <v>69</v>
      </c>
      <c r="B875" s="15" t="s">
        <v>56</v>
      </c>
      <c r="C875" s="15" t="s">
        <v>28</v>
      </c>
      <c r="D875" s="15" t="s">
        <v>52</v>
      </c>
      <c r="E875" s="15" t="s">
        <v>40</v>
      </c>
      <c r="F875" s="15" t="s">
        <v>20</v>
      </c>
      <c r="G875" s="15" t="s">
        <v>9</v>
      </c>
      <c r="H875" s="16"/>
      <c r="I875" s="16"/>
      <c r="J875" s="16"/>
      <c r="K875" s="16"/>
      <c r="L875" s="16" cm="1">
        <f t="array" ref="L875">_xlfn.XLOOKUP(C875,[4]C5_LMA_DIAG!$P$49:$P$66,_xlfn.XLOOKUP(B875,[4]C5_LMA_DIAG!$P$49:$AB$49,[4]C5_LMA_DIAG!$P$49:$AB$66))</f>
        <v>179037.94358302277</v>
      </c>
      <c r="M875" s="16" cm="1">
        <f t="array" ref="M875">_xlfn.XLOOKUP(C875,[5]C6_LMA_DIAG!$P$46:$P$63,_xlfn.XLOOKUP(B875,[5]C6_LMA_DIAG!$P$46:$AB$46,[5]C6_LMA_DIAG!$P$46:$AB$63))</f>
        <v>193447.31052551101</v>
      </c>
      <c r="N875" s="16" cm="1">
        <f t="array" ref="N875">_xlfn.XLOOKUP(C875,[6]C6_LMA_DIAG!$R$51:$R$68,_xlfn.XLOOKUP(B875,[6]C6_LMA_DIAG!$R$51:$AF$51,[6]C6_LMA_DIAG!$R$51:$AF$68))</f>
        <v>142974.81</v>
      </c>
      <c r="O875" s="20">
        <v>156772</v>
      </c>
      <c r="P875" s="16">
        <v>133734</v>
      </c>
    </row>
    <row r="876" spans="1:16" x14ac:dyDescent="0.3">
      <c r="A876" s="15" t="s">
        <v>69</v>
      </c>
      <c r="B876" s="15" t="s">
        <v>57</v>
      </c>
      <c r="C876" s="15" t="s">
        <v>28</v>
      </c>
      <c r="D876" s="15" t="s">
        <v>52</v>
      </c>
      <c r="E876" s="15" t="s">
        <v>40</v>
      </c>
      <c r="F876" s="15" t="s">
        <v>20</v>
      </c>
      <c r="G876" s="15" t="s">
        <v>9</v>
      </c>
      <c r="H876" s="16"/>
      <c r="I876" s="16"/>
      <c r="J876" s="16"/>
      <c r="K876" s="16"/>
      <c r="L876" s="16" cm="1">
        <f t="array" ref="L876">_xlfn.XLOOKUP(C876,[4]C5_LMA_DIAG!$P$49:$P$66,_xlfn.XLOOKUP(B876,[4]C5_LMA_DIAG!$P$49:$AB$49,[4]C5_LMA_DIAG!$P$49:$AB$66))</f>
        <v>256722.52521065073</v>
      </c>
      <c r="M876" s="16" cm="1">
        <f t="array" ref="M876">_xlfn.XLOOKUP(C876,[5]C6_LMA_DIAG!$P$46:$P$63,_xlfn.XLOOKUP(B876,[5]C6_LMA_DIAG!$P$46:$AB$46,[5]C6_LMA_DIAG!$P$46:$AB$63))</f>
        <v>297063.27790407266</v>
      </c>
      <c r="N876" s="16" cm="1">
        <f t="array" ref="N876">_xlfn.XLOOKUP(C876,[6]C6_LMA_DIAG!$R$51:$R$68,_xlfn.XLOOKUP(B876,[6]C6_LMA_DIAG!$R$51:$AF$51,[6]C6_LMA_DIAG!$R$51:$AF$68))</f>
        <v>90545.72</v>
      </c>
      <c r="O876" s="20">
        <v>56932</v>
      </c>
      <c r="P876" s="16">
        <v>140199</v>
      </c>
    </row>
    <row r="877" spans="1:16" x14ac:dyDescent="0.3">
      <c r="A877" s="15" t="s">
        <v>69</v>
      </c>
      <c r="B877" s="15" t="s">
        <v>58</v>
      </c>
      <c r="C877" s="15" t="s">
        <v>28</v>
      </c>
      <c r="D877" s="15" t="s">
        <v>52</v>
      </c>
      <c r="E877" s="15" t="s">
        <v>40</v>
      </c>
      <c r="F877" s="15" t="s">
        <v>20</v>
      </c>
      <c r="G877" s="15" t="s">
        <v>9</v>
      </c>
      <c r="H877" s="16"/>
      <c r="I877" s="16"/>
      <c r="J877" s="16"/>
      <c r="K877" s="16"/>
      <c r="L877" s="16" cm="1">
        <f t="array" ref="L877">_xlfn.XLOOKUP(C877,[4]C5_LMA_DIAG!$P$49:$P$66,_xlfn.XLOOKUP(B877,[4]C5_LMA_DIAG!$P$49:$AB$49,[4]C5_LMA_DIAG!$P$49:$AB$66))</f>
        <v>100336.12656207224</v>
      </c>
      <c r="M877" s="16" cm="1">
        <f t="array" ref="M877">_xlfn.XLOOKUP(C877,[5]C6_LMA_DIAG!$P$46:$P$63,_xlfn.XLOOKUP(B877,[5]C6_LMA_DIAG!$P$46:$AB$46,[5]C6_LMA_DIAG!$P$46:$AB$63))</f>
        <v>106291.53841829715</v>
      </c>
      <c r="N877" s="16" cm="1">
        <f t="array" ref="N877">_xlfn.XLOOKUP(C877,[6]C6_LMA_DIAG!$R$51:$R$68,_xlfn.XLOOKUP(B877,[6]C6_LMA_DIAG!$R$51:$AF$51,[6]C6_LMA_DIAG!$R$51:$AF$68))</f>
        <v>74639.81</v>
      </c>
      <c r="O877" s="20">
        <v>70029</v>
      </c>
      <c r="P877" s="16">
        <v>69652</v>
      </c>
    </row>
    <row r="878" spans="1:16" x14ac:dyDescent="0.3">
      <c r="A878" s="15" t="s">
        <v>69</v>
      </c>
      <c r="B878" s="15" t="s">
        <v>59</v>
      </c>
      <c r="C878" s="15" t="s">
        <v>28</v>
      </c>
      <c r="D878" s="15" t="s">
        <v>52</v>
      </c>
      <c r="E878" s="15" t="s">
        <v>40</v>
      </c>
      <c r="F878" s="15" t="s">
        <v>20</v>
      </c>
      <c r="G878" s="15" t="s">
        <v>9</v>
      </c>
      <c r="H878" s="16"/>
      <c r="I878" s="16"/>
      <c r="J878" s="16"/>
      <c r="K878" s="16"/>
      <c r="L878" s="16" cm="1">
        <f t="array" ref="L878">_xlfn.XLOOKUP(C878,[4]C5_LMA_DIAG!$P$49:$P$66,_xlfn.XLOOKUP(B878,[4]C5_LMA_DIAG!$P$49:$AB$49,[4]C5_LMA_DIAG!$P$49:$AB$66))</f>
        <v>138459.8820203958</v>
      </c>
      <c r="M878" s="16" cm="1">
        <f t="array" ref="M878">_xlfn.XLOOKUP(C878,[5]C6_LMA_DIAG!$P$46:$P$63,_xlfn.XLOOKUP(B878,[5]C6_LMA_DIAG!$P$46:$AB$46,[5]C6_LMA_DIAG!$P$46:$AB$63))</f>
        <v>124483.07192007749</v>
      </c>
      <c r="N878" s="16" cm="1">
        <f t="array" ref="N878">_xlfn.XLOOKUP(C878,[6]C6_LMA_DIAG!$R$51:$R$68,_xlfn.XLOOKUP(B878,[6]C6_LMA_DIAG!$R$51:$AF$51,[6]C6_LMA_DIAG!$R$51:$AF$68))</f>
        <v>57440.26</v>
      </c>
      <c r="O878" s="20">
        <v>35200</v>
      </c>
      <c r="P878" s="16">
        <v>48813</v>
      </c>
    </row>
    <row r="879" spans="1:16" x14ac:dyDescent="0.3">
      <c r="A879" s="15" t="s">
        <v>69</v>
      </c>
      <c r="B879" s="15" t="s">
        <v>60</v>
      </c>
      <c r="C879" s="15" t="s">
        <v>28</v>
      </c>
      <c r="D879" s="15" t="s">
        <v>52</v>
      </c>
      <c r="E879" s="15" t="s">
        <v>40</v>
      </c>
      <c r="F879" s="15" t="s">
        <v>20</v>
      </c>
      <c r="G879" s="15" t="s">
        <v>9</v>
      </c>
      <c r="H879" s="16"/>
      <c r="I879" s="16"/>
      <c r="J879" s="16"/>
      <c r="K879" s="16"/>
      <c r="L879" s="16" cm="1">
        <f t="array" ref="L879">_xlfn.XLOOKUP(C879,[4]C5_LMA_DIAG!$P$49:$P$66,_xlfn.XLOOKUP(B879,[4]C5_LMA_DIAG!$P$49:$AB$49,[4]C5_LMA_DIAG!$P$49:$AB$66))</f>
        <v>89987.712656925549</v>
      </c>
      <c r="M879" s="16" cm="1">
        <f t="array" ref="M879">_xlfn.XLOOKUP(C879,[5]C6_LMA_DIAG!$P$46:$P$63,_xlfn.XLOOKUP(B879,[5]C6_LMA_DIAG!$P$46:$AB$46,[5]C6_LMA_DIAG!$P$46:$AB$63))</f>
        <v>112481.18272811343</v>
      </c>
      <c r="N879" s="16" cm="1">
        <f t="array" ref="N879">_xlfn.XLOOKUP(C879,[6]C6_LMA_DIAG!$R$51:$R$68,_xlfn.XLOOKUP(B879,[6]C6_LMA_DIAG!$R$51:$AF$51,[6]C6_LMA_DIAG!$R$51:$AF$68))</f>
        <v>59402.45</v>
      </c>
      <c r="O879" s="20">
        <v>53632</v>
      </c>
      <c r="P879" s="16">
        <v>63396</v>
      </c>
    </row>
    <row r="880" spans="1:16" x14ac:dyDescent="0.3">
      <c r="A880" s="15" t="s">
        <v>69</v>
      </c>
      <c r="B880" s="15" t="s">
        <v>61</v>
      </c>
      <c r="C880" s="15" t="s">
        <v>28</v>
      </c>
      <c r="D880" s="15" t="s">
        <v>52</v>
      </c>
      <c r="E880" s="15" t="s">
        <v>40</v>
      </c>
      <c r="F880" s="15" t="s">
        <v>20</v>
      </c>
      <c r="G880" s="15" t="s">
        <v>9</v>
      </c>
      <c r="H880" s="16"/>
      <c r="I880" s="16"/>
      <c r="J880" s="16"/>
      <c r="K880" s="16"/>
      <c r="L880" s="16" cm="1">
        <f t="array" ref="L880">_xlfn.XLOOKUP(C880,[4]C5_LMA_DIAG!$P$49:$P$66,_xlfn.XLOOKUP(B880,[4]C5_LMA_DIAG!$P$49:$AB$49,[4]C5_LMA_DIAG!$P$49:$AB$66))</f>
        <v>34619.108666832144</v>
      </c>
      <c r="M880" s="16" cm="1">
        <f t="array" ref="M880">_xlfn.XLOOKUP(C880,[5]C6_LMA_DIAG!$P$46:$P$63,_xlfn.XLOOKUP(B880,[5]C6_LMA_DIAG!$P$46:$AB$46,[5]C6_LMA_DIAG!$P$46:$AB$63))</f>
        <v>34142.166121762435</v>
      </c>
      <c r="N880" s="16" cm="1">
        <f t="array" ref="N880">_xlfn.XLOOKUP(C880,[6]C6_LMA_DIAG!$R$51:$R$68,_xlfn.XLOOKUP(B880,[6]C6_LMA_DIAG!$R$51:$AF$51,[6]C6_LMA_DIAG!$R$51:$AF$68))</f>
        <v>24919.41</v>
      </c>
      <c r="O880" s="20">
        <v>20151</v>
      </c>
      <c r="P880" s="16">
        <v>20299</v>
      </c>
    </row>
    <row r="881" spans="1:16" x14ac:dyDescent="0.3">
      <c r="A881" s="15" t="s">
        <v>69</v>
      </c>
      <c r="B881" s="15" t="s">
        <v>62</v>
      </c>
      <c r="C881" s="15" t="s">
        <v>28</v>
      </c>
      <c r="D881" s="15" t="s">
        <v>52</v>
      </c>
      <c r="E881" s="15" t="s">
        <v>40</v>
      </c>
      <c r="F881" s="15" t="s">
        <v>20</v>
      </c>
      <c r="G881" s="15" t="s">
        <v>9</v>
      </c>
      <c r="H881" s="16"/>
      <c r="I881" s="16"/>
      <c r="J881" s="16"/>
      <c r="K881" s="16"/>
      <c r="L881" s="16" cm="1">
        <f t="array" ref="L881">_xlfn.XLOOKUP(C881,[4]C5_LMA_DIAG!$P$49:$P$66,_xlfn.XLOOKUP(B881,[4]C5_LMA_DIAG!$P$49:$AB$49,[4]C5_LMA_DIAG!$P$49:$AB$66))</f>
        <v>43044.405955608694</v>
      </c>
      <c r="M881" s="16" cm="1">
        <f t="array" ref="M881">_xlfn.XLOOKUP(C881,[5]C6_LMA_DIAG!$P$46:$P$63,_xlfn.XLOOKUP(B881,[5]C6_LMA_DIAG!$P$46:$AB$46,[5]C6_LMA_DIAG!$P$46:$AB$63))</f>
        <v>44414.185563557199</v>
      </c>
      <c r="N881" s="16" cm="1">
        <f t="array" ref="N881">_xlfn.XLOOKUP(C881,[6]C6_LMA_DIAG!$R$51:$R$68,_xlfn.XLOOKUP(B881,[6]C6_LMA_DIAG!$R$51:$AF$51,[6]C6_LMA_DIAG!$R$51:$AF$68))</f>
        <v>28308.65</v>
      </c>
      <c r="O881" s="20">
        <v>26290</v>
      </c>
      <c r="P881" s="16">
        <v>28487</v>
      </c>
    </row>
    <row r="882" spans="1:16" x14ac:dyDescent="0.3">
      <c r="A882" s="15" t="s">
        <v>69</v>
      </c>
      <c r="B882" s="15" t="s">
        <v>63</v>
      </c>
      <c r="C882" s="15" t="s">
        <v>28</v>
      </c>
      <c r="D882" s="15" t="s">
        <v>52</v>
      </c>
      <c r="E882" s="15" t="s">
        <v>40</v>
      </c>
      <c r="F882" s="15" t="s">
        <v>20</v>
      </c>
      <c r="G882" s="15" t="s">
        <v>9</v>
      </c>
      <c r="H882" s="16"/>
      <c r="I882" s="16"/>
      <c r="J882" s="16"/>
      <c r="K882" s="16"/>
      <c r="L882" s="16" cm="1">
        <f t="array" ref="L882">_xlfn.XLOOKUP(C882,[4]C5_LMA_DIAG!$P$49:$P$66,_xlfn.XLOOKUP(B882,[4]C5_LMA_DIAG!$P$49:$AB$49,[4]C5_LMA_DIAG!$P$49:$AB$66))</f>
        <v>35067.534920101556</v>
      </c>
      <c r="M882" s="16" cm="1">
        <f t="array" ref="M882">_xlfn.XLOOKUP(C882,[5]C6_LMA_DIAG!$P$46:$P$63,_xlfn.XLOOKUP(B882,[5]C6_LMA_DIAG!$P$46:$AB$46,[5]C6_LMA_DIAG!$P$46:$AB$63))</f>
        <v>38146.711799785924</v>
      </c>
      <c r="N882" s="16" cm="1">
        <f t="array" ref="N882">_xlfn.XLOOKUP(C882,[6]C6_LMA_DIAG!$R$51:$R$68,_xlfn.XLOOKUP(B882,[6]C6_LMA_DIAG!$R$51:$AF$51,[6]C6_LMA_DIAG!$R$51:$AF$68))</f>
        <v>32269.02</v>
      </c>
      <c r="O882" s="20">
        <v>25947</v>
      </c>
      <c r="P882" s="16">
        <v>25689</v>
      </c>
    </row>
    <row r="883" spans="1:16" x14ac:dyDescent="0.3">
      <c r="A883" s="15" t="s">
        <v>69</v>
      </c>
      <c r="B883" s="15" t="s">
        <v>64</v>
      </c>
      <c r="C883" s="15" t="s">
        <v>28</v>
      </c>
      <c r="D883" s="15" t="s">
        <v>52</v>
      </c>
      <c r="E883" s="15" t="s">
        <v>40</v>
      </c>
      <c r="F883" s="15" t="s">
        <v>20</v>
      </c>
      <c r="G883" s="15" t="s">
        <v>9</v>
      </c>
      <c r="H883" s="16"/>
      <c r="I883" s="16"/>
      <c r="J883" s="16"/>
      <c r="K883" s="16"/>
      <c r="L883" s="16" cm="1">
        <f t="array" ref="L883">_xlfn.XLOOKUP(C883,[4]C5_LMA_DIAG!$P$49:$P$66,_xlfn.XLOOKUP(B883,[4]C5_LMA_DIAG!$P$49:$AB$49,[4]C5_LMA_DIAG!$P$49:$AB$66))</f>
        <v>22033.077853592815</v>
      </c>
      <c r="M883" s="16" cm="1">
        <f t="array" ref="M883">_xlfn.XLOOKUP(C883,[5]C6_LMA_DIAG!$P$46:$P$63,_xlfn.XLOOKUP(B883,[5]C6_LMA_DIAG!$P$46:$AB$46,[5]C6_LMA_DIAG!$P$46:$AB$63))</f>
        <v>23721.830173374208</v>
      </c>
      <c r="N883" s="16" cm="1">
        <f t="array" ref="N883">_xlfn.XLOOKUP(C883,[6]C6_LMA_DIAG!$R$51:$R$68,_xlfn.XLOOKUP(B883,[6]C6_LMA_DIAG!$R$51:$AF$51,[6]C6_LMA_DIAG!$R$51:$AF$68))</f>
        <v>19397.09</v>
      </c>
      <c r="O883" s="20">
        <v>17196</v>
      </c>
      <c r="P883" s="16">
        <v>15604</v>
      </c>
    </row>
    <row r="884" spans="1:16" x14ac:dyDescent="0.3">
      <c r="A884" s="15" t="s">
        <v>69</v>
      </c>
      <c r="B884" s="15" t="s">
        <v>70</v>
      </c>
      <c r="C884" s="15" t="s">
        <v>28</v>
      </c>
      <c r="D884" s="15" t="s">
        <v>52</v>
      </c>
      <c r="E884" s="15" t="s">
        <v>40</v>
      </c>
      <c r="F884" s="15" t="s">
        <v>20</v>
      </c>
      <c r="G884" s="15" t="s">
        <v>9</v>
      </c>
      <c r="H884" s="16"/>
      <c r="I884" s="16"/>
      <c r="J884" s="16"/>
      <c r="K884" s="16"/>
      <c r="L884" s="16">
        <v>0</v>
      </c>
      <c r="M884" s="16">
        <v>0</v>
      </c>
      <c r="N884" s="16" cm="1">
        <f t="array" ref="N884">_xlfn.XLOOKUP(C884,[6]C6_LMA_DIAG!$R$51:$R$68,_xlfn.XLOOKUP(B884,[6]C6_LMA_DIAG!$R$51:$AF$51,[6]C6_LMA_DIAG!$R$51:$AF$68))</f>
        <v>188444.04</v>
      </c>
      <c r="O884" s="20">
        <v>185978</v>
      </c>
      <c r="P884" s="16">
        <v>257579</v>
      </c>
    </row>
    <row r="885" spans="1:16" x14ac:dyDescent="0.3">
      <c r="A885" s="15"/>
      <c r="B885" s="18" t="s">
        <v>71</v>
      </c>
      <c r="C885" s="15" t="s">
        <v>28</v>
      </c>
      <c r="D885" s="15" t="s">
        <v>52</v>
      </c>
      <c r="E885" s="15" t="s">
        <v>40</v>
      </c>
      <c r="F885" s="15" t="s">
        <v>20</v>
      </c>
      <c r="G885" s="15" t="s">
        <v>9</v>
      </c>
      <c r="H885" s="16"/>
      <c r="I885" s="16"/>
      <c r="J885" s="16"/>
      <c r="K885" s="16"/>
      <c r="L885" s="16">
        <v>0</v>
      </c>
      <c r="M885" s="16">
        <v>0</v>
      </c>
      <c r="N885" s="16" cm="1">
        <f t="array" ref="N885">_xlfn.XLOOKUP(C885,[6]C6_LMA_DIAG!$R$51:$R$68,_xlfn.XLOOKUP(B885,[6]C6_LMA_DIAG!$R$51:$AF$51,[6]C6_LMA_DIAG!$R$51:$AF$68))</f>
        <v>29187.07</v>
      </c>
      <c r="O885" s="20">
        <v>30785</v>
      </c>
      <c r="P885" s="16">
        <v>0</v>
      </c>
    </row>
    <row r="886" spans="1:16" x14ac:dyDescent="0.3">
      <c r="A886" s="15" t="s">
        <v>69</v>
      </c>
      <c r="B886" s="15" t="s">
        <v>65</v>
      </c>
      <c r="C886" s="15" t="s">
        <v>28</v>
      </c>
      <c r="D886" s="15" t="s">
        <v>52</v>
      </c>
      <c r="E886" s="15" t="s">
        <v>40</v>
      </c>
      <c r="F886" s="15" t="s">
        <v>20</v>
      </c>
      <c r="G886" s="15" t="s">
        <v>9</v>
      </c>
      <c r="H886" s="16"/>
      <c r="I886" s="16"/>
      <c r="J886" s="16"/>
      <c r="K886" s="16"/>
      <c r="L886" s="16" cm="1">
        <f t="array" ref="L886">_xlfn.XLOOKUP(C886,[4]C5_LMA_DIAG!$P$49:$P$66,_xlfn.XLOOKUP(B886,[4]C5_LMA_DIAG!$P$49:$AB$49,[4]C5_LMA_DIAG!$P$49:$AB$66))</f>
        <v>147419.37836927519</v>
      </c>
      <c r="M886" s="16" cm="1">
        <f t="array" ref="M886">_xlfn.XLOOKUP(C886,[5]C6_LMA_DIAG!$P$46:$P$63,_xlfn.XLOOKUP(B886,[5]C6_LMA_DIAG!$P$46:$AB$46,[5]C6_LMA_DIAG!$P$46:$AB$63))</f>
        <v>158726.56318000774</v>
      </c>
      <c r="N886" s="16" cm="1">
        <f t="array" ref="N886">_xlfn.XLOOKUP(C886,[6]C6_LMA_DIAG!$R$51:$R$68,_xlfn.XLOOKUP(B886,[6]C6_LMA_DIAG!$R$51:$AF$51,[6]C6_LMA_DIAG!$R$51:$AF$68))</f>
        <v>104751.76</v>
      </c>
      <c r="O886" s="20">
        <v>111657</v>
      </c>
      <c r="P886" s="16">
        <v>101443</v>
      </c>
    </row>
    <row r="887" spans="1:16" x14ac:dyDescent="0.3">
      <c r="A887" s="15" t="s">
        <v>69</v>
      </c>
      <c r="B887" s="15" t="s">
        <v>19</v>
      </c>
      <c r="C887" s="15" t="s">
        <v>28</v>
      </c>
      <c r="D887" s="15" t="s">
        <v>52</v>
      </c>
      <c r="E887" s="15" t="s">
        <v>40</v>
      </c>
      <c r="F887" s="15" t="s">
        <v>20</v>
      </c>
      <c r="G887" s="15" t="s">
        <v>9</v>
      </c>
      <c r="H887" s="16"/>
      <c r="I887" s="16"/>
      <c r="J887" s="16"/>
      <c r="K887" s="16"/>
      <c r="L887" s="16" cm="1">
        <f t="array" ref="L887">_xlfn.XLOOKUP(C887,[4]C5_LMA_DIAG!$P$49:$P$66,_xlfn.XLOOKUP(B887,[4]C5_LMA_DIAG!$P$49:$AB$49,[4]C5_LMA_DIAG!$P$49:$AB$66))</f>
        <v>57.181871222273386</v>
      </c>
      <c r="M887" s="16" cm="1">
        <f t="array" ref="M887">_xlfn.XLOOKUP(C887,[5]C6_LMA_DIAG!$P$46:$P$63,_xlfn.XLOOKUP(B887,[5]C6_LMA_DIAG!$P$46:$AB$46,[5]C6_LMA_DIAG!$P$46:$AB$63))</f>
        <v>267.26340792089303</v>
      </c>
      <c r="N887" s="16" cm="1">
        <f t="array" ref="N887">_xlfn.XLOOKUP(C887,[6]C6_LMA_DIAG!$R$51:$R$68,_xlfn.XLOOKUP(B887,[6]C6_LMA_DIAG!$R$51:$AF$51,[6]C6_LMA_DIAG!$R$51:$AF$68))</f>
        <v>131.91</v>
      </c>
      <c r="O887" s="20">
        <v>26</v>
      </c>
      <c r="P887" s="16">
        <v>280</v>
      </c>
    </row>
    <row r="888" spans="1:16" x14ac:dyDescent="0.3">
      <c r="A888" s="26" t="s">
        <v>69</v>
      </c>
      <c r="B888" s="26" t="s">
        <v>55</v>
      </c>
      <c r="C888" s="26" t="s">
        <v>29</v>
      </c>
      <c r="D888" s="26" t="s">
        <v>52</v>
      </c>
      <c r="E888" s="26" t="s">
        <v>40</v>
      </c>
      <c r="F888" s="26" t="s">
        <v>20</v>
      </c>
      <c r="G888" s="26" t="s">
        <v>9</v>
      </c>
      <c r="H888" s="27"/>
      <c r="I888" s="27"/>
      <c r="J888" s="27"/>
      <c r="K888" s="27"/>
      <c r="L888" s="16" cm="1">
        <f t="array" ref="L888">_xlfn.XLOOKUP(C888,[4]C5_LMA_DIAG!$P$49:$P$66,_xlfn.XLOOKUP(B888,[4]C5_LMA_DIAG!$P$49:$AB$49,[4]C5_LMA_DIAG!$P$49:$AB$66))</f>
        <v>8726.2545057358784</v>
      </c>
      <c r="M888" s="16" cm="1">
        <f t="array" ref="M888">_xlfn.XLOOKUP(C888,[5]C6_LMA_DIAG!$P$46:$P$63,_xlfn.XLOOKUP(B888,[5]C6_LMA_DIAG!$P$46:$AB$46,[5]C6_LMA_DIAG!$P$46:$AB$63))</f>
        <v>9001.7840140388707</v>
      </c>
      <c r="N888" s="16" cm="1">
        <f t="array" ref="N888">_xlfn.XLOOKUP(C888,[6]C6_LMA_DIAG!$R$51:$R$68,_xlfn.XLOOKUP(B888,[6]C6_LMA_DIAG!$R$51:$AF$51,[6]C6_LMA_DIAG!$R$51:$AF$68))</f>
        <v>8629.75</v>
      </c>
      <c r="O888" s="20">
        <v>16744</v>
      </c>
      <c r="P888" s="27">
        <v>13145</v>
      </c>
    </row>
    <row r="889" spans="1:16" x14ac:dyDescent="0.3">
      <c r="A889" s="26" t="s">
        <v>69</v>
      </c>
      <c r="B889" s="26" t="s">
        <v>56</v>
      </c>
      <c r="C889" s="26" t="s">
        <v>29</v>
      </c>
      <c r="D889" s="26" t="s">
        <v>52</v>
      </c>
      <c r="E889" s="26" t="s">
        <v>40</v>
      </c>
      <c r="F889" s="26" t="s">
        <v>20</v>
      </c>
      <c r="G889" s="26" t="s">
        <v>9</v>
      </c>
      <c r="H889" s="27"/>
      <c r="I889" s="27"/>
      <c r="J889" s="27"/>
      <c r="K889" s="27"/>
      <c r="L889" s="16" cm="1">
        <f t="array" ref="L889">_xlfn.XLOOKUP(C889,[4]C5_LMA_DIAG!$P$49:$P$66,_xlfn.XLOOKUP(B889,[4]C5_LMA_DIAG!$P$49:$AB$49,[4]C5_LMA_DIAG!$P$49:$AB$66))</f>
        <v>9523.7911306781116</v>
      </c>
      <c r="M889" s="16" cm="1">
        <f t="array" ref="M889">_xlfn.XLOOKUP(C889,[5]C6_LMA_DIAG!$P$46:$P$63,_xlfn.XLOOKUP(B889,[5]C6_LMA_DIAG!$P$46:$AB$46,[5]C6_LMA_DIAG!$P$46:$AB$63))</f>
        <v>9727.2132641098651</v>
      </c>
      <c r="N889" s="16" cm="1">
        <f t="array" ref="N889">_xlfn.XLOOKUP(C889,[6]C6_LMA_DIAG!$R$51:$R$68,_xlfn.XLOOKUP(B889,[6]C6_LMA_DIAG!$R$51:$AF$51,[6]C6_LMA_DIAG!$R$51:$AF$68))</f>
        <v>7055.8</v>
      </c>
      <c r="O889" s="20">
        <v>9032</v>
      </c>
      <c r="P889" s="27">
        <v>8459</v>
      </c>
    </row>
    <row r="890" spans="1:16" x14ac:dyDescent="0.3">
      <c r="A890" s="26" t="s">
        <v>69</v>
      </c>
      <c r="B890" s="26" t="s">
        <v>57</v>
      </c>
      <c r="C890" s="26" t="s">
        <v>29</v>
      </c>
      <c r="D890" s="26" t="s">
        <v>52</v>
      </c>
      <c r="E890" s="26" t="s">
        <v>40</v>
      </c>
      <c r="F890" s="26" t="s">
        <v>20</v>
      </c>
      <c r="G890" s="26" t="s">
        <v>9</v>
      </c>
      <c r="H890" s="27"/>
      <c r="I890" s="27"/>
      <c r="J890" s="27"/>
      <c r="K890" s="27"/>
      <c r="L890" s="16" cm="1">
        <f t="array" ref="L890">_xlfn.XLOOKUP(C890,[4]C5_LMA_DIAG!$P$49:$P$66,_xlfn.XLOOKUP(B890,[4]C5_LMA_DIAG!$P$49:$AB$49,[4]C5_LMA_DIAG!$P$49:$AB$66))</f>
        <v>8008.4715432878675</v>
      </c>
      <c r="M890" s="16" cm="1">
        <f t="array" ref="M890">_xlfn.XLOOKUP(C890,[5]C6_LMA_DIAG!$P$46:$P$63,_xlfn.XLOOKUP(B890,[5]C6_LMA_DIAG!$P$46:$AB$46,[5]C6_LMA_DIAG!$P$46:$AB$63))</f>
        <v>8849.0620666555023</v>
      </c>
      <c r="N890" s="16" cm="1">
        <f t="array" ref="N890">_xlfn.XLOOKUP(C890,[6]C6_LMA_DIAG!$R$51:$R$68,_xlfn.XLOOKUP(B890,[6]C6_LMA_DIAG!$R$51:$AF$51,[6]C6_LMA_DIAG!$R$51:$AF$68))</f>
        <v>2978.52</v>
      </c>
      <c r="O890" s="20">
        <v>2263</v>
      </c>
      <c r="P890" s="27">
        <v>6073</v>
      </c>
    </row>
    <row r="891" spans="1:16" x14ac:dyDescent="0.3">
      <c r="A891" s="26" t="s">
        <v>69</v>
      </c>
      <c r="B891" s="26" t="s">
        <v>58</v>
      </c>
      <c r="C891" s="26" t="s">
        <v>29</v>
      </c>
      <c r="D891" s="26" t="s">
        <v>52</v>
      </c>
      <c r="E891" s="26" t="s">
        <v>40</v>
      </c>
      <c r="F891" s="26" t="s">
        <v>20</v>
      </c>
      <c r="G891" s="26" t="s">
        <v>9</v>
      </c>
      <c r="H891" s="27"/>
      <c r="I891" s="27"/>
      <c r="J891" s="27"/>
      <c r="K891" s="27"/>
      <c r="L891" s="16" cm="1">
        <f t="array" ref="L891">_xlfn.XLOOKUP(C891,[4]C5_LMA_DIAG!$P$49:$P$66,_xlfn.XLOOKUP(B891,[4]C5_LMA_DIAG!$P$49:$AB$49,[4]C5_LMA_DIAG!$P$49:$AB$66))</f>
        <v>4759.638386211861</v>
      </c>
      <c r="M891" s="16" cm="1">
        <f t="array" ref="M891">_xlfn.XLOOKUP(C891,[5]C6_LMA_DIAG!$P$46:$P$63,_xlfn.XLOOKUP(B891,[5]C6_LMA_DIAG!$P$46:$AB$46,[5]C6_LMA_DIAG!$P$46:$AB$63))</f>
        <v>4793.1195794164551</v>
      </c>
      <c r="N891" s="16" cm="1">
        <f t="array" ref="N891">_xlfn.XLOOKUP(C891,[6]C6_LMA_DIAG!$R$51:$R$68,_xlfn.XLOOKUP(B891,[6]C6_LMA_DIAG!$R$51:$AF$51,[6]C6_LMA_DIAG!$R$51:$AF$68))</f>
        <v>3777.49</v>
      </c>
      <c r="O891" s="20">
        <v>3891</v>
      </c>
      <c r="P891" s="27">
        <v>4057</v>
      </c>
    </row>
    <row r="892" spans="1:16" x14ac:dyDescent="0.3">
      <c r="A892" s="26" t="s">
        <v>69</v>
      </c>
      <c r="B892" s="26" t="s">
        <v>59</v>
      </c>
      <c r="C892" s="26" t="s">
        <v>29</v>
      </c>
      <c r="D892" s="26" t="s">
        <v>52</v>
      </c>
      <c r="E892" s="26" t="s">
        <v>40</v>
      </c>
      <c r="F892" s="26" t="s">
        <v>20</v>
      </c>
      <c r="G892" s="26" t="s">
        <v>9</v>
      </c>
      <c r="H892" s="27"/>
      <c r="I892" s="27"/>
      <c r="J892" s="27"/>
      <c r="K892" s="27"/>
      <c r="L892" s="16" cm="1">
        <f t="array" ref="L892">_xlfn.XLOOKUP(C892,[4]C5_LMA_DIAG!$P$49:$P$66,_xlfn.XLOOKUP(B892,[4]C5_LMA_DIAG!$P$49:$AB$49,[4]C5_LMA_DIAG!$P$49:$AB$66))</f>
        <v>4458.6811692525271</v>
      </c>
      <c r="M892" s="16" cm="1">
        <f t="array" ref="M892">_xlfn.XLOOKUP(C892,[5]C6_LMA_DIAG!$P$46:$P$63,_xlfn.XLOOKUP(B892,[5]C6_LMA_DIAG!$P$46:$AB$46,[5]C6_LMA_DIAG!$P$46:$AB$63))</f>
        <v>4613.9649872936589</v>
      </c>
      <c r="N892" s="16" cm="1">
        <f t="array" ref="N892">_xlfn.XLOOKUP(C892,[6]C6_LMA_DIAG!$R$51:$R$68,_xlfn.XLOOKUP(B892,[6]C6_LMA_DIAG!$R$51:$AF$51,[6]C6_LMA_DIAG!$R$51:$AF$68))</f>
        <v>2217.02</v>
      </c>
      <c r="O892" s="20">
        <v>1810</v>
      </c>
      <c r="P892" s="27">
        <v>2681</v>
      </c>
    </row>
    <row r="893" spans="1:16" x14ac:dyDescent="0.3">
      <c r="A893" s="26" t="s">
        <v>69</v>
      </c>
      <c r="B893" s="26" t="s">
        <v>60</v>
      </c>
      <c r="C893" s="26" t="s">
        <v>29</v>
      </c>
      <c r="D893" s="26" t="s">
        <v>52</v>
      </c>
      <c r="E893" s="26" t="s">
        <v>40</v>
      </c>
      <c r="F893" s="26" t="s">
        <v>20</v>
      </c>
      <c r="G893" s="26" t="s">
        <v>9</v>
      </c>
      <c r="H893" s="27"/>
      <c r="I893" s="27"/>
      <c r="J893" s="27"/>
      <c r="K893" s="27"/>
      <c r="L893" s="16" cm="1">
        <f t="array" ref="L893">_xlfn.XLOOKUP(C893,[4]C5_LMA_DIAG!$P$49:$P$66,_xlfn.XLOOKUP(B893,[4]C5_LMA_DIAG!$P$49:$AB$49,[4]C5_LMA_DIAG!$P$49:$AB$66))</f>
        <v>4059.9128567814105</v>
      </c>
      <c r="M893" s="16" cm="1">
        <f t="array" ref="M893">_xlfn.XLOOKUP(C893,[5]C6_LMA_DIAG!$P$46:$P$63,_xlfn.XLOOKUP(B893,[5]C6_LMA_DIAG!$P$46:$AB$46,[5]C6_LMA_DIAG!$P$46:$AB$63))</f>
        <v>4148.4567438270478</v>
      </c>
      <c r="N893" s="16" cm="1">
        <f t="array" ref="N893">_xlfn.XLOOKUP(C893,[6]C6_LMA_DIAG!$R$51:$R$68,_xlfn.XLOOKUP(B893,[6]C6_LMA_DIAG!$R$51:$AF$51,[6]C6_LMA_DIAG!$R$51:$AF$68))</f>
        <v>2399.9</v>
      </c>
      <c r="O893" s="20">
        <v>2470</v>
      </c>
      <c r="P893" s="27">
        <v>3011</v>
      </c>
    </row>
    <row r="894" spans="1:16" x14ac:dyDescent="0.3">
      <c r="A894" s="26" t="s">
        <v>69</v>
      </c>
      <c r="B894" s="26" t="s">
        <v>61</v>
      </c>
      <c r="C894" s="26" t="s">
        <v>29</v>
      </c>
      <c r="D894" s="26" t="s">
        <v>52</v>
      </c>
      <c r="E894" s="26" t="s">
        <v>40</v>
      </c>
      <c r="F894" s="26" t="s">
        <v>20</v>
      </c>
      <c r="G894" s="26" t="s">
        <v>9</v>
      </c>
      <c r="H894" s="27"/>
      <c r="I894" s="27"/>
      <c r="J894" s="27"/>
      <c r="K894" s="27"/>
      <c r="L894" s="16" cm="1">
        <f t="array" ref="L894">_xlfn.XLOOKUP(C894,[4]C5_LMA_DIAG!$P$49:$P$66,_xlfn.XLOOKUP(B894,[4]C5_LMA_DIAG!$P$49:$AB$49,[4]C5_LMA_DIAG!$P$49:$AB$66))</f>
        <v>1861.4203868934781</v>
      </c>
      <c r="M894" s="16" cm="1">
        <f t="array" ref="M894">_xlfn.XLOOKUP(C894,[5]C6_LMA_DIAG!$P$46:$P$63,_xlfn.XLOOKUP(B894,[5]C6_LMA_DIAG!$P$46:$AB$46,[5]C6_LMA_DIAG!$P$46:$AB$63))</f>
        <v>1687.2838225335499</v>
      </c>
      <c r="N894" s="16" cm="1">
        <f t="array" ref="N894">_xlfn.XLOOKUP(C894,[6]C6_LMA_DIAG!$R$51:$R$68,_xlfn.XLOOKUP(B894,[6]C6_LMA_DIAG!$R$51:$AF$51,[6]C6_LMA_DIAG!$R$51:$AF$68))</f>
        <v>1561.96</v>
      </c>
      <c r="O894" s="20">
        <v>1443</v>
      </c>
      <c r="P894" s="27">
        <v>1422</v>
      </c>
    </row>
    <row r="895" spans="1:16" x14ac:dyDescent="0.3">
      <c r="A895" s="26" t="s">
        <v>69</v>
      </c>
      <c r="B895" s="26" t="s">
        <v>62</v>
      </c>
      <c r="C895" s="26" t="s">
        <v>29</v>
      </c>
      <c r="D895" s="26" t="s">
        <v>52</v>
      </c>
      <c r="E895" s="26" t="s">
        <v>40</v>
      </c>
      <c r="F895" s="26" t="s">
        <v>20</v>
      </c>
      <c r="G895" s="26" t="s">
        <v>9</v>
      </c>
      <c r="H895" s="27"/>
      <c r="I895" s="27"/>
      <c r="J895" s="27"/>
      <c r="K895" s="27"/>
      <c r="L895" s="16" cm="1">
        <f t="array" ref="L895">_xlfn.XLOOKUP(C895,[4]C5_LMA_DIAG!$P$49:$P$66,_xlfn.XLOOKUP(B895,[4]C5_LMA_DIAG!$P$49:$AB$49,[4]C5_LMA_DIAG!$P$49:$AB$66))</f>
        <v>1968.2601989140419</v>
      </c>
      <c r="M895" s="16" cm="1">
        <f t="array" ref="M895">_xlfn.XLOOKUP(C895,[5]C6_LMA_DIAG!$P$46:$P$63,_xlfn.XLOOKUP(B895,[5]C6_LMA_DIAG!$P$46:$AB$46,[5]C6_LMA_DIAG!$P$46:$AB$63))</f>
        <v>1995.6646778268882</v>
      </c>
      <c r="N895" s="16" cm="1">
        <f t="array" ref="N895">_xlfn.XLOOKUP(C895,[6]C6_LMA_DIAG!$R$51:$R$68,_xlfn.XLOOKUP(B895,[6]C6_LMA_DIAG!$R$51:$AF$51,[6]C6_LMA_DIAG!$R$51:$AF$68))</f>
        <v>1274.1500000000001</v>
      </c>
      <c r="O895" s="20">
        <v>1402</v>
      </c>
      <c r="P895" s="27">
        <v>1487</v>
      </c>
    </row>
    <row r="896" spans="1:16" x14ac:dyDescent="0.3">
      <c r="A896" s="26" t="s">
        <v>69</v>
      </c>
      <c r="B896" s="26" t="s">
        <v>63</v>
      </c>
      <c r="C896" s="26" t="s">
        <v>29</v>
      </c>
      <c r="D896" s="26" t="s">
        <v>52</v>
      </c>
      <c r="E896" s="26" t="s">
        <v>40</v>
      </c>
      <c r="F896" s="26" t="s">
        <v>20</v>
      </c>
      <c r="G896" s="26" t="s">
        <v>9</v>
      </c>
      <c r="H896" s="27"/>
      <c r="I896" s="27"/>
      <c r="J896" s="27"/>
      <c r="K896" s="27"/>
      <c r="L896" s="16" cm="1">
        <f t="array" ref="L896">_xlfn.XLOOKUP(C896,[4]C5_LMA_DIAG!$P$49:$P$66,_xlfn.XLOOKUP(B896,[4]C5_LMA_DIAG!$P$49:$AB$49,[4]C5_LMA_DIAG!$P$49:$AB$66))</f>
        <v>1447.6042135743946</v>
      </c>
      <c r="M896" s="16" cm="1">
        <f t="array" ref="M896">_xlfn.XLOOKUP(C896,[5]C6_LMA_DIAG!$P$46:$P$63,_xlfn.XLOOKUP(B896,[5]C6_LMA_DIAG!$P$46:$AB$46,[5]C6_LMA_DIAG!$P$46:$AB$63))</f>
        <v>1803.2937633343772</v>
      </c>
      <c r="N896" s="16" cm="1">
        <f t="array" ref="N896">_xlfn.XLOOKUP(C896,[6]C6_LMA_DIAG!$R$51:$R$68,_xlfn.XLOOKUP(B896,[6]C6_LMA_DIAG!$R$51:$AF$51,[6]C6_LMA_DIAG!$R$51:$AF$68))</f>
        <v>1702.87</v>
      </c>
      <c r="O896" s="20">
        <v>1233</v>
      </c>
      <c r="P896" s="27">
        <v>1271</v>
      </c>
    </row>
    <row r="897" spans="1:16" x14ac:dyDescent="0.3">
      <c r="A897" s="26" t="s">
        <v>69</v>
      </c>
      <c r="B897" s="26" t="s">
        <v>64</v>
      </c>
      <c r="C897" s="26" t="s">
        <v>29</v>
      </c>
      <c r="D897" s="26" t="s">
        <v>52</v>
      </c>
      <c r="E897" s="26" t="s">
        <v>40</v>
      </c>
      <c r="F897" s="26" t="s">
        <v>20</v>
      </c>
      <c r="G897" s="26" t="s">
        <v>9</v>
      </c>
      <c r="H897" s="27"/>
      <c r="I897" s="27"/>
      <c r="J897" s="27"/>
      <c r="K897" s="27"/>
      <c r="L897" s="16" cm="1">
        <f t="array" ref="L897">_xlfn.XLOOKUP(C897,[4]C5_LMA_DIAG!$P$49:$P$66,_xlfn.XLOOKUP(B897,[4]C5_LMA_DIAG!$P$49:$AB$49,[4]C5_LMA_DIAG!$P$49:$AB$66))</f>
        <v>1086.4555532231943</v>
      </c>
      <c r="M897" s="16" cm="1">
        <f t="array" ref="M897">_xlfn.XLOOKUP(C897,[5]C6_LMA_DIAG!$P$46:$P$63,_xlfn.XLOOKUP(B897,[5]C6_LMA_DIAG!$P$46:$AB$46,[5]C6_LMA_DIAG!$P$46:$AB$63))</f>
        <v>1212.96469748713</v>
      </c>
      <c r="N897" s="16" cm="1">
        <f t="array" ref="N897">_xlfn.XLOOKUP(C897,[6]C6_LMA_DIAG!$R$51:$R$68,_xlfn.XLOOKUP(B897,[6]C6_LMA_DIAG!$R$51:$AF$51,[6]C6_LMA_DIAG!$R$51:$AF$68))</f>
        <v>962.36</v>
      </c>
      <c r="O897" s="20">
        <v>948</v>
      </c>
      <c r="P897" s="27">
        <v>926</v>
      </c>
    </row>
    <row r="898" spans="1:16" x14ac:dyDescent="0.3">
      <c r="A898" s="26" t="s">
        <v>69</v>
      </c>
      <c r="B898" s="26" t="s">
        <v>70</v>
      </c>
      <c r="C898" s="26" t="s">
        <v>29</v>
      </c>
      <c r="D898" s="26" t="s">
        <v>52</v>
      </c>
      <c r="E898" s="26" t="s">
        <v>40</v>
      </c>
      <c r="F898" s="26" t="s">
        <v>20</v>
      </c>
      <c r="G898" s="26" t="s">
        <v>9</v>
      </c>
      <c r="H898" s="27"/>
      <c r="I898" s="27"/>
      <c r="J898" s="27"/>
      <c r="K898" s="27"/>
      <c r="L898" s="16">
        <v>0</v>
      </c>
      <c r="M898" s="16">
        <v>0</v>
      </c>
      <c r="N898" s="16" cm="1">
        <f t="array" ref="N898">_xlfn.XLOOKUP(C898,[6]C6_LMA_DIAG!$R$51:$R$68,_xlfn.XLOOKUP(B898,[6]C6_LMA_DIAG!$R$51:$AF$51,[6]C6_LMA_DIAG!$R$51:$AF$68))</f>
        <v>11296.48</v>
      </c>
      <c r="O898" s="20">
        <v>7744</v>
      </c>
      <c r="P898" s="27">
        <v>13778</v>
      </c>
    </row>
    <row r="899" spans="1:16" x14ac:dyDescent="0.3">
      <c r="A899" s="26"/>
      <c r="B899" s="18" t="s">
        <v>71</v>
      </c>
      <c r="C899" s="26" t="s">
        <v>29</v>
      </c>
      <c r="D899" s="26" t="s">
        <v>52</v>
      </c>
      <c r="E899" s="26" t="s">
        <v>40</v>
      </c>
      <c r="F899" s="26" t="s">
        <v>20</v>
      </c>
      <c r="G899" s="26" t="s">
        <v>9</v>
      </c>
      <c r="H899" s="27"/>
      <c r="I899" s="27"/>
      <c r="J899" s="27"/>
      <c r="K899" s="27"/>
      <c r="L899" s="16">
        <v>0</v>
      </c>
      <c r="M899" s="16">
        <v>0</v>
      </c>
      <c r="N899" s="16" cm="1">
        <f t="array" ref="N899">_xlfn.XLOOKUP(C899,[6]C6_LMA_DIAG!$R$51:$R$68,_xlfn.XLOOKUP(B899,[6]C6_LMA_DIAG!$R$51:$AF$51,[6]C6_LMA_DIAG!$R$51:$AF$68))</f>
        <v>1112.26</v>
      </c>
      <c r="O899" s="20">
        <v>1126</v>
      </c>
      <c r="P899" s="27">
        <v>0</v>
      </c>
    </row>
    <row r="900" spans="1:16" x14ac:dyDescent="0.3">
      <c r="A900" s="26" t="s">
        <v>69</v>
      </c>
      <c r="B900" s="26" t="s">
        <v>65</v>
      </c>
      <c r="C900" s="26" t="s">
        <v>29</v>
      </c>
      <c r="D900" s="26" t="s">
        <v>52</v>
      </c>
      <c r="E900" s="26" t="s">
        <v>40</v>
      </c>
      <c r="F900" s="26" t="s">
        <v>20</v>
      </c>
      <c r="G900" s="26" t="s">
        <v>9</v>
      </c>
      <c r="H900" s="27"/>
      <c r="I900" s="27"/>
      <c r="J900" s="27"/>
      <c r="K900" s="27"/>
      <c r="L900" s="16" cm="1">
        <f t="array" ref="L900">_xlfn.XLOOKUP(C900,[4]C5_LMA_DIAG!$P$49:$P$66,_xlfn.XLOOKUP(B900,[4]C5_LMA_DIAG!$P$49:$AB$49,[4]C5_LMA_DIAG!$P$49:$AB$66))</f>
        <v>6387.8169299618557</v>
      </c>
      <c r="M900" s="16" cm="1">
        <f t="array" ref="M900">_xlfn.XLOOKUP(C900,[5]C6_LMA_DIAG!$P$46:$P$63,_xlfn.XLOOKUP(B900,[5]C6_LMA_DIAG!$P$46:$AB$46,[5]C6_LMA_DIAG!$P$46:$AB$63))</f>
        <v>6333.5553756198451</v>
      </c>
      <c r="N900" s="16" cm="1">
        <f t="array" ref="N900">_xlfn.XLOOKUP(C900,[6]C6_LMA_DIAG!$R$51:$R$68,_xlfn.XLOOKUP(B900,[6]C6_LMA_DIAG!$R$51:$AF$51,[6]C6_LMA_DIAG!$R$51:$AF$68))</f>
        <v>4577.95</v>
      </c>
      <c r="O900" s="20">
        <v>6062</v>
      </c>
      <c r="P900" s="27">
        <v>4898</v>
      </c>
    </row>
    <row r="901" spans="1:16" x14ac:dyDescent="0.3">
      <c r="A901" s="26" t="s">
        <v>69</v>
      </c>
      <c r="B901" s="26" t="s">
        <v>19</v>
      </c>
      <c r="C901" s="26" t="s">
        <v>29</v>
      </c>
      <c r="D901" s="26" t="s">
        <v>52</v>
      </c>
      <c r="E901" s="26" t="s">
        <v>40</v>
      </c>
      <c r="F901" s="26" t="s">
        <v>20</v>
      </c>
      <c r="G901" s="26" t="s">
        <v>9</v>
      </c>
      <c r="H901" s="27"/>
      <c r="I901" s="27"/>
      <c r="J901" s="27"/>
      <c r="K901" s="27"/>
      <c r="L901" s="16" cm="1">
        <f t="array" ref="L901">_xlfn.XLOOKUP(C901,[4]C5_LMA_DIAG!$P$49:$P$66,_xlfn.XLOOKUP(B901,[4]C5_LMA_DIAG!$P$49:$AB$49,[4]C5_LMA_DIAG!$P$49:$AB$66))</f>
        <v>1.5047860847966681</v>
      </c>
      <c r="M901" s="16" cm="1">
        <f t="array" ref="M901">_xlfn.XLOOKUP(C901,[5]C6_LMA_DIAG!$P$46:$P$63,_xlfn.XLOOKUP(B901,[5]C6_LMA_DIAG!$P$46:$AB$46,[5]C6_LMA_DIAG!$P$46:$AB$63))</f>
        <v>1.4684802633016101</v>
      </c>
      <c r="N901" s="16" cm="1">
        <f t="array" ref="N901">_xlfn.XLOOKUP(C901,[6]C6_LMA_DIAG!$R$51:$R$68,_xlfn.XLOOKUP(B901,[6]C6_LMA_DIAG!$R$51:$AF$51,[6]C6_LMA_DIAG!$R$51:$AF$68))</f>
        <v>11.99</v>
      </c>
      <c r="O901" s="20">
        <v>0</v>
      </c>
      <c r="P901" s="27">
        <v>3</v>
      </c>
    </row>
    <row r="902" spans="1:16" x14ac:dyDescent="0.3">
      <c r="A902" s="15" t="s">
        <v>69</v>
      </c>
      <c r="B902" s="15" t="s">
        <v>55</v>
      </c>
      <c r="C902" s="15" t="s">
        <v>30</v>
      </c>
      <c r="D902" s="15" t="s">
        <v>52</v>
      </c>
      <c r="E902" s="15" t="s">
        <v>40</v>
      </c>
      <c r="F902" s="15" t="s">
        <v>20</v>
      </c>
      <c r="G902" s="15" t="s">
        <v>9</v>
      </c>
      <c r="H902" s="16"/>
      <c r="I902" s="16"/>
      <c r="J902" s="16"/>
      <c r="K902" s="16"/>
      <c r="L902" s="16" cm="1">
        <f t="array" ref="L902">_xlfn.XLOOKUP(C902,[4]C5_LMA_DIAG!$P$49:$P$66,_xlfn.XLOOKUP(B902,[4]C5_LMA_DIAG!$P$49:$AB$49,[4]C5_LMA_DIAG!$P$49:$AB$66))</f>
        <v>7763.1914114660103</v>
      </c>
      <c r="M902" s="16" cm="1">
        <f t="array" ref="M902">_xlfn.XLOOKUP(C902,[5]C6_LMA_DIAG!$P$46:$P$63,_xlfn.XLOOKUP(B902,[5]C6_LMA_DIAG!$P$46:$AB$46,[5]C6_LMA_DIAG!$P$46:$AB$63))</f>
        <v>8486.3474416200061</v>
      </c>
      <c r="N902" s="16" cm="1">
        <f t="array" ref="N902">_xlfn.XLOOKUP(C902,[6]C6_LMA_DIAG!$R$51:$R$68,_xlfn.XLOOKUP(B902,[6]C6_LMA_DIAG!$R$51:$AF$51,[6]C6_LMA_DIAG!$R$51:$AF$68))</f>
        <v>7775.32</v>
      </c>
      <c r="O902" s="20">
        <v>15708</v>
      </c>
      <c r="P902" s="16">
        <v>14752</v>
      </c>
    </row>
    <row r="903" spans="1:16" x14ac:dyDescent="0.3">
      <c r="A903" s="15" t="s">
        <v>69</v>
      </c>
      <c r="B903" s="15" t="s">
        <v>56</v>
      </c>
      <c r="C903" s="15" t="s">
        <v>30</v>
      </c>
      <c r="D903" s="15" t="s">
        <v>52</v>
      </c>
      <c r="E903" s="15" t="s">
        <v>40</v>
      </c>
      <c r="F903" s="15" t="s">
        <v>20</v>
      </c>
      <c r="G903" s="15" t="s">
        <v>9</v>
      </c>
      <c r="H903" s="16"/>
      <c r="I903" s="16"/>
      <c r="J903" s="16"/>
      <c r="K903" s="16"/>
      <c r="L903" s="16" cm="1">
        <f t="array" ref="L903">_xlfn.XLOOKUP(C903,[4]C5_LMA_DIAG!$P$49:$P$66,_xlfn.XLOOKUP(B903,[4]C5_LMA_DIAG!$P$49:$AB$49,[4]C5_LMA_DIAG!$P$49:$AB$66))</f>
        <v>7799.3062775011294</v>
      </c>
      <c r="M903" s="16" cm="1">
        <f t="array" ref="M903">_xlfn.XLOOKUP(C903,[5]C6_LMA_DIAG!$P$46:$P$63,_xlfn.XLOOKUP(B903,[5]C6_LMA_DIAG!$P$46:$AB$46,[5]C6_LMA_DIAG!$P$46:$AB$63))</f>
        <v>8534.8072903089578</v>
      </c>
      <c r="N903" s="16" cm="1">
        <f t="array" ref="N903">_xlfn.XLOOKUP(C903,[6]C6_LMA_DIAG!$R$51:$R$68,_xlfn.XLOOKUP(B903,[6]C6_LMA_DIAG!$R$51:$AF$51,[6]C6_LMA_DIAG!$R$51:$AF$68))</f>
        <v>5882.08</v>
      </c>
      <c r="O903" s="20">
        <v>7113</v>
      </c>
      <c r="P903" s="16">
        <v>7932</v>
      </c>
    </row>
    <row r="904" spans="1:16" x14ac:dyDescent="0.3">
      <c r="A904" s="15" t="s">
        <v>69</v>
      </c>
      <c r="B904" s="15" t="s">
        <v>57</v>
      </c>
      <c r="C904" s="15" t="s">
        <v>30</v>
      </c>
      <c r="D904" s="15" t="s">
        <v>52</v>
      </c>
      <c r="E904" s="15" t="s">
        <v>40</v>
      </c>
      <c r="F904" s="15" t="s">
        <v>20</v>
      </c>
      <c r="G904" s="15" t="s">
        <v>9</v>
      </c>
      <c r="H904" s="16"/>
      <c r="I904" s="16"/>
      <c r="J904" s="16"/>
      <c r="K904" s="16"/>
      <c r="L904" s="16" cm="1">
        <f t="array" ref="L904">_xlfn.XLOOKUP(C904,[4]C5_LMA_DIAG!$P$49:$P$66,_xlfn.XLOOKUP(B904,[4]C5_LMA_DIAG!$P$49:$AB$49,[4]C5_LMA_DIAG!$P$49:$AB$66))</f>
        <v>9898.4828657924827</v>
      </c>
      <c r="M904" s="16" cm="1">
        <f t="array" ref="M904">_xlfn.XLOOKUP(C904,[5]C6_LMA_DIAG!$P$46:$P$63,_xlfn.XLOOKUP(B904,[5]C6_LMA_DIAG!$P$46:$AB$46,[5]C6_LMA_DIAG!$P$46:$AB$63))</f>
        <v>10665.572152359595</v>
      </c>
      <c r="N904" s="16" cm="1">
        <f t="array" ref="N904">_xlfn.XLOOKUP(C904,[6]C6_LMA_DIAG!$R$51:$R$68,_xlfn.XLOOKUP(B904,[6]C6_LMA_DIAG!$R$51:$AF$51,[6]C6_LMA_DIAG!$R$51:$AF$68))</f>
        <v>2614.2600000000002</v>
      </c>
      <c r="O904" s="20">
        <v>2256</v>
      </c>
      <c r="P904" s="16">
        <v>7426</v>
      </c>
    </row>
    <row r="905" spans="1:16" x14ac:dyDescent="0.3">
      <c r="A905" s="15" t="s">
        <v>69</v>
      </c>
      <c r="B905" s="15" t="s">
        <v>58</v>
      </c>
      <c r="C905" s="15" t="s">
        <v>30</v>
      </c>
      <c r="D905" s="15" t="s">
        <v>52</v>
      </c>
      <c r="E905" s="15" t="s">
        <v>40</v>
      </c>
      <c r="F905" s="15" t="s">
        <v>20</v>
      </c>
      <c r="G905" s="15" t="s">
        <v>9</v>
      </c>
      <c r="H905" s="16"/>
      <c r="I905" s="16"/>
      <c r="J905" s="16"/>
      <c r="K905" s="16"/>
      <c r="L905" s="16" cm="1">
        <f t="array" ref="L905">_xlfn.XLOOKUP(C905,[4]C5_LMA_DIAG!$P$49:$P$66,_xlfn.XLOOKUP(B905,[4]C5_LMA_DIAG!$P$49:$AB$49,[4]C5_LMA_DIAG!$P$49:$AB$66))</f>
        <v>3733.3742763805335</v>
      </c>
      <c r="M905" s="16" cm="1">
        <f t="array" ref="M905">_xlfn.XLOOKUP(C905,[5]C6_LMA_DIAG!$P$46:$P$63,_xlfn.XLOOKUP(B905,[5]C6_LMA_DIAG!$P$46:$AB$46,[5]C6_LMA_DIAG!$P$46:$AB$63))</f>
        <v>4180.7633096196842</v>
      </c>
      <c r="N905" s="16" cm="1">
        <f t="array" ref="N905">_xlfn.XLOOKUP(C905,[6]C6_LMA_DIAG!$R$51:$R$68,_xlfn.XLOOKUP(B905,[6]C6_LMA_DIAG!$R$51:$AF$51,[6]C6_LMA_DIAG!$R$51:$AF$68))</f>
        <v>3087.94</v>
      </c>
      <c r="O905" s="20">
        <v>3050</v>
      </c>
      <c r="P905" s="16">
        <v>3396</v>
      </c>
    </row>
    <row r="906" spans="1:16" x14ac:dyDescent="0.3">
      <c r="A906" s="15" t="s">
        <v>69</v>
      </c>
      <c r="B906" s="15" t="s">
        <v>59</v>
      </c>
      <c r="C906" s="15" t="s">
        <v>30</v>
      </c>
      <c r="D906" s="15" t="s">
        <v>52</v>
      </c>
      <c r="E906" s="15" t="s">
        <v>40</v>
      </c>
      <c r="F906" s="15" t="s">
        <v>20</v>
      </c>
      <c r="G906" s="15" t="s">
        <v>9</v>
      </c>
      <c r="H906" s="16"/>
      <c r="I906" s="16"/>
      <c r="J906" s="16"/>
      <c r="K906" s="16"/>
      <c r="L906" s="16" cm="1">
        <f t="array" ref="L906">_xlfn.XLOOKUP(C906,[4]C5_LMA_DIAG!$P$49:$P$66,_xlfn.XLOOKUP(B906,[4]C5_LMA_DIAG!$P$49:$AB$49,[4]C5_LMA_DIAG!$P$49:$AB$66))</f>
        <v>4297.6690581792836</v>
      </c>
      <c r="M906" s="16" cm="1">
        <f t="array" ref="M906">_xlfn.XLOOKUP(C906,[5]C6_LMA_DIAG!$P$46:$P$63,_xlfn.XLOOKUP(B906,[5]C6_LMA_DIAG!$P$46:$AB$46,[5]C6_LMA_DIAG!$P$46:$AB$63))</f>
        <v>4663.8933162459143</v>
      </c>
      <c r="N906" s="16" cm="1">
        <f t="array" ref="N906">_xlfn.XLOOKUP(C906,[6]C6_LMA_DIAG!$R$51:$R$68,_xlfn.XLOOKUP(B906,[6]C6_LMA_DIAG!$R$51:$AF$51,[6]C6_LMA_DIAG!$R$51:$AF$68))</f>
        <v>2005.66</v>
      </c>
      <c r="O906" s="20">
        <v>1541</v>
      </c>
      <c r="P906" s="16">
        <v>2281</v>
      </c>
    </row>
    <row r="907" spans="1:16" x14ac:dyDescent="0.3">
      <c r="A907" s="15" t="s">
        <v>69</v>
      </c>
      <c r="B907" s="15" t="s">
        <v>60</v>
      </c>
      <c r="C907" s="15" t="s">
        <v>30</v>
      </c>
      <c r="D907" s="15" t="s">
        <v>52</v>
      </c>
      <c r="E907" s="15" t="s">
        <v>40</v>
      </c>
      <c r="F907" s="15" t="s">
        <v>20</v>
      </c>
      <c r="G907" s="15" t="s">
        <v>9</v>
      </c>
      <c r="H907" s="16"/>
      <c r="I907" s="16"/>
      <c r="J907" s="16"/>
      <c r="K907" s="16"/>
      <c r="L907" s="16" cm="1">
        <f t="array" ref="L907">_xlfn.XLOOKUP(C907,[4]C5_LMA_DIAG!$P$49:$P$66,_xlfn.XLOOKUP(B907,[4]C5_LMA_DIAG!$P$49:$AB$49,[4]C5_LMA_DIAG!$P$49:$AB$66))</f>
        <v>4112.5803697492938</v>
      </c>
      <c r="M907" s="16" cm="1">
        <f t="array" ref="M907">_xlfn.XLOOKUP(C907,[5]C6_LMA_DIAG!$P$46:$P$63,_xlfn.XLOOKUP(B907,[5]C6_LMA_DIAG!$P$46:$AB$46,[5]C6_LMA_DIAG!$P$46:$AB$63))</f>
        <v>4772.560855730233</v>
      </c>
      <c r="N907" s="16" cm="1">
        <f t="array" ref="N907">_xlfn.XLOOKUP(C907,[6]C6_LMA_DIAG!$R$51:$R$68,_xlfn.XLOOKUP(B907,[6]C6_LMA_DIAG!$R$51:$AF$51,[6]C6_LMA_DIAG!$R$51:$AF$68))</f>
        <v>2399.9</v>
      </c>
      <c r="O907" s="20">
        <v>2383</v>
      </c>
      <c r="P907" s="16">
        <v>3422</v>
      </c>
    </row>
    <row r="908" spans="1:16" x14ac:dyDescent="0.3">
      <c r="A908" s="15" t="s">
        <v>69</v>
      </c>
      <c r="B908" s="15" t="s">
        <v>61</v>
      </c>
      <c r="C908" s="15" t="s">
        <v>30</v>
      </c>
      <c r="D908" s="15" t="s">
        <v>52</v>
      </c>
      <c r="E908" s="15" t="s">
        <v>40</v>
      </c>
      <c r="F908" s="15" t="s">
        <v>20</v>
      </c>
      <c r="G908" s="15" t="s">
        <v>9</v>
      </c>
      <c r="H908" s="16"/>
      <c r="I908" s="16"/>
      <c r="J908" s="16"/>
      <c r="K908" s="16"/>
      <c r="L908" s="16" cm="1">
        <f t="array" ref="L908">_xlfn.XLOOKUP(C908,[4]C5_LMA_DIAG!$P$49:$P$66,_xlfn.XLOOKUP(B908,[4]C5_LMA_DIAG!$P$49:$AB$49,[4]C5_LMA_DIAG!$P$49:$AB$66))</f>
        <v>1279.0681720771679</v>
      </c>
      <c r="M908" s="16" cm="1">
        <f t="array" ref="M908">_xlfn.XLOOKUP(C908,[5]C6_LMA_DIAG!$P$46:$P$63,_xlfn.XLOOKUP(B908,[5]C6_LMA_DIAG!$P$46:$AB$46,[5]C6_LMA_DIAG!$P$46:$AB$63))</f>
        <v>1132.1982830055415</v>
      </c>
      <c r="N908" s="16" cm="1">
        <f t="array" ref="N908">_xlfn.XLOOKUP(C908,[6]C6_LMA_DIAG!$R$51:$R$68,_xlfn.XLOOKUP(B908,[6]C6_LMA_DIAG!$R$51:$AF$51,[6]C6_LMA_DIAG!$R$51:$AF$68))</f>
        <v>1028.32</v>
      </c>
      <c r="O908" s="20">
        <v>1166</v>
      </c>
      <c r="P908" s="16">
        <v>1178</v>
      </c>
    </row>
    <row r="909" spans="1:16" x14ac:dyDescent="0.3">
      <c r="A909" s="15" t="s">
        <v>69</v>
      </c>
      <c r="B909" s="15" t="s">
        <v>62</v>
      </c>
      <c r="C909" s="15" t="s">
        <v>30</v>
      </c>
      <c r="D909" s="15" t="s">
        <v>52</v>
      </c>
      <c r="E909" s="15" t="s">
        <v>40</v>
      </c>
      <c r="F909" s="15" t="s">
        <v>20</v>
      </c>
      <c r="G909" s="15" t="s">
        <v>9</v>
      </c>
      <c r="H909" s="16"/>
      <c r="I909" s="16"/>
      <c r="J909" s="16"/>
      <c r="K909" s="16"/>
      <c r="L909" s="16" cm="1">
        <f t="array" ref="L909">_xlfn.XLOOKUP(C909,[4]C5_LMA_DIAG!$P$49:$P$66,_xlfn.XLOOKUP(B909,[4]C5_LMA_DIAG!$P$49:$AB$49,[4]C5_LMA_DIAG!$P$49:$AB$66))</f>
        <v>1703.417847989828</v>
      </c>
      <c r="M909" s="16" cm="1">
        <f t="array" ref="M909">_xlfn.XLOOKUP(C909,[5]C6_LMA_DIAG!$P$46:$P$63,_xlfn.XLOOKUP(B909,[5]C6_LMA_DIAG!$P$46:$AB$46,[5]C6_LMA_DIAG!$P$46:$AB$63))</f>
        <v>1797.4198422811708</v>
      </c>
      <c r="N909" s="16" cm="1">
        <f t="array" ref="N909">_xlfn.XLOOKUP(C909,[6]C6_LMA_DIAG!$R$51:$R$68,_xlfn.XLOOKUP(B909,[6]C6_LMA_DIAG!$R$51:$AF$51,[6]C6_LMA_DIAG!$R$51:$AF$68))</f>
        <v>986.34</v>
      </c>
      <c r="O909" s="20">
        <v>1128</v>
      </c>
      <c r="P909" s="16">
        <v>1224</v>
      </c>
    </row>
    <row r="910" spans="1:16" x14ac:dyDescent="0.3">
      <c r="A910" s="15" t="s">
        <v>69</v>
      </c>
      <c r="B910" s="15" t="s">
        <v>63</v>
      </c>
      <c r="C910" s="15" t="s">
        <v>30</v>
      </c>
      <c r="D910" s="15" t="s">
        <v>52</v>
      </c>
      <c r="E910" s="15" t="s">
        <v>40</v>
      </c>
      <c r="F910" s="15" t="s">
        <v>20</v>
      </c>
      <c r="G910" s="15" t="s">
        <v>9</v>
      </c>
      <c r="H910" s="16"/>
      <c r="I910" s="16"/>
      <c r="J910" s="16"/>
      <c r="K910" s="16"/>
      <c r="L910" s="16" cm="1">
        <f t="array" ref="L910">_xlfn.XLOOKUP(C910,[4]C5_LMA_DIAG!$P$49:$P$66,_xlfn.XLOOKUP(B910,[4]C5_LMA_DIAG!$P$49:$AB$49,[4]C5_LMA_DIAG!$P$49:$AB$66))</f>
        <v>1679.3412706330814</v>
      </c>
      <c r="M910" s="16" cm="1">
        <f t="array" ref="M910">_xlfn.XLOOKUP(C910,[5]C6_LMA_DIAG!$P$46:$P$63,_xlfn.XLOOKUP(B910,[5]C6_LMA_DIAG!$P$46:$AB$46,[5]C6_LMA_DIAG!$P$46:$AB$63))</f>
        <v>1832.6633686004095</v>
      </c>
      <c r="N910" s="16" cm="1">
        <f t="array" ref="N910">_xlfn.XLOOKUP(C910,[6]C6_LMA_DIAG!$R$51:$R$68,_xlfn.XLOOKUP(B910,[6]C6_LMA_DIAG!$R$51:$AF$51,[6]C6_LMA_DIAG!$R$51:$AF$68))</f>
        <v>1283.1500000000001</v>
      </c>
      <c r="O910" s="20">
        <v>1075</v>
      </c>
      <c r="P910" s="16">
        <v>1205</v>
      </c>
    </row>
    <row r="911" spans="1:16" x14ac:dyDescent="0.3">
      <c r="A911" s="15" t="s">
        <v>69</v>
      </c>
      <c r="B911" s="15" t="s">
        <v>64</v>
      </c>
      <c r="C911" s="15" t="s">
        <v>30</v>
      </c>
      <c r="D911" s="15" t="s">
        <v>52</v>
      </c>
      <c r="E911" s="15" t="s">
        <v>40</v>
      </c>
      <c r="F911" s="15" t="s">
        <v>20</v>
      </c>
      <c r="G911" s="15" t="s">
        <v>9</v>
      </c>
      <c r="H911" s="16"/>
      <c r="I911" s="16"/>
      <c r="J911" s="16"/>
      <c r="K911" s="16"/>
      <c r="L911" s="16" cm="1">
        <f t="array" ref="L911">_xlfn.XLOOKUP(C911,[4]C5_LMA_DIAG!$P$49:$P$66,_xlfn.XLOOKUP(B911,[4]C5_LMA_DIAG!$P$49:$AB$49,[4]C5_LMA_DIAG!$P$49:$AB$66))</f>
        <v>1074.4172645448209</v>
      </c>
      <c r="M911" s="16" cm="1">
        <f t="array" ref="M911">_xlfn.XLOOKUP(C911,[5]C6_LMA_DIAG!$P$46:$P$63,_xlfn.XLOOKUP(B911,[5]C6_LMA_DIAG!$P$46:$AB$46,[5]C6_LMA_DIAG!$P$46:$AB$63))</f>
        <v>1092.549315896398</v>
      </c>
      <c r="N911" s="16" cm="1">
        <f t="array" ref="N911">_xlfn.XLOOKUP(C911,[6]C6_LMA_DIAG!$R$51:$R$68,_xlfn.XLOOKUP(B911,[6]C6_LMA_DIAG!$R$51:$AF$51,[6]C6_LMA_DIAG!$R$51:$AF$68))</f>
        <v>761.49</v>
      </c>
      <c r="O911" s="20">
        <v>745</v>
      </c>
      <c r="P911" s="16">
        <v>841</v>
      </c>
    </row>
    <row r="912" spans="1:16" x14ac:dyDescent="0.3">
      <c r="A912" s="15" t="s">
        <v>69</v>
      </c>
      <c r="B912" s="15" t="s">
        <v>70</v>
      </c>
      <c r="C912" s="15" t="s">
        <v>30</v>
      </c>
      <c r="D912" s="15" t="s">
        <v>52</v>
      </c>
      <c r="E912" s="15" t="s">
        <v>40</v>
      </c>
      <c r="F912" s="15" t="s">
        <v>20</v>
      </c>
      <c r="G912" s="15" t="s">
        <v>9</v>
      </c>
      <c r="H912" s="16"/>
      <c r="I912" s="16"/>
      <c r="J912" s="16"/>
      <c r="K912" s="16"/>
      <c r="L912" s="16">
        <v>0</v>
      </c>
      <c r="M912" s="16">
        <v>0</v>
      </c>
      <c r="N912" s="16" cm="1">
        <f t="array" ref="N912">_xlfn.XLOOKUP(C912,[6]C6_LMA_DIAG!$R$51:$R$68,_xlfn.XLOOKUP(B912,[6]C6_LMA_DIAG!$R$51:$AF$51,[6]C6_LMA_DIAG!$R$51:$AF$68))</f>
        <v>5264.5</v>
      </c>
      <c r="O912" s="20">
        <v>5361</v>
      </c>
      <c r="P912" s="16">
        <v>11214</v>
      </c>
    </row>
    <row r="913" spans="1:16" x14ac:dyDescent="0.3">
      <c r="A913" s="15"/>
      <c r="B913" s="18" t="s">
        <v>71</v>
      </c>
      <c r="C913" s="15" t="s">
        <v>30</v>
      </c>
      <c r="D913" s="15" t="s">
        <v>52</v>
      </c>
      <c r="E913" s="15" t="s">
        <v>40</v>
      </c>
      <c r="F913" s="15" t="s">
        <v>20</v>
      </c>
      <c r="G913" s="15" t="s">
        <v>9</v>
      </c>
      <c r="H913" s="16"/>
      <c r="I913" s="16"/>
      <c r="J913" s="16"/>
      <c r="K913" s="16"/>
      <c r="L913" s="16">
        <v>0</v>
      </c>
      <c r="M913" s="16">
        <v>0</v>
      </c>
      <c r="N913" s="16" cm="1">
        <f t="array" ref="N913">_xlfn.XLOOKUP(C913,[6]C6_LMA_DIAG!$R$51:$R$68,_xlfn.XLOOKUP(B913,[6]C6_LMA_DIAG!$R$51:$AF$51,[6]C6_LMA_DIAG!$R$51:$AF$68))</f>
        <v>736.01</v>
      </c>
      <c r="O913" s="20">
        <v>914</v>
      </c>
      <c r="P913" s="16">
        <v>0</v>
      </c>
    </row>
    <row r="914" spans="1:16" x14ac:dyDescent="0.3">
      <c r="A914" s="15" t="s">
        <v>69</v>
      </c>
      <c r="B914" s="15" t="s">
        <v>65</v>
      </c>
      <c r="C914" s="15" t="s">
        <v>30</v>
      </c>
      <c r="D914" s="15" t="s">
        <v>52</v>
      </c>
      <c r="E914" s="15" t="s">
        <v>40</v>
      </c>
      <c r="F914" s="15" t="s">
        <v>20</v>
      </c>
      <c r="G914" s="15" t="s">
        <v>9</v>
      </c>
      <c r="H914" s="16"/>
      <c r="I914" s="16"/>
      <c r="J914" s="16"/>
      <c r="K914" s="16"/>
      <c r="L914" s="16" cm="1">
        <f t="array" ref="L914">_xlfn.XLOOKUP(C914,[4]C5_LMA_DIAG!$P$49:$P$66,_xlfn.XLOOKUP(B914,[4]C5_LMA_DIAG!$P$49:$AB$49,[4]C5_LMA_DIAG!$P$49:$AB$66))</f>
        <v>5916.8188854204991</v>
      </c>
      <c r="M914" s="16" cm="1">
        <f t="array" ref="M914">_xlfn.XLOOKUP(C914,[5]C6_LMA_DIAG!$P$46:$P$63,_xlfn.XLOOKUP(B914,[5]C6_LMA_DIAG!$P$46:$AB$46,[5]C6_LMA_DIAG!$P$46:$AB$63))</f>
        <v>6337.9608164097499</v>
      </c>
      <c r="N914" s="16" cm="1">
        <f t="array" ref="N914">_xlfn.XLOOKUP(C914,[6]C6_LMA_DIAG!$R$51:$R$68,_xlfn.XLOOKUP(B914,[6]C6_LMA_DIAG!$R$51:$AF$51,[6]C6_LMA_DIAG!$R$51:$AF$68))</f>
        <v>3951.37</v>
      </c>
      <c r="O914" s="20">
        <v>6137</v>
      </c>
      <c r="P914" s="16">
        <v>5705</v>
      </c>
    </row>
    <row r="915" spans="1:16" x14ac:dyDescent="0.3">
      <c r="A915" s="15" t="s">
        <v>69</v>
      </c>
      <c r="B915" s="15" t="s">
        <v>19</v>
      </c>
      <c r="C915" s="15" t="s">
        <v>30</v>
      </c>
      <c r="D915" s="15" t="s">
        <v>52</v>
      </c>
      <c r="E915" s="15" t="s">
        <v>40</v>
      </c>
      <c r="F915" s="15" t="s">
        <v>20</v>
      </c>
      <c r="G915" s="15" t="s">
        <v>9</v>
      </c>
      <c r="H915" s="16"/>
      <c r="I915" s="16"/>
      <c r="J915" s="16"/>
      <c r="K915" s="16"/>
      <c r="L915" s="16" cm="1">
        <f t="array" ref="L915">_xlfn.XLOOKUP(C915,[4]C5_LMA_DIAG!$P$49:$P$66,_xlfn.XLOOKUP(B915,[4]C5_LMA_DIAG!$P$49:$AB$49,[4]C5_LMA_DIAG!$P$49:$AB$66))</f>
        <v>0</v>
      </c>
      <c r="M915" s="16" cm="1">
        <f t="array" ref="M915">_xlfn.XLOOKUP(C915,[5]C6_LMA_DIAG!$P$46:$P$63,_xlfn.XLOOKUP(B915,[5]C6_LMA_DIAG!$P$46:$AB$46,[5]C6_LMA_DIAG!$P$46:$AB$63))</f>
        <v>14.684802633016101</v>
      </c>
      <c r="N915" s="16" cm="1">
        <f t="array" ref="N915">_xlfn.XLOOKUP(C915,[6]C6_LMA_DIAG!$R$51:$R$68,_xlfn.XLOOKUP(B915,[6]C6_LMA_DIAG!$R$51:$AF$51,[6]C6_LMA_DIAG!$R$51:$AF$68))</f>
        <v>6</v>
      </c>
      <c r="O915" s="20">
        <v>0</v>
      </c>
      <c r="P915" s="16">
        <v>17</v>
      </c>
    </row>
    <row r="916" spans="1:16" x14ac:dyDescent="0.3">
      <c r="A916" s="26" t="s">
        <v>69</v>
      </c>
      <c r="B916" s="26" t="s">
        <v>55</v>
      </c>
      <c r="C916" s="26" t="s">
        <v>31</v>
      </c>
      <c r="D916" s="26" t="s">
        <v>52</v>
      </c>
      <c r="E916" s="26" t="s">
        <v>40</v>
      </c>
      <c r="F916" s="26" t="s">
        <v>20</v>
      </c>
      <c r="G916" s="26" t="s">
        <v>9</v>
      </c>
      <c r="H916" s="27"/>
      <c r="I916" s="27"/>
      <c r="J916" s="27"/>
      <c r="K916" s="27"/>
      <c r="L916" s="16" cm="1">
        <f t="array" ref="L916">_xlfn.XLOOKUP(C916,[4]C5_LMA_DIAG!$P$49:$P$66,_xlfn.XLOOKUP(B916,[4]C5_LMA_DIAG!$P$49:$AB$49,[4]C5_LMA_DIAG!$P$49:$AB$66))</f>
        <v>999.17796030498755</v>
      </c>
      <c r="M916" s="16" cm="1">
        <f t="array" ref="M916">_xlfn.XLOOKUP(C916,[5]C6_LMA_DIAG!$P$46:$P$63,_xlfn.XLOOKUP(B916,[5]C6_LMA_DIAG!$P$46:$AB$46,[5]C6_LMA_DIAG!$P$46:$AB$63))</f>
        <v>4011.8880793399985</v>
      </c>
      <c r="N916" s="16" cm="1">
        <f t="array" ref="N916">_xlfn.XLOOKUP(C916,[6]C6_LMA_DIAG!$R$51:$R$68,_xlfn.XLOOKUP(B916,[6]C6_LMA_DIAG!$R$51:$AF$51,[6]C6_LMA_DIAG!$R$51:$AF$68))</f>
        <v>3858.43</v>
      </c>
      <c r="O916" s="20">
        <v>7905</v>
      </c>
      <c r="P916" s="27">
        <v>7520</v>
      </c>
    </row>
    <row r="917" spans="1:16" x14ac:dyDescent="0.3">
      <c r="A917" s="26" t="s">
        <v>69</v>
      </c>
      <c r="B917" s="26" t="s">
        <v>56</v>
      </c>
      <c r="C917" s="26" t="s">
        <v>31</v>
      </c>
      <c r="D917" s="26" t="s">
        <v>52</v>
      </c>
      <c r="E917" s="26" t="s">
        <v>40</v>
      </c>
      <c r="F917" s="26" t="s">
        <v>20</v>
      </c>
      <c r="G917" s="26" t="s">
        <v>9</v>
      </c>
      <c r="H917" s="27"/>
      <c r="I917" s="27"/>
      <c r="J917" s="27"/>
      <c r="K917" s="27"/>
      <c r="L917" s="16" cm="1">
        <f t="array" ref="L917">_xlfn.XLOOKUP(C917,[4]C5_LMA_DIAG!$P$49:$P$66,_xlfn.XLOOKUP(B917,[4]C5_LMA_DIAG!$P$49:$AB$49,[4]C5_LMA_DIAG!$P$49:$AB$66))</f>
        <v>955.53916384588422</v>
      </c>
      <c r="M917" s="16" cm="1">
        <f t="array" ref="M917">_xlfn.XLOOKUP(C917,[5]C6_LMA_DIAG!$P$46:$P$63,_xlfn.XLOOKUP(B917,[5]C6_LMA_DIAG!$P$46:$AB$46,[5]C6_LMA_DIAG!$P$46:$AB$63))</f>
        <v>3494.9830266578319</v>
      </c>
      <c r="N917" s="16" cm="1">
        <f t="array" ref="N917">_xlfn.XLOOKUP(C917,[6]C6_LMA_DIAG!$R$51:$R$68,_xlfn.XLOOKUP(B917,[6]C6_LMA_DIAG!$R$51:$AF$51,[6]C6_LMA_DIAG!$R$51:$AF$68))</f>
        <v>2163.06</v>
      </c>
      <c r="O917" s="20">
        <v>3282</v>
      </c>
      <c r="P917" s="27">
        <v>3486</v>
      </c>
    </row>
    <row r="918" spans="1:16" x14ac:dyDescent="0.3">
      <c r="A918" s="26" t="s">
        <v>69</v>
      </c>
      <c r="B918" s="26" t="s">
        <v>57</v>
      </c>
      <c r="C918" s="26" t="s">
        <v>31</v>
      </c>
      <c r="D918" s="26" t="s">
        <v>52</v>
      </c>
      <c r="E918" s="26" t="s">
        <v>40</v>
      </c>
      <c r="F918" s="26" t="s">
        <v>20</v>
      </c>
      <c r="G918" s="26" t="s">
        <v>9</v>
      </c>
      <c r="H918" s="27"/>
      <c r="I918" s="27"/>
      <c r="J918" s="27"/>
      <c r="K918" s="27"/>
      <c r="L918" s="16" cm="1">
        <f t="array" ref="L918">_xlfn.XLOOKUP(C918,[4]C5_LMA_DIAG!$P$49:$P$66,_xlfn.XLOOKUP(B918,[4]C5_LMA_DIAG!$P$49:$AB$49,[4]C5_LMA_DIAG!$P$49:$AB$66))</f>
        <v>1119.5608470887209</v>
      </c>
      <c r="M918" s="16" cm="1">
        <f t="array" ref="M918">_xlfn.XLOOKUP(C918,[5]C6_LMA_DIAG!$P$46:$P$63,_xlfn.XLOOKUP(B918,[5]C6_LMA_DIAG!$P$46:$AB$46,[5]C6_LMA_DIAG!$P$46:$AB$63))</f>
        <v>5042.7612241777288</v>
      </c>
      <c r="N918" s="16" cm="1">
        <f t="array" ref="N918">_xlfn.XLOOKUP(C918,[6]C6_LMA_DIAG!$R$51:$R$68,_xlfn.XLOOKUP(B918,[6]C6_LMA_DIAG!$R$51:$AF$51,[6]C6_LMA_DIAG!$R$51:$AF$68))</f>
        <v>1017.82</v>
      </c>
      <c r="O918" s="20">
        <v>943</v>
      </c>
      <c r="P918" s="27">
        <v>3481</v>
      </c>
    </row>
    <row r="919" spans="1:16" x14ac:dyDescent="0.3">
      <c r="A919" s="26" t="s">
        <v>69</v>
      </c>
      <c r="B919" s="26" t="s">
        <v>58</v>
      </c>
      <c r="C919" s="26" t="s">
        <v>31</v>
      </c>
      <c r="D919" s="26" t="s">
        <v>52</v>
      </c>
      <c r="E919" s="26" t="s">
        <v>40</v>
      </c>
      <c r="F919" s="26" t="s">
        <v>20</v>
      </c>
      <c r="G919" s="26" t="s">
        <v>9</v>
      </c>
      <c r="H919" s="27"/>
      <c r="I919" s="27"/>
      <c r="J919" s="27"/>
      <c r="K919" s="27"/>
      <c r="L919" s="16" cm="1">
        <f t="array" ref="L919">_xlfn.XLOOKUP(C919,[4]C5_LMA_DIAG!$P$49:$P$66,_xlfn.XLOOKUP(B919,[4]C5_LMA_DIAG!$P$49:$AB$49,[4]C5_LMA_DIAG!$P$49:$AB$66))</f>
        <v>385.22523770794703</v>
      </c>
      <c r="M919" s="16" cm="1">
        <f t="array" ref="M919">_xlfn.XLOOKUP(C919,[5]C6_LMA_DIAG!$P$46:$P$63,_xlfn.XLOOKUP(B919,[5]C6_LMA_DIAG!$P$46:$AB$46,[5]C6_LMA_DIAG!$P$46:$AB$63))</f>
        <v>1600.643486998755</v>
      </c>
      <c r="N919" s="16" cm="1">
        <f t="array" ref="N919">_xlfn.XLOOKUP(C919,[6]C6_LMA_DIAG!$R$51:$R$68,_xlfn.XLOOKUP(B919,[6]C6_LMA_DIAG!$R$51:$AF$51,[6]C6_LMA_DIAG!$R$51:$AF$68))</f>
        <v>1046.3</v>
      </c>
      <c r="O919" s="20">
        <v>1397</v>
      </c>
      <c r="P919" s="27">
        <v>1596</v>
      </c>
    </row>
    <row r="920" spans="1:16" x14ac:dyDescent="0.3">
      <c r="A920" s="26" t="s">
        <v>69</v>
      </c>
      <c r="B920" s="26" t="s">
        <v>59</v>
      </c>
      <c r="C920" s="26" t="s">
        <v>31</v>
      </c>
      <c r="D920" s="26" t="s">
        <v>52</v>
      </c>
      <c r="E920" s="26" t="s">
        <v>40</v>
      </c>
      <c r="F920" s="26" t="s">
        <v>20</v>
      </c>
      <c r="G920" s="26" t="s">
        <v>9</v>
      </c>
      <c r="H920" s="27"/>
      <c r="I920" s="27"/>
      <c r="J920" s="27"/>
      <c r="K920" s="27"/>
      <c r="L920" s="16" cm="1">
        <f t="array" ref="L920">_xlfn.XLOOKUP(C920,[4]C5_LMA_DIAG!$P$49:$P$66,_xlfn.XLOOKUP(B920,[4]C5_LMA_DIAG!$P$49:$AB$49,[4]C5_LMA_DIAG!$P$49:$AB$66))</f>
        <v>645.55323037777066</v>
      </c>
      <c r="M920" s="16" cm="1">
        <f t="array" ref="M920">_xlfn.XLOOKUP(C920,[5]C6_LMA_DIAG!$P$46:$P$63,_xlfn.XLOOKUP(B920,[5]C6_LMA_DIAG!$P$46:$AB$46,[5]C6_LMA_DIAG!$P$46:$AB$63))</f>
        <v>2205.6573554790184</v>
      </c>
      <c r="N920" s="16" cm="1">
        <f t="array" ref="N920">_xlfn.XLOOKUP(C920,[6]C6_LMA_DIAG!$R$51:$R$68,_xlfn.XLOOKUP(B920,[6]C6_LMA_DIAG!$R$51:$AF$51,[6]C6_LMA_DIAG!$R$51:$AF$68))</f>
        <v>734.51</v>
      </c>
      <c r="O920" s="20">
        <v>552</v>
      </c>
      <c r="P920" s="27">
        <v>946</v>
      </c>
    </row>
    <row r="921" spans="1:16" x14ac:dyDescent="0.3">
      <c r="A921" s="26" t="s">
        <v>69</v>
      </c>
      <c r="B921" s="26" t="s">
        <v>60</v>
      </c>
      <c r="C921" s="26" t="s">
        <v>31</v>
      </c>
      <c r="D921" s="26" t="s">
        <v>52</v>
      </c>
      <c r="E921" s="26" t="s">
        <v>40</v>
      </c>
      <c r="F921" s="26" t="s">
        <v>20</v>
      </c>
      <c r="G921" s="26" t="s">
        <v>9</v>
      </c>
      <c r="H921" s="27"/>
      <c r="I921" s="27"/>
      <c r="J921" s="27"/>
      <c r="K921" s="27"/>
      <c r="L921" s="16" cm="1">
        <f t="array" ref="L921">_xlfn.XLOOKUP(C921,[4]C5_LMA_DIAG!$P$49:$P$66,_xlfn.XLOOKUP(B921,[4]C5_LMA_DIAG!$P$49:$AB$49,[4]C5_LMA_DIAG!$P$49:$AB$66))</f>
        <v>606.42879217305722</v>
      </c>
      <c r="M921" s="16" cm="1">
        <f t="array" ref="M921">_xlfn.XLOOKUP(C921,[5]C6_LMA_DIAG!$P$46:$P$63,_xlfn.XLOOKUP(B921,[5]C6_LMA_DIAG!$P$46:$AB$46,[5]C6_LMA_DIAG!$P$46:$AB$63))</f>
        <v>2211.5312765322251</v>
      </c>
      <c r="N921" s="16" cm="1">
        <f t="array" ref="N921">_xlfn.XLOOKUP(C921,[6]C6_LMA_DIAG!$R$51:$R$68,_xlfn.XLOOKUP(B921,[6]C6_LMA_DIAG!$R$51:$AF$51,[6]C6_LMA_DIAG!$R$51:$AF$68))</f>
        <v>1028.32</v>
      </c>
      <c r="O921" s="20">
        <v>1269</v>
      </c>
      <c r="P921" s="27">
        <v>1736</v>
      </c>
    </row>
    <row r="922" spans="1:16" x14ac:dyDescent="0.3">
      <c r="A922" s="26" t="s">
        <v>69</v>
      </c>
      <c r="B922" s="26" t="s">
        <v>61</v>
      </c>
      <c r="C922" s="26" t="s">
        <v>31</v>
      </c>
      <c r="D922" s="26" t="s">
        <v>52</v>
      </c>
      <c r="E922" s="26" t="s">
        <v>40</v>
      </c>
      <c r="F922" s="26" t="s">
        <v>20</v>
      </c>
      <c r="G922" s="26" t="s">
        <v>9</v>
      </c>
      <c r="H922" s="27"/>
      <c r="I922" s="27"/>
      <c r="J922" s="27"/>
      <c r="K922" s="27"/>
      <c r="L922" s="16" cm="1">
        <f t="array" ref="L922">_xlfn.XLOOKUP(C922,[4]C5_LMA_DIAG!$P$49:$P$66,_xlfn.XLOOKUP(B922,[4]C5_LMA_DIAG!$P$49:$AB$49,[4]C5_LMA_DIAG!$P$49:$AB$66))</f>
        <v>130.91638937731011</v>
      </c>
      <c r="M922" s="16" cm="1">
        <f t="array" ref="M922">_xlfn.XLOOKUP(C922,[5]C6_LMA_DIAG!$P$46:$P$63,_xlfn.XLOOKUP(B922,[5]C6_LMA_DIAG!$P$46:$AB$46,[5]C6_LMA_DIAG!$P$46:$AB$63))</f>
        <v>453.76040136019753</v>
      </c>
      <c r="N922" s="16" cm="1">
        <f t="array" ref="N922">_xlfn.XLOOKUP(C922,[6]C6_LMA_DIAG!$R$51:$R$68,_xlfn.XLOOKUP(B922,[6]C6_LMA_DIAG!$R$51:$AF$51,[6]C6_LMA_DIAG!$R$51:$AF$68))</f>
        <v>352.27</v>
      </c>
      <c r="O922" s="20">
        <v>380</v>
      </c>
      <c r="P922" s="27">
        <v>321</v>
      </c>
    </row>
    <row r="923" spans="1:16" x14ac:dyDescent="0.3">
      <c r="A923" s="26" t="s">
        <v>69</v>
      </c>
      <c r="B923" s="26" t="s">
        <v>62</v>
      </c>
      <c r="C923" s="26" t="s">
        <v>31</v>
      </c>
      <c r="D923" s="26" t="s">
        <v>52</v>
      </c>
      <c r="E923" s="26" t="s">
        <v>40</v>
      </c>
      <c r="F923" s="26" t="s">
        <v>20</v>
      </c>
      <c r="G923" s="26" t="s">
        <v>9</v>
      </c>
      <c r="H923" s="27"/>
      <c r="I923" s="27"/>
      <c r="J923" s="27"/>
      <c r="K923" s="27"/>
      <c r="L923" s="16" cm="1">
        <f t="array" ref="L923">_xlfn.XLOOKUP(C923,[4]C5_LMA_DIAG!$P$49:$P$66,_xlfn.XLOOKUP(B923,[4]C5_LMA_DIAG!$P$49:$AB$49,[4]C5_LMA_DIAG!$P$49:$AB$66))</f>
        <v>225.71791271950019</v>
      </c>
      <c r="M923" s="16" cm="1">
        <f t="array" ref="M923">_xlfn.XLOOKUP(C923,[5]C6_LMA_DIAG!$P$46:$P$63,_xlfn.XLOOKUP(B923,[5]C6_LMA_DIAG!$P$46:$AB$46,[5]C6_LMA_DIAG!$P$46:$AB$63))</f>
        <v>825.28590797550498</v>
      </c>
      <c r="N923" s="16" cm="1">
        <f t="array" ref="N923">_xlfn.XLOOKUP(C923,[6]C6_LMA_DIAG!$R$51:$R$68,_xlfn.XLOOKUP(B923,[6]C6_LMA_DIAG!$R$51:$AF$51,[6]C6_LMA_DIAG!$R$51:$AF$68))</f>
        <v>422.72</v>
      </c>
      <c r="O923" s="20">
        <v>510</v>
      </c>
      <c r="P923" s="27">
        <v>658</v>
      </c>
    </row>
    <row r="924" spans="1:16" x14ac:dyDescent="0.3">
      <c r="A924" s="26" t="s">
        <v>69</v>
      </c>
      <c r="B924" s="26" t="s">
        <v>63</v>
      </c>
      <c r="C924" s="26" t="s">
        <v>31</v>
      </c>
      <c r="D924" s="26" t="s">
        <v>52</v>
      </c>
      <c r="E924" s="26" t="s">
        <v>40</v>
      </c>
      <c r="F924" s="26" t="s">
        <v>20</v>
      </c>
      <c r="G924" s="26" t="s">
        <v>9</v>
      </c>
      <c r="H924" s="27"/>
      <c r="I924" s="27"/>
      <c r="J924" s="27"/>
      <c r="K924" s="27"/>
      <c r="L924" s="16" cm="1">
        <f t="array" ref="L924">_xlfn.XLOOKUP(C924,[4]C5_LMA_DIAG!$P$49:$P$66,_xlfn.XLOOKUP(B924,[4]C5_LMA_DIAG!$P$49:$AB$49,[4]C5_LMA_DIAG!$P$49:$AB$66))</f>
        <v>141.4498919708868</v>
      </c>
      <c r="M924" s="16" cm="1">
        <f t="array" ref="M924">_xlfn.XLOOKUP(C924,[5]C6_LMA_DIAG!$P$46:$P$63,_xlfn.XLOOKUP(B924,[5]C6_LMA_DIAG!$P$46:$AB$46,[5]C6_LMA_DIAG!$P$46:$AB$63))</f>
        <v>610.8877895334698</v>
      </c>
      <c r="N924" s="16" cm="1">
        <f t="array" ref="N924">_xlfn.XLOOKUP(C924,[6]C6_LMA_DIAG!$R$51:$R$68,_xlfn.XLOOKUP(B924,[6]C6_LMA_DIAG!$R$51:$AF$51,[6]C6_LMA_DIAG!$R$51:$AF$68))</f>
        <v>467.69</v>
      </c>
      <c r="O924" s="20">
        <v>486</v>
      </c>
      <c r="P924" s="27">
        <v>467</v>
      </c>
    </row>
    <row r="925" spans="1:16" x14ac:dyDescent="0.3">
      <c r="A925" s="26" t="s">
        <v>69</v>
      </c>
      <c r="B925" s="26" t="s">
        <v>64</v>
      </c>
      <c r="C925" s="26" t="s">
        <v>31</v>
      </c>
      <c r="D925" s="26" t="s">
        <v>52</v>
      </c>
      <c r="E925" s="26" t="s">
        <v>40</v>
      </c>
      <c r="F925" s="26" t="s">
        <v>20</v>
      </c>
      <c r="G925" s="26" t="s">
        <v>9</v>
      </c>
      <c r="H925" s="27"/>
      <c r="I925" s="27"/>
      <c r="J925" s="27"/>
      <c r="K925" s="27"/>
      <c r="L925" s="16" cm="1">
        <f t="array" ref="L925">_xlfn.XLOOKUP(C925,[4]C5_LMA_DIAG!$P$49:$P$66,_xlfn.XLOOKUP(B925,[4]C5_LMA_DIAG!$P$49:$AB$49,[4]C5_LMA_DIAG!$P$49:$AB$66))</f>
        <v>161.01211107324346</v>
      </c>
      <c r="M925" s="16" cm="1">
        <f t="array" ref="M925">_xlfn.XLOOKUP(C925,[5]C6_LMA_DIAG!$P$46:$P$63,_xlfn.XLOOKUP(B925,[5]C6_LMA_DIAG!$P$46:$AB$46,[5]C6_LMA_DIAG!$P$46:$AB$63))</f>
        <v>459.63432241340399</v>
      </c>
      <c r="N925" s="16" cm="1">
        <f t="array" ref="N925">_xlfn.XLOOKUP(C925,[6]C6_LMA_DIAG!$R$51:$R$68,_xlfn.XLOOKUP(B925,[6]C6_LMA_DIAG!$R$51:$AF$51,[6]C6_LMA_DIAG!$R$51:$AF$68))</f>
        <v>370.25</v>
      </c>
      <c r="O925" s="20">
        <v>389</v>
      </c>
      <c r="P925" s="27">
        <v>347</v>
      </c>
    </row>
    <row r="926" spans="1:16" x14ac:dyDescent="0.3">
      <c r="A926" s="26" t="s">
        <v>69</v>
      </c>
      <c r="B926" s="26" t="s">
        <v>70</v>
      </c>
      <c r="C926" s="26" t="s">
        <v>31</v>
      </c>
      <c r="D926" s="26" t="s">
        <v>52</v>
      </c>
      <c r="E926" s="26" t="s">
        <v>40</v>
      </c>
      <c r="F926" s="26" t="s">
        <v>20</v>
      </c>
      <c r="G926" s="26" t="s">
        <v>9</v>
      </c>
      <c r="H926" s="27"/>
      <c r="I926" s="27"/>
      <c r="J926" s="27"/>
      <c r="K926" s="27"/>
      <c r="L926" s="16">
        <v>0</v>
      </c>
      <c r="M926" s="16">
        <v>0</v>
      </c>
      <c r="N926" s="16" cm="1">
        <f t="array" ref="N926">_xlfn.XLOOKUP(C926,[6]C6_LMA_DIAG!$R$51:$R$68,_xlfn.XLOOKUP(B926,[6]C6_LMA_DIAG!$R$51:$AF$51,[6]C6_LMA_DIAG!$R$51:$AF$68))</f>
        <v>2473.35</v>
      </c>
      <c r="O926" s="20">
        <v>2964</v>
      </c>
      <c r="P926" s="27">
        <v>5536</v>
      </c>
    </row>
    <row r="927" spans="1:16" x14ac:dyDescent="0.3">
      <c r="A927" s="26"/>
      <c r="B927" s="18" t="s">
        <v>71</v>
      </c>
      <c r="C927" s="26" t="s">
        <v>31</v>
      </c>
      <c r="D927" s="26" t="s">
        <v>52</v>
      </c>
      <c r="E927" s="26" t="s">
        <v>40</v>
      </c>
      <c r="F927" s="26" t="s">
        <v>20</v>
      </c>
      <c r="G927" s="26" t="s">
        <v>9</v>
      </c>
      <c r="H927" s="27"/>
      <c r="I927" s="27"/>
      <c r="J927" s="27"/>
      <c r="K927" s="27"/>
      <c r="L927" s="16">
        <v>0</v>
      </c>
      <c r="M927" s="16">
        <v>0</v>
      </c>
      <c r="N927" s="16" cm="1">
        <f t="array" ref="N927">_xlfn.XLOOKUP(C927,[6]C6_LMA_DIAG!$R$51:$R$68,_xlfn.XLOOKUP(B927,[6]C6_LMA_DIAG!$R$51:$AF$51,[6]C6_LMA_DIAG!$R$51:$AF$68))</f>
        <v>368.75</v>
      </c>
      <c r="O927" s="20">
        <v>320</v>
      </c>
      <c r="P927" s="27">
        <v>0</v>
      </c>
    </row>
    <row r="928" spans="1:16" x14ac:dyDescent="0.3">
      <c r="A928" s="26" t="s">
        <v>69</v>
      </c>
      <c r="B928" s="26" t="s">
        <v>65</v>
      </c>
      <c r="C928" s="26" t="s">
        <v>31</v>
      </c>
      <c r="D928" s="26" t="s">
        <v>52</v>
      </c>
      <c r="E928" s="26" t="s">
        <v>40</v>
      </c>
      <c r="F928" s="26" t="s">
        <v>20</v>
      </c>
      <c r="G928" s="26" t="s">
        <v>9</v>
      </c>
      <c r="H928" s="27"/>
      <c r="I928" s="27"/>
      <c r="J928" s="27"/>
      <c r="K928" s="27"/>
      <c r="L928" s="16" cm="1">
        <f t="array" ref="L928">_xlfn.XLOOKUP(C928,[4]C5_LMA_DIAG!$P$49:$P$66,_xlfn.XLOOKUP(B928,[4]C5_LMA_DIAG!$P$49:$AB$49,[4]C5_LMA_DIAG!$P$49:$AB$66))</f>
        <v>829.13713272296411</v>
      </c>
      <c r="M928" s="16" cm="1">
        <f t="array" ref="M928">_xlfn.XLOOKUP(C928,[5]C6_LMA_DIAG!$P$46:$P$63,_xlfn.XLOOKUP(B928,[5]C6_LMA_DIAG!$P$46:$AB$46,[5]C6_LMA_DIAG!$P$46:$AB$63))</f>
        <v>2854.72563185833</v>
      </c>
      <c r="N928" s="16" cm="1">
        <f t="array" ref="N928">_xlfn.XLOOKUP(C928,[6]C6_LMA_DIAG!$R$51:$R$68,_xlfn.XLOOKUP(B928,[6]C6_LMA_DIAG!$R$51:$AF$51,[6]C6_LMA_DIAG!$R$51:$AF$68))</f>
        <v>1659.4</v>
      </c>
      <c r="O928" s="20">
        <v>2622</v>
      </c>
      <c r="P928" s="27">
        <v>2779</v>
      </c>
    </row>
    <row r="929" spans="1:16" x14ac:dyDescent="0.3">
      <c r="A929" s="26" t="s">
        <v>69</v>
      </c>
      <c r="B929" s="26" t="s">
        <v>19</v>
      </c>
      <c r="C929" s="26" t="s">
        <v>31</v>
      </c>
      <c r="D929" s="26" t="s">
        <v>52</v>
      </c>
      <c r="E929" s="26" t="s">
        <v>40</v>
      </c>
      <c r="F929" s="26" t="s">
        <v>20</v>
      </c>
      <c r="G929" s="26" t="s">
        <v>9</v>
      </c>
      <c r="H929" s="27"/>
      <c r="I929" s="27"/>
      <c r="J929" s="27"/>
      <c r="K929" s="27"/>
      <c r="L929" s="16" cm="1">
        <f t="array" ref="L929">_xlfn.XLOOKUP(C929,[4]C5_LMA_DIAG!$P$49:$P$66,_xlfn.XLOOKUP(B929,[4]C5_LMA_DIAG!$P$49:$AB$49,[4]C5_LMA_DIAG!$P$49:$AB$66))</f>
        <v>0</v>
      </c>
      <c r="M929" s="16" cm="1">
        <f t="array" ref="M929">_xlfn.XLOOKUP(C929,[5]C6_LMA_DIAG!$P$46:$P$63,_xlfn.XLOOKUP(B929,[5]C6_LMA_DIAG!$P$46:$AB$46,[5]C6_LMA_DIAG!$P$46:$AB$63))</f>
        <v>8.8108815798096618</v>
      </c>
      <c r="N929" s="16" cm="1">
        <f t="array" ref="N929">_xlfn.XLOOKUP(C929,[6]C6_LMA_DIAG!$R$51:$R$68,_xlfn.XLOOKUP(B929,[6]C6_LMA_DIAG!$R$51:$AF$51,[6]C6_LMA_DIAG!$R$51:$AF$68))</f>
        <v>4.5</v>
      </c>
      <c r="O929" s="20">
        <v>0</v>
      </c>
      <c r="P929" s="27">
        <v>9</v>
      </c>
    </row>
    <row r="930" spans="1:16" x14ac:dyDescent="0.3">
      <c r="A930" s="15" t="s">
        <v>69</v>
      </c>
      <c r="B930" s="15" t="s">
        <v>55</v>
      </c>
      <c r="C930" s="15" t="s">
        <v>32</v>
      </c>
      <c r="D930" s="15" t="s">
        <v>52</v>
      </c>
      <c r="E930" s="15" t="s">
        <v>40</v>
      </c>
      <c r="F930" s="15" t="s">
        <v>20</v>
      </c>
      <c r="G930" s="15" t="s">
        <v>9</v>
      </c>
      <c r="H930" s="16"/>
      <c r="I930" s="16"/>
      <c r="J930" s="16"/>
      <c r="K930" s="16"/>
      <c r="L930" s="16" cm="1">
        <f t="array" ref="L930">_xlfn.XLOOKUP(C930,[4]C5_LMA_DIAG!$P$49:$P$66,_xlfn.XLOOKUP(B930,[4]C5_LMA_DIAG!$P$49:$AB$49,[4]C5_LMA_DIAG!$P$49:$AB$66))</f>
        <v>19586.295679713432</v>
      </c>
      <c r="M930" s="16" cm="1">
        <f t="array" ref="M930">_xlfn.XLOOKUP(C930,[5]C6_LMA_DIAG!$P$46:$P$63,_xlfn.XLOOKUP(B930,[5]C6_LMA_DIAG!$P$46:$AB$46,[5]C6_LMA_DIAG!$P$46:$AB$63))</f>
        <v>18953.674758433881</v>
      </c>
      <c r="N930" s="16" cm="1">
        <f t="array" ref="N930">_xlfn.XLOOKUP(C930,[6]C6_LMA_DIAG!$R$51:$R$68,_xlfn.XLOOKUP(B930,[6]C6_LMA_DIAG!$R$51:$AF$51,[6]C6_LMA_DIAG!$R$51:$AF$68))</f>
        <v>21041.49</v>
      </c>
      <c r="O930" s="20">
        <v>31325</v>
      </c>
      <c r="P930" s="16">
        <v>25293</v>
      </c>
    </row>
    <row r="931" spans="1:16" x14ac:dyDescent="0.3">
      <c r="A931" s="15" t="s">
        <v>69</v>
      </c>
      <c r="B931" s="15" t="s">
        <v>56</v>
      </c>
      <c r="C931" s="15" t="s">
        <v>32</v>
      </c>
      <c r="D931" s="15" t="s">
        <v>52</v>
      </c>
      <c r="E931" s="15" t="s">
        <v>40</v>
      </c>
      <c r="F931" s="15" t="s">
        <v>20</v>
      </c>
      <c r="G931" s="15" t="s">
        <v>9</v>
      </c>
      <c r="H931" s="16"/>
      <c r="I931" s="16"/>
      <c r="J931" s="16"/>
      <c r="K931" s="16"/>
      <c r="L931" s="16" cm="1">
        <f t="array" ref="L931">_xlfn.XLOOKUP(C931,[4]C5_LMA_DIAG!$P$49:$P$66,_xlfn.XLOOKUP(B931,[4]C5_LMA_DIAG!$P$49:$AB$49,[4]C5_LMA_DIAG!$P$49:$AB$66))</f>
        <v>20574.940137424841</v>
      </c>
      <c r="M931" s="16" cm="1">
        <f t="array" ref="M931">_xlfn.XLOOKUP(C931,[5]C6_LMA_DIAG!$P$46:$P$63,_xlfn.XLOOKUP(B931,[5]C6_LMA_DIAG!$P$46:$AB$46,[5]C6_LMA_DIAG!$P$46:$AB$63))</f>
        <v>19759.870422986467</v>
      </c>
      <c r="N931" s="16" cm="1">
        <f t="array" ref="N931">_xlfn.XLOOKUP(C931,[6]C6_LMA_DIAG!$R$51:$R$68,_xlfn.XLOOKUP(B931,[6]C6_LMA_DIAG!$R$51:$AF$51,[6]C6_LMA_DIAG!$R$51:$AF$68))</f>
        <v>14167.07</v>
      </c>
      <c r="O931" s="20">
        <v>17749</v>
      </c>
      <c r="P931" s="16">
        <v>16731</v>
      </c>
    </row>
    <row r="932" spans="1:16" x14ac:dyDescent="0.3">
      <c r="A932" s="15" t="s">
        <v>69</v>
      </c>
      <c r="B932" s="15" t="s">
        <v>57</v>
      </c>
      <c r="C932" s="15" t="s">
        <v>32</v>
      </c>
      <c r="D932" s="15" t="s">
        <v>52</v>
      </c>
      <c r="E932" s="15" t="s">
        <v>40</v>
      </c>
      <c r="F932" s="15" t="s">
        <v>20</v>
      </c>
      <c r="G932" s="15" t="s">
        <v>9</v>
      </c>
      <c r="H932" s="16"/>
      <c r="I932" s="16"/>
      <c r="J932" s="16"/>
      <c r="K932" s="16"/>
      <c r="L932" s="16" cm="1">
        <f t="array" ref="L932">_xlfn.XLOOKUP(C932,[4]C5_LMA_DIAG!$P$49:$P$66,_xlfn.XLOOKUP(B932,[4]C5_LMA_DIAG!$P$49:$AB$49,[4]C5_LMA_DIAG!$P$49:$AB$66))</f>
        <v>27155.369686240672</v>
      </c>
      <c r="M932" s="16" cm="1">
        <f t="array" ref="M932">_xlfn.XLOOKUP(C932,[5]C6_LMA_DIAG!$P$46:$P$63,_xlfn.XLOOKUP(B932,[5]C6_LMA_DIAG!$P$46:$AB$46,[5]C6_LMA_DIAG!$P$46:$AB$63))</f>
        <v>23720.361693110906</v>
      </c>
      <c r="N932" s="16" cm="1">
        <f t="array" ref="N932">_xlfn.XLOOKUP(C932,[6]C6_LMA_DIAG!$R$51:$R$68,_xlfn.XLOOKUP(B932,[6]C6_LMA_DIAG!$R$51:$AF$51,[6]C6_LMA_DIAG!$R$51:$AF$68))</f>
        <v>5676.72</v>
      </c>
      <c r="O932" s="20">
        <v>4515</v>
      </c>
      <c r="P932" s="16">
        <v>14785</v>
      </c>
    </row>
    <row r="933" spans="1:16" x14ac:dyDescent="0.3">
      <c r="A933" s="15" t="s">
        <v>69</v>
      </c>
      <c r="B933" s="15" t="s">
        <v>58</v>
      </c>
      <c r="C933" s="15" t="s">
        <v>32</v>
      </c>
      <c r="D933" s="15" t="s">
        <v>52</v>
      </c>
      <c r="E933" s="15" t="s">
        <v>40</v>
      </c>
      <c r="F933" s="15" t="s">
        <v>20</v>
      </c>
      <c r="G933" s="15" t="s">
        <v>9</v>
      </c>
      <c r="H933" s="16"/>
      <c r="I933" s="16"/>
      <c r="J933" s="16"/>
      <c r="K933" s="16"/>
      <c r="L933" s="16" cm="1">
        <f t="array" ref="L933">_xlfn.XLOOKUP(C933,[4]C5_LMA_DIAG!$P$49:$P$66,_xlfn.XLOOKUP(B933,[4]C5_LMA_DIAG!$P$49:$AB$49,[4]C5_LMA_DIAG!$P$49:$AB$66))</f>
        <v>8711.2066448879104</v>
      </c>
      <c r="M933" s="16" cm="1">
        <f t="array" ref="M933">_xlfn.XLOOKUP(C933,[5]C6_LMA_DIAG!$P$46:$P$63,_xlfn.XLOOKUP(B933,[5]C6_LMA_DIAG!$P$46:$AB$46,[5]C6_LMA_DIAG!$P$46:$AB$63))</f>
        <v>8399.7071060852104</v>
      </c>
      <c r="N933" s="16" cm="1">
        <f t="array" ref="N933">_xlfn.XLOOKUP(C933,[6]C6_LMA_DIAG!$R$51:$R$68,_xlfn.XLOOKUP(B933,[6]C6_LMA_DIAG!$R$51:$AF$51,[6]C6_LMA_DIAG!$R$51:$AF$68))</f>
        <v>5957.03</v>
      </c>
      <c r="O933" s="20">
        <v>6341</v>
      </c>
      <c r="P933" s="16">
        <v>6384</v>
      </c>
    </row>
    <row r="934" spans="1:16" x14ac:dyDescent="0.3">
      <c r="A934" s="15" t="s">
        <v>69</v>
      </c>
      <c r="B934" s="15" t="s">
        <v>59</v>
      </c>
      <c r="C934" s="15" t="s">
        <v>32</v>
      </c>
      <c r="D934" s="15" t="s">
        <v>52</v>
      </c>
      <c r="E934" s="15" t="s">
        <v>40</v>
      </c>
      <c r="F934" s="15" t="s">
        <v>20</v>
      </c>
      <c r="G934" s="15" t="s">
        <v>9</v>
      </c>
      <c r="H934" s="16"/>
      <c r="I934" s="16"/>
      <c r="J934" s="16"/>
      <c r="K934" s="16"/>
      <c r="L934" s="16" cm="1">
        <f t="array" ref="L934">_xlfn.XLOOKUP(C934,[4]C5_LMA_DIAG!$P$49:$P$66,_xlfn.XLOOKUP(B934,[4]C5_LMA_DIAG!$P$49:$AB$49,[4]C5_LMA_DIAG!$P$49:$AB$66))</f>
        <v>12078.917902662855</v>
      </c>
      <c r="M934" s="16" cm="1">
        <f t="array" ref="M934">_xlfn.XLOOKUP(C934,[5]C6_LMA_DIAG!$P$46:$P$63,_xlfn.XLOOKUP(B934,[5]C6_LMA_DIAG!$P$46:$AB$46,[5]C6_LMA_DIAG!$P$46:$AB$63))</f>
        <v>10294.046645744287</v>
      </c>
      <c r="N934" s="16" cm="1">
        <f t="array" ref="N934">_xlfn.XLOOKUP(C934,[6]C6_LMA_DIAG!$R$51:$R$68,_xlfn.XLOOKUP(B934,[6]C6_LMA_DIAG!$R$51:$AF$51,[6]C6_LMA_DIAG!$R$51:$AF$68))</f>
        <v>3829.95</v>
      </c>
      <c r="O934" s="20">
        <v>2840</v>
      </c>
      <c r="P934" s="16">
        <v>4776</v>
      </c>
    </row>
    <row r="935" spans="1:16" x14ac:dyDescent="0.3">
      <c r="A935" s="15" t="s">
        <v>69</v>
      </c>
      <c r="B935" s="15" t="s">
        <v>60</v>
      </c>
      <c r="C935" s="15" t="s">
        <v>32</v>
      </c>
      <c r="D935" s="15" t="s">
        <v>52</v>
      </c>
      <c r="E935" s="15" t="s">
        <v>40</v>
      </c>
      <c r="F935" s="15" t="s">
        <v>20</v>
      </c>
      <c r="G935" s="15" t="s">
        <v>9</v>
      </c>
      <c r="H935" s="16"/>
      <c r="I935" s="16"/>
      <c r="J935" s="16"/>
      <c r="K935" s="16"/>
      <c r="L935" s="16" cm="1">
        <f t="array" ref="L935">_xlfn.XLOOKUP(C935,[4]C5_LMA_DIAG!$P$49:$P$66,_xlfn.XLOOKUP(B935,[4]C5_LMA_DIAG!$P$49:$AB$49,[4]C5_LMA_DIAG!$P$49:$AB$66))</f>
        <v>9319.140223145765</v>
      </c>
      <c r="M935" s="16" cm="1">
        <f t="array" ref="M935">_xlfn.XLOOKUP(C935,[5]C6_LMA_DIAG!$P$46:$P$63,_xlfn.XLOOKUP(B935,[5]C6_LMA_DIAG!$P$46:$AB$46,[5]C6_LMA_DIAG!$P$46:$AB$63))</f>
        <v>8671.3759547960071</v>
      </c>
      <c r="N935" s="16" cm="1">
        <f t="array" ref="N935">_xlfn.XLOOKUP(C935,[6]C6_LMA_DIAG!$R$51:$R$68,_xlfn.XLOOKUP(B935,[6]C6_LMA_DIAG!$R$51:$AF$51,[6]C6_LMA_DIAG!$R$51:$AF$68))</f>
        <v>4060.8</v>
      </c>
      <c r="O935" s="20">
        <v>4487</v>
      </c>
      <c r="P935" s="16">
        <v>5753</v>
      </c>
    </row>
    <row r="936" spans="1:16" x14ac:dyDescent="0.3">
      <c r="A936" s="15" t="s">
        <v>69</v>
      </c>
      <c r="B936" s="15" t="s">
        <v>61</v>
      </c>
      <c r="C936" s="15" t="s">
        <v>32</v>
      </c>
      <c r="D936" s="15" t="s">
        <v>52</v>
      </c>
      <c r="E936" s="15" t="s">
        <v>40</v>
      </c>
      <c r="F936" s="15" t="s">
        <v>20</v>
      </c>
      <c r="G936" s="15" t="s">
        <v>9</v>
      </c>
      <c r="H936" s="16"/>
      <c r="I936" s="16"/>
      <c r="J936" s="16"/>
      <c r="K936" s="16"/>
      <c r="L936" s="16" cm="1">
        <f t="array" ref="L936">_xlfn.XLOOKUP(C936,[4]C5_LMA_DIAG!$P$49:$P$66,_xlfn.XLOOKUP(B936,[4]C5_LMA_DIAG!$P$49:$AB$49,[4]C5_LMA_DIAG!$P$49:$AB$66))</f>
        <v>3590.4195983248501</v>
      </c>
      <c r="M936" s="16" cm="1">
        <f t="array" ref="M936">_xlfn.XLOOKUP(C936,[5]C6_LMA_DIAG!$P$46:$P$63,_xlfn.XLOOKUP(B936,[5]C6_LMA_DIAG!$P$46:$AB$46,[5]C6_LMA_DIAG!$P$46:$AB$63))</f>
        <v>2837.1038686987108</v>
      </c>
      <c r="N936" s="16" cm="1">
        <f t="array" ref="N936">_xlfn.XLOOKUP(C936,[6]C6_LMA_DIAG!$R$51:$R$68,_xlfn.XLOOKUP(B936,[6]C6_LMA_DIAG!$R$51:$AF$51,[6]C6_LMA_DIAG!$R$51:$AF$68))</f>
        <v>2284.48</v>
      </c>
      <c r="O936" s="20">
        <v>2232</v>
      </c>
      <c r="P936" s="16">
        <v>2692</v>
      </c>
    </row>
    <row r="937" spans="1:16" x14ac:dyDescent="0.3">
      <c r="A937" s="15" t="s">
        <v>69</v>
      </c>
      <c r="B937" s="15" t="s">
        <v>62</v>
      </c>
      <c r="C937" s="15" t="s">
        <v>32</v>
      </c>
      <c r="D937" s="15" t="s">
        <v>52</v>
      </c>
      <c r="E937" s="15" t="s">
        <v>40</v>
      </c>
      <c r="F937" s="15" t="s">
        <v>20</v>
      </c>
      <c r="G937" s="15" t="s">
        <v>9</v>
      </c>
      <c r="H937" s="16"/>
      <c r="I937" s="16"/>
      <c r="J937" s="16"/>
      <c r="K937" s="16"/>
      <c r="L937" s="16" cm="1">
        <f t="array" ref="L937">_xlfn.XLOOKUP(C937,[4]C5_LMA_DIAG!$P$49:$P$66,_xlfn.XLOOKUP(B937,[4]C5_LMA_DIAG!$P$49:$AB$49,[4]C5_LMA_DIAG!$P$49:$AB$66))</f>
        <v>4248.0111173809937</v>
      </c>
      <c r="M937" s="16" cm="1">
        <f t="array" ref="M937">_xlfn.XLOOKUP(C937,[5]C6_LMA_DIAG!$P$46:$P$63,_xlfn.XLOOKUP(B937,[5]C6_LMA_DIAG!$P$46:$AB$46,[5]C6_LMA_DIAG!$P$46:$AB$63))</f>
        <v>3847.4182898502186</v>
      </c>
      <c r="N937" s="16" cm="1">
        <f t="array" ref="N937">_xlfn.XLOOKUP(C937,[6]C6_LMA_DIAG!$R$51:$R$68,_xlfn.XLOOKUP(B937,[6]C6_LMA_DIAG!$R$51:$AF$51,[6]C6_LMA_DIAG!$R$51:$AF$68))</f>
        <v>2297.9699999999998</v>
      </c>
      <c r="O937" s="20">
        <v>2330</v>
      </c>
      <c r="P937" s="16">
        <v>2604</v>
      </c>
    </row>
    <row r="938" spans="1:16" x14ac:dyDescent="0.3">
      <c r="A938" s="15" t="s">
        <v>69</v>
      </c>
      <c r="B938" s="15" t="s">
        <v>63</v>
      </c>
      <c r="C938" s="15" t="s">
        <v>32</v>
      </c>
      <c r="D938" s="15" t="s">
        <v>52</v>
      </c>
      <c r="E938" s="15" t="s">
        <v>40</v>
      </c>
      <c r="F938" s="15" t="s">
        <v>20</v>
      </c>
      <c r="G938" s="15" t="s">
        <v>9</v>
      </c>
      <c r="H938" s="16"/>
      <c r="I938" s="16"/>
      <c r="J938" s="16"/>
      <c r="K938" s="16"/>
      <c r="L938" s="16" cm="1">
        <f t="array" ref="L938">_xlfn.XLOOKUP(C938,[4]C5_LMA_DIAG!$P$49:$P$66,_xlfn.XLOOKUP(B938,[4]C5_LMA_DIAG!$P$49:$AB$49,[4]C5_LMA_DIAG!$P$49:$AB$66))</f>
        <v>3590.4195983248501</v>
      </c>
      <c r="M938" s="16" cm="1">
        <f t="array" ref="M938">_xlfn.XLOOKUP(C938,[5]C6_LMA_DIAG!$P$46:$P$63,_xlfn.XLOOKUP(B938,[5]C6_LMA_DIAG!$P$46:$AB$46,[5]C6_LMA_DIAG!$P$46:$AB$63))</f>
        <v>3220.377217420431</v>
      </c>
      <c r="N938" s="16" cm="1">
        <f t="array" ref="N938">_xlfn.XLOOKUP(C938,[6]C6_LMA_DIAG!$R$51:$R$68,_xlfn.XLOOKUP(B938,[6]C6_LMA_DIAG!$R$51:$AF$51,[6]C6_LMA_DIAG!$R$51:$AF$68))</f>
        <v>2777.65</v>
      </c>
      <c r="O938" s="20">
        <v>2437</v>
      </c>
      <c r="P938" s="16">
        <v>2513</v>
      </c>
    </row>
    <row r="939" spans="1:16" x14ac:dyDescent="0.3">
      <c r="A939" s="15" t="s">
        <v>69</v>
      </c>
      <c r="B939" s="15" t="s">
        <v>64</v>
      </c>
      <c r="C939" s="15" t="s">
        <v>32</v>
      </c>
      <c r="D939" s="15" t="s">
        <v>52</v>
      </c>
      <c r="E939" s="15" t="s">
        <v>40</v>
      </c>
      <c r="F939" s="15" t="s">
        <v>20</v>
      </c>
      <c r="G939" s="15" t="s">
        <v>9</v>
      </c>
      <c r="H939" s="16"/>
      <c r="I939" s="16"/>
      <c r="J939" s="16"/>
      <c r="K939" s="16"/>
      <c r="L939" s="16" cm="1">
        <f t="array" ref="L939">_xlfn.XLOOKUP(C939,[4]C5_LMA_DIAG!$P$49:$P$66,_xlfn.XLOOKUP(B939,[4]C5_LMA_DIAG!$P$49:$AB$49,[4]C5_LMA_DIAG!$P$49:$AB$66))</f>
        <v>2345.9615061980053</v>
      </c>
      <c r="M939" s="16" cm="1">
        <f t="array" ref="M939">_xlfn.XLOOKUP(C939,[5]C6_LMA_DIAG!$P$46:$P$63,_xlfn.XLOOKUP(B939,[5]C6_LMA_DIAG!$P$46:$AB$46,[5]C6_LMA_DIAG!$P$46:$AB$63))</f>
        <v>2022.0973225663174</v>
      </c>
      <c r="N939" s="16" cm="1">
        <f t="array" ref="N939">_xlfn.XLOOKUP(C939,[6]C6_LMA_DIAG!$R$51:$R$68,_xlfn.XLOOKUP(B939,[6]C6_LMA_DIAG!$R$51:$AF$51,[6]C6_LMA_DIAG!$R$51:$AF$68))</f>
        <v>1660.89</v>
      </c>
      <c r="O939" s="20">
        <v>1555</v>
      </c>
      <c r="P939" s="16">
        <v>1376</v>
      </c>
    </row>
    <row r="940" spans="1:16" x14ac:dyDescent="0.3">
      <c r="A940" s="15" t="s">
        <v>69</v>
      </c>
      <c r="B940" s="15" t="s">
        <v>70</v>
      </c>
      <c r="C940" s="15" t="s">
        <v>32</v>
      </c>
      <c r="D940" s="15" t="s">
        <v>52</v>
      </c>
      <c r="E940" s="15" t="s">
        <v>40</v>
      </c>
      <c r="F940" s="15" t="s">
        <v>20</v>
      </c>
      <c r="G940" s="15" t="s">
        <v>9</v>
      </c>
      <c r="H940" s="16"/>
      <c r="I940" s="16"/>
      <c r="J940" s="16"/>
      <c r="K940" s="16"/>
      <c r="L940" s="16">
        <v>0</v>
      </c>
      <c r="M940" s="16">
        <v>0</v>
      </c>
      <c r="N940" s="16" cm="1">
        <f t="array" ref="N940">_xlfn.XLOOKUP(C940,[6]C6_LMA_DIAG!$R$51:$R$68,_xlfn.XLOOKUP(B940,[6]C6_LMA_DIAG!$R$51:$AF$51,[6]C6_LMA_DIAG!$R$51:$AF$68))</f>
        <v>9356.77</v>
      </c>
      <c r="O940" s="20">
        <v>12296</v>
      </c>
      <c r="P940" s="16">
        <v>22099</v>
      </c>
    </row>
    <row r="941" spans="1:16" x14ac:dyDescent="0.3">
      <c r="A941" s="15"/>
      <c r="B941" s="18" t="s">
        <v>71</v>
      </c>
      <c r="C941" s="15" t="s">
        <v>32</v>
      </c>
      <c r="D941" s="15" t="s">
        <v>52</v>
      </c>
      <c r="E941" s="15" t="s">
        <v>40</v>
      </c>
      <c r="F941" s="15" t="s">
        <v>20</v>
      </c>
      <c r="G941" s="15" t="s">
        <v>9</v>
      </c>
      <c r="H941" s="16"/>
      <c r="I941" s="16"/>
      <c r="J941" s="16"/>
      <c r="K941" s="16"/>
      <c r="L941" s="16">
        <v>0</v>
      </c>
      <c r="M941" s="16">
        <v>0</v>
      </c>
      <c r="N941" s="16" cm="1">
        <f t="array" ref="N941">_xlfn.XLOOKUP(C941,[6]C6_LMA_DIAG!$R$51:$R$68,_xlfn.XLOOKUP(B941,[6]C6_LMA_DIAG!$R$51:$AF$51,[6]C6_LMA_DIAG!$R$51:$AF$68))</f>
        <v>2092.61</v>
      </c>
      <c r="O941" s="20">
        <v>1947</v>
      </c>
      <c r="P941" s="16">
        <v>0</v>
      </c>
    </row>
    <row r="942" spans="1:16" x14ac:dyDescent="0.3">
      <c r="A942" s="15" t="s">
        <v>69</v>
      </c>
      <c r="B942" s="15" t="s">
        <v>65</v>
      </c>
      <c r="C942" s="15" t="s">
        <v>32</v>
      </c>
      <c r="D942" s="15" t="s">
        <v>52</v>
      </c>
      <c r="E942" s="15" t="s">
        <v>40</v>
      </c>
      <c r="F942" s="15" t="s">
        <v>20</v>
      </c>
      <c r="G942" s="15" t="s">
        <v>9</v>
      </c>
      <c r="H942" s="16"/>
      <c r="I942" s="16"/>
      <c r="J942" s="16"/>
      <c r="K942" s="16"/>
      <c r="L942" s="16" cm="1">
        <f t="array" ref="L942">_xlfn.XLOOKUP(C942,[4]C5_LMA_DIAG!$P$49:$P$66,_xlfn.XLOOKUP(B942,[4]C5_LMA_DIAG!$P$49:$AB$49,[4]C5_LMA_DIAG!$P$49:$AB$66))</f>
        <v>15260.035685923011</v>
      </c>
      <c r="M942" s="16" cm="1">
        <f t="array" ref="M942">_xlfn.XLOOKUP(C942,[5]C6_LMA_DIAG!$P$46:$P$63,_xlfn.XLOOKUP(B942,[5]C6_LMA_DIAG!$P$46:$AB$46,[5]C6_LMA_DIAG!$P$46:$AB$63))</f>
        <v>13780.21879082231</v>
      </c>
      <c r="N942" s="16" cm="1">
        <f t="array" ref="N942">_xlfn.XLOOKUP(C942,[6]C6_LMA_DIAG!$R$51:$R$68,_xlfn.XLOOKUP(B942,[6]C6_LMA_DIAG!$R$51:$AF$51,[6]C6_LMA_DIAG!$R$51:$AF$68))</f>
        <v>8724.19</v>
      </c>
      <c r="O942" s="20">
        <v>11036</v>
      </c>
      <c r="P942" s="16">
        <v>10711</v>
      </c>
    </row>
    <row r="943" spans="1:16" x14ac:dyDescent="0.3">
      <c r="A943" s="15" t="s">
        <v>69</v>
      </c>
      <c r="B943" s="15" t="s">
        <v>19</v>
      </c>
      <c r="C943" s="15" t="s">
        <v>32</v>
      </c>
      <c r="D943" s="15" t="s">
        <v>52</v>
      </c>
      <c r="E943" s="15" t="s">
        <v>40</v>
      </c>
      <c r="F943" s="15" t="s">
        <v>20</v>
      </c>
      <c r="G943" s="15" t="s">
        <v>9</v>
      </c>
      <c r="H943" s="16"/>
      <c r="I943" s="16"/>
      <c r="J943" s="16"/>
      <c r="K943" s="16"/>
      <c r="L943" s="16" cm="1">
        <f t="array" ref="L943">_xlfn.XLOOKUP(C943,[4]C5_LMA_DIAG!$P$49:$P$66,_xlfn.XLOOKUP(B943,[4]C5_LMA_DIAG!$P$49:$AB$49,[4]C5_LMA_DIAG!$P$49:$AB$66))</f>
        <v>3.0095721695933362</v>
      </c>
      <c r="M943" s="16" cm="1">
        <f t="array" ref="M943">_xlfn.XLOOKUP(C943,[5]C6_LMA_DIAG!$P$46:$P$63,_xlfn.XLOOKUP(B943,[5]C6_LMA_DIAG!$P$46:$AB$46,[5]C6_LMA_DIAG!$P$46:$AB$63))</f>
        <v>51.39680921555636</v>
      </c>
      <c r="N943" s="16" cm="1">
        <f t="array" ref="N943">_xlfn.XLOOKUP(C943,[6]C6_LMA_DIAG!$R$51:$R$68,_xlfn.XLOOKUP(B943,[6]C6_LMA_DIAG!$R$51:$AF$51,[6]C6_LMA_DIAG!$R$51:$AF$68))</f>
        <v>20.99</v>
      </c>
      <c r="O943" s="20">
        <v>2</v>
      </c>
      <c r="P943" s="16">
        <v>19</v>
      </c>
    </row>
    <row r="944" spans="1:16" x14ac:dyDescent="0.3">
      <c r="A944" s="26" t="s">
        <v>69</v>
      </c>
      <c r="B944" s="26" t="s">
        <v>55</v>
      </c>
      <c r="C944" s="26" t="s">
        <v>33</v>
      </c>
      <c r="D944" s="26" t="s">
        <v>52</v>
      </c>
      <c r="E944" s="26" t="s">
        <v>40</v>
      </c>
      <c r="F944" s="26" t="s">
        <v>20</v>
      </c>
      <c r="G944" s="26" t="s">
        <v>9</v>
      </c>
      <c r="H944" s="27"/>
      <c r="I944" s="27"/>
      <c r="J944" s="27"/>
      <c r="K944" s="27"/>
      <c r="L944" s="16" cm="1">
        <f t="array" ref="L944">_xlfn.XLOOKUP(C944,[4]C5_LMA_DIAG!$P$49:$P$66,_xlfn.XLOOKUP(B944,[4]C5_LMA_DIAG!$P$49:$AB$49,[4]C5_LMA_DIAG!$P$49:$AB$66))</f>
        <v>8766.883730025389</v>
      </c>
      <c r="M944" s="16" cm="1">
        <f t="array" ref="M944">_xlfn.XLOOKUP(C944,[5]C6_LMA_DIAG!$P$46:$P$63,_xlfn.XLOOKUP(B944,[5]C6_LMA_DIAG!$P$46:$AB$46,[5]C6_LMA_DIAG!$P$46:$AB$63))</f>
        <v>10247.055277318635</v>
      </c>
      <c r="N944" s="16" cm="1">
        <f t="array" ref="N944">_xlfn.XLOOKUP(C944,[6]C6_LMA_DIAG!$R$51:$R$68,_xlfn.XLOOKUP(B944,[6]C6_LMA_DIAG!$R$51:$AF$51,[6]C6_LMA_DIAG!$R$51:$AF$68))</f>
        <v>8433.39</v>
      </c>
      <c r="O944" s="20">
        <v>13872</v>
      </c>
      <c r="P944" s="27">
        <v>12648</v>
      </c>
    </row>
    <row r="945" spans="1:16" x14ac:dyDescent="0.3">
      <c r="A945" s="26" t="s">
        <v>69</v>
      </c>
      <c r="B945" s="26" t="s">
        <v>56</v>
      </c>
      <c r="C945" s="26" t="s">
        <v>33</v>
      </c>
      <c r="D945" s="26" t="s">
        <v>52</v>
      </c>
      <c r="E945" s="26" t="s">
        <v>40</v>
      </c>
      <c r="F945" s="26" t="s">
        <v>20</v>
      </c>
      <c r="G945" s="26" t="s">
        <v>9</v>
      </c>
      <c r="H945" s="27"/>
      <c r="I945" s="27"/>
      <c r="J945" s="27"/>
      <c r="K945" s="27"/>
      <c r="L945" s="16" cm="1">
        <f t="array" ref="L945">_xlfn.XLOOKUP(C945,[4]C5_LMA_DIAG!$P$49:$P$66,_xlfn.XLOOKUP(B945,[4]C5_LMA_DIAG!$P$49:$AB$49,[4]C5_LMA_DIAG!$P$49:$AB$66))</f>
        <v>8043.0816232381912</v>
      </c>
      <c r="M945" s="16" cm="1">
        <f t="array" ref="M945">_xlfn.XLOOKUP(C945,[5]C6_LMA_DIAG!$P$46:$P$63,_xlfn.XLOOKUP(B945,[5]C6_LMA_DIAG!$P$46:$AB$46,[5]C6_LMA_DIAG!$P$46:$AB$63))</f>
        <v>8501.0322442530214</v>
      </c>
      <c r="N945" s="16" cm="1">
        <f t="array" ref="N945">_xlfn.XLOOKUP(C945,[6]C6_LMA_DIAG!$R$51:$R$68,_xlfn.XLOOKUP(B945,[6]C6_LMA_DIAG!$R$51:$AF$51,[6]C6_LMA_DIAG!$R$51:$AF$68))</f>
        <v>5324.46</v>
      </c>
      <c r="O945" s="20">
        <v>5979</v>
      </c>
      <c r="P945" s="27">
        <v>6524</v>
      </c>
    </row>
    <row r="946" spans="1:16" x14ac:dyDescent="0.3">
      <c r="A946" s="26" t="s">
        <v>69</v>
      </c>
      <c r="B946" s="26" t="s">
        <v>57</v>
      </c>
      <c r="C946" s="26" t="s">
        <v>33</v>
      </c>
      <c r="D946" s="26" t="s">
        <v>52</v>
      </c>
      <c r="E946" s="26" t="s">
        <v>40</v>
      </c>
      <c r="F946" s="26" t="s">
        <v>20</v>
      </c>
      <c r="G946" s="26" t="s">
        <v>9</v>
      </c>
      <c r="H946" s="27"/>
      <c r="I946" s="27"/>
      <c r="J946" s="27"/>
      <c r="K946" s="27"/>
      <c r="L946" s="16" cm="1">
        <f t="array" ref="L946">_xlfn.XLOOKUP(C946,[4]C5_LMA_DIAG!$P$49:$P$66,_xlfn.XLOOKUP(B946,[4]C5_LMA_DIAG!$P$49:$AB$49,[4]C5_LMA_DIAG!$P$49:$AB$66))</f>
        <v>11338.563148942894</v>
      </c>
      <c r="M946" s="16" cm="1">
        <f t="array" ref="M946">_xlfn.XLOOKUP(C946,[5]C6_LMA_DIAG!$P$46:$P$63,_xlfn.XLOOKUP(B946,[5]C6_LMA_DIAG!$P$46:$AB$46,[5]C6_LMA_DIAG!$P$46:$AB$63))</f>
        <v>11972.519586698027</v>
      </c>
      <c r="N946" s="16" cm="1">
        <f t="array" ref="N946">_xlfn.XLOOKUP(C946,[6]C6_LMA_DIAG!$R$51:$R$68,_xlfn.XLOOKUP(B946,[6]C6_LMA_DIAG!$R$51:$AF$51,[6]C6_LMA_DIAG!$R$51:$AF$68))</f>
        <v>2618.7600000000002</v>
      </c>
      <c r="O946" s="20">
        <v>1847</v>
      </c>
      <c r="P946" s="27">
        <v>7282</v>
      </c>
    </row>
    <row r="947" spans="1:16" x14ac:dyDescent="0.3">
      <c r="A947" s="26" t="s">
        <v>69</v>
      </c>
      <c r="B947" s="26" t="s">
        <v>58</v>
      </c>
      <c r="C947" s="26" t="s">
        <v>33</v>
      </c>
      <c r="D947" s="26" t="s">
        <v>52</v>
      </c>
      <c r="E947" s="26" t="s">
        <v>40</v>
      </c>
      <c r="F947" s="26" t="s">
        <v>20</v>
      </c>
      <c r="G947" s="26" t="s">
        <v>9</v>
      </c>
      <c r="H947" s="27"/>
      <c r="I947" s="27"/>
      <c r="J947" s="27"/>
      <c r="K947" s="27"/>
      <c r="L947" s="16" cm="1">
        <f t="array" ref="L947">_xlfn.XLOOKUP(C947,[4]C5_LMA_DIAG!$P$49:$P$66,_xlfn.XLOOKUP(B947,[4]C5_LMA_DIAG!$P$49:$AB$49,[4]C5_LMA_DIAG!$P$49:$AB$66))</f>
        <v>3278.9288787719397</v>
      </c>
      <c r="M947" s="16" cm="1">
        <f t="array" ref="M947">_xlfn.XLOOKUP(C947,[5]C6_LMA_DIAG!$P$46:$P$63,_xlfn.XLOOKUP(B947,[5]C6_LMA_DIAG!$P$46:$AB$46,[5]C6_LMA_DIAG!$P$46:$AB$63))</f>
        <v>3687.353941150343</v>
      </c>
      <c r="N947" s="16" cm="1">
        <f t="array" ref="N947">_xlfn.XLOOKUP(C947,[6]C6_LMA_DIAG!$R$51:$R$68,_xlfn.XLOOKUP(B947,[6]C6_LMA_DIAG!$R$51:$AF$51,[6]C6_LMA_DIAG!$R$51:$AF$68))</f>
        <v>2443.37</v>
      </c>
      <c r="O947" s="20">
        <v>2614</v>
      </c>
      <c r="P947" s="27">
        <v>2941</v>
      </c>
    </row>
    <row r="948" spans="1:16" x14ac:dyDescent="0.3">
      <c r="A948" s="26" t="s">
        <v>69</v>
      </c>
      <c r="B948" s="26" t="s">
        <v>59</v>
      </c>
      <c r="C948" s="26" t="s">
        <v>33</v>
      </c>
      <c r="D948" s="26" t="s">
        <v>52</v>
      </c>
      <c r="E948" s="26" t="s">
        <v>40</v>
      </c>
      <c r="F948" s="26" t="s">
        <v>20</v>
      </c>
      <c r="G948" s="26" t="s">
        <v>9</v>
      </c>
      <c r="H948" s="27"/>
      <c r="I948" s="27"/>
      <c r="J948" s="27"/>
      <c r="K948" s="27"/>
      <c r="L948" s="16" cm="1">
        <f t="array" ref="L948">_xlfn.XLOOKUP(C948,[4]C5_LMA_DIAG!$P$49:$P$66,_xlfn.XLOOKUP(B948,[4]C5_LMA_DIAG!$P$49:$AB$49,[4]C5_LMA_DIAG!$P$49:$AB$66))</f>
        <v>4706.9708732439776</v>
      </c>
      <c r="M948" s="16" cm="1">
        <f t="array" ref="M948">_xlfn.XLOOKUP(C948,[5]C6_LMA_DIAG!$P$46:$P$63,_xlfn.XLOOKUP(B948,[5]C6_LMA_DIAG!$P$46:$AB$46,[5]C6_LMA_DIAG!$P$46:$AB$63))</f>
        <v>4721.1640465146766</v>
      </c>
      <c r="N948" s="16" cm="1">
        <f t="array" ref="N948">_xlfn.XLOOKUP(C948,[6]C6_LMA_DIAG!$R$51:$R$68,_xlfn.XLOOKUP(B948,[6]C6_LMA_DIAG!$R$51:$AF$51,[6]C6_LMA_DIAG!$R$51:$AF$68))</f>
        <v>1771.82</v>
      </c>
      <c r="O948" s="20">
        <v>1347</v>
      </c>
      <c r="P948" s="27">
        <v>2357</v>
      </c>
    </row>
    <row r="949" spans="1:16" x14ac:dyDescent="0.3">
      <c r="A949" s="26" t="s">
        <v>69</v>
      </c>
      <c r="B949" s="26" t="s">
        <v>60</v>
      </c>
      <c r="C949" s="26" t="s">
        <v>33</v>
      </c>
      <c r="D949" s="26" t="s">
        <v>52</v>
      </c>
      <c r="E949" s="26" t="s">
        <v>40</v>
      </c>
      <c r="F949" s="26" t="s">
        <v>20</v>
      </c>
      <c r="G949" s="26" t="s">
        <v>9</v>
      </c>
      <c r="H949" s="27"/>
      <c r="I949" s="27"/>
      <c r="J949" s="27"/>
      <c r="K949" s="27"/>
      <c r="L949" s="16" cm="1">
        <f t="array" ref="L949">_xlfn.XLOOKUP(C949,[4]C5_LMA_DIAG!$P$49:$P$66,_xlfn.XLOOKUP(B949,[4]C5_LMA_DIAG!$P$49:$AB$49,[4]C5_LMA_DIAG!$P$49:$AB$66))</f>
        <v>4527.9013291531746</v>
      </c>
      <c r="M949" s="16" cm="1">
        <f t="array" ref="M949">_xlfn.XLOOKUP(C949,[5]C6_LMA_DIAG!$P$46:$P$63,_xlfn.XLOOKUP(B949,[5]C6_LMA_DIAG!$P$46:$AB$46,[5]C6_LMA_DIAG!$P$46:$AB$63))</f>
        <v>5061.8514676006498</v>
      </c>
      <c r="N949" s="16" cm="1">
        <f t="array" ref="N949">_xlfn.XLOOKUP(C949,[6]C6_LMA_DIAG!$R$51:$R$68,_xlfn.XLOOKUP(B949,[6]C6_LMA_DIAG!$R$51:$AF$51,[6]C6_LMA_DIAG!$R$51:$AF$68))</f>
        <v>2357.9299999999998</v>
      </c>
      <c r="O949" s="20">
        <v>2381</v>
      </c>
      <c r="P949" s="27">
        <v>3153</v>
      </c>
    </row>
    <row r="950" spans="1:16" x14ac:dyDescent="0.3">
      <c r="A950" s="26" t="s">
        <v>69</v>
      </c>
      <c r="B950" s="26" t="s">
        <v>61</v>
      </c>
      <c r="C950" s="26" t="s">
        <v>33</v>
      </c>
      <c r="D950" s="26" t="s">
        <v>52</v>
      </c>
      <c r="E950" s="26" t="s">
        <v>40</v>
      </c>
      <c r="F950" s="26" t="s">
        <v>20</v>
      </c>
      <c r="G950" s="26" t="s">
        <v>9</v>
      </c>
      <c r="H950" s="27"/>
      <c r="I950" s="27"/>
      <c r="J950" s="27"/>
      <c r="K950" s="27"/>
      <c r="L950" s="16" cm="1">
        <f t="array" ref="L950">_xlfn.XLOOKUP(C950,[4]C5_LMA_DIAG!$P$49:$P$66,_xlfn.XLOOKUP(B950,[4]C5_LMA_DIAG!$P$49:$AB$49,[4]C5_LMA_DIAG!$P$49:$AB$66))</f>
        <v>1483.7190796095147</v>
      </c>
      <c r="M950" s="16" cm="1">
        <f t="array" ref="M950">_xlfn.XLOOKUP(C950,[5]C6_LMA_DIAG!$P$46:$P$63,_xlfn.XLOOKUP(B950,[5]C6_LMA_DIAG!$P$46:$AB$46,[5]C6_LMA_DIAG!$P$46:$AB$63))</f>
        <v>1425.8943356658635</v>
      </c>
      <c r="N950" s="16" cm="1">
        <f t="array" ref="N950">_xlfn.XLOOKUP(C950,[6]C6_LMA_DIAG!$R$51:$R$68,_xlfn.XLOOKUP(B950,[6]C6_LMA_DIAG!$R$51:$AF$51,[6]C6_LMA_DIAG!$R$51:$AF$68))</f>
        <v>927.88</v>
      </c>
      <c r="O950" s="20">
        <v>853</v>
      </c>
      <c r="P950" s="27">
        <v>972</v>
      </c>
    </row>
    <row r="951" spans="1:16" x14ac:dyDescent="0.3">
      <c r="A951" s="26" t="s">
        <v>69</v>
      </c>
      <c r="B951" s="26" t="s">
        <v>62</v>
      </c>
      <c r="C951" s="26" t="s">
        <v>33</v>
      </c>
      <c r="D951" s="26" t="s">
        <v>52</v>
      </c>
      <c r="E951" s="26" t="s">
        <v>40</v>
      </c>
      <c r="F951" s="26" t="s">
        <v>20</v>
      </c>
      <c r="G951" s="26" t="s">
        <v>9</v>
      </c>
      <c r="H951" s="27"/>
      <c r="I951" s="27"/>
      <c r="J951" s="27"/>
      <c r="K951" s="27"/>
      <c r="L951" s="16" cm="1">
        <f t="array" ref="L951">_xlfn.XLOOKUP(C951,[4]C5_LMA_DIAG!$P$49:$P$66,_xlfn.XLOOKUP(B951,[4]C5_LMA_DIAG!$P$49:$AB$49,[4]C5_LMA_DIAG!$P$49:$AB$66))</f>
        <v>1893.0208946742084</v>
      </c>
      <c r="M951" s="16" cm="1">
        <f t="array" ref="M951">_xlfn.XLOOKUP(C951,[5]C6_LMA_DIAG!$P$46:$P$63,_xlfn.XLOOKUP(B951,[5]C6_LMA_DIAG!$P$46:$AB$46,[5]C6_LMA_DIAG!$P$46:$AB$63))</f>
        <v>1995.6646778268882</v>
      </c>
      <c r="N951" s="16" cm="1">
        <f t="array" ref="N951">_xlfn.XLOOKUP(C951,[6]C6_LMA_DIAG!$R$51:$R$68,_xlfn.XLOOKUP(B951,[6]C6_LMA_DIAG!$R$51:$AF$51,[6]C6_LMA_DIAG!$R$51:$AF$68))</f>
        <v>1113.76</v>
      </c>
      <c r="O951" s="20">
        <v>1118</v>
      </c>
      <c r="P951" s="27">
        <v>1287</v>
      </c>
    </row>
    <row r="952" spans="1:16" x14ac:dyDescent="0.3">
      <c r="A952" s="26" t="s">
        <v>69</v>
      </c>
      <c r="B952" s="26" t="s">
        <v>63</v>
      </c>
      <c r="C952" s="26" t="s">
        <v>33</v>
      </c>
      <c r="D952" s="26" t="s">
        <v>52</v>
      </c>
      <c r="E952" s="26" t="s">
        <v>40</v>
      </c>
      <c r="F952" s="26" t="s">
        <v>20</v>
      </c>
      <c r="G952" s="26" t="s">
        <v>9</v>
      </c>
      <c r="H952" s="27"/>
      <c r="I952" s="27"/>
      <c r="J952" s="27"/>
      <c r="K952" s="27"/>
      <c r="L952" s="16" cm="1">
        <f t="array" ref="L952">_xlfn.XLOOKUP(C952,[4]C5_LMA_DIAG!$P$49:$P$66,_xlfn.XLOOKUP(B952,[4]C5_LMA_DIAG!$P$49:$AB$49,[4]C5_LMA_DIAG!$P$49:$AB$66))</f>
        <v>1533.3770204078048</v>
      </c>
      <c r="M952" s="16" cm="1">
        <f t="array" ref="M952">_xlfn.XLOOKUP(C952,[5]C6_LMA_DIAG!$P$46:$P$63,_xlfn.XLOOKUP(B952,[5]C6_LMA_DIAG!$P$46:$AB$46,[5]C6_LMA_DIAG!$P$46:$AB$63))</f>
        <v>1603.5804475253583</v>
      </c>
      <c r="N952" s="16" cm="1">
        <f t="array" ref="N952">_xlfn.XLOOKUP(C952,[6]C6_LMA_DIAG!$R$51:$R$68,_xlfn.XLOOKUP(B952,[6]C6_LMA_DIAG!$R$51:$AF$51,[6]C6_LMA_DIAG!$R$51:$AF$68))</f>
        <v>1344.6</v>
      </c>
      <c r="O952" s="20">
        <v>1199</v>
      </c>
      <c r="P952" s="27">
        <v>1182</v>
      </c>
    </row>
    <row r="953" spans="1:16" x14ac:dyDescent="0.3">
      <c r="A953" s="26" t="s">
        <v>69</v>
      </c>
      <c r="B953" s="26" t="s">
        <v>64</v>
      </c>
      <c r="C953" s="26" t="s">
        <v>33</v>
      </c>
      <c r="D953" s="26" t="s">
        <v>52</v>
      </c>
      <c r="E953" s="26" t="s">
        <v>40</v>
      </c>
      <c r="F953" s="26" t="s">
        <v>20</v>
      </c>
      <c r="G953" s="26" t="s">
        <v>9</v>
      </c>
      <c r="H953" s="27"/>
      <c r="I953" s="27"/>
      <c r="J953" s="27"/>
      <c r="K953" s="27"/>
      <c r="L953" s="16" cm="1">
        <f t="array" ref="L953">_xlfn.XLOOKUP(C953,[4]C5_LMA_DIAG!$P$49:$P$66,_xlfn.XLOOKUP(B953,[4]C5_LMA_DIAG!$P$49:$AB$49,[4]C5_LMA_DIAG!$P$49:$AB$66))</f>
        <v>946.51044733710421</v>
      </c>
      <c r="M953" s="16" cm="1">
        <f t="array" ref="M953">_xlfn.XLOOKUP(C953,[5]C6_LMA_DIAG!$P$46:$P$63,_xlfn.XLOOKUP(B953,[5]C6_LMA_DIAG!$P$46:$AB$46,[5]C6_LMA_DIAG!$P$46:$AB$63))</f>
        <v>966.26001325245943</v>
      </c>
      <c r="N953" s="16" cm="1">
        <f t="array" ref="N953">_xlfn.XLOOKUP(C953,[6]C6_LMA_DIAG!$R$51:$R$68,_xlfn.XLOOKUP(B953,[6]C6_LMA_DIAG!$R$51:$AF$51,[6]C6_LMA_DIAG!$R$51:$AF$68))</f>
        <v>698.53</v>
      </c>
      <c r="O953" s="20">
        <v>763</v>
      </c>
      <c r="P953" s="27">
        <v>698</v>
      </c>
    </row>
    <row r="954" spans="1:16" x14ac:dyDescent="0.3">
      <c r="A954" s="26" t="s">
        <v>69</v>
      </c>
      <c r="B954" s="26" t="s">
        <v>70</v>
      </c>
      <c r="C954" s="26" t="s">
        <v>33</v>
      </c>
      <c r="D954" s="26" t="s">
        <v>52</v>
      </c>
      <c r="E954" s="26" t="s">
        <v>40</v>
      </c>
      <c r="F954" s="26" t="s">
        <v>20</v>
      </c>
      <c r="G954" s="26" t="s">
        <v>9</v>
      </c>
      <c r="H954" s="27"/>
      <c r="I954" s="27"/>
      <c r="J954" s="27"/>
      <c r="K954" s="27"/>
      <c r="L954" s="16">
        <v>0</v>
      </c>
      <c r="M954" s="16">
        <v>0</v>
      </c>
      <c r="N954" s="16" cm="1">
        <f t="array" ref="N954">_xlfn.XLOOKUP(C954,[6]C6_LMA_DIAG!$R$51:$R$68,_xlfn.XLOOKUP(B954,[6]C6_LMA_DIAG!$R$51:$AF$51,[6]C6_LMA_DIAG!$R$51:$AF$68))</f>
        <v>3558.63</v>
      </c>
      <c r="O954" s="20">
        <v>6403</v>
      </c>
      <c r="P954" s="27">
        <v>12634</v>
      </c>
    </row>
    <row r="955" spans="1:16" x14ac:dyDescent="0.3">
      <c r="A955" s="26"/>
      <c r="B955" s="18" t="s">
        <v>71</v>
      </c>
      <c r="C955" s="26" t="s">
        <v>33</v>
      </c>
      <c r="D955" s="26" t="s">
        <v>52</v>
      </c>
      <c r="E955" s="26" t="s">
        <v>40</v>
      </c>
      <c r="F955" s="26" t="s">
        <v>20</v>
      </c>
      <c r="G955" s="26" t="s">
        <v>9</v>
      </c>
      <c r="H955" s="27"/>
      <c r="I955" s="27"/>
      <c r="J955" s="27"/>
      <c r="K955" s="27"/>
      <c r="L955" s="16">
        <v>0</v>
      </c>
      <c r="M955" s="16">
        <v>0</v>
      </c>
      <c r="N955" s="16" cm="1">
        <f t="array" ref="N955">_xlfn.XLOOKUP(C955,[6]C6_LMA_DIAG!$R$51:$R$68,_xlfn.XLOOKUP(B955,[6]C6_LMA_DIAG!$R$51:$AF$51,[6]C6_LMA_DIAG!$R$51:$AF$68))</f>
        <v>953.37</v>
      </c>
      <c r="O955" s="20">
        <v>922</v>
      </c>
      <c r="P955" s="27">
        <v>0</v>
      </c>
    </row>
    <row r="956" spans="1:16" x14ac:dyDescent="0.3">
      <c r="A956" s="26" t="s">
        <v>69</v>
      </c>
      <c r="B956" s="26" t="s">
        <v>65</v>
      </c>
      <c r="C956" s="26" t="s">
        <v>33</v>
      </c>
      <c r="D956" s="26" t="s">
        <v>52</v>
      </c>
      <c r="E956" s="26" t="s">
        <v>40</v>
      </c>
      <c r="F956" s="26" t="s">
        <v>20</v>
      </c>
      <c r="G956" s="26" t="s">
        <v>9</v>
      </c>
      <c r="H956" s="27"/>
      <c r="I956" s="27"/>
      <c r="J956" s="27"/>
      <c r="K956" s="27"/>
      <c r="L956" s="16" cm="1">
        <f t="array" ref="L956">_xlfn.XLOOKUP(C956,[4]C5_LMA_DIAG!$P$49:$P$66,_xlfn.XLOOKUP(B956,[4]C5_LMA_DIAG!$P$49:$AB$49,[4]C5_LMA_DIAG!$P$49:$AB$66))</f>
        <v>5942.4002488620417</v>
      </c>
      <c r="M956" s="16" cm="1">
        <f t="array" ref="M956">_xlfn.XLOOKUP(C956,[5]C6_LMA_DIAG!$P$46:$P$63,_xlfn.XLOOKUP(B956,[5]C6_LMA_DIAG!$P$46:$AB$46,[5]C6_LMA_DIAG!$P$46:$AB$63))</f>
        <v>6301.2488098272088</v>
      </c>
      <c r="N956" s="16" cm="1">
        <f t="array" ref="N956">_xlfn.XLOOKUP(C956,[6]C6_LMA_DIAG!$R$51:$R$68,_xlfn.XLOOKUP(B956,[6]C6_LMA_DIAG!$R$51:$AF$51,[6]C6_LMA_DIAG!$R$51:$AF$68))</f>
        <v>3486.68</v>
      </c>
      <c r="O956" s="20">
        <v>4679</v>
      </c>
      <c r="P956" s="27">
        <v>4478</v>
      </c>
    </row>
    <row r="957" spans="1:16" x14ac:dyDescent="0.3">
      <c r="A957" s="26" t="s">
        <v>69</v>
      </c>
      <c r="B957" s="26" t="s">
        <v>19</v>
      </c>
      <c r="C957" s="26" t="s">
        <v>33</v>
      </c>
      <c r="D957" s="26" t="s">
        <v>52</v>
      </c>
      <c r="E957" s="26" t="s">
        <v>40</v>
      </c>
      <c r="F957" s="26" t="s">
        <v>20</v>
      </c>
      <c r="G957" s="26" t="s">
        <v>9</v>
      </c>
      <c r="H957" s="27"/>
      <c r="I957" s="27"/>
      <c r="J957" s="27"/>
      <c r="K957" s="27"/>
      <c r="L957" s="16" cm="1">
        <f t="array" ref="L957">_xlfn.XLOOKUP(C957,[4]C5_LMA_DIAG!$P$49:$P$66,_xlfn.XLOOKUP(B957,[4]C5_LMA_DIAG!$P$49:$AB$49,[4]C5_LMA_DIAG!$P$49:$AB$66))</f>
        <v>3.0095721695933362</v>
      </c>
      <c r="M957" s="16" cm="1">
        <f t="array" ref="M957">_xlfn.XLOOKUP(C957,[5]C6_LMA_DIAG!$P$46:$P$63,_xlfn.XLOOKUP(B957,[5]C6_LMA_DIAG!$P$46:$AB$46,[5]C6_LMA_DIAG!$P$46:$AB$63))</f>
        <v>60.207690795366013</v>
      </c>
      <c r="N957" s="16" cm="1">
        <f t="array" ref="N957">_xlfn.XLOOKUP(C957,[6]C6_LMA_DIAG!$R$51:$R$68,_xlfn.XLOOKUP(B957,[6]C6_LMA_DIAG!$R$51:$AF$51,[6]C6_LMA_DIAG!$R$51:$AF$68))</f>
        <v>19.489999999999998</v>
      </c>
      <c r="O957" s="20">
        <v>1</v>
      </c>
      <c r="P957" s="27">
        <v>14</v>
      </c>
    </row>
    <row r="958" spans="1:16" x14ac:dyDescent="0.3">
      <c r="A958" s="15" t="s">
        <v>69</v>
      </c>
      <c r="B958" s="15" t="s">
        <v>55</v>
      </c>
      <c r="C958" s="15" t="s">
        <v>34</v>
      </c>
      <c r="D958" s="15" t="s">
        <v>52</v>
      </c>
      <c r="E958" s="15" t="s">
        <v>40</v>
      </c>
      <c r="F958" s="15" t="s">
        <v>20</v>
      </c>
      <c r="G958" s="15" t="s">
        <v>9</v>
      </c>
      <c r="H958" s="16"/>
      <c r="I958" s="16"/>
      <c r="J958" s="16"/>
      <c r="K958" s="16"/>
      <c r="L958" s="16" cm="1">
        <f t="array" ref="L958">_xlfn.XLOOKUP(C958,[4]C5_LMA_DIAG!$P$49:$P$66,_xlfn.XLOOKUP(B958,[4]C5_LMA_DIAG!$P$49:$AB$49,[4]C5_LMA_DIAG!$P$49:$AB$66))</f>
        <v>2905.7419297423662</v>
      </c>
      <c r="M958" s="16" cm="1">
        <f t="array" ref="M958">_xlfn.XLOOKUP(C958,[5]C6_LMA_DIAG!$P$46:$P$63,_xlfn.XLOOKUP(B958,[5]C6_LMA_DIAG!$P$46:$AB$46,[5]C6_LMA_DIAG!$P$46:$AB$63))</f>
        <v>3045.6280660875391</v>
      </c>
      <c r="N958" s="16" cm="1">
        <f t="array" ref="N958">_xlfn.XLOOKUP(C958,[6]C6_LMA_DIAG!$R$51:$R$68,_xlfn.XLOOKUP(B958,[6]C6_LMA_DIAG!$R$51:$AF$51,[6]C6_LMA_DIAG!$R$51:$AF$68))</f>
        <v>2602.27</v>
      </c>
      <c r="O958" s="20">
        <v>3917</v>
      </c>
      <c r="P958" s="16">
        <v>4106</v>
      </c>
    </row>
    <row r="959" spans="1:16" x14ac:dyDescent="0.3">
      <c r="A959" s="15" t="s">
        <v>69</v>
      </c>
      <c r="B959" s="15" t="s">
        <v>56</v>
      </c>
      <c r="C959" s="15" t="s">
        <v>34</v>
      </c>
      <c r="D959" s="15" t="s">
        <v>52</v>
      </c>
      <c r="E959" s="15" t="s">
        <v>40</v>
      </c>
      <c r="F959" s="15" t="s">
        <v>20</v>
      </c>
      <c r="G959" s="15" t="s">
        <v>9</v>
      </c>
      <c r="H959" s="16"/>
      <c r="I959" s="16"/>
      <c r="J959" s="16"/>
      <c r="K959" s="16"/>
      <c r="L959" s="16" cm="1">
        <f t="array" ref="L959">_xlfn.XLOOKUP(C959,[4]C5_LMA_DIAG!$P$49:$P$66,_xlfn.XLOOKUP(B959,[4]C5_LMA_DIAG!$P$49:$AB$49,[4]C5_LMA_DIAG!$P$49:$AB$66))</f>
        <v>3104.3736929355264</v>
      </c>
      <c r="M959" s="16" cm="1">
        <f t="array" ref="M959">_xlfn.XLOOKUP(C959,[5]C6_LMA_DIAG!$P$46:$P$63,_xlfn.XLOOKUP(B959,[5]C6_LMA_DIAG!$P$46:$AB$46,[5]C6_LMA_DIAG!$P$46:$AB$63))</f>
        <v>3199.8184937342085</v>
      </c>
      <c r="N959" s="16" cm="1">
        <f t="array" ref="N959">_xlfn.XLOOKUP(C959,[6]C6_LMA_DIAG!$R$51:$R$68,_xlfn.XLOOKUP(B959,[6]C6_LMA_DIAG!$R$51:$AF$51,[6]C6_LMA_DIAG!$R$51:$AF$68))</f>
        <v>2070.12</v>
      </c>
      <c r="O959" s="20">
        <v>2234</v>
      </c>
      <c r="P959" s="16">
        <v>2464</v>
      </c>
    </row>
    <row r="960" spans="1:16" x14ac:dyDescent="0.3">
      <c r="A960" s="15" t="s">
        <v>69</v>
      </c>
      <c r="B960" s="15" t="s">
        <v>57</v>
      </c>
      <c r="C960" s="15" t="s">
        <v>34</v>
      </c>
      <c r="D960" s="15" t="s">
        <v>52</v>
      </c>
      <c r="E960" s="15" t="s">
        <v>40</v>
      </c>
      <c r="F960" s="15" t="s">
        <v>20</v>
      </c>
      <c r="G960" s="15" t="s">
        <v>9</v>
      </c>
      <c r="H960" s="16"/>
      <c r="I960" s="16"/>
      <c r="J960" s="16"/>
      <c r="K960" s="16"/>
      <c r="L960" s="16" cm="1">
        <f t="array" ref="L960">_xlfn.XLOOKUP(C960,[4]C5_LMA_DIAG!$P$49:$P$66,_xlfn.XLOOKUP(B960,[4]C5_LMA_DIAG!$P$49:$AB$49,[4]C5_LMA_DIAG!$P$49:$AB$66))</f>
        <v>5433.7825522007688</v>
      </c>
      <c r="M960" s="16" cm="1">
        <f t="array" ref="M960">_xlfn.XLOOKUP(C960,[5]C6_LMA_DIAG!$P$46:$P$63,_xlfn.XLOOKUP(B960,[5]C6_LMA_DIAG!$P$46:$AB$46,[5]C6_LMA_DIAG!$P$46:$AB$63))</f>
        <v>5274.7811057793842</v>
      </c>
      <c r="N960" s="16" cm="1">
        <f t="array" ref="N960">_xlfn.XLOOKUP(C960,[6]C6_LMA_DIAG!$R$51:$R$68,_xlfn.XLOOKUP(B960,[6]C6_LMA_DIAG!$R$51:$AF$51,[6]C6_LMA_DIAG!$R$51:$AF$68))</f>
        <v>1245.67</v>
      </c>
      <c r="O960" s="20">
        <v>770</v>
      </c>
      <c r="P960" s="16">
        <v>3283</v>
      </c>
    </row>
    <row r="961" spans="1:16" x14ac:dyDescent="0.3">
      <c r="A961" s="15" t="s">
        <v>69</v>
      </c>
      <c r="B961" s="15" t="s">
        <v>58</v>
      </c>
      <c r="C961" s="15" t="s">
        <v>34</v>
      </c>
      <c r="D961" s="15" t="s">
        <v>52</v>
      </c>
      <c r="E961" s="15" t="s">
        <v>40</v>
      </c>
      <c r="F961" s="15" t="s">
        <v>20</v>
      </c>
      <c r="G961" s="15" t="s">
        <v>9</v>
      </c>
      <c r="H961" s="16"/>
      <c r="I961" s="16"/>
      <c r="J961" s="16"/>
      <c r="K961" s="16"/>
      <c r="L961" s="16" cm="1">
        <f t="array" ref="L961">_xlfn.XLOOKUP(C961,[4]C5_LMA_DIAG!$P$49:$P$66,_xlfn.XLOOKUP(B961,[4]C5_LMA_DIAG!$P$49:$AB$49,[4]C5_LMA_DIAG!$P$49:$AB$66))</f>
        <v>1486.7286517791081</v>
      </c>
      <c r="M961" s="16" cm="1">
        <f t="array" ref="M961">_xlfn.XLOOKUP(C961,[5]C6_LMA_DIAG!$P$46:$P$63,_xlfn.XLOOKUP(B961,[5]C6_LMA_DIAG!$P$46:$AB$46,[5]C6_LMA_DIAG!$P$46:$AB$63))</f>
        <v>1505.1922698841504</v>
      </c>
      <c r="N961" s="16" cm="1">
        <f t="array" ref="N961">_xlfn.XLOOKUP(C961,[6]C6_LMA_DIAG!$R$51:$R$68,_xlfn.XLOOKUP(B961,[6]C6_LMA_DIAG!$R$51:$AF$51,[6]C6_LMA_DIAG!$R$51:$AF$68))</f>
        <v>1038.81</v>
      </c>
      <c r="O961" s="20">
        <v>1121</v>
      </c>
      <c r="P961" s="16">
        <v>1166</v>
      </c>
    </row>
    <row r="962" spans="1:16" x14ac:dyDescent="0.3">
      <c r="A962" s="15" t="s">
        <v>69</v>
      </c>
      <c r="B962" s="15" t="s">
        <v>59</v>
      </c>
      <c r="C962" s="15" t="s">
        <v>34</v>
      </c>
      <c r="D962" s="15" t="s">
        <v>52</v>
      </c>
      <c r="E962" s="15" t="s">
        <v>40</v>
      </c>
      <c r="F962" s="15" t="s">
        <v>20</v>
      </c>
      <c r="G962" s="15" t="s">
        <v>9</v>
      </c>
      <c r="H962" s="16"/>
      <c r="I962" s="16"/>
      <c r="J962" s="16"/>
      <c r="K962" s="16"/>
      <c r="L962" s="16" cm="1">
        <f t="array" ref="L962">_xlfn.XLOOKUP(C962,[4]C5_LMA_DIAG!$P$49:$P$66,_xlfn.XLOOKUP(B962,[4]C5_LMA_DIAG!$P$49:$AB$49,[4]C5_LMA_DIAG!$P$49:$AB$66))</f>
        <v>2130.7770960720818</v>
      </c>
      <c r="M962" s="16" cm="1">
        <f t="array" ref="M962">_xlfn.XLOOKUP(C962,[5]C6_LMA_DIAG!$P$46:$P$63,_xlfn.XLOOKUP(B962,[5]C6_LMA_DIAG!$P$46:$AB$46,[5]C6_LMA_DIAG!$P$46:$AB$63))</f>
        <v>2047.0614870424442</v>
      </c>
      <c r="N962" s="16" cm="1">
        <f t="array" ref="N962">_xlfn.XLOOKUP(C962,[6]C6_LMA_DIAG!$R$51:$R$68,_xlfn.XLOOKUP(B962,[6]C6_LMA_DIAG!$R$51:$AF$51,[6]C6_LMA_DIAG!$R$51:$AF$68))</f>
        <v>746.5</v>
      </c>
      <c r="O962" s="20">
        <v>501</v>
      </c>
      <c r="P962" s="16">
        <v>1003</v>
      </c>
    </row>
    <row r="963" spans="1:16" x14ac:dyDescent="0.3">
      <c r="A963" s="15" t="s">
        <v>69</v>
      </c>
      <c r="B963" s="15" t="s">
        <v>60</v>
      </c>
      <c r="C963" s="15" t="s">
        <v>34</v>
      </c>
      <c r="D963" s="15" t="s">
        <v>52</v>
      </c>
      <c r="E963" s="15" t="s">
        <v>40</v>
      </c>
      <c r="F963" s="15" t="s">
        <v>20</v>
      </c>
      <c r="G963" s="15" t="s">
        <v>9</v>
      </c>
      <c r="H963" s="16"/>
      <c r="I963" s="16"/>
      <c r="J963" s="16"/>
      <c r="K963" s="16"/>
      <c r="L963" s="16" cm="1">
        <f t="array" ref="L963">_xlfn.XLOOKUP(C963,[4]C5_LMA_DIAG!$P$49:$P$66,_xlfn.XLOOKUP(B963,[4]C5_LMA_DIAG!$P$49:$AB$49,[4]C5_LMA_DIAG!$P$49:$AB$66))</f>
        <v>1882.4873920806317</v>
      </c>
      <c r="M963" s="16" cm="1">
        <f t="array" ref="M963">_xlfn.XLOOKUP(C963,[5]C6_LMA_DIAG!$P$46:$P$63,_xlfn.XLOOKUP(B963,[5]C6_LMA_DIAG!$P$46:$AB$46,[5]C6_LMA_DIAG!$P$46:$AB$63))</f>
        <v>1992.7277173002851</v>
      </c>
      <c r="N963" s="16" cm="1">
        <f t="array" ref="N963">_xlfn.XLOOKUP(C963,[6]C6_LMA_DIAG!$R$51:$R$68,_xlfn.XLOOKUP(B963,[6]C6_LMA_DIAG!$R$51:$AF$51,[6]C6_LMA_DIAG!$R$51:$AF$68))</f>
        <v>1067.29</v>
      </c>
      <c r="O963" s="20">
        <v>977</v>
      </c>
      <c r="P963" s="16">
        <v>1258</v>
      </c>
    </row>
    <row r="964" spans="1:16" x14ac:dyDescent="0.3">
      <c r="A964" s="15" t="s">
        <v>69</v>
      </c>
      <c r="B964" s="15" t="s">
        <v>61</v>
      </c>
      <c r="C964" s="15" t="s">
        <v>34</v>
      </c>
      <c r="D964" s="15" t="s">
        <v>52</v>
      </c>
      <c r="E964" s="15" t="s">
        <v>40</v>
      </c>
      <c r="F964" s="15" t="s">
        <v>20</v>
      </c>
      <c r="G964" s="15" t="s">
        <v>9</v>
      </c>
      <c r="H964" s="16"/>
      <c r="I964" s="16"/>
      <c r="J964" s="16"/>
      <c r="K964" s="16"/>
      <c r="L964" s="16" cm="1">
        <f t="array" ref="L964">_xlfn.XLOOKUP(C964,[4]C5_LMA_DIAG!$P$49:$P$66,_xlfn.XLOOKUP(B964,[4]C5_LMA_DIAG!$P$49:$AB$49,[4]C5_LMA_DIAG!$P$49:$AB$66))</f>
        <v>377.70130728396367</v>
      </c>
      <c r="M964" s="16" cm="1">
        <f t="array" ref="M964">_xlfn.XLOOKUP(C964,[5]C6_LMA_DIAG!$P$46:$P$63,_xlfn.XLOOKUP(B964,[5]C6_LMA_DIAG!$P$46:$AB$46,[5]C6_LMA_DIAG!$P$46:$AB$63))</f>
        <v>374.46246714191062</v>
      </c>
      <c r="N964" s="16" cm="1">
        <f t="array" ref="N964">_xlfn.XLOOKUP(C964,[6]C6_LMA_DIAG!$R$51:$R$68,_xlfn.XLOOKUP(B964,[6]C6_LMA_DIAG!$R$51:$AF$51,[6]C6_LMA_DIAG!$R$51:$AF$68))</f>
        <v>212.86</v>
      </c>
      <c r="O964" s="20">
        <v>234</v>
      </c>
      <c r="P964" s="16">
        <v>232</v>
      </c>
    </row>
    <row r="965" spans="1:16" x14ac:dyDescent="0.3">
      <c r="A965" s="15" t="s">
        <v>69</v>
      </c>
      <c r="B965" s="15" t="s">
        <v>62</v>
      </c>
      <c r="C965" s="15" t="s">
        <v>34</v>
      </c>
      <c r="D965" s="15" t="s">
        <v>52</v>
      </c>
      <c r="E965" s="15" t="s">
        <v>40</v>
      </c>
      <c r="F965" s="15" t="s">
        <v>20</v>
      </c>
      <c r="G965" s="15" t="s">
        <v>9</v>
      </c>
      <c r="H965" s="16"/>
      <c r="I965" s="16"/>
      <c r="J965" s="16"/>
      <c r="K965" s="16"/>
      <c r="L965" s="16" cm="1">
        <f t="array" ref="L965">_xlfn.XLOOKUP(C965,[4]C5_LMA_DIAG!$P$49:$P$66,_xlfn.XLOOKUP(B965,[4]C5_LMA_DIAG!$P$49:$AB$49,[4]C5_LMA_DIAG!$P$49:$AB$66))</f>
        <v>651.57237471695726</v>
      </c>
      <c r="M965" s="16" cm="1">
        <f t="array" ref="M965">_xlfn.XLOOKUP(C965,[5]C6_LMA_DIAG!$P$46:$P$63,_xlfn.XLOOKUP(B965,[5]C6_LMA_DIAG!$P$46:$AB$46,[5]C6_LMA_DIAG!$P$46:$AB$63))</f>
        <v>647.59979611601011</v>
      </c>
      <c r="N965" s="16" cm="1">
        <f t="array" ref="N965">_xlfn.XLOOKUP(C965,[6]C6_LMA_DIAG!$R$51:$R$68,_xlfn.XLOOKUP(B965,[6]C6_LMA_DIAG!$R$51:$AF$51,[6]C6_LMA_DIAG!$R$51:$AF$68))</f>
        <v>352.27</v>
      </c>
      <c r="O965" s="20">
        <v>430</v>
      </c>
      <c r="P965" s="16">
        <v>461</v>
      </c>
    </row>
    <row r="966" spans="1:16" x14ac:dyDescent="0.3">
      <c r="A966" s="15" t="s">
        <v>69</v>
      </c>
      <c r="B966" s="15" t="s">
        <v>63</v>
      </c>
      <c r="C966" s="15" t="s">
        <v>34</v>
      </c>
      <c r="D966" s="15" t="s">
        <v>52</v>
      </c>
      <c r="E966" s="15" t="s">
        <v>40</v>
      </c>
      <c r="F966" s="15" t="s">
        <v>20</v>
      </c>
      <c r="G966" s="15" t="s">
        <v>9</v>
      </c>
      <c r="H966" s="16"/>
      <c r="I966" s="16"/>
      <c r="J966" s="16"/>
      <c r="K966" s="16"/>
      <c r="L966" s="16" cm="1">
        <f t="array" ref="L966">_xlfn.XLOOKUP(C966,[4]C5_LMA_DIAG!$P$49:$P$66,_xlfn.XLOOKUP(B966,[4]C5_LMA_DIAG!$P$49:$AB$49,[4]C5_LMA_DIAG!$P$49:$AB$66))</f>
        <v>780.98397800947077</v>
      </c>
      <c r="M966" s="16" cm="1">
        <f t="array" ref="M966">_xlfn.XLOOKUP(C966,[5]C6_LMA_DIAG!$P$46:$P$63,_xlfn.XLOOKUP(B966,[5]C6_LMA_DIAG!$P$46:$AB$46,[5]C6_LMA_DIAG!$P$46:$AB$63))</f>
        <v>866.40335534794997</v>
      </c>
      <c r="N966" s="16" cm="1">
        <f t="array" ref="N966">_xlfn.XLOOKUP(C966,[6]C6_LMA_DIAG!$R$51:$R$68,_xlfn.XLOOKUP(B966,[6]C6_LMA_DIAG!$R$51:$AF$51,[6]C6_LMA_DIAG!$R$51:$AF$68))</f>
        <v>719.52</v>
      </c>
      <c r="O966" s="20">
        <v>426</v>
      </c>
      <c r="P966" s="16">
        <v>464</v>
      </c>
    </row>
    <row r="967" spans="1:16" x14ac:dyDescent="0.3">
      <c r="A967" s="15" t="s">
        <v>69</v>
      </c>
      <c r="B967" s="15" t="s">
        <v>64</v>
      </c>
      <c r="C967" s="15" t="s">
        <v>34</v>
      </c>
      <c r="D967" s="15" t="s">
        <v>52</v>
      </c>
      <c r="E967" s="15" t="s">
        <v>40</v>
      </c>
      <c r="F967" s="15" t="s">
        <v>20</v>
      </c>
      <c r="G967" s="15" t="s">
        <v>9</v>
      </c>
      <c r="H967" s="16"/>
      <c r="I967" s="16"/>
      <c r="J967" s="16"/>
      <c r="K967" s="16"/>
      <c r="L967" s="16" cm="1">
        <f t="array" ref="L967">_xlfn.XLOOKUP(C967,[4]C5_LMA_DIAG!$P$49:$P$66,_xlfn.XLOOKUP(B967,[4]C5_LMA_DIAG!$P$49:$AB$49,[4]C5_LMA_DIAG!$P$49:$AB$66))</f>
        <v>464.97890020217045</v>
      </c>
      <c r="M967" s="16" cm="1">
        <f t="array" ref="M967">_xlfn.XLOOKUP(C967,[5]C6_LMA_DIAG!$P$46:$P$63,_xlfn.XLOOKUP(B967,[5]C6_LMA_DIAG!$P$46:$AB$46,[5]C6_LMA_DIAG!$P$46:$AB$63))</f>
        <v>442.01255925378462</v>
      </c>
      <c r="N967" s="16" cm="1">
        <f t="array" ref="N967">_xlfn.XLOOKUP(C967,[6]C6_LMA_DIAG!$R$51:$R$68,_xlfn.XLOOKUP(B967,[6]C6_LMA_DIAG!$R$51:$AF$51,[6]C6_LMA_DIAG!$R$51:$AF$68))</f>
        <v>226.35</v>
      </c>
      <c r="O967" s="20">
        <v>314</v>
      </c>
      <c r="P967" s="16">
        <v>244</v>
      </c>
    </row>
    <row r="968" spans="1:16" x14ac:dyDescent="0.3">
      <c r="A968" s="15" t="s">
        <v>69</v>
      </c>
      <c r="B968" s="15" t="s">
        <v>70</v>
      </c>
      <c r="C968" s="15" t="s">
        <v>34</v>
      </c>
      <c r="D968" s="15" t="s">
        <v>52</v>
      </c>
      <c r="E968" s="15" t="s">
        <v>40</v>
      </c>
      <c r="F968" s="15" t="s">
        <v>20</v>
      </c>
      <c r="G968" s="15" t="s">
        <v>9</v>
      </c>
      <c r="H968" s="16"/>
      <c r="I968" s="16"/>
      <c r="J968" s="16"/>
      <c r="K968" s="16"/>
      <c r="L968" s="16">
        <v>0</v>
      </c>
      <c r="M968" s="16">
        <v>0</v>
      </c>
      <c r="N968" s="16" cm="1">
        <f t="array" ref="N968">_xlfn.XLOOKUP(C968,[6]C6_LMA_DIAG!$R$51:$R$68,_xlfn.XLOOKUP(B968,[6]C6_LMA_DIAG!$R$51:$AF$51,[6]C6_LMA_DIAG!$R$51:$AF$68))</f>
        <v>1854.27</v>
      </c>
      <c r="O968" s="20">
        <v>3297</v>
      </c>
      <c r="P968" s="16">
        <v>6009</v>
      </c>
    </row>
    <row r="969" spans="1:16" x14ac:dyDescent="0.3">
      <c r="A969" s="15"/>
      <c r="B969" s="18" t="s">
        <v>71</v>
      </c>
      <c r="C969" s="15" t="s">
        <v>34</v>
      </c>
      <c r="D969" s="15" t="s">
        <v>52</v>
      </c>
      <c r="E969" s="15" t="s">
        <v>40</v>
      </c>
      <c r="F969" s="15" t="s">
        <v>20</v>
      </c>
      <c r="G969" s="15" t="s">
        <v>9</v>
      </c>
      <c r="H969" s="16"/>
      <c r="I969" s="16"/>
      <c r="J969" s="16"/>
      <c r="K969" s="16"/>
      <c r="L969" s="16">
        <v>0</v>
      </c>
      <c r="M969" s="16">
        <v>0</v>
      </c>
      <c r="N969" s="16" cm="1">
        <f t="array" ref="N969">_xlfn.XLOOKUP(C969,[6]C6_LMA_DIAG!$R$51:$R$68,_xlfn.XLOOKUP(B969,[6]C6_LMA_DIAG!$R$51:$AF$51,[6]C6_LMA_DIAG!$R$51:$AF$68))</f>
        <v>281.81</v>
      </c>
      <c r="O969" s="20">
        <v>249</v>
      </c>
      <c r="P969" s="16">
        <v>0</v>
      </c>
    </row>
    <row r="970" spans="1:16" x14ac:dyDescent="0.3">
      <c r="A970" s="15" t="s">
        <v>69</v>
      </c>
      <c r="B970" s="15" t="s">
        <v>65</v>
      </c>
      <c r="C970" s="15" t="s">
        <v>34</v>
      </c>
      <c r="D970" s="15" t="s">
        <v>52</v>
      </c>
      <c r="E970" s="15" t="s">
        <v>40</v>
      </c>
      <c r="F970" s="15" t="s">
        <v>20</v>
      </c>
      <c r="G970" s="15" t="s">
        <v>9</v>
      </c>
      <c r="H970" s="16"/>
      <c r="I970" s="16"/>
      <c r="J970" s="16"/>
      <c r="K970" s="16"/>
      <c r="L970" s="16" cm="1">
        <f t="array" ref="L970">_xlfn.XLOOKUP(C970,[4]C5_LMA_DIAG!$P$49:$P$66,_xlfn.XLOOKUP(B970,[4]C5_LMA_DIAG!$P$49:$AB$49,[4]C5_LMA_DIAG!$P$49:$AB$66))</f>
        <v>2419.696024353042</v>
      </c>
      <c r="M970" s="16" cm="1">
        <f t="array" ref="M970">_xlfn.XLOOKUP(C970,[5]C6_LMA_DIAG!$P$46:$P$63,_xlfn.XLOOKUP(B970,[5]C6_LMA_DIAG!$P$46:$AB$46,[5]C6_LMA_DIAG!$P$46:$AB$63))</f>
        <v>2638.8590331529931</v>
      </c>
      <c r="N970" s="16" cm="1">
        <f t="array" ref="N970">_xlfn.XLOOKUP(C970,[6]C6_LMA_DIAG!$R$51:$R$68,_xlfn.XLOOKUP(B970,[6]C6_LMA_DIAG!$R$51:$AF$51,[6]C6_LMA_DIAG!$R$51:$AF$68))</f>
        <v>1499</v>
      </c>
      <c r="O970" s="20">
        <v>1804</v>
      </c>
      <c r="P970" s="16">
        <v>1720</v>
      </c>
    </row>
    <row r="971" spans="1:16" x14ac:dyDescent="0.3">
      <c r="A971" s="15" t="s">
        <v>69</v>
      </c>
      <c r="B971" s="15" t="s">
        <v>19</v>
      </c>
      <c r="C971" s="15" t="s">
        <v>34</v>
      </c>
      <c r="D971" s="15" t="s">
        <v>52</v>
      </c>
      <c r="E971" s="15" t="s">
        <v>40</v>
      </c>
      <c r="F971" s="15" t="s">
        <v>20</v>
      </c>
      <c r="G971" s="15" t="s">
        <v>9</v>
      </c>
      <c r="H971" s="16"/>
      <c r="I971" s="16"/>
      <c r="J971" s="16"/>
      <c r="K971" s="16"/>
      <c r="L971" s="16" cm="1">
        <f t="array" ref="L971">_xlfn.XLOOKUP(C971,[4]C5_LMA_DIAG!$P$49:$P$66,_xlfn.XLOOKUP(B971,[4]C5_LMA_DIAG!$P$49:$AB$49,[4]C5_LMA_DIAG!$P$49:$AB$66))</f>
        <v>0</v>
      </c>
      <c r="M971" s="16" cm="1">
        <f t="array" ref="M971">_xlfn.XLOOKUP(C971,[5]C6_LMA_DIAG!$P$46:$P$63,_xlfn.XLOOKUP(B971,[5]C6_LMA_DIAG!$P$46:$AB$46,[5]C6_LMA_DIAG!$P$46:$AB$63))</f>
        <v>26.432644739428984</v>
      </c>
      <c r="N971" s="16" cm="1">
        <f t="array" ref="N971">_xlfn.XLOOKUP(C971,[6]C6_LMA_DIAG!$R$51:$R$68,_xlfn.XLOOKUP(B971,[6]C6_LMA_DIAG!$R$51:$AF$51,[6]C6_LMA_DIAG!$R$51:$AF$68))</f>
        <v>1.5</v>
      </c>
      <c r="O971" s="20">
        <v>0</v>
      </c>
      <c r="P971" s="16">
        <v>4</v>
      </c>
    </row>
    <row r="972" spans="1:16" x14ac:dyDescent="0.3">
      <c r="A972" s="26" t="s">
        <v>69</v>
      </c>
      <c r="B972" s="26" t="s">
        <v>55</v>
      </c>
      <c r="C972" s="26" t="s">
        <v>35</v>
      </c>
      <c r="D972" s="26" t="s">
        <v>52</v>
      </c>
      <c r="E972" s="26" t="s">
        <v>40</v>
      </c>
      <c r="F972" s="26" t="s">
        <v>20</v>
      </c>
      <c r="G972" s="26" t="s">
        <v>9</v>
      </c>
      <c r="H972" s="27"/>
      <c r="I972" s="27"/>
      <c r="J972" s="27"/>
      <c r="K972" s="27"/>
      <c r="L972" s="16" cm="1">
        <f t="array" ref="L972">_xlfn.XLOOKUP(C972,[4]C5_LMA_DIAG!$P$49:$P$66,_xlfn.XLOOKUP(B972,[4]C5_LMA_DIAG!$P$49:$AB$49,[4]C5_LMA_DIAG!$P$49:$AB$66))</f>
        <v>9502.7241254909586</v>
      </c>
      <c r="M972" s="16" cm="1">
        <f t="array" ref="M972">_xlfn.XLOOKUP(C972,[5]C6_LMA_DIAG!$P$46:$P$63,_xlfn.XLOOKUP(B972,[5]C6_LMA_DIAG!$P$46:$AB$46,[5]C6_LMA_DIAG!$P$46:$AB$63))</f>
        <v>10640.607987883466</v>
      </c>
      <c r="N972" s="16" cm="1">
        <f t="array" ref="N972">_xlfn.XLOOKUP(C972,[6]C6_LMA_DIAG!$R$51:$R$68,_xlfn.XLOOKUP(B972,[6]C6_LMA_DIAG!$R$51:$AF$51,[6]C6_LMA_DIAG!$R$51:$AF$68))</f>
        <v>10242.68</v>
      </c>
      <c r="O972" s="20">
        <v>16780</v>
      </c>
      <c r="P972" s="27">
        <v>16125</v>
      </c>
    </row>
    <row r="973" spans="1:16" x14ac:dyDescent="0.3">
      <c r="A973" s="26" t="s">
        <v>69</v>
      </c>
      <c r="B973" s="26" t="s">
        <v>56</v>
      </c>
      <c r="C973" s="26" t="s">
        <v>35</v>
      </c>
      <c r="D973" s="26" t="s">
        <v>52</v>
      </c>
      <c r="E973" s="26" t="s">
        <v>40</v>
      </c>
      <c r="F973" s="26" t="s">
        <v>20</v>
      </c>
      <c r="G973" s="26" t="s">
        <v>9</v>
      </c>
      <c r="H973" s="27"/>
      <c r="I973" s="27"/>
      <c r="J973" s="27"/>
      <c r="K973" s="27"/>
      <c r="L973" s="16" cm="1">
        <f t="array" ref="L973">_xlfn.XLOOKUP(C973,[4]C5_LMA_DIAG!$P$49:$P$66,_xlfn.XLOOKUP(B973,[4]C5_LMA_DIAG!$P$49:$AB$49,[4]C5_LMA_DIAG!$P$49:$AB$66))</f>
        <v>9886.4445771141091</v>
      </c>
      <c r="M973" s="16" cm="1">
        <f t="array" ref="M973">_xlfn.XLOOKUP(C973,[5]C6_LMA_DIAG!$P$46:$P$63,_xlfn.XLOOKUP(B973,[5]C6_LMA_DIAG!$P$46:$AB$46,[5]C6_LMA_DIAG!$P$46:$AB$63))</f>
        <v>10349.848895749748</v>
      </c>
      <c r="N973" s="16" cm="1">
        <f t="array" ref="N973">_xlfn.XLOOKUP(C973,[6]C6_LMA_DIAG!$R$51:$R$68,_xlfn.XLOOKUP(B973,[6]C6_LMA_DIAG!$R$51:$AF$51,[6]C6_LMA_DIAG!$R$51:$AF$68))</f>
        <v>6844.44</v>
      </c>
      <c r="O973" s="20">
        <v>8693</v>
      </c>
      <c r="P973" s="27">
        <v>8810</v>
      </c>
    </row>
    <row r="974" spans="1:16" x14ac:dyDescent="0.3">
      <c r="A974" s="26" t="s">
        <v>69</v>
      </c>
      <c r="B974" s="26" t="s">
        <v>57</v>
      </c>
      <c r="C974" s="26" t="s">
        <v>35</v>
      </c>
      <c r="D974" s="26" t="s">
        <v>52</v>
      </c>
      <c r="E974" s="26" t="s">
        <v>40</v>
      </c>
      <c r="F974" s="26" t="s">
        <v>20</v>
      </c>
      <c r="G974" s="26" t="s">
        <v>9</v>
      </c>
      <c r="H974" s="27"/>
      <c r="I974" s="27"/>
      <c r="J974" s="27"/>
      <c r="K974" s="27"/>
      <c r="L974" s="16" cm="1">
        <f t="array" ref="L974">_xlfn.XLOOKUP(C974,[4]C5_LMA_DIAG!$P$49:$P$66,_xlfn.XLOOKUP(B974,[4]C5_LMA_DIAG!$P$49:$AB$49,[4]C5_LMA_DIAG!$P$49:$AB$66))</f>
        <v>15341.294134502032</v>
      </c>
      <c r="M974" s="16" cm="1">
        <f t="array" ref="M974">_xlfn.XLOOKUP(C974,[5]C6_LMA_DIAG!$P$46:$P$63,_xlfn.XLOOKUP(B974,[5]C6_LMA_DIAG!$P$46:$AB$46,[5]C6_LMA_DIAG!$P$46:$AB$63))</f>
        <v>15176.743521222141</v>
      </c>
      <c r="N974" s="16" cm="1">
        <f t="array" ref="N974">_xlfn.XLOOKUP(C974,[6]C6_LMA_DIAG!$R$51:$R$68,_xlfn.XLOOKUP(B974,[6]C6_LMA_DIAG!$R$51:$AF$51,[6]C6_LMA_DIAG!$R$51:$AF$68))</f>
        <v>3576.62</v>
      </c>
      <c r="O974" s="20">
        <v>3344</v>
      </c>
      <c r="P974" s="27">
        <v>11333</v>
      </c>
    </row>
    <row r="975" spans="1:16" x14ac:dyDescent="0.3">
      <c r="A975" s="26" t="s">
        <v>69</v>
      </c>
      <c r="B975" s="26" t="s">
        <v>58</v>
      </c>
      <c r="C975" s="26" t="s">
        <v>35</v>
      </c>
      <c r="D975" s="26" t="s">
        <v>52</v>
      </c>
      <c r="E975" s="26" t="s">
        <v>40</v>
      </c>
      <c r="F975" s="26" t="s">
        <v>20</v>
      </c>
      <c r="G975" s="26" t="s">
        <v>9</v>
      </c>
      <c r="H975" s="27"/>
      <c r="I975" s="27"/>
      <c r="J975" s="27"/>
      <c r="K975" s="27"/>
      <c r="L975" s="16" cm="1">
        <f t="array" ref="L975">_xlfn.XLOOKUP(C975,[4]C5_LMA_DIAG!$P$49:$P$66,_xlfn.XLOOKUP(B975,[4]C5_LMA_DIAG!$P$49:$AB$49,[4]C5_LMA_DIAG!$P$49:$AB$66))</f>
        <v>4765.6575305510478</v>
      </c>
      <c r="M975" s="16" cm="1">
        <f t="array" ref="M975">_xlfn.XLOOKUP(C975,[5]C6_LMA_DIAG!$P$46:$P$63,_xlfn.XLOOKUP(B975,[5]C6_LMA_DIAG!$P$46:$AB$46,[5]C6_LMA_DIAG!$P$46:$AB$63))</f>
        <v>5289.4659084123996</v>
      </c>
      <c r="N975" s="16" cm="1">
        <f t="array" ref="N975">_xlfn.XLOOKUP(C975,[6]C6_LMA_DIAG!$R$51:$R$68,_xlfn.XLOOKUP(B975,[6]C6_LMA_DIAG!$R$51:$AF$51,[6]C6_LMA_DIAG!$R$51:$AF$68))</f>
        <v>3686.05</v>
      </c>
      <c r="O975" s="20">
        <v>4218</v>
      </c>
      <c r="P975" s="27">
        <v>4634</v>
      </c>
    </row>
    <row r="976" spans="1:16" x14ac:dyDescent="0.3">
      <c r="A976" s="26" t="s">
        <v>69</v>
      </c>
      <c r="B976" s="26" t="s">
        <v>59</v>
      </c>
      <c r="C976" s="26" t="s">
        <v>35</v>
      </c>
      <c r="D976" s="26" t="s">
        <v>52</v>
      </c>
      <c r="E976" s="26" t="s">
        <v>40</v>
      </c>
      <c r="F976" s="26" t="s">
        <v>20</v>
      </c>
      <c r="G976" s="26" t="s">
        <v>9</v>
      </c>
      <c r="H976" s="27"/>
      <c r="I976" s="27"/>
      <c r="J976" s="27"/>
      <c r="K976" s="27"/>
      <c r="L976" s="16" cm="1">
        <f t="array" ref="L976">_xlfn.XLOOKUP(C976,[4]C5_LMA_DIAG!$P$49:$P$66,_xlfn.XLOOKUP(B976,[4]C5_LMA_DIAG!$P$49:$AB$49,[4]C5_LMA_DIAG!$P$49:$AB$66))</f>
        <v>6135.0128677160155</v>
      </c>
      <c r="M976" s="16" cm="1">
        <f t="array" ref="M976">_xlfn.XLOOKUP(C976,[5]C6_LMA_DIAG!$P$46:$P$63,_xlfn.XLOOKUP(B976,[5]C6_LMA_DIAG!$P$46:$AB$46,[5]C6_LMA_DIAG!$P$46:$AB$63))</f>
        <v>5531.7651518571656</v>
      </c>
      <c r="N976" s="16" cm="1">
        <f t="array" ref="N976">_xlfn.XLOOKUP(C976,[6]C6_LMA_DIAG!$R$51:$R$68,_xlfn.XLOOKUP(B976,[6]C6_LMA_DIAG!$R$51:$AF$51,[6]C6_LMA_DIAG!$R$51:$AF$68))</f>
        <v>2149.5700000000002</v>
      </c>
      <c r="O976" s="20">
        <v>1819</v>
      </c>
      <c r="P976" s="27">
        <v>3028</v>
      </c>
    </row>
    <row r="977" spans="1:16" x14ac:dyDescent="0.3">
      <c r="A977" s="26" t="s">
        <v>69</v>
      </c>
      <c r="B977" s="26" t="s">
        <v>60</v>
      </c>
      <c r="C977" s="26" t="s">
        <v>35</v>
      </c>
      <c r="D977" s="26" t="s">
        <v>52</v>
      </c>
      <c r="E977" s="26" t="s">
        <v>40</v>
      </c>
      <c r="F977" s="26" t="s">
        <v>20</v>
      </c>
      <c r="G977" s="26" t="s">
        <v>9</v>
      </c>
      <c r="H977" s="27"/>
      <c r="I977" s="27"/>
      <c r="J977" s="27"/>
      <c r="K977" s="27"/>
      <c r="L977" s="16" cm="1">
        <f t="array" ref="L977">_xlfn.XLOOKUP(C977,[4]C5_LMA_DIAG!$P$49:$P$66,_xlfn.XLOOKUP(B977,[4]C5_LMA_DIAG!$P$49:$AB$49,[4]C5_LMA_DIAG!$P$49:$AB$66))</f>
        <v>5168.9402012765549</v>
      </c>
      <c r="M977" s="16" cm="1">
        <f t="array" ref="M977">_xlfn.XLOOKUP(C977,[5]C6_LMA_DIAG!$P$46:$P$63,_xlfn.XLOOKUP(B977,[5]C6_LMA_DIAG!$P$46:$AB$46,[5]C6_LMA_DIAG!$P$46:$AB$63))</f>
        <v>5533.2336321204666</v>
      </c>
      <c r="N977" s="16" cm="1">
        <f t="array" ref="N977">_xlfn.XLOOKUP(C977,[6]C6_LMA_DIAG!$R$51:$R$68,_xlfn.XLOOKUP(B977,[6]C6_LMA_DIAG!$R$51:$AF$51,[6]C6_LMA_DIAG!$R$51:$AF$68))</f>
        <v>2629.25</v>
      </c>
      <c r="O977" s="20">
        <v>3286</v>
      </c>
      <c r="P977" s="27">
        <v>4151</v>
      </c>
    </row>
    <row r="978" spans="1:16" x14ac:dyDescent="0.3">
      <c r="A978" s="26" t="s">
        <v>69</v>
      </c>
      <c r="B978" s="26" t="s">
        <v>61</v>
      </c>
      <c r="C978" s="26" t="s">
        <v>35</v>
      </c>
      <c r="D978" s="26" t="s">
        <v>52</v>
      </c>
      <c r="E978" s="26" t="s">
        <v>40</v>
      </c>
      <c r="F978" s="26" t="s">
        <v>20</v>
      </c>
      <c r="G978" s="26" t="s">
        <v>9</v>
      </c>
      <c r="H978" s="27"/>
      <c r="I978" s="27"/>
      <c r="J978" s="27"/>
      <c r="K978" s="27"/>
      <c r="L978" s="16" cm="1">
        <f t="array" ref="L978">_xlfn.XLOOKUP(C978,[4]C5_LMA_DIAG!$P$49:$P$66,_xlfn.XLOOKUP(B978,[4]C5_LMA_DIAG!$P$49:$AB$49,[4]C5_LMA_DIAG!$P$49:$AB$66))</f>
        <v>1428.0419944720379</v>
      </c>
      <c r="M978" s="16" cm="1">
        <f t="array" ref="M978">_xlfn.XLOOKUP(C978,[5]C6_LMA_DIAG!$P$46:$P$63,_xlfn.XLOOKUP(B978,[5]C6_LMA_DIAG!$P$46:$AB$46,[5]C6_LMA_DIAG!$P$46:$AB$63))</f>
        <v>1337.7855198677667</v>
      </c>
      <c r="N978" s="16" cm="1">
        <f t="array" ref="N978">_xlfn.XLOOKUP(C978,[6]C6_LMA_DIAG!$R$51:$R$68,_xlfn.XLOOKUP(B978,[6]C6_LMA_DIAG!$R$51:$AF$51,[6]C6_LMA_DIAG!$R$51:$AF$68))</f>
        <v>698.53</v>
      </c>
      <c r="O978" s="20">
        <v>768</v>
      </c>
      <c r="P978" s="27">
        <v>797</v>
      </c>
    </row>
    <row r="979" spans="1:16" x14ac:dyDescent="0.3">
      <c r="A979" s="26" t="s">
        <v>69</v>
      </c>
      <c r="B979" s="26" t="s">
        <v>62</v>
      </c>
      <c r="C979" s="26" t="s">
        <v>35</v>
      </c>
      <c r="D979" s="26" t="s">
        <v>52</v>
      </c>
      <c r="E979" s="26" t="s">
        <v>40</v>
      </c>
      <c r="F979" s="26" t="s">
        <v>20</v>
      </c>
      <c r="G979" s="26" t="s">
        <v>9</v>
      </c>
      <c r="H979" s="27"/>
      <c r="I979" s="27"/>
      <c r="J979" s="27"/>
      <c r="K979" s="27"/>
      <c r="L979" s="16" cm="1">
        <f t="array" ref="L979">_xlfn.XLOOKUP(C979,[4]C5_LMA_DIAG!$P$49:$P$66,_xlfn.XLOOKUP(B979,[4]C5_LMA_DIAG!$P$49:$AB$49,[4]C5_LMA_DIAG!$P$49:$AB$66))</f>
        <v>1978.7937015076186</v>
      </c>
      <c r="M979" s="16" cm="1">
        <f t="array" ref="M979">_xlfn.XLOOKUP(C979,[5]C6_LMA_DIAG!$P$46:$P$63,_xlfn.XLOOKUP(B979,[5]C6_LMA_DIAG!$P$46:$AB$46,[5]C6_LMA_DIAG!$P$46:$AB$63))</f>
        <v>1941.3309080847284</v>
      </c>
      <c r="N979" s="16" cm="1">
        <f t="array" ref="N979">_xlfn.XLOOKUP(C979,[6]C6_LMA_DIAG!$R$51:$R$68,_xlfn.XLOOKUP(B979,[6]C6_LMA_DIAG!$R$51:$AF$51,[6]C6_LMA_DIAG!$R$51:$AF$68))</f>
        <v>1107.76</v>
      </c>
      <c r="O979" s="20">
        <v>1192</v>
      </c>
      <c r="P979" s="27">
        <v>1462</v>
      </c>
    </row>
    <row r="980" spans="1:16" x14ac:dyDescent="0.3">
      <c r="A980" s="26" t="s">
        <v>69</v>
      </c>
      <c r="B980" s="26" t="s">
        <v>63</v>
      </c>
      <c r="C980" s="26" t="s">
        <v>35</v>
      </c>
      <c r="D980" s="26" t="s">
        <v>52</v>
      </c>
      <c r="E980" s="26" t="s">
        <v>40</v>
      </c>
      <c r="F980" s="26" t="s">
        <v>20</v>
      </c>
      <c r="G980" s="26" t="s">
        <v>9</v>
      </c>
      <c r="H980" s="27"/>
      <c r="I980" s="27"/>
      <c r="J980" s="27"/>
      <c r="K980" s="27"/>
      <c r="L980" s="16" cm="1">
        <f t="array" ref="L980">_xlfn.XLOOKUP(C980,[4]C5_LMA_DIAG!$P$49:$P$66,_xlfn.XLOOKUP(B980,[4]C5_LMA_DIAG!$P$49:$AB$49,[4]C5_LMA_DIAG!$P$49:$AB$66))</f>
        <v>1566.4823142733314</v>
      </c>
      <c r="M980" s="16" cm="1">
        <f t="array" ref="M980">_xlfn.XLOOKUP(C980,[5]C6_LMA_DIAG!$P$46:$P$63,_xlfn.XLOOKUP(B980,[5]C6_LMA_DIAG!$P$46:$AB$46,[5]C6_LMA_DIAG!$P$46:$AB$63))</f>
        <v>1515.4716317272616</v>
      </c>
      <c r="N980" s="16" cm="1">
        <f t="array" ref="N980">_xlfn.XLOOKUP(C980,[6]C6_LMA_DIAG!$R$51:$R$68,_xlfn.XLOOKUP(B980,[6]C6_LMA_DIAG!$R$51:$AF$51,[6]C6_LMA_DIAG!$R$51:$AF$68))</f>
        <v>1519.99</v>
      </c>
      <c r="O980" s="20">
        <v>1252</v>
      </c>
      <c r="P980" s="27">
        <v>1300</v>
      </c>
    </row>
    <row r="981" spans="1:16" x14ac:dyDescent="0.3">
      <c r="A981" s="26" t="s">
        <v>69</v>
      </c>
      <c r="B981" s="26" t="s">
        <v>64</v>
      </c>
      <c r="C981" s="26" t="s">
        <v>35</v>
      </c>
      <c r="D981" s="26" t="s">
        <v>52</v>
      </c>
      <c r="E981" s="26" t="s">
        <v>40</v>
      </c>
      <c r="F981" s="26" t="s">
        <v>20</v>
      </c>
      <c r="G981" s="26" t="s">
        <v>9</v>
      </c>
      <c r="H981" s="27"/>
      <c r="I981" s="27"/>
      <c r="J981" s="27"/>
      <c r="K981" s="27"/>
      <c r="L981" s="16" cm="1">
        <f t="array" ref="L981">_xlfn.XLOOKUP(C981,[4]C5_LMA_DIAG!$P$49:$P$66,_xlfn.XLOOKUP(B981,[4]C5_LMA_DIAG!$P$49:$AB$49,[4]C5_LMA_DIAG!$P$49:$AB$66))</f>
        <v>1175.2379322261977</v>
      </c>
      <c r="M981" s="16" cm="1">
        <f t="array" ref="M981">_xlfn.XLOOKUP(C981,[5]C6_LMA_DIAG!$P$46:$P$63,_xlfn.XLOOKUP(B981,[5]C6_LMA_DIAG!$P$46:$AB$46,[5]C6_LMA_DIAG!$P$46:$AB$63))</f>
        <v>1262.8930264393846</v>
      </c>
      <c r="N981" s="16" cm="1">
        <f t="array" ref="N981">_xlfn.XLOOKUP(C981,[6]C6_LMA_DIAG!$R$51:$R$68,_xlfn.XLOOKUP(B981,[6]C6_LMA_DIAG!$R$51:$AF$51,[6]C6_LMA_DIAG!$R$51:$AF$68))</f>
        <v>953.37</v>
      </c>
      <c r="O981" s="20">
        <v>1085</v>
      </c>
      <c r="P981" s="27">
        <v>1060</v>
      </c>
    </row>
    <row r="982" spans="1:16" x14ac:dyDescent="0.3">
      <c r="A982" s="26" t="s">
        <v>69</v>
      </c>
      <c r="B982" s="26" t="s">
        <v>70</v>
      </c>
      <c r="C982" s="26" t="s">
        <v>35</v>
      </c>
      <c r="D982" s="26" t="s">
        <v>52</v>
      </c>
      <c r="E982" s="26" t="s">
        <v>40</v>
      </c>
      <c r="F982" s="26" t="s">
        <v>20</v>
      </c>
      <c r="G982" s="26" t="s">
        <v>9</v>
      </c>
      <c r="H982" s="27"/>
      <c r="I982" s="27"/>
      <c r="J982" s="27"/>
      <c r="K982" s="27"/>
      <c r="L982" s="16">
        <v>0</v>
      </c>
      <c r="M982" s="16">
        <v>0</v>
      </c>
      <c r="N982" s="16" cm="1">
        <f t="array" ref="N982">_xlfn.XLOOKUP(C982,[6]C6_LMA_DIAG!$R$51:$R$68,_xlfn.XLOOKUP(B982,[6]C6_LMA_DIAG!$R$51:$AF$51,[6]C6_LMA_DIAG!$R$51:$AF$68))</f>
        <v>6112.93</v>
      </c>
      <c r="O982" s="20">
        <v>11322</v>
      </c>
      <c r="P982" s="27">
        <v>12807</v>
      </c>
    </row>
    <row r="983" spans="1:16" x14ac:dyDescent="0.3">
      <c r="A983" s="26"/>
      <c r="B983" s="18" t="s">
        <v>71</v>
      </c>
      <c r="C983" s="26" t="s">
        <v>35</v>
      </c>
      <c r="D983" s="26" t="s">
        <v>52</v>
      </c>
      <c r="E983" s="26" t="s">
        <v>40</v>
      </c>
      <c r="F983" s="26" t="s">
        <v>20</v>
      </c>
      <c r="G983" s="26" t="s">
        <v>9</v>
      </c>
      <c r="H983" s="27"/>
      <c r="I983" s="27"/>
      <c r="J983" s="27"/>
      <c r="K983" s="27"/>
      <c r="L983" s="16">
        <v>0</v>
      </c>
      <c r="M983" s="16">
        <v>0</v>
      </c>
      <c r="N983" s="16" cm="1">
        <f t="array" ref="N983">_xlfn.XLOOKUP(C983,[6]C6_LMA_DIAG!$R$51:$R$68,_xlfn.XLOOKUP(B983,[6]C6_LMA_DIAG!$R$51:$AF$51,[6]C6_LMA_DIAG!$R$51:$AF$68))</f>
        <v>938.38</v>
      </c>
      <c r="O983" s="20">
        <v>1071</v>
      </c>
      <c r="P983" s="27">
        <v>0</v>
      </c>
    </row>
    <row r="984" spans="1:16" x14ac:dyDescent="0.3">
      <c r="A984" s="26" t="s">
        <v>69</v>
      </c>
      <c r="B984" s="26" t="s">
        <v>65</v>
      </c>
      <c r="C984" s="26" t="s">
        <v>35</v>
      </c>
      <c r="D984" s="26" t="s">
        <v>52</v>
      </c>
      <c r="E984" s="26" t="s">
        <v>40</v>
      </c>
      <c r="F984" s="26" t="s">
        <v>20</v>
      </c>
      <c r="G984" s="26" t="s">
        <v>9</v>
      </c>
      <c r="H984" s="27"/>
      <c r="I984" s="27"/>
      <c r="J984" s="27"/>
      <c r="K984" s="27"/>
      <c r="L984" s="16" cm="1">
        <f t="array" ref="L984">_xlfn.XLOOKUP(C984,[4]C5_LMA_DIAG!$P$49:$P$66,_xlfn.XLOOKUP(B984,[4]C5_LMA_DIAG!$P$49:$AB$49,[4]C5_LMA_DIAG!$P$49:$AB$66))</f>
        <v>6897.9394127079258</v>
      </c>
      <c r="M984" s="16" cm="1">
        <f t="array" ref="M984">_xlfn.XLOOKUP(C984,[5]C6_LMA_DIAG!$P$46:$P$63,_xlfn.XLOOKUP(B984,[5]C6_LMA_DIAG!$P$46:$AB$46,[5]C6_LMA_DIAG!$P$46:$AB$63))</f>
        <v>7668.4039349610075</v>
      </c>
      <c r="N984" s="16" cm="1">
        <f t="array" ref="N984">_xlfn.XLOOKUP(C984,[6]C6_LMA_DIAG!$R$51:$R$68,_xlfn.XLOOKUP(B984,[6]C6_LMA_DIAG!$R$51:$AF$51,[6]C6_LMA_DIAG!$R$51:$AF$68))</f>
        <v>4488.01</v>
      </c>
      <c r="O984" s="20">
        <v>6357</v>
      </c>
      <c r="P984" s="27">
        <v>5658</v>
      </c>
    </row>
    <row r="985" spans="1:16" x14ac:dyDescent="0.3">
      <c r="A985" s="26" t="s">
        <v>69</v>
      </c>
      <c r="B985" s="26" t="s">
        <v>19</v>
      </c>
      <c r="C985" s="26" t="s">
        <v>35</v>
      </c>
      <c r="D985" s="26" t="s">
        <v>52</v>
      </c>
      <c r="E985" s="26" t="s">
        <v>40</v>
      </c>
      <c r="F985" s="26" t="s">
        <v>20</v>
      </c>
      <c r="G985" s="26" t="s">
        <v>9</v>
      </c>
      <c r="H985" s="27"/>
      <c r="I985" s="27"/>
      <c r="J985" s="27"/>
      <c r="K985" s="27"/>
      <c r="L985" s="16" cm="1">
        <f t="array" ref="L985">_xlfn.XLOOKUP(C985,[4]C5_LMA_DIAG!$P$49:$P$66,_xlfn.XLOOKUP(B985,[4]C5_LMA_DIAG!$P$49:$AB$49,[4]C5_LMA_DIAG!$P$49:$AB$66))</f>
        <v>3.0095721695933362</v>
      </c>
      <c r="M985" s="16" cm="1">
        <f t="array" ref="M985">_xlfn.XLOOKUP(C985,[5]C6_LMA_DIAG!$P$46:$P$63,_xlfn.XLOOKUP(B985,[5]C6_LMA_DIAG!$P$46:$AB$46,[5]C6_LMA_DIAG!$P$46:$AB$63))</f>
        <v>49.928328952254745</v>
      </c>
      <c r="N985" s="16" cm="1">
        <f t="array" ref="N985">_xlfn.XLOOKUP(C985,[6]C6_LMA_DIAG!$R$51:$R$68,_xlfn.XLOOKUP(B985,[6]C6_LMA_DIAG!$R$51:$AF$51,[6]C6_LMA_DIAG!$R$51:$AF$68))</f>
        <v>26.98</v>
      </c>
      <c r="O985" s="20">
        <v>2</v>
      </c>
      <c r="P985" s="27">
        <v>17</v>
      </c>
    </row>
    <row r="986" spans="1:16" x14ac:dyDescent="0.3">
      <c r="A986" s="15" t="s">
        <v>69</v>
      </c>
      <c r="B986" s="15" t="s">
        <v>55</v>
      </c>
      <c r="C986" s="15" t="s">
        <v>36</v>
      </c>
      <c r="D986" s="15" t="s">
        <v>52</v>
      </c>
      <c r="E986" s="15" t="s">
        <v>40</v>
      </c>
      <c r="F986" s="15" t="s">
        <v>20</v>
      </c>
      <c r="G986" s="15" t="s">
        <v>9</v>
      </c>
      <c r="H986" s="16"/>
      <c r="I986" s="16"/>
      <c r="J986" s="16"/>
      <c r="K986" s="16"/>
      <c r="L986" s="16" cm="1">
        <f t="array" ref="L986">_xlfn.XLOOKUP(C986,[4]C5_LMA_DIAG!$P$49:$P$66,_xlfn.XLOOKUP(B986,[4]C5_LMA_DIAG!$P$49:$AB$49,[4]C5_LMA_DIAG!$P$49:$AB$66))</f>
        <v>1131.5991357670944</v>
      </c>
      <c r="M986" s="16" cm="1">
        <f t="array" ref="M986">_xlfn.XLOOKUP(C986,[5]C6_LMA_DIAG!$P$46:$P$63,_xlfn.XLOOKUP(B986,[5]C6_LMA_DIAG!$P$46:$AB$46,[5]C6_LMA_DIAG!$P$46:$AB$63))</f>
        <v>1139.5406843220496</v>
      </c>
      <c r="N986" s="16" cm="1">
        <f t="array" ref="N986">_xlfn.XLOOKUP(C986,[6]C6_LMA_DIAG!$R$51:$R$68,_xlfn.XLOOKUP(B986,[6]C6_LMA_DIAG!$R$51:$AF$51,[6]C6_LMA_DIAG!$R$51:$AF$68))</f>
        <v>1137.74</v>
      </c>
      <c r="O986" s="20">
        <v>1758</v>
      </c>
      <c r="P986" s="16">
        <v>1701</v>
      </c>
    </row>
    <row r="987" spans="1:16" x14ac:dyDescent="0.3">
      <c r="A987" s="15" t="s">
        <v>69</v>
      </c>
      <c r="B987" s="15" t="s">
        <v>56</v>
      </c>
      <c r="C987" s="15" t="s">
        <v>36</v>
      </c>
      <c r="D987" s="15" t="s">
        <v>52</v>
      </c>
      <c r="E987" s="15" t="s">
        <v>40</v>
      </c>
      <c r="F987" s="15" t="s">
        <v>20</v>
      </c>
      <c r="G987" s="15" t="s">
        <v>9</v>
      </c>
      <c r="H987" s="16"/>
      <c r="I987" s="16"/>
      <c r="J987" s="16"/>
      <c r="K987" s="16"/>
      <c r="L987" s="16" cm="1">
        <f t="array" ref="L987">_xlfn.XLOOKUP(C987,[4]C5_LMA_DIAG!$P$49:$P$66,_xlfn.XLOOKUP(B987,[4]C5_LMA_DIAG!$P$49:$AB$49,[4]C5_LMA_DIAG!$P$49:$AB$66))</f>
        <v>988.64445771141095</v>
      </c>
      <c r="M987" s="16" cm="1">
        <f t="array" ref="M987">_xlfn.XLOOKUP(C987,[5]C6_LMA_DIAG!$P$46:$P$63,_xlfn.XLOOKUP(B987,[5]C6_LMA_DIAG!$P$46:$AB$46,[5]C6_LMA_DIAG!$P$46:$AB$63))</f>
        <v>997.09809878179317</v>
      </c>
      <c r="N987" s="16" cm="1">
        <f t="array" ref="N987">_xlfn.XLOOKUP(C987,[6]C6_LMA_DIAG!$R$51:$R$68,_xlfn.XLOOKUP(B987,[6]C6_LMA_DIAG!$R$51:$AF$51,[6]C6_LMA_DIAG!$R$51:$AF$68))</f>
        <v>500.67</v>
      </c>
      <c r="O987" s="20">
        <v>599</v>
      </c>
      <c r="P987" s="16">
        <v>682</v>
      </c>
    </row>
    <row r="988" spans="1:16" x14ac:dyDescent="0.3">
      <c r="A988" s="15" t="s">
        <v>69</v>
      </c>
      <c r="B988" s="15" t="s">
        <v>57</v>
      </c>
      <c r="C988" s="15" t="s">
        <v>36</v>
      </c>
      <c r="D988" s="15" t="s">
        <v>52</v>
      </c>
      <c r="E988" s="15" t="s">
        <v>40</v>
      </c>
      <c r="F988" s="15" t="s">
        <v>20</v>
      </c>
      <c r="G988" s="15" t="s">
        <v>9</v>
      </c>
      <c r="H988" s="16"/>
      <c r="I988" s="16"/>
      <c r="J988" s="16"/>
      <c r="K988" s="16"/>
      <c r="L988" s="16" cm="1">
        <f t="array" ref="L988">_xlfn.XLOOKUP(C988,[4]C5_LMA_DIAG!$P$49:$P$66,_xlfn.XLOOKUP(B988,[4]C5_LMA_DIAG!$P$49:$AB$49,[4]C5_LMA_DIAG!$P$49:$AB$66))</f>
        <v>1608.6163246476383</v>
      </c>
      <c r="M988" s="16" cm="1">
        <f t="array" ref="M988">_xlfn.XLOOKUP(C988,[5]C6_LMA_DIAG!$P$46:$P$63,_xlfn.XLOOKUP(B988,[5]C6_LMA_DIAG!$P$46:$AB$46,[5]C6_LMA_DIAG!$P$46:$AB$63))</f>
        <v>1512.5346712006585</v>
      </c>
      <c r="N988" s="16" cm="1">
        <f t="array" ref="N988">_xlfn.XLOOKUP(C988,[6]C6_LMA_DIAG!$R$51:$R$68,_xlfn.XLOOKUP(B988,[6]C6_LMA_DIAG!$R$51:$AF$51,[6]C6_LMA_DIAG!$R$51:$AF$68))</f>
        <v>331.28</v>
      </c>
      <c r="O988" s="20">
        <v>328</v>
      </c>
      <c r="P988" s="16">
        <v>1217</v>
      </c>
    </row>
    <row r="989" spans="1:16" x14ac:dyDescent="0.3">
      <c r="A989" s="15" t="s">
        <v>69</v>
      </c>
      <c r="B989" s="15" t="s">
        <v>58</v>
      </c>
      <c r="C989" s="15" t="s">
        <v>36</v>
      </c>
      <c r="D989" s="15" t="s">
        <v>52</v>
      </c>
      <c r="E989" s="15" t="s">
        <v>40</v>
      </c>
      <c r="F989" s="15" t="s">
        <v>20</v>
      </c>
      <c r="G989" s="15" t="s">
        <v>9</v>
      </c>
      <c r="H989" s="16"/>
      <c r="I989" s="16"/>
      <c r="J989" s="16"/>
      <c r="K989" s="16"/>
      <c r="L989" s="16" cm="1">
        <f t="array" ref="L989">_xlfn.XLOOKUP(C989,[4]C5_LMA_DIAG!$P$49:$P$66,_xlfn.XLOOKUP(B989,[4]C5_LMA_DIAG!$P$49:$AB$49,[4]C5_LMA_DIAG!$P$49:$AB$66))</f>
        <v>496.57940798290042</v>
      </c>
      <c r="M989" s="16" cm="1">
        <f t="array" ref="M989">_xlfn.XLOOKUP(C989,[5]C6_LMA_DIAG!$P$46:$P$63,_xlfn.XLOOKUP(B989,[5]C6_LMA_DIAG!$P$46:$AB$46,[5]C6_LMA_DIAG!$P$46:$AB$63))</f>
        <v>458.16584215010238</v>
      </c>
      <c r="N989" s="16" cm="1">
        <f t="array" ref="N989">_xlfn.XLOOKUP(C989,[6]C6_LMA_DIAG!$R$51:$R$68,_xlfn.XLOOKUP(B989,[6]C6_LMA_DIAG!$R$51:$AF$51,[6]C6_LMA_DIAG!$R$51:$AF$68))</f>
        <v>347.77</v>
      </c>
      <c r="O989" s="20">
        <v>348</v>
      </c>
      <c r="P989" s="16">
        <v>372</v>
      </c>
    </row>
    <row r="990" spans="1:16" x14ac:dyDescent="0.3">
      <c r="A990" s="15" t="s">
        <v>69</v>
      </c>
      <c r="B990" s="15" t="s">
        <v>59</v>
      </c>
      <c r="C990" s="15" t="s">
        <v>36</v>
      </c>
      <c r="D990" s="15" t="s">
        <v>52</v>
      </c>
      <c r="E990" s="15" t="s">
        <v>40</v>
      </c>
      <c r="F990" s="15" t="s">
        <v>20</v>
      </c>
      <c r="G990" s="15" t="s">
        <v>9</v>
      </c>
      <c r="H990" s="16"/>
      <c r="I990" s="16"/>
      <c r="J990" s="16"/>
      <c r="K990" s="16"/>
      <c r="L990" s="16" cm="1">
        <f t="array" ref="L990">_xlfn.XLOOKUP(C990,[4]C5_LMA_DIAG!$P$49:$P$66,_xlfn.XLOOKUP(B990,[4]C5_LMA_DIAG!$P$49:$AB$49,[4]C5_LMA_DIAG!$P$49:$AB$66))</f>
        <v>532.69427401802045</v>
      </c>
      <c r="M990" s="16" cm="1">
        <f t="array" ref="M990">_xlfn.XLOOKUP(C990,[5]C6_LMA_DIAG!$P$46:$P$63,_xlfn.XLOOKUP(B990,[5]C6_LMA_DIAG!$P$46:$AB$46,[5]C6_LMA_DIAG!$P$46:$AB$63))</f>
        <v>481.6615263629281</v>
      </c>
      <c r="N990" s="16" cm="1">
        <f t="array" ref="N990">_xlfn.XLOOKUP(C990,[6]C6_LMA_DIAG!$R$51:$R$68,_xlfn.XLOOKUP(B990,[6]C6_LMA_DIAG!$R$51:$AF$51,[6]C6_LMA_DIAG!$R$51:$AF$68))</f>
        <v>166.39</v>
      </c>
      <c r="O990" s="20">
        <v>177</v>
      </c>
      <c r="P990" s="16">
        <v>333</v>
      </c>
    </row>
    <row r="991" spans="1:16" x14ac:dyDescent="0.3">
      <c r="A991" s="15" t="s">
        <v>69</v>
      </c>
      <c r="B991" s="15" t="s">
        <v>60</v>
      </c>
      <c r="C991" s="15" t="s">
        <v>36</v>
      </c>
      <c r="D991" s="15" t="s">
        <v>52</v>
      </c>
      <c r="E991" s="15" t="s">
        <v>40</v>
      </c>
      <c r="F991" s="15" t="s">
        <v>20</v>
      </c>
      <c r="G991" s="15" t="s">
        <v>9</v>
      </c>
      <c r="H991" s="16"/>
      <c r="I991" s="16"/>
      <c r="J991" s="16"/>
      <c r="K991" s="16"/>
      <c r="L991" s="16" cm="1">
        <f t="array" ref="L991">_xlfn.XLOOKUP(C991,[4]C5_LMA_DIAG!$P$49:$P$66,_xlfn.XLOOKUP(B991,[4]C5_LMA_DIAG!$P$49:$AB$49,[4]C5_LMA_DIAG!$P$49:$AB$66))</f>
        <v>526.67512967883374</v>
      </c>
      <c r="M991" s="16" cm="1">
        <f t="array" ref="M991">_xlfn.XLOOKUP(C991,[5]C6_LMA_DIAG!$P$46:$P$63,_xlfn.XLOOKUP(B991,[5]C6_LMA_DIAG!$P$46:$AB$46,[5]C6_LMA_DIAG!$P$46:$AB$63))</f>
        <v>509.56265136565872</v>
      </c>
      <c r="N991" s="16" cm="1">
        <f t="array" ref="N991">_xlfn.XLOOKUP(C991,[6]C6_LMA_DIAG!$R$51:$R$68,_xlfn.XLOOKUP(B991,[6]C6_LMA_DIAG!$R$51:$AF$51,[6]C6_LMA_DIAG!$R$51:$AF$68))</f>
        <v>232.35</v>
      </c>
      <c r="O991" s="20">
        <v>243</v>
      </c>
      <c r="P991" s="16">
        <v>372</v>
      </c>
    </row>
    <row r="992" spans="1:16" x14ac:dyDescent="0.3">
      <c r="A992" s="15" t="s">
        <v>69</v>
      </c>
      <c r="B992" s="15" t="s">
        <v>61</v>
      </c>
      <c r="C992" s="15" t="s">
        <v>36</v>
      </c>
      <c r="D992" s="15" t="s">
        <v>52</v>
      </c>
      <c r="E992" s="15" t="s">
        <v>40</v>
      </c>
      <c r="F992" s="15" t="s">
        <v>20</v>
      </c>
      <c r="G992" s="15" t="s">
        <v>9</v>
      </c>
      <c r="H992" s="16"/>
      <c r="I992" s="16"/>
      <c r="J992" s="16"/>
      <c r="K992" s="16"/>
      <c r="L992" s="16" cm="1">
        <f t="array" ref="L992">_xlfn.XLOOKUP(C992,[4]C5_LMA_DIAG!$P$49:$P$66,_xlfn.XLOOKUP(B992,[4]C5_LMA_DIAG!$P$49:$AB$49,[4]C5_LMA_DIAG!$P$49:$AB$66))</f>
        <v>203.14612144755017</v>
      </c>
      <c r="M992" s="16" cm="1">
        <f t="array" ref="M992">_xlfn.XLOOKUP(C992,[5]C6_LMA_DIAG!$P$46:$P$63,_xlfn.XLOOKUP(B992,[5]C6_LMA_DIAG!$P$46:$AB$46,[5]C6_LMA_DIAG!$P$46:$AB$63))</f>
        <v>155.65890790997068</v>
      </c>
      <c r="N992" s="16" cm="1">
        <f t="array" ref="N992">_xlfn.XLOOKUP(C992,[6]C6_LMA_DIAG!$R$51:$R$68,_xlfn.XLOOKUP(B992,[6]C6_LMA_DIAG!$R$51:$AF$51,[6]C6_LMA_DIAG!$R$51:$AF$68))</f>
        <v>76.45</v>
      </c>
      <c r="O992" s="20">
        <v>82</v>
      </c>
      <c r="P992" s="16">
        <v>78</v>
      </c>
    </row>
    <row r="993" spans="1:16" x14ac:dyDescent="0.3">
      <c r="A993" s="15" t="s">
        <v>69</v>
      </c>
      <c r="B993" s="15" t="s">
        <v>62</v>
      </c>
      <c r="C993" s="15" t="s">
        <v>36</v>
      </c>
      <c r="D993" s="15" t="s">
        <v>52</v>
      </c>
      <c r="E993" s="15" t="s">
        <v>40</v>
      </c>
      <c r="F993" s="15" t="s">
        <v>20</v>
      </c>
      <c r="G993" s="15" t="s">
        <v>9</v>
      </c>
      <c r="H993" s="16"/>
      <c r="I993" s="16"/>
      <c r="J993" s="16"/>
      <c r="K993" s="16"/>
      <c r="L993" s="16" cm="1">
        <f t="array" ref="L993">_xlfn.XLOOKUP(C993,[4]C5_LMA_DIAG!$P$49:$P$66,_xlfn.XLOOKUP(B993,[4]C5_LMA_DIAG!$P$49:$AB$49,[4]C5_LMA_DIAG!$P$49:$AB$66))</f>
        <v>222.70834054990686</v>
      </c>
      <c r="M993" s="16" cm="1">
        <f t="array" ref="M993">_xlfn.XLOOKUP(C993,[5]C6_LMA_DIAG!$P$46:$P$63,_xlfn.XLOOKUP(B993,[5]C6_LMA_DIAG!$P$46:$AB$46,[5]C6_LMA_DIAG!$P$46:$AB$63))</f>
        <v>237.89380265486085</v>
      </c>
      <c r="N993" s="16" cm="1">
        <f t="array" ref="N993">_xlfn.XLOOKUP(C993,[6]C6_LMA_DIAG!$R$51:$R$68,_xlfn.XLOOKUP(B993,[6]C6_LMA_DIAG!$R$51:$AF$51,[6]C6_LMA_DIAG!$R$51:$AF$68))</f>
        <v>146.9</v>
      </c>
      <c r="O993" s="20">
        <v>137</v>
      </c>
      <c r="P993" s="16">
        <v>171</v>
      </c>
    </row>
    <row r="994" spans="1:16" x14ac:dyDescent="0.3">
      <c r="A994" s="15" t="s">
        <v>69</v>
      </c>
      <c r="B994" s="15" t="s">
        <v>63</v>
      </c>
      <c r="C994" s="15" t="s">
        <v>36</v>
      </c>
      <c r="D994" s="15" t="s">
        <v>52</v>
      </c>
      <c r="E994" s="15" t="s">
        <v>40</v>
      </c>
      <c r="F994" s="15" t="s">
        <v>20</v>
      </c>
      <c r="G994" s="15" t="s">
        <v>9</v>
      </c>
      <c r="H994" s="16"/>
      <c r="I994" s="16"/>
      <c r="J994" s="16"/>
      <c r="K994" s="16"/>
      <c r="L994" s="16" cm="1">
        <f t="array" ref="L994">_xlfn.XLOOKUP(C994,[4]C5_LMA_DIAG!$P$49:$P$66,_xlfn.XLOOKUP(B994,[4]C5_LMA_DIAG!$P$49:$AB$49,[4]C5_LMA_DIAG!$P$49:$AB$66))</f>
        <v>255.81363441543357</v>
      </c>
      <c r="M994" s="16" cm="1">
        <f t="array" ref="M994">_xlfn.XLOOKUP(C994,[5]C6_LMA_DIAG!$P$46:$P$63,_xlfn.XLOOKUP(B994,[5]C6_LMA_DIAG!$P$46:$AB$46,[5]C6_LMA_DIAG!$P$46:$AB$63))</f>
        <v>262.85796713098819</v>
      </c>
      <c r="N994" s="16" cm="1">
        <f t="array" ref="N994">_xlfn.XLOOKUP(C994,[6]C6_LMA_DIAG!$R$51:$R$68,_xlfn.XLOOKUP(B994,[6]C6_LMA_DIAG!$R$51:$AF$51,[6]C6_LMA_DIAG!$R$51:$AF$68))</f>
        <v>145.4</v>
      </c>
      <c r="O994" s="20">
        <v>132</v>
      </c>
      <c r="P994" s="16">
        <v>157</v>
      </c>
    </row>
    <row r="995" spans="1:16" x14ac:dyDescent="0.3">
      <c r="A995" s="15" t="s">
        <v>69</v>
      </c>
      <c r="B995" s="15" t="s">
        <v>64</v>
      </c>
      <c r="C995" s="15" t="s">
        <v>36</v>
      </c>
      <c r="D995" s="15" t="s">
        <v>52</v>
      </c>
      <c r="E995" s="15" t="s">
        <v>40</v>
      </c>
      <c r="F995" s="15" t="s">
        <v>20</v>
      </c>
      <c r="G995" s="15" t="s">
        <v>9</v>
      </c>
      <c r="H995" s="16"/>
      <c r="I995" s="16"/>
      <c r="J995" s="16"/>
      <c r="K995" s="16"/>
      <c r="L995" s="16" cm="1">
        <f t="array" ref="L995">_xlfn.XLOOKUP(C995,[4]C5_LMA_DIAG!$P$49:$P$66,_xlfn.XLOOKUP(B995,[4]C5_LMA_DIAG!$P$49:$AB$49,[4]C5_LMA_DIAG!$P$49:$AB$66))</f>
        <v>123.39245895332678</v>
      </c>
      <c r="M995" s="16" cm="1">
        <f t="array" ref="M995">_xlfn.XLOOKUP(C995,[5]C6_LMA_DIAG!$P$46:$P$63,_xlfn.XLOOKUP(B995,[5]C6_LMA_DIAG!$P$46:$AB$46,[5]C6_LMA_DIAG!$P$46:$AB$63))</f>
        <v>133.63170396044652</v>
      </c>
      <c r="N995" s="16" cm="1">
        <f t="array" ref="N995">_xlfn.XLOOKUP(C995,[6]C6_LMA_DIAG!$R$51:$R$68,_xlfn.XLOOKUP(B995,[6]C6_LMA_DIAG!$R$51:$AF$51,[6]C6_LMA_DIAG!$R$51:$AF$68))</f>
        <v>112.43</v>
      </c>
      <c r="O995" s="20">
        <v>73</v>
      </c>
      <c r="P995" s="16">
        <v>100</v>
      </c>
    </row>
    <row r="996" spans="1:16" x14ac:dyDescent="0.3">
      <c r="A996" s="15" t="s">
        <v>69</v>
      </c>
      <c r="B996" s="15" t="s">
        <v>70</v>
      </c>
      <c r="C996" s="15" t="s">
        <v>36</v>
      </c>
      <c r="D996" s="15" t="s">
        <v>52</v>
      </c>
      <c r="E996" s="15" t="s">
        <v>40</v>
      </c>
      <c r="F996" s="15" t="s">
        <v>20</v>
      </c>
      <c r="G996" s="15" t="s">
        <v>9</v>
      </c>
      <c r="H996" s="16"/>
      <c r="I996" s="16"/>
      <c r="J996" s="16"/>
      <c r="K996" s="16"/>
      <c r="L996" s="16">
        <v>0</v>
      </c>
      <c r="M996" s="16">
        <v>0</v>
      </c>
      <c r="N996" s="16" cm="1">
        <f t="array" ref="N996">_xlfn.XLOOKUP(C996,[6]C6_LMA_DIAG!$R$51:$R$68,_xlfn.XLOOKUP(B996,[6]C6_LMA_DIAG!$R$51:$AF$51,[6]C6_LMA_DIAG!$R$51:$AF$68))</f>
        <v>367.26</v>
      </c>
      <c r="O996" s="20">
        <v>847</v>
      </c>
      <c r="P996" s="16">
        <v>1482</v>
      </c>
    </row>
    <row r="997" spans="1:16" x14ac:dyDescent="0.3">
      <c r="A997" s="15"/>
      <c r="B997" s="18" t="s">
        <v>71</v>
      </c>
      <c r="C997" s="15" t="s">
        <v>36</v>
      </c>
      <c r="D997" s="15" t="s">
        <v>52</v>
      </c>
      <c r="E997" s="15" t="s">
        <v>40</v>
      </c>
      <c r="F997" s="15" t="s">
        <v>20</v>
      </c>
      <c r="G997" s="15" t="s">
        <v>9</v>
      </c>
      <c r="H997" s="16"/>
      <c r="I997" s="16"/>
      <c r="J997" s="16"/>
      <c r="K997" s="16"/>
      <c r="L997" s="16">
        <v>0</v>
      </c>
      <c r="M997" s="16">
        <v>0</v>
      </c>
      <c r="N997" s="16" cm="1">
        <f t="array" ref="N997">_xlfn.XLOOKUP(C997,[6]C6_LMA_DIAG!$R$51:$R$68,_xlfn.XLOOKUP(B997,[6]C6_LMA_DIAG!$R$51:$AF$51,[6]C6_LMA_DIAG!$R$51:$AF$68))</f>
        <v>128.91</v>
      </c>
      <c r="O997" s="20">
        <v>100</v>
      </c>
      <c r="P997" s="16">
        <v>0</v>
      </c>
    </row>
    <row r="998" spans="1:16" x14ac:dyDescent="0.3">
      <c r="A998" s="15" t="s">
        <v>69</v>
      </c>
      <c r="B998" s="15" t="s">
        <v>65</v>
      </c>
      <c r="C998" s="15" t="s">
        <v>36</v>
      </c>
      <c r="D998" s="15" t="s">
        <v>52</v>
      </c>
      <c r="E998" s="15" t="s">
        <v>40</v>
      </c>
      <c r="F998" s="15" t="s">
        <v>20</v>
      </c>
      <c r="G998" s="15" t="s">
        <v>9</v>
      </c>
      <c r="H998" s="16"/>
      <c r="I998" s="16"/>
      <c r="J998" s="16"/>
      <c r="K998" s="16"/>
      <c r="L998" s="16" cm="1">
        <f t="array" ref="L998">_xlfn.XLOOKUP(C998,[4]C5_LMA_DIAG!$P$49:$P$66,_xlfn.XLOOKUP(B998,[4]C5_LMA_DIAG!$P$49:$AB$49,[4]C5_LMA_DIAG!$P$49:$AB$66))</f>
        <v>720.79253461760391</v>
      </c>
      <c r="M998" s="16" cm="1">
        <f t="array" ref="M998">_xlfn.XLOOKUP(C998,[5]C6_LMA_DIAG!$P$46:$P$63,_xlfn.XLOOKUP(B998,[5]C6_LMA_DIAG!$P$46:$AB$46,[5]C6_LMA_DIAG!$P$46:$AB$63))</f>
        <v>696.05964480496323</v>
      </c>
      <c r="N998" s="16" cm="1">
        <f t="array" ref="N998">_xlfn.XLOOKUP(C998,[6]C6_LMA_DIAG!$R$51:$R$68,_xlfn.XLOOKUP(B998,[6]C6_LMA_DIAG!$R$51:$AF$51,[6]C6_LMA_DIAG!$R$51:$AF$68))</f>
        <v>332.78</v>
      </c>
      <c r="O998" s="20">
        <v>515</v>
      </c>
      <c r="P998" s="16">
        <v>457</v>
      </c>
    </row>
    <row r="999" spans="1:16" x14ac:dyDescent="0.3">
      <c r="A999" s="15" t="s">
        <v>69</v>
      </c>
      <c r="B999" s="15" t="s">
        <v>19</v>
      </c>
      <c r="C999" s="15" t="s">
        <v>36</v>
      </c>
      <c r="D999" s="15" t="s">
        <v>52</v>
      </c>
      <c r="E999" s="15" t="s">
        <v>40</v>
      </c>
      <c r="F999" s="15" t="s">
        <v>20</v>
      </c>
      <c r="G999" s="15" t="s">
        <v>9</v>
      </c>
      <c r="H999" s="16"/>
      <c r="I999" s="16"/>
      <c r="J999" s="16"/>
      <c r="K999" s="16"/>
      <c r="L999" s="16" cm="1">
        <f t="array" ref="L999">_xlfn.XLOOKUP(C999,[4]C5_LMA_DIAG!$P$49:$P$66,_xlfn.XLOOKUP(B999,[4]C5_LMA_DIAG!$P$49:$AB$49,[4]C5_LMA_DIAG!$P$49:$AB$66))</f>
        <v>0</v>
      </c>
      <c r="M999" s="16" cm="1">
        <f t="array" ref="M999">_xlfn.XLOOKUP(C999,[5]C6_LMA_DIAG!$P$46:$P$63,_xlfn.XLOOKUP(B999,[5]C6_LMA_DIAG!$P$46:$AB$46,[5]C6_LMA_DIAG!$P$46:$AB$63))</f>
        <v>4.4054407899048309</v>
      </c>
      <c r="N999" s="16" cm="1">
        <f t="array" ref="N999">_xlfn.XLOOKUP(C999,[6]C6_LMA_DIAG!$R$51:$R$68,_xlfn.XLOOKUP(B999,[6]C6_LMA_DIAG!$R$51:$AF$51,[6]C6_LMA_DIAG!$R$51:$AF$68))</f>
        <v>3</v>
      </c>
      <c r="O999" s="20">
        <v>2</v>
      </c>
      <c r="P999" s="16">
        <v>4</v>
      </c>
    </row>
    <row r="1000" spans="1:16" x14ac:dyDescent="0.3">
      <c r="A1000" s="26" t="s">
        <v>69</v>
      </c>
      <c r="B1000" s="26" t="s">
        <v>55</v>
      </c>
      <c r="C1000" s="26" t="s">
        <v>37</v>
      </c>
      <c r="D1000" s="26" t="s">
        <v>52</v>
      </c>
      <c r="E1000" s="26" t="s">
        <v>40</v>
      </c>
      <c r="F1000" s="26" t="s">
        <v>20</v>
      </c>
      <c r="G1000" s="26" t="s">
        <v>9</v>
      </c>
      <c r="H1000" s="27"/>
      <c r="I1000" s="27"/>
      <c r="J1000" s="27"/>
      <c r="K1000" s="27"/>
      <c r="L1000" s="16" cm="1">
        <f t="array" ref="L1000">_xlfn.XLOOKUP(C1000,[4]C5_LMA_DIAG!$P$49:$P$66,_xlfn.XLOOKUP(B1000,[4]C5_LMA_DIAG!$P$49:$AB$49,[4]C5_LMA_DIAG!$P$49:$AB$66))</f>
        <v>2443.7726017097889</v>
      </c>
      <c r="M1000" s="16" cm="1">
        <f t="array" ref="M1000">_xlfn.XLOOKUP(C1000,[5]C6_LMA_DIAG!$P$46:$P$63,_xlfn.XLOOKUP(B1000,[5]C6_LMA_DIAG!$P$46:$AB$46,[5]C6_LMA_DIAG!$P$46:$AB$63))</f>
        <v>2985.420375292173</v>
      </c>
      <c r="N1000" s="16" cm="1">
        <f t="array" ref="N1000">_xlfn.XLOOKUP(C1000,[6]C6_LMA_DIAG!$R$51:$R$68,_xlfn.XLOOKUP(B1000,[6]C6_LMA_DIAG!$R$51:$AF$51,[6]C6_LMA_DIAG!$R$51:$AF$68))</f>
        <v>2761.16</v>
      </c>
      <c r="O1000" s="20">
        <v>4391</v>
      </c>
      <c r="P1000" s="27">
        <v>3483</v>
      </c>
    </row>
    <row r="1001" spans="1:16" x14ac:dyDescent="0.3">
      <c r="A1001" s="26" t="s">
        <v>69</v>
      </c>
      <c r="B1001" s="26" t="s">
        <v>56</v>
      </c>
      <c r="C1001" s="26" t="s">
        <v>37</v>
      </c>
      <c r="D1001" s="26" t="s">
        <v>52</v>
      </c>
      <c r="E1001" s="26" t="s">
        <v>40</v>
      </c>
      <c r="F1001" s="26" t="s">
        <v>20</v>
      </c>
      <c r="G1001" s="26" t="s">
        <v>9</v>
      </c>
      <c r="H1001" s="27"/>
      <c r="I1001" s="27"/>
      <c r="J1001" s="27"/>
      <c r="K1001" s="27"/>
      <c r="L1001" s="16" cm="1">
        <f t="array" ref="L1001">_xlfn.XLOOKUP(C1001,[4]C5_LMA_DIAG!$P$49:$P$66,_xlfn.XLOOKUP(B1001,[4]C5_LMA_DIAG!$P$49:$AB$49,[4]C5_LMA_DIAG!$P$49:$AB$66))</f>
        <v>3701.7737685998031</v>
      </c>
      <c r="M1001" s="16" cm="1">
        <f t="array" ref="M1001">_xlfn.XLOOKUP(C1001,[5]C6_LMA_DIAG!$P$46:$P$63,_xlfn.XLOOKUP(B1001,[5]C6_LMA_DIAG!$P$46:$AB$46,[5]C6_LMA_DIAG!$P$46:$AB$63))</f>
        <v>4381.9451056920043</v>
      </c>
      <c r="N1001" s="16" cm="1">
        <f t="array" ref="N1001">_xlfn.XLOOKUP(C1001,[6]C6_LMA_DIAG!$R$51:$R$68,_xlfn.XLOOKUP(B1001,[6]C6_LMA_DIAG!$R$51:$AF$51,[6]C6_LMA_DIAG!$R$51:$AF$68))</f>
        <v>2404.4</v>
      </c>
      <c r="O1001" s="20">
        <v>2980</v>
      </c>
      <c r="P1001" s="27">
        <v>2797</v>
      </c>
    </row>
    <row r="1002" spans="1:16" x14ac:dyDescent="0.3">
      <c r="A1002" s="26" t="s">
        <v>69</v>
      </c>
      <c r="B1002" s="26" t="s">
        <v>57</v>
      </c>
      <c r="C1002" s="26" t="s">
        <v>37</v>
      </c>
      <c r="D1002" s="26" t="s">
        <v>52</v>
      </c>
      <c r="E1002" s="26" t="s">
        <v>40</v>
      </c>
      <c r="F1002" s="26" t="s">
        <v>20</v>
      </c>
      <c r="G1002" s="26" t="s">
        <v>9</v>
      </c>
      <c r="H1002" s="27"/>
      <c r="I1002" s="27"/>
      <c r="J1002" s="27"/>
      <c r="K1002" s="27"/>
      <c r="L1002" s="16" cm="1">
        <f t="array" ref="L1002">_xlfn.XLOOKUP(C1002,[4]C5_LMA_DIAG!$P$49:$P$66,_xlfn.XLOOKUP(B1002,[4]C5_LMA_DIAG!$P$49:$AB$49,[4]C5_LMA_DIAG!$P$49:$AB$66))</f>
        <v>3632.5536086991569</v>
      </c>
      <c r="M1002" s="16" cm="1">
        <f t="array" ref="M1002">_xlfn.XLOOKUP(C1002,[5]C6_LMA_DIAG!$P$46:$P$63,_xlfn.XLOOKUP(B1002,[5]C6_LMA_DIAG!$P$46:$AB$46,[5]C6_LMA_DIAG!$P$46:$AB$63))</f>
        <v>4531.7300925487689</v>
      </c>
      <c r="N1002" s="16" cm="1">
        <f t="array" ref="N1002">_xlfn.XLOOKUP(C1002,[6]C6_LMA_DIAG!$R$51:$R$68,_xlfn.XLOOKUP(B1002,[6]C6_LMA_DIAG!$R$51:$AF$51,[6]C6_LMA_DIAG!$R$51:$AF$68))</f>
        <v>1107.76</v>
      </c>
      <c r="O1002" s="20">
        <v>817</v>
      </c>
      <c r="P1002" s="27">
        <v>2423</v>
      </c>
    </row>
    <row r="1003" spans="1:16" x14ac:dyDescent="0.3">
      <c r="A1003" s="26" t="s">
        <v>69</v>
      </c>
      <c r="B1003" s="26" t="s">
        <v>58</v>
      </c>
      <c r="C1003" s="26" t="s">
        <v>37</v>
      </c>
      <c r="D1003" s="26" t="s">
        <v>52</v>
      </c>
      <c r="E1003" s="26" t="s">
        <v>40</v>
      </c>
      <c r="F1003" s="26" t="s">
        <v>20</v>
      </c>
      <c r="G1003" s="26" t="s">
        <v>9</v>
      </c>
      <c r="H1003" s="27"/>
      <c r="I1003" s="27"/>
      <c r="J1003" s="27"/>
      <c r="K1003" s="27"/>
      <c r="L1003" s="16" cm="1">
        <f t="array" ref="L1003">_xlfn.XLOOKUP(C1003,[4]C5_LMA_DIAG!$P$49:$P$66,_xlfn.XLOOKUP(B1003,[4]C5_LMA_DIAG!$P$49:$AB$49,[4]C5_LMA_DIAG!$P$49:$AB$66))</f>
        <v>1923.1166163701419</v>
      </c>
      <c r="M1003" s="16" cm="1">
        <f t="array" ref="M1003">_xlfn.XLOOKUP(C1003,[5]C6_LMA_DIAG!$P$46:$P$63,_xlfn.XLOOKUP(B1003,[5]C6_LMA_DIAG!$P$46:$AB$46,[5]C6_LMA_DIAG!$P$46:$AB$63))</f>
        <v>1942.7993883480303</v>
      </c>
      <c r="N1003" s="16" cm="1">
        <f t="array" ref="N1003">_xlfn.XLOOKUP(C1003,[6]C6_LMA_DIAG!$R$51:$R$68,_xlfn.XLOOKUP(B1003,[6]C6_LMA_DIAG!$R$51:$AF$51,[6]C6_LMA_DIAG!$R$51:$AF$68))</f>
        <v>1134.74</v>
      </c>
      <c r="O1003" s="20">
        <v>1159</v>
      </c>
      <c r="P1003" s="27">
        <v>1369</v>
      </c>
    </row>
    <row r="1004" spans="1:16" x14ac:dyDescent="0.3">
      <c r="A1004" s="26" t="s">
        <v>69</v>
      </c>
      <c r="B1004" s="26" t="s">
        <v>59</v>
      </c>
      <c r="C1004" s="26" t="s">
        <v>37</v>
      </c>
      <c r="D1004" s="26" t="s">
        <v>52</v>
      </c>
      <c r="E1004" s="26" t="s">
        <v>40</v>
      </c>
      <c r="F1004" s="26" t="s">
        <v>20</v>
      </c>
      <c r="G1004" s="26" t="s">
        <v>9</v>
      </c>
      <c r="H1004" s="27"/>
      <c r="I1004" s="27"/>
      <c r="J1004" s="27"/>
      <c r="K1004" s="27"/>
      <c r="L1004" s="16" cm="1">
        <f t="array" ref="L1004">_xlfn.XLOOKUP(C1004,[4]C5_LMA_DIAG!$P$49:$P$66,_xlfn.XLOOKUP(B1004,[4]C5_LMA_DIAG!$P$49:$AB$49,[4]C5_LMA_DIAG!$P$49:$AB$66))</f>
        <v>1677.8364845482847</v>
      </c>
      <c r="M1004" s="16" cm="1">
        <f t="array" ref="M1004">_xlfn.XLOOKUP(C1004,[5]C6_LMA_DIAG!$P$46:$P$63,_xlfn.XLOOKUP(B1004,[5]C6_LMA_DIAG!$P$46:$AB$46,[5]C6_LMA_DIAG!$P$46:$AB$63))</f>
        <v>1722.5273488527887</v>
      </c>
      <c r="N1004" s="16" cm="1">
        <f t="array" ref="N1004">_xlfn.XLOOKUP(C1004,[6]C6_LMA_DIAG!$R$51:$R$68,_xlfn.XLOOKUP(B1004,[6]C6_LMA_DIAG!$R$51:$AF$51,[6]C6_LMA_DIAG!$R$51:$AF$68))</f>
        <v>464.69</v>
      </c>
      <c r="O1004" s="20">
        <v>389</v>
      </c>
      <c r="P1004" s="27">
        <v>628</v>
      </c>
    </row>
    <row r="1005" spans="1:16" x14ac:dyDescent="0.3">
      <c r="A1005" s="26" t="s">
        <v>69</v>
      </c>
      <c r="B1005" s="26" t="s">
        <v>60</v>
      </c>
      <c r="C1005" s="26" t="s">
        <v>37</v>
      </c>
      <c r="D1005" s="26" t="s">
        <v>52</v>
      </c>
      <c r="E1005" s="26" t="s">
        <v>40</v>
      </c>
      <c r="F1005" s="26" t="s">
        <v>20</v>
      </c>
      <c r="G1005" s="26" t="s">
        <v>9</v>
      </c>
      <c r="H1005" s="27"/>
      <c r="I1005" s="27"/>
      <c r="J1005" s="27"/>
      <c r="K1005" s="27"/>
      <c r="L1005" s="16" cm="1">
        <f t="array" ref="L1005">_xlfn.XLOOKUP(C1005,[4]C5_LMA_DIAG!$P$49:$P$66,_xlfn.XLOOKUP(B1005,[4]C5_LMA_DIAG!$P$49:$AB$49,[4]C5_LMA_DIAG!$P$49:$AB$66))</f>
        <v>1322.7069685362712</v>
      </c>
      <c r="M1005" s="16" cm="1">
        <f t="array" ref="M1005">_xlfn.XLOOKUP(C1005,[5]C6_LMA_DIAG!$P$46:$P$63,_xlfn.XLOOKUP(B1005,[5]C6_LMA_DIAG!$P$46:$AB$46,[5]C6_LMA_DIAG!$P$46:$AB$63))</f>
        <v>1621.2022106849774</v>
      </c>
      <c r="N1005" s="16" cm="1">
        <f t="array" ref="N1005">_xlfn.XLOOKUP(C1005,[6]C6_LMA_DIAG!$R$51:$R$68,_xlfn.XLOOKUP(B1005,[6]C6_LMA_DIAG!$R$51:$AF$51,[6]C6_LMA_DIAG!$R$51:$AF$68))</f>
        <v>730.01</v>
      </c>
      <c r="O1005" s="20">
        <v>812</v>
      </c>
      <c r="P1005" s="27">
        <v>904</v>
      </c>
    </row>
    <row r="1006" spans="1:16" x14ac:dyDescent="0.3">
      <c r="A1006" s="26" t="s">
        <v>69</v>
      </c>
      <c r="B1006" s="26" t="s">
        <v>61</v>
      </c>
      <c r="C1006" s="26" t="s">
        <v>37</v>
      </c>
      <c r="D1006" s="26" t="s">
        <v>52</v>
      </c>
      <c r="E1006" s="26" t="s">
        <v>40</v>
      </c>
      <c r="F1006" s="26" t="s">
        <v>20</v>
      </c>
      <c r="G1006" s="26" t="s">
        <v>9</v>
      </c>
      <c r="H1006" s="27"/>
      <c r="I1006" s="27"/>
      <c r="J1006" s="27"/>
      <c r="K1006" s="27"/>
      <c r="L1006" s="16" cm="1">
        <f t="array" ref="L1006">_xlfn.XLOOKUP(C1006,[4]C5_LMA_DIAG!$P$49:$P$66,_xlfn.XLOOKUP(B1006,[4]C5_LMA_DIAG!$P$49:$AB$49,[4]C5_LMA_DIAG!$P$49:$AB$66))</f>
        <v>437.89275067583037</v>
      </c>
      <c r="M1006" s="16" cm="1">
        <f t="array" ref="M1006">_xlfn.XLOOKUP(C1006,[5]C6_LMA_DIAG!$P$46:$P$63,_xlfn.XLOOKUP(B1006,[5]C6_LMA_DIAG!$P$46:$AB$46,[5]C6_LMA_DIAG!$P$46:$AB$63))</f>
        <v>320.12869739975099</v>
      </c>
      <c r="N1006" s="16" cm="1">
        <f t="array" ref="N1006">_xlfn.XLOOKUP(C1006,[6]C6_LMA_DIAG!$R$51:$R$68,_xlfn.XLOOKUP(B1006,[6]C6_LMA_DIAG!$R$51:$AF$51,[6]C6_LMA_DIAG!$R$51:$AF$68))</f>
        <v>301.3</v>
      </c>
      <c r="O1006" s="20">
        <v>242</v>
      </c>
      <c r="P1006" s="27">
        <v>189</v>
      </c>
    </row>
    <row r="1007" spans="1:16" x14ac:dyDescent="0.3">
      <c r="A1007" s="26" t="s">
        <v>69</v>
      </c>
      <c r="B1007" s="26" t="s">
        <v>62</v>
      </c>
      <c r="C1007" s="26" t="s">
        <v>37</v>
      </c>
      <c r="D1007" s="26" t="s">
        <v>52</v>
      </c>
      <c r="E1007" s="26" t="s">
        <v>40</v>
      </c>
      <c r="F1007" s="26" t="s">
        <v>20</v>
      </c>
      <c r="G1007" s="26" t="s">
        <v>9</v>
      </c>
      <c r="H1007" s="27"/>
      <c r="I1007" s="27"/>
      <c r="J1007" s="27"/>
      <c r="K1007" s="27"/>
      <c r="L1007" s="16" cm="1">
        <f t="array" ref="L1007">_xlfn.XLOOKUP(C1007,[4]C5_LMA_DIAG!$P$49:$P$66,_xlfn.XLOOKUP(B1007,[4]C5_LMA_DIAG!$P$49:$AB$49,[4]C5_LMA_DIAG!$P$49:$AB$66))</f>
        <v>600.40964783387051</v>
      </c>
      <c r="M1007" s="16" cm="1">
        <f t="array" ref="M1007">_xlfn.XLOOKUP(C1007,[5]C6_LMA_DIAG!$P$46:$P$63,_xlfn.XLOOKUP(B1007,[5]C6_LMA_DIAG!$P$46:$AB$46,[5]C6_LMA_DIAG!$P$46:$AB$63))</f>
        <v>640.25739479950198</v>
      </c>
      <c r="N1007" s="16" cm="1">
        <f t="array" ref="N1007">_xlfn.XLOOKUP(C1007,[6]C6_LMA_DIAG!$R$51:$R$68,_xlfn.XLOOKUP(B1007,[6]C6_LMA_DIAG!$R$51:$AF$51,[6]C6_LMA_DIAG!$R$51:$AF$68))</f>
        <v>355.26</v>
      </c>
      <c r="O1007" s="20">
        <v>340</v>
      </c>
      <c r="P1007" s="27">
        <v>353</v>
      </c>
    </row>
    <row r="1008" spans="1:16" x14ac:dyDescent="0.3">
      <c r="A1008" s="26" t="s">
        <v>69</v>
      </c>
      <c r="B1008" s="26" t="s">
        <v>63</v>
      </c>
      <c r="C1008" s="26" t="s">
        <v>37</v>
      </c>
      <c r="D1008" s="26" t="s">
        <v>52</v>
      </c>
      <c r="E1008" s="26" t="s">
        <v>40</v>
      </c>
      <c r="F1008" s="26" t="s">
        <v>20</v>
      </c>
      <c r="G1008" s="26" t="s">
        <v>9</v>
      </c>
      <c r="H1008" s="27"/>
      <c r="I1008" s="27"/>
      <c r="J1008" s="27"/>
      <c r="K1008" s="27"/>
      <c r="L1008" s="16" cm="1">
        <f t="array" ref="L1008">_xlfn.XLOOKUP(C1008,[4]C5_LMA_DIAG!$P$49:$P$66,_xlfn.XLOOKUP(B1008,[4]C5_LMA_DIAG!$P$49:$AB$49,[4]C5_LMA_DIAG!$P$49:$AB$66))</f>
        <v>741.85953980475733</v>
      </c>
      <c r="M1008" s="16" cm="1">
        <f t="array" ref="M1008">_xlfn.XLOOKUP(C1008,[5]C6_LMA_DIAG!$P$46:$P$63,_xlfn.XLOOKUP(B1008,[5]C6_LMA_DIAG!$P$46:$AB$46,[5]C6_LMA_DIAG!$P$46:$AB$63))</f>
        <v>740.11405270401156</v>
      </c>
      <c r="N1008" s="16" cm="1">
        <f t="array" ref="N1008">_xlfn.XLOOKUP(C1008,[6]C6_LMA_DIAG!$R$51:$R$68,_xlfn.XLOOKUP(B1008,[6]C6_LMA_DIAG!$R$51:$AF$51,[6]C6_LMA_DIAG!$R$51:$AF$68))</f>
        <v>514.16</v>
      </c>
      <c r="O1008" s="20">
        <v>542</v>
      </c>
      <c r="P1008" s="27">
        <v>505</v>
      </c>
    </row>
    <row r="1009" spans="1:16" x14ac:dyDescent="0.3">
      <c r="A1009" s="26" t="s">
        <v>69</v>
      </c>
      <c r="B1009" s="26" t="s">
        <v>64</v>
      </c>
      <c r="C1009" s="26" t="s">
        <v>37</v>
      </c>
      <c r="D1009" s="26" t="s">
        <v>52</v>
      </c>
      <c r="E1009" s="26" t="s">
        <v>40</v>
      </c>
      <c r="F1009" s="26" t="s">
        <v>20</v>
      </c>
      <c r="G1009" s="26" t="s">
        <v>9</v>
      </c>
      <c r="H1009" s="27"/>
      <c r="I1009" s="27"/>
      <c r="J1009" s="27"/>
      <c r="K1009" s="27"/>
      <c r="L1009" s="16" cm="1">
        <f t="array" ref="L1009">_xlfn.XLOOKUP(C1009,[4]C5_LMA_DIAG!$P$49:$P$66,_xlfn.XLOOKUP(B1009,[4]C5_LMA_DIAG!$P$49:$AB$49,[4]C5_LMA_DIAG!$P$49:$AB$66))</f>
        <v>391.24438204713368</v>
      </c>
      <c r="M1009" s="16" cm="1">
        <f t="array" ref="M1009">_xlfn.XLOOKUP(C1009,[5]C6_LMA_DIAG!$P$46:$P$63,_xlfn.XLOOKUP(B1009,[5]C6_LMA_DIAG!$P$46:$AB$46,[5]C6_LMA_DIAG!$P$46:$AB$63))</f>
        <v>411.17447372445088</v>
      </c>
      <c r="N1009" s="16" cm="1">
        <f t="array" ref="N1009">_xlfn.XLOOKUP(C1009,[6]C6_LMA_DIAG!$R$51:$R$68,_xlfn.XLOOKUP(B1009,[6]C6_LMA_DIAG!$R$51:$AF$51,[6]C6_LMA_DIAG!$R$51:$AF$68))</f>
        <v>319.29000000000002</v>
      </c>
      <c r="O1009" s="20">
        <v>334</v>
      </c>
      <c r="P1009" s="27">
        <v>249</v>
      </c>
    </row>
    <row r="1010" spans="1:16" x14ac:dyDescent="0.3">
      <c r="A1010" s="26" t="s">
        <v>69</v>
      </c>
      <c r="B1010" s="26" t="s">
        <v>70</v>
      </c>
      <c r="C1010" s="26" t="s">
        <v>37</v>
      </c>
      <c r="D1010" s="26" t="s">
        <v>52</v>
      </c>
      <c r="E1010" s="26" t="s">
        <v>40</v>
      </c>
      <c r="F1010" s="26" t="s">
        <v>20</v>
      </c>
      <c r="G1010" s="26" t="s">
        <v>9</v>
      </c>
      <c r="H1010" s="27"/>
      <c r="I1010" s="27"/>
      <c r="J1010" s="27"/>
      <c r="K1010" s="27"/>
      <c r="L1010" s="16">
        <v>0</v>
      </c>
      <c r="M1010" s="16">
        <v>0</v>
      </c>
      <c r="N1010" s="16" cm="1">
        <f t="array" ref="N1010">_xlfn.XLOOKUP(C1010,[6]C6_LMA_DIAG!$R$51:$R$68,_xlfn.XLOOKUP(B1010,[6]C6_LMA_DIAG!$R$51:$AF$51,[6]C6_LMA_DIAG!$R$51:$AF$68))</f>
        <v>4583.95</v>
      </c>
      <c r="O1010" s="20">
        <v>2969</v>
      </c>
      <c r="P1010" s="27">
        <v>4466</v>
      </c>
    </row>
    <row r="1011" spans="1:16" x14ac:dyDescent="0.3">
      <c r="A1011" s="26"/>
      <c r="B1011" s="18" t="s">
        <v>71</v>
      </c>
      <c r="C1011" s="26" t="s">
        <v>37</v>
      </c>
      <c r="D1011" s="26" t="s">
        <v>52</v>
      </c>
      <c r="E1011" s="26" t="s">
        <v>40</v>
      </c>
      <c r="F1011" s="26" t="s">
        <v>20</v>
      </c>
      <c r="G1011" s="26" t="s">
        <v>9</v>
      </c>
      <c r="H1011" s="27"/>
      <c r="I1011" s="27"/>
      <c r="J1011" s="27"/>
      <c r="K1011" s="27"/>
      <c r="L1011" s="16">
        <v>0</v>
      </c>
      <c r="M1011" s="16">
        <v>0</v>
      </c>
      <c r="N1011" s="16" cm="1">
        <f t="array" ref="N1011">_xlfn.XLOOKUP(C1011,[6]C6_LMA_DIAG!$R$51:$R$68,_xlfn.XLOOKUP(B1011,[6]C6_LMA_DIAG!$R$51:$AF$51,[6]C6_LMA_DIAG!$R$51:$AF$68))</f>
        <v>257.83</v>
      </c>
      <c r="O1011" s="20">
        <v>221</v>
      </c>
      <c r="P1011" s="27">
        <v>0</v>
      </c>
    </row>
    <row r="1012" spans="1:16" x14ac:dyDescent="0.3">
      <c r="A1012" s="26" t="s">
        <v>69</v>
      </c>
      <c r="B1012" s="26" t="s">
        <v>65</v>
      </c>
      <c r="C1012" s="26" t="s">
        <v>37</v>
      </c>
      <c r="D1012" s="26" t="s">
        <v>52</v>
      </c>
      <c r="E1012" s="26" t="s">
        <v>40</v>
      </c>
      <c r="F1012" s="26" t="s">
        <v>20</v>
      </c>
      <c r="G1012" s="26" t="s">
        <v>9</v>
      </c>
      <c r="H1012" s="27"/>
      <c r="I1012" s="27"/>
      <c r="J1012" s="27"/>
      <c r="K1012" s="27"/>
      <c r="L1012" s="16" cm="1">
        <f t="array" ref="L1012">_xlfn.XLOOKUP(C1012,[4]C5_LMA_DIAG!$P$49:$P$66,_xlfn.XLOOKUP(B1012,[4]C5_LMA_DIAG!$P$49:$AB$49,[4]C5_LMA_DIAG!$P$49:$AB$66))</f>
        <v>2335.4280036044288</v>
      </c>
      <c r="M1012" s="16" cm="1">
        <f t="array" ref="M1012">_xlfn.XLOOKUP(C1012,[5]C6_LMA_DIAG!$P$46:$P$63,_xlfn.XLOOKUP(B1012,[5]C6_LMA_DIAG!$P$46:$AB$46,[5]C6_LMA_DIAG!$P$46:$AB$63))</f>
        <v>2655.0123160493113</v>
      </c>
      <c r="N1012" s="16" cm="1">
        <f t="array" ref="N1012">_xlfn.XLOOKUP(C1012,[6]C6_LMA_DIAG!$R$51:$R$68,_xlfn.XLOOKUP(B1012,[6]C6_LMA_DIAG!$R$51:$AF$51,[6]C6_LMA_DIAG!$R$51:$AF$68))</f>
        <v>1427.05</v>
      </c>
      <c r="O1012" s="20">
        <v>2063</v>
      </c>
      <c r="P1012" s="27">
        <v>1654</v>
      </c>
    </row>
    <row r="1013" spans="1:16" x14ac:dyDescent="0.3">
      <c r="A1013" s="26" t="s">
        <v>69</v>
      </c>
      <c r="B1013" s="26" t="s">
        <v>19</v>
      </c>
      <c r="C1013" s="26" t="s">
        <v>37</v>
      </c>
      <c r="D1013" s="26" t="s">
        <v>52</v>
      </c>
      <c r="E1013" s="26" t="s">
        <v>40</v>
      </c>
      <c r="F1013" s="26" t="s">
        <v>20</v>
      </c>
      <c r="G1013" s="26" t="s">
        <v>9</v>
      </c>
      <c r="H1013" s="27"/>
      <c r="I1013" s="27"/>
      <c r="J1013" s="27"/>
      <c r="K1013" s="27"/>
      <c r="L1013" s="16" cm="1">
        <f t="array" ref="L1013">_xlfn.XLOOKUP(C1013,[4]C5_LMA_DIAG!$P$49:$P$66,_xlfn.XLOOKUP(B1013,[4]C5_LMA_DIAG!$P$49:$AB$49,[4]C5_LMA_DIAG!$P$49:$AB$66))</f>
        <v>0</v>
      </c>
      <c r="M1013" s="16" cm="1">
        <f t="array" ref="M1013">_xlfn.XLOOKUP(C1013,[5]C6_LMA_DIAG!$P$46:$P$63,_xlfn.XLOOKUP(B1013,[5]C6_LMA_DIAG!$P$46:$AB$46,[5]C6_LMA_DIAG!$P$46:$AB$63))</f>
        <v>7.3424013165080506</v>
      </c>
      <c r="N1013" s="16" cm="1">
        <f t="array" ref="N1013">_xlfn.XLOOKUP(C1013,[6]C6_LMA_DIAG!$R$51:$R$68,_xlfn.XLOOKUP(B1013,[6]C6_LMA_DIAG!$R$51:$AF$51,[6]C6_LMA_DIAG!$R$51:$AF$68))</f>
        <v>3</v>
      </c>
      <c r="O1013" s="20">
        <v>0</v>
      </c>
      <c r="P1013" s="27">
        <v>23</v>
      </c>
    </row>
    <row r="1014" spans="1:16" x14ac:dyDescent="0.3">
      <c r="A1014" s="15" t="s">
        <v>69</v>
      </c>
      <c r="B1014" s="15" t="s">
        <v>55</v>
      </c>
      <c r="C1014" s="15" t="s">
        <v>19</v>
      </c>
      <c r="D1014" s="15" t="s">
        <v>52</v>
      </c>
      <c r="E1014" s="15" t="s">
        <v>40</v>
      </c>
      <c r="F1014" s="15" t="s">
        <v>20</v>
      </c>
      <c r="G1014" s="15" t="s">
        <v>9</v>
      </c>
      <c r="H1014" s="16"/>
      <c r="I1014" s="16"/>
      <c r="J1014" s="16"/>
      <c r="K1014" s="16"/>
      <c r="L1014" s="16" cm="1">
        <f t="array" ref="L1014">_xlfn.XLOOKUP(C1014,[4]C5_LMA_DIAG!$P$49:$P$66,_xlfn.XLOOKUP(B1014,[4]C5_LMA_DIAG!$P$49:$AB$49,[4]C5_LMA_DIAG!$P$49:$AB$66))</f>
        <v>1917.097472030955</v>
      </c>
      <c r="M1014" s="16" cm="1">
        <f t="array" ref="M1014">_xlfn.XLOOKUP(C1014,[5]C6_LMA_DIAG!$P$46:$P$63,_xlfn.XLOOKUP(B1014,[5]C6_LMA_DIAG!$P$46:$AB$46,[5]C6_LMA_DIAG!$P$46:$AB$63))</f>
        <v>204.11875659892382</v>
      </c>
      <c r="N1014" s="16" cm="1">
        <f t="array" ref="N1014">_xlfn.XLOOKUP(C1014,[6]C6_LMA_DIAG!$R$51:$R$68,_xlfn.XLOOKUP(B1014,[6]C6_LMA_DIAG!$R$51:$AF$51,[6]C6_LMA_DIAG!$R$51:$AF$68))</f>
        <v>283.31</v>
      </c>
      <c r="O1014" s="20">
        <v>1669</v>
      </c>
      <c r="P1014" s="16">
        <v>403</v>
      </c>
    </row>
    <row r="1015" spans="1:16" x14ac:dyDescent="0.3">
      <c r="A1015" s="15" t="s">
        <v>69</v>
      </c>
      <c r="B1015" s="15" t="s">
        <v>56</v>
      </c>
      <c r="C1015" s="15" t="s">
        <v>19</v>
      </c>
      <c r="D1015" s="15" t="s">
        <v>52</v>
      </c>
      <c r="E1015" s="15" t="s">
        <v>40</v>
      </c>
      <c r="F1015" s="15" t="s">
        <v>20</v>
      </c>
      <c r="G1015" s="15" t="s">
        <v>9</v>
      </c>
      <c r="H1015" s="16"/>
      <c r="I1015" s="16"/>
      <c r="J1015" s="16"/>
      <c r="K1015" s="16"/>
      <c r="L1015" s="16" cm="1">
        <f t="array" ref="L1015">_xlfn.XLOOKUP(C1015,[4]C5_LMA_DIAG!$P$49:$P$66,_xlfn.XLOOKUP(B1015,[4]C5_LMA_DIAG!$P$49:$AB$49,[4]C5_LMA_DIAG!$P$49:$AB$66))</f>
        <v>2553.6219858999457</v>
      </c>
      <c r="M1015" s="16" cm="1">
        <f t="array" ref="M1015">_xlfn.XLOOKUP(C1015,[5]C6_LMA_DIAG!$P$46:$P$63,_xlfn.XLOOKUP(B1015,[5]C6_LMA_DIAG!$P$46:$AB$46,[5]C6_LMA_DIAG!$P$46:$AB$63))</f>
        <v>254.04708555117855</v>
      </c>
      <c r="N1015" s="16" cm="1">
        <f t="array" ref="N1015">_xlfn.XLOOKUP(C1015,[6]C6_LMA_DIAG!$R$51:$R$68,_xlfn.XLOOKUP(B1015,[6]C6_LMA_DIAG!$R$51:$AF$51,[6]C6_LMA_DIAG!$R$51:$AF$68))</f>
        <v>199.37</v>
      </c>
      <c r="O1015" s="20">
        <v>764</v>
      </c>
      <c r="P1015" s="16">
        <v>176</v>
      </c>
    </row>
    <row r="1016" spans="1:16" x14ac:dyDescent="0.3">
      <c r="A1016" s="15" t="s">
        <v>69</v>
      </c>
      <c r="B1016" s="15" t="s">
        <v>57</v>
      </c>
      <c r="C1016" s="15" t="s">
        <v>19</v>
      </c>
      <c r="D1016" s="15" t="s">
        <v>52</v>
      </c>
      <c r="E1016" s="15" t="s">
        <v>40</v>
      </c>
      <c r="F1016" s="15" t="s">
        <v>20</v>
      </c>
      <c r="G1016" s="15" t="s">
        <v>9</v>
      </c>
      <c r="H1016" s="16"/>
      <c r="I1016" s="16"/>
      <c r="J1016" s="16"/>
      <c r="K1016" s="16"/>
      <c r="L1016" s="16" cm="1">
        <f t="array" ref="L1016">_xlfn.XLOOKUP(C1016,[4]C5_LMA_DIAG!$P$49:$P$66,_xlfn.XLOOKUP(B1016,[4]C5_LMA_DIAG!$P$49:$AB$49,[4]C5_LMA_DIAG!$P$49:$AB$66))</f>
        <v>2881.6653523856194</v>
      </c>
      <c r="M1016" s="16" cm="1">
        <f t="array" ref="M1016">_xlfn.XLOOKUP(C1016,[5]C6_LMA_DIAG!$P$46:$P$63,_xlfn.XLOOKUP(B1016,[5]C6_LMA_DIAG!$P$46:$AB$46,[5]C6_LMA_DIAG!$P$46:$AB$63))</f>
        <v>395.02119082813311</v>
      </c>
      <c r="N1016" s="16" cm="1">
        <f t="array" ref="N1016">_xlfn.XLOOKUP(C1016,[6]C6_LMA_DIAG!$R$51:$R$68,_xlfn.XLOOKUP(B1016,[6]C6_LMA_DIAG!$R$51:$AF$51,[6]C6_LMA_DIAG!$R$51:$AF$68))</f>
        <v>95.94</v>
      </c>
      <c r="O1016" s="20">
        <v>371</v>
      </c>
      <c r="P1016" s="16">
        <v>143</v>
      </c>
    </row>
    <row r="1017" spans="1:16" x14ac:dyDescent="0.3">
      <c r="A1017" s="15" t="s">
        <v>69</v>
      </c>
      <c r="B1017" s="15" t="s">
        <v>58</v>
      </c>
      <c r="C1017" s="15" t="s">
        <v>19</v>
      </c>
      <c r="D1017" s="15" t="s">
        <v>52</v>
      </c>
      <c r="E1017" s="15" t="s">
        <v>40</v>
      </c>
      <c r="F1017" s="15" t="s">
        <v>20</v>
      </c>
      <c r="G1017" s="15" t="s">
        <v>9</v>
      </c>
      <c r="H1017" s="16"/>
      <c r="I1017" s="16"/>
      <c r="J1017" s="16"/>
      <c r="K1017" s="16"/>
      <c r="L1017" s="16" cm="1">
        <f t="array" ref="L1017">_xlfn.XLOOKUP(C1017,[4]C5_LMA_DIAG!$P$49:$P$66,_xlfn.XLOOKUP(B1017,[4]C5_LMA_DIAG!$P$49:$AB$49,[4]C5_LMA_DIAG!$P$49:$AB$66))</f>
        <v>1184.2666487349777</v>
      </c>
      <c r="M1017" s="16" cm="1">
        <f t="array" ref="M1017">_xlfn.XLOOKUP(C1017,[5]C6_LMA_DIAG!$P$46:$P$63,_xlfn.XLOOKUP(B1017,[5]C6_LMA_DIAG!$P$46:$AB$46,[5]C6_LMA_DIAG!$P$46:$AB$63))</f>
        <v>201.18179607232057</v>
      </c>
      <c r="N1017" s="16" cm="1">
        <f t="array" ref="N1017">_xlfn.XLOOKUP(C1017,[6]C6_LMA_DIAG!$R$51:$R$68,_xlfn.XLOOKUP(B1017,[6]C6_LMA_DIAG!$R$51:$AF$51,[6]C6_LMA_DIAG!$R$51:$AF$68))</f>
        <v>119.92</v>
      </c>
      <c r="O1017" s="20">
        <v>415</v>
      </c>
      <c r="P1017" s="16">
        <v>132</v>
      </c>
    </row>
    <row r="1018" spans="1:16" x14ac:dyDescent="0.3">
      <c r="A1018" s="15" t="s">
        <v>69</v>
      </c>
      <c r="B1018" s="15" t="s">
        <v>59</v>
      </c>
      <c r="C1018" s="15" t="s">
        <v>19</v>
      </c>
      <c r="D1018" s="15" t="s">
        <v>52</v>
      </c>
      <c r="E1018" s="15" t="s">
        <v>40</v>
      </c>
      <c r="F1018" s="15" t="s">
        <v>20</v>
      </c>
      <c r="G1018" s="15" t="s">
        <v>9</v>
      </c>
      <c r="H1018" s="16"/>
      <c r="I1018" s="16"/>
      <c r="J1018" s="16"/>
      <c r="K1018" s="16"/>
      <c r="L1018" s="16" cm="1">
        <f t="array" ref="L1018">_xlfn.XLOOKUP(C1018,[4]C5_LMA_DIAG!$P$49:$P$66,_xlfn.XLOOKUP(B1018,[4]C5_LMA_DIAG!$P$49:$AB$49,[4]C5_LMA_DIAG!$P$49:$AB$66))</f>
        <v>841.17542140133742</v>
      </c>
      <c r="M1018" s="16" cm="1">
        <f t="array" ref="M1018">_xlfn.XLOOKUP(C1018,[5]C6_LMA_DIAG!$P$46:$P$63,_xlfn.XLOOKUP(B1018,[5]C6_LMA_DIAG!$P$46:$AB$46,[5]C6_LMA_DIAG!$P$46:$AB$63))</f>
        <v>195.30787501911414</v>
      </c>
      <c r="N1018" s="16" cm="1">
        <f t="array" ref="N1018">_xlfn.XLOOKUP(C1018,[6]C6_LMA_DIAG!$R$51:$R$68,_xlfn.XLOOKUP(B1018,[6]C6_LMA_DIAG!$R$51:$AF$51,[6]C6_LMA_DIAG!$R$51:$AF$68))</f>
        <v>62.96</v>
      </c>
      <c r="O1018" s="20">
        <v>119</v>
      </c>
      <c r="P1018" s="16">
        <v>27</v>
      </c>
    </row>
    <row r="1019" spans="1:16" x14ac:dyDescent="0.3">
      <c r="A1019" s="15" t="s">
        <v>69</v>
      </c>
      <c r="B1019" s="15" t="s">
        <v>60</v>
      </c>
      <c r="C1019" s="15" t="s">
        <v>19</v>
      </c>
      <c r="D1019" s="15" t="s">
        <v>52</v>
      </c>
      <c r="E1019" s="15" t="s">
        <v>40</v>
      </c>
      <c r="F1019" s="15" t="s">
        <v>20</v>
      </c>
      <c r="G1019" s="15" t="s">
        <v>9</v>
      </c>
      <c r="H1019" s="16"/>
      <c r="I1019" s="16"/>
      <c r="J1019" s="16"/>
      <c r="K1019" s="16"/>
      <c r="L1019" s="16" cm="1">
        <f t="array" ref="L1019">_xlfn.XLOOKUP(C1019,[4]C5_LMA_DIAG!$P$49:$P$66,_xlfn.XLOOKUP(B1019,[4]C5_LMA_DIAG!$P$49:$AB$49,[4]C5_LMA_DIAG!$P$49:$AB$66))</f>
        <v>1638.7120463435715</v>
      </c>
      <c r="M1019" s="16" cm="1">
        <f t="array" ref="M1019">_xlfn.XLOOKUP(C1019,[5]C6_LMA_DIAG!$P$46:$P$63,_xlfn.XLOOKUP(B1019,[5]C6_LMA_DIAG!$P$46:$AB$46,[5]C6_LMA_DIAG!$P$46:$AB$63))</f>
        <v>102.79361843111272</v>
      </c>
      <c r="N1019" s="16" cm="1">
        <f t="array" ref="N1019">_xlfn.XLOOKUP(C1019,[6]C6_LMA_DIAG!$R$51:$R$68,_xlfn.XLOOKUP(B1019,[6]C6_LMA_DIAG!$R$51:$AF$51,[6]C6_LMA_DIAG!$R$51:$AF$68))</f>
        <v>85.44</v>
      </c>
      <c r="O1019" s="20">
        <v>414</v>
      </c>
      <c r="P1019" s="16">
        <v>71</v>
      </c>
    </row>
    <row r="1020" spans="1:16" x14ac:dyDescent="0.3">
      <c r="A1020" s="15" t="s">
        <v>69</v>
      </c>
      <c r="B1020" s="15" t="s">
        <v>61</v>
      </c>
      <c r="C1020" s="15" t="s">
        <v>19</v>
      </c>
      <c r="D1020" s="15" t="s">
        <v>52</v>
      </c>
      <c r="E1020" s="15" t="s">
        <v>40</v>
      </c>
      <c r="F1020" s="15" t="s">
        <v>20</v>
      </c>
      <c r="G1020" s="15" t="s">
        <v>9</v>
      </c>
      <c r="H1020" s="16"/>
      <c r="I1020" s="16"/>
      <c r="J1020" s="16"/>
      <c r="K1020" s="16"/>
      <c r="L1020" s="16" cm="1">
        <f t="array" ref="L1020">_xlfn.XLOOKUP(C1020,[4]C5_LMA_DIAG!$P$49:$P$66,_xlfn.XLOOKUP(B1020,[4]C5_LMA_DIAG!$P$49:$AB$49,[4]C5_LMA_DIAG!$P$49:$AB$66))</f>
        <v>439.39753676062702</v>
      </c>
      <c r="M1020" s="16" cm="1">
        <f t="array" ref="M1020">_xlfn.XLOOKUP(C1020,[5]C6_LMA_DIAG!$P$46:$P$63,_xlfn.XLOOKUP(B1020,[5]C6_LMA_DIAG!$P$46:$AB$46,[5]C6_LMA_DIAG!$P$46:$AB$63))</f>
        <v>35.243526319238647</v>
      </c>
      <c r="N1020" s="16" cm="1">
        <f t="array" ref="N1020">_xlfn.XLOOKUP(C1020,[6]C6_LMA_DIAG!$R$51:$R$68,_xlfn.XLOOKUP(B1020,[6]C6_LMA_DIAG!$R$51:$AF$51,[6]C6_LMA_DIAG!$R$51:$AF$68))</f>
        <v>37.479999999999997</v>
      </c>
      <c r="O1020" s="20">
        <v>66</v>
      </c>
      <c r="P1020" s="16">
        <v>14</v>
      </c>
    </row>
    <row r="1021" spans="1:16" x14ac:dyDescent="0.3">
      <c r="A1021" s="15" t="s">
        <v>69</v>
      </c>
      <c r="B1021" s="15" t="s">
        <v>62</v>
      </c>
      <c r="C1021" s="15" t="s">
        <v>19</v>
      </c>
      <c r="D1021" s="15" t="s">
        <v>52</v>
      </c>
      <c r="E1021" s="15" t="s">
        <v>40</v>
      </c>
      <c r="F1021" s="15" t="s">
        <v>20</v>
      </c>
      <c r="G1021" s="15" t="s">
        <v>9</v>
      </c>
      <c r="H1021" s="16"/>
      <c r="I1021" s="16"/>
      <c r="J1021" s="16"/>
      <c r="K1021" s="16"/>
      <c r="L1021" s="16" cm="1">
        <f t="array" ref="L1021">_xlfn.XLOOKUP(C1021,[4]C5_LMA_DIAG!$P$49:$P$66,_xlfn.XLOOKUP(B1021,[4]C5_LMA_DIAG!$P$49:$AB$49,[4]C5_LMA_DIAG!$P$49:$AB$66))</f>
        <v>499.58898015249378</v>
      </c>
      <c r="M1021" s="16" cm="1">
        <f t="array" ref="M1021">_xlfn.XLOOKUP(C1021,[5]C6_LMA_DIAG!$P$46:$P$63,_xlfn.XLOOKUP(B1021,[5]C6_LMA_DIAG!$P$46:$AB$46,[5]C6_LMA_DIAG!$P$46:$AB$63))</f>
        <v>57.270730268762797</v>
      </c>
      <c r="N1021" s="16" cm="1">
        <f t="array" ref="N1021">_xlfn.XLOOKUP(C1021,[6]C6_LMA_DIAG!$R$51:$R$68,_xlfn.XLOOKUP(B1021,[6]C6_LMA_DIAG!$R$51:$AF$51,[6]C6_LMA_DIAG!$R$51:$AF$68))</f>
        <v>26.98</v>
      </c>
      <c r="O1021" s="20">
        <v>182</v>
      </c>
      <c r="P1021" s="16">
        <v>29</v>
      </c>
    </row>
    <row r="1022" spans="1:16" x14ac:dyDescent="0.3">
      <c r="A1022" s="15" t="s">
        <v>69</v>
      </c>
      <c r="B1022" s="15" t="s">
        <v>63</v>
      </c>
      <c r="C1022" s="15" t="s">
        <v>19</v>
      </c>
      <c r="D1022" s="15" t="s">
        <v>52</v>
      </c>
      <c r="E1022" s="15" t="s">
        <v>40</v>
      </c>
      <c r="F1022" s="15" t="s">
        <v>20</v>
      </c>
      <c r="G1022" s="15" t="s">
        <v>9</v>
      </c>
      <c r="H1022" s="16"/>
      <c r="I1022" s="16"/>
      <c r="J1022" s="16"/>
      <c r="K1022" s="16"/>
      <c r="L1022" s="16" cm="1">
        <f t="array" ref="L1022">_xlfn.XLOOKUP(C1022,[4]C5_LMA_DIAG!$P$49:$P$66,_xlfn.XLOOKUP(B1022,[4]C5_LMA_DIAG!$P$49:$AB$49,[4]C5_LMA_DIAG!$P$49:$AB$66))</f>
        <v>449.93103935420373</v>
      </c>
      <c r="M1022" s="16" cm="1">
        <f t="array" ref="M1022">_xlfn.XLOOKUP(C1022,[5]C6_LMA_DIAG!$P$46:$P$63,_xlfn.XLOOKUP(B1022,[5]C6_LMA_DIAG!$P$46:$AB$46,[5]C6_LMA_DIAG!$P$46:$AB$63))</f>
        <v>32.306565792635425</v>
      </c>
      <c r="N1022" s="16" cm="1">
        <f t="array" ref="N1022">_xlfn.XLOOKUP(C1022,[6]C6_LMA_DIAG!$R$51:$R$68,_xlfn.XLOOKUP(B1022,[6]C6_LMA_DIAG!$R$51:$AF$51,[6]C6_LMA_DIAG!$R$51:$AF$68))</f>
        <v>65.959999999999994</v>
      </c>
      <c r="O1022" s="20">
        <v>95</v>
      </c>
      <c r="P1022" s="16">
        <v>31</v>
      </c>
    </row>
    <row r="1023" spans="1:16" x14ac:dyDescent="0.3">
      <c r="A1023" s="15" t="s">
        <v>69</v>
      </c>
      <c r="B1023" s="15" t="s">
        <v>64</v>
      </c>
      <c r="C1023" s="15" t="s">
        <v>19</v>
      </c>
      <c r="D1023" s="15" t="s">
        <v>52</v>
      </c>
      <c r="E1023" s="15" t="s">
        <v>40</v>
      </c>
      <c r="F1023" s="15" t="s">
        <v>20</v>
      </c>
      <c r="G1023" s="15" t="s">
        <v>9</v>
      </c>
      <c r="H1023" s="16"/>
      <c r="I1023" s="16"/>
      <c r="J1023" s="16"/>
      <c r="K1023" s="16"/>
      <c r="L1023" s="16" cm="1">
        <f t="array" ref="L1023">_xlfn.XLOOKUP(C1023,[4]C5_LMA_DIAG!$P$49:$P$66,_xlfn.XLOOKUP(B1023,[4]C5_LMA_DIAG!$P$49:$AB$49,[4]C5_LMA_DIAG!$P$49:$AB$66))</f>
        <v>278.38542568738359</v>
      </c>
      <c r="M1023" s="16" cm="1">
        <f t="array" ref="M1023">_xlfn.XLOOKUP(C1023,[5]C6_LMA_DIAG!$P$46:$P$63,_xlfn.XLOOKUP(B1023,[5]C6_LMA_DIAG!$P$46:$AB$46,[5]C6_LMA_DIAG!$P$46:$AB$63))</f>
        <v>16.153282896317712</v>
      </c>
      <c r="N1023" s="16" cm="1">
        <f t="array" ref="N1023">_xlfn.XLOOKUP(C1023,[6]C6_LMA_DIAG!$R$51:$R$68,_xlfn.XLOOKUP(B1023,[6]C6_LMA_DIAG!$R$51:$AF$51,[6]C6_LMA_DIAG!$R$51:$AF$68))</f>
        <v>31.48</v>
      </c>
      <c r="O1023" s="20">
        <v>92</v>
      </c>
      <c r="P1023" s="16">
        <v>36</v>
      </c>
    </row>
    <row r="1024" spans="1:16" x14ac:dyDescent="0.3">
      <c r="A1024" s="15" t="s">
        <v>69</v>
      </c>
      <c r="B1024" s="15" t="s">
        <v>70</v>
      </c>
      <c r="C1024" s="15" t="s">
        <v>19</v>
      </c>
      <c r="D1024" s="15" t="s">
        <v>52</v>
      </c>
      <c r="E1024" s="15" t="s">
        <v>40</v>
      </c>
      <c r="F1024" s="15" t="s">
        <v>20</v>
      </c>
      <c r="G1024" s="15" t="s">
        <v>9</v>
      </c>
      <c r="H1024" s="16"/>
      <c r="I1024" s="16"/>
      <c r="J1024" s="16"/>
      <c r="K1024" s="16"/>
      <c r="L1024" s="16">
        <v>0</v>
      </c>
      <c r="M1024" s="16">
        <v>0</v>
      </c>
      <c r="N1024" s="16" cm="1">
        <f t="array" ref="N1024">_xlfn.XLOOKUP(C1024,[6]C6_LMA_DIAG!$R$51:$R$68,_xlfn.XLOOKUP(B1024,[6]C6_LMA_DIAG!$R$51:$AF$51,[6]C6_LMA_DIAG!$R$51:$AF$68))</f>
        <v>1044.8</v>
      </c>
      <c r="O1024" s="20">
        <v>2143</v>
      </c>
      <c r="P1024" s="16">
        <v>407</v>
      </c>
    </row>
    <row r="1025" spans="1:16" x14ac:dyDescent="0.3">
      <c r="A1025" s="15"/>
      <c r="B1025" s="18" t="s">
        <v>71</v>
      </c>
      <c r="C1025" s="15" t="s">
        <v>19</v>
      </c>
      <c r="D1025" s="15" t="s">
        <v>52</v>
      </c>
      <c r="E1025" s="15" t="s">
        <v>40</v>
      </c>
      <c r="F1025" s="15" t="s">
        <v>20</v>
      </c>
      <c r="G1025" s="15" t="s">
        <v>9</v>
      </c>
      <c r="H1025" s="16"/>
      <c r="I1025" s="16"/>
      <c r="J1025" s="16"/>
      <c r="K1025" s="16"/>
      <c r="L1025" s="16">
        <v>0</v>
      </c>
      <c r="M1025" s="16">
        <v>0</v>
      </c>
      <c r="N1025" s="16" cm="1">
        <f t="array" ref="N1025">_xlfn.XLOOKUP(C1025,[6]C6_LMA_DIAG!$R$51:$R$68,_xlfn.XLOOKUP(B1025,[6]C6_LMA_DIAG!$R$51:$AF$51,[6]C6_LMA_DIAG!$R$51:$AF$68))</f>
        <v>16432.060000000001</v>
      </c>
      <c r="O1025" s="20">
        <v>4285</v>
      </c>
      <c r="P1025" s="16">
        <v>0</v>
      </c>
    </row>
    <row r="1026" spans="1:16" x14ac:dyDescent="0.3">
      <c r="A1026" s="15" t="s">
        <v>69</v>
      </c>
      <c r="B1026" s="15" t="s">
        <v>65</v>
      </c>
      <c r="C1026" s="15" t="s">
        <v>19</v>
      </c>
      <c r="D1026" s="15" t="s">
        <v>52</v>
      </c>
      <c r="E1026" s="15" t="s">
        <v>40</v>
      </c>
      <c r="F1026" s="15" t="s">
        <v>20</v>
      </c>
      <c r="G1026" s="15" t="s">
        <v>9</v>
      </c>
      <c r="H1026" s="16"/>
      <c r="I1026" s="16"/>
      <c r="J1026" s="16"/>
      <c r="K1026" s="16"/>
      <c r="L1026" s="16" cm="1">
        <f t="array" ref="L1026">_xlfn.XLOOKUP(C1026,[4]C5_LMA_DIAG!$P$49:$P$66,_xlfn.XLOOKUP(B1026,[4]C5_LMA_DIAG!$P$49:$AB$49,[4]C5_LMA_DIAG!$P$49:$AB$66))</f>
        <v>1557.4535977645514</v>
      </c>
      <c r="M1026" s="16" cm="1">
        <f t="array" ref="M1026">_xlfn.XLOOKUP(C1026,[5]C6_LMA_DIAG!$P$46:$P$63,_xlfn.XLOOKUP(B1026,[5]C6_LMA_DIAG!$P$46:$AB$46,[5]C6_LMA_DIAG!$P$46:$AB$63))</f>
        <v>208.52419738882864</v>
      </c>
      <c r="N1026" s="16" cm="1">
        <f t="array" ref="N1026">_xlfn.XLOOKUP(C1026,[6]C6_LMA_DIAG!$R$51:$R$68,_xlfn.XLOOKUP(B1026,[6]C6_LMA_DIAG!$R$51:$AF$51,[6]C6_LMA_DIAG!$R$51:$AF$68))</f>
        <v>127.42</v>
      </c>
      <c r="O1026" s="20">
        <v>562</v>
      </c>
      <c r="P1026" s="16">
        <v>105</v>
      </c>
    </row>
    <row r="1027" spans="1:16" x14ac:dyDescent="0.3">
      <c r="A1027" s="15" t="s">
        <v>69</v>
      </c>
      <c r="B1027" s="15" t="s">
        <v>19</v>
      </c>
      <c r="C1027" s="15" t="s">
        <v>19</v>
      </c>
      <c r="D1027" s="15" t="s">
        <v>52</v>
      </c>
      <c r="E1027" s="15" t="s">
        <v>40</v>
      </c>
      <c r="F1027" s="15" t="s">
        <v>20</v>
      </c>
      <c r="G1027" s="15" t="s">
        <v>9</v>
      </c>
      <c r="H1027" s="16"/>
      <c r="I1027" s="16"/>
      <c r="J1027" s="16"/>
      <c r="K1027" s="16"/>
      <c r="L1027" s="16" cm="1">
        <f t="array" ref="L1027">_xlfn.XLOOKUP(C1027,[4]C5_LMA_DIAG!$P$49:$P$66,_xlfn.XLOOKUP(B1027,[4]C5_LMA_DIAG!$P$49:$AB$49,[4]C5_LMA_DIAG!$P$49:$AB$66))</f>
        <v>0</v>
      </c>
      <c r="M1027" s="16" cm="1">
        <f t="array" ref="M1027">_xlfn.XLOOKUP(C1027,[5]C6_LMA_DIAG!$P$46:$P$63,_xlfn.XLOOKUP(B1027,[5]C6_LMA_DIAG!$P$46:$AB$46,[5]C6_LMA_DIAG!$P$46:$AB$63))</f>
        <v>0</v>
      </c>
      <c r="N1027" s="16" cm="1">
        <f t="array" ref="N1027">_xlfn.XLOOKUP(C1027,[6]C6_LMA_DIAG!$R$51:$R$68,_xlfn.XLOOKUP(B1027,[6]C6_LMA_DIAG!$R$51:$AF$51,[6]C6_LMA_DIAG!$R$51:$AF$68))</f>
        <v>0</v>
      </c>
      <c r="O1027" s="20">
        <v>0</v>
      </c>
      <c r="P1027" s="16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4.4" x14ac:dyDescent="0.3"/>
  <sheetData>
    <row r="1" spans="2:10" x14ac:dyDescent="0.3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aceptadas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2026-01-28T21:24:12Z</dcterms:modified>
</cp:coreProperties>
</file>