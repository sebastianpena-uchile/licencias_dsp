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defaultThemeVersion="124226"/>
  <xr:revisionPtr revIDLastSave="0" documentId="13_ncr:1_{166932FB-DB30-4C91-A402-5D6BC0E0D4FD}" xr6:coauthVersionLast="47" xr6:coauthVersionMax="47" xr10:uidLastSave="{00000000-0000-0000-0000-000000000000}"/>
  <bookViews>
    <workbookView xWindow="-120" yWindow="-16485" windowWidth="29040" windowHeight="15720" tabRatio="853" activeTab="8" xr2:uid="{00000000-000D-0000-FFFF-FFFF00000000}"/>
  </bookViews>
  <sheets>
    <sheet name="Introducción" sheetId="48" r:id="rId1"/>
    <sheet name="Índice" sheetId="21" r:id="rId2"/>
    <sheet name="Glosario" sheetId="22" r:id="rId3"/>
    <sheet name="C1_COT" sheetId="15" r:id="rId4"/>
    <sheet name="C2_LMT" sheetId="25" r:id="rId5"/>
    <sheet name="C3_LMA" sheetId="10" r:id="rId6"/>
    <sheet name="C4_LMR" sheetId="23" r:id="rId7"/>
    <sheet name="C5_LMT_DIAG" sheetId="26" r:id="rId8"/>
    <sheet name="C6_LMA_DIAG" sheetId="35" r:id="rId9"/>
    <sheet name="C7_LMR_DIAG" sheetId="36" r:id="rId10"/>
    <sheet name="C8_GTO_SIL" sheetId="29" r:id="rId11"/>
    <sheet name="C9_IND_SIL" sheetId="8" r:id="rId12"/>
    <sheet name="C10_LMT_COT" sheetId="37" r:id="rId13"/>
    <sheet name="C11_LMT_SECTOR" sheetId="38" r:id="rId14"/>
    <sheet name="C12_LMA_SECTOR" sheetId="39" r:id="rId15"/>
    <sheet name="C13_LMR_SECTOR" sheetId="40" r:id="rId16"/>
    <sheet name="C14_LMT_DIAG_ESPECIALES" sheetId="41" r:id="rId17"/>
    <sheet name="C15_LMA_DIAG_ESPECIALES" sheetId="42" r:id="rId18"/>
    <sheet name="C16_LMR_DIAG_ESPECIALES" sheetId="43" r:id="rId19"/>
    <sheet name="C17_LMT_PAT_RELEVANTES" sheetId="44" r:id="rId20"/>
    <sheet name="C18_LMA_PAT_RELEVANTES" sheetId="45" r:id="rId21"/>
    <sheet name="C19_LMR_PAT_RELEVANTES" sheetId="47"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35" l="1" a="1"/>
  <c r="B22" i="3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<sst xmlns="http://schemas.openxmlformats.org/spreadsheetml/2006/main" count="4352" uniqueCount="1114">
  <si>
    <t>FONASA</t>
  </si>
  <si>
    <t>ISAPRE</t>
  </si>
  <si>
    <t>20-24</t>
  </si>
  <si>
    <t>65 y más</t>
  </si>
  <si>
    <t>Independiente</t>
  </si>
  <si>
    <t>Hombre</t>
  </si>
  <si>
    <t>Mujer</t>
  </si>
  <si>
    <t>Rechazadas</t>
  </si>
  <si>
    <t>Pendientes</t>
  </si>
  <si>
    <t>Trastornos mentales</t>
  </si>
  <si>
    <t>Enf. osteomusculares</t>
  </si>
  <si>
    <t>Enf. respiratorias</t>
  </si>
  <si>
    <t>Traumatismos, env. y otros</t>
  </si>
  <si>
    <t>Enf. infecciosas</t>
  </si>
  <si>
    <t>Arica y Parinacota (XV)</t>
  </si>
  <si>
    <t>Tarapacá (I)</t>
  </si>
  <si>
    <t>Antofagasta (II)</t>
  </si>
  <si>
    <t>Atacama (III)</t>
  </si>
  <si>
    <t>Coquimbo (IV)</t>
  </si>
  <si>
    <t>Valparaíso (V)</t>
  </si>
  <si>
    <t>Metropolitana (RM)</t>
  </si>
  <si>
    <t>O'Higgins (VI)</t>
  </si>
  <si>
    <t>Maule (VII)</t>
  </si>
  <si>
    <t>Biobío (VIII)</t>
  </si>
  <si>
    <t>La Araucanía (IX)</t>
  </si>
  <si>
    <t>Los Ríos (XIV)</t>
  </si>
  <si>
    <t>Los Lagos (X)</t>
  </si>
  <si>
    <t>Aysén (XI)</t>
  </si>
  <si>
    <t>Magallanes (XII)</t>
  </si>
  <si>
    <t>Dependiente privado</t>
  </si>
  <si>
    <t>Dependiente público</t>
  </si>
  <si>
    <t>Otros diagnósticos</t>
  </si>
  <si>
    <t>Dependiente</t>
  </si>
  <si>
    <t>Agricultura y Pesca</t>
  </si>
  <si>
    <t>Minería</t>
  </si>
  <si>
    <t>Industria Manufacturera</t>
  </si>
  <si>
    <t>Electricidad, Gas y Agua</t>
  </si>
  <si>
    <t>Construcción</t>
  </si>
  <si>
    <t xml:space="preserve">Comercio </t>
  </si>
  <si>
    <t>Transportes y Comunicaciones</t>
  </si>
  <si>
    <t>COT</t>
  </si>
  <si>
    <t>LMT</t>
  </si>
  <si>
    <t>LMA</t>
  </si>
  <si>
    <t>LMR</t>
  </si>
  <si>
    <t>SIL</t>
  </si>
  <si>
    <t>DIAG</t>
  </si>
  <si>
    <t>Licencia Médica Tramitada</t>
  </si>
  <si>
    <t>Licencia Médica Autorizada</t>
  </si>
  <si>
    <t>Licencia Médica Rechazada</t>
  </si>
  <si>
    <t>Subsidio por Incapacidad Laboral</t>
  </si>
  <si>
    <t>GLOSARIO</t>
  </si>
  <si>
    <t>Abreviatura</t>
  </si>
  <si>
    <t>Glosa</t>
  </si>
  <si>
    <t>19 y menos</t>
  </si>
  <si>
    <t>25-34</t>
  </si>
  <si>
    <t>35-44</t>
  </si>
  <si>
    <t>45-54</t>
  </si>
  <si>
    <t>55-64</t>
  </si>
  <si>
    <t>&lt;250</t>
  </si>
  <si>
    <t>SISTEMA</t>
  </si>
  <si>
    <t>Total</t>
  </si>
  <si>
    <t>Autorizadas sin modificación</t>
  </si>
  <si>
    <t>Autorizadas con modificación</t>
  </si>
  <si>
    <t>Servicios</t>
  </si>
  <si>
    <t>TOTAL</t>
  </si>
  <si>
    <t>AÑOS</t>
  </si>
  <si>
    <t>SEXO</t>
  </si>
  <si>
    <t>TRAMO ETARIO</t>
  </si>
  <si>
    <t>TIPO DE COTIZANTE</t>
  </si>
  <si>
    <t>TRAMO DE REMUNERACIONES            (EN MILES DE $)</t>
  </si>
  <si>
    <t>250 - 350</t>
  </si>
  <si>
    <t>350 - 500</t>
  </si>
  <si>
    <t>500 - 750</t>
  </si>
  <si>
    <t>750 - 1.000</t>
  </si>
  <si>
    <t>1.000 - 1.250</t>
  </si>
  <si>
    <t>1.250 - 1.500</t>
  </si>
  <si>
    <t>1.500 - 1.800</t>
  </si>
  <si>
    <t>&gt;1.800</t>
  </si>
  <si>
    <t>ISAPRE (*)</t>
  </si>
  <si>
    <t>Cuadro N° 1.1:</t>
  </si>
  <si>
    <t>Cuadro N° 1.2:</t>
  </si>
  <si>
    <t>Cuadro N° 1.3:</t>
  </si>
  <si>
    <t xml:space="preserve">Cuadro N° 1.4: </t>
  </si>
  <si>
    <t>Cuadro N° 1.5:</t>
  </si>
  <si>
    <t xml:space="preserve">Cuadro N° 1.6: </t>
  </si>
  <si>
    <t>Cuadro N° 1.7:</t>
  </si>
  <si>
    <t>Cuadro N° 8.1:</t>
  </si>
  <si>
    <t>Cuadro N° 8.2:</t>
  </si>
  <si>
    <t>Cuadro N° 8.3:</t>
  </si>
  <si>
    <t>Cuadro N° 9.1:</t>
  </si>
  <si>
    <t>Cuadro N° 9.2:</t>
  </si>
  <si>
    <t>Cuadro N° 9.3:</t>
  </si>
  <si>
    <t>Cuadro N° 9.4:</t>
  </si>
  <si>
    <t>Cuadro N° 9.5:</t>
  </si>
  <si>
    <t>Cuadro N° 9.6:</t>
  </si>
  <si>
    <t>Cuadro N° 2.1.1:</t>
  </si>
  <si>
    <t>Cuadro N° 2.1.2:</t>
  </si>
  <si>
    <t>Cuadro N° 2.2.1:</t>
  </si>
  <si>
    <t>Cuadro N° 2.2.2:</t>
  </si>
  <si>
    <t>Cuadro N° 3.1.2:</t>
  </si>
  <si>
    <t>Cuadro N° 3.2.2:</t>
  </si>
  <si>
    <t>Cuadro N° 4.1.1:</t>
  </si>
  <si>
    <t>Cuadro N° 4.1.2:</t>
  </si>
  <si>
    <t>Cuadro N° 4.2.1:</t>
  </si>
  <si>
    <t>Cuadro N° 4.2.2:</t>
  </si>
  <si>
    <t>Cuadro N° 1.8:</t>
  </si>
  <si>
    <t>C1</t>
  </si>
  <si>
    <t>C2</t>
  </si>
  <si>
    <t>C3</t>
  </si>
  <si>
    <t>C4</t>
  </si>
  <si>
    <t>C5</t>
  </si>
  <si>
    <t>C6</t>
  </si>
  <si>
    <t>C7</t>
  </si>
  <si>
    <t>C8</t>
  </si>
  <si>
    <t>C9</t>
  </si>
  <si>
    <t>ÍNDICE DE CUADROS</t>
  </si>
  <si>
    <t>CUADROS N° 1: COTIZANTES CON DERECHO A LICENCIA MÉDICA</t>
  </si>
  <si>
    <t>IND</t>
  </si>
  <si>
    <t>Indicadores</t>
  </si>
  <si>
    <t>Cuadro N° 2.1.3:</t>
  </si>
  <si>
    <t>Cuadro N° 2.1.4:</t>
  </si>
  <si>
    <t>Cuadro N° 2.1.5:</t>
  </si>
  <si>
    <t>Cuadro N° 2.2.3:</t>
  </si>
  <si>
    <t>Cuadro N° 2.2.4:</t>
  </si>
  <si>
    <t>Cuadro N° 2.2.5:</t>
  </si>
  <si>
    <t>GTO</t>
  </si>
  <si>
    <t>Gasto</t>
  </si>
  <si>
    <t>Cuadro N° 3.1.3:</t>
  </si>
  <si>
    <t>Cuadro N° 3.1.4:</t>
  </si>
  <si>
    <t>Cuadro N° 3.2.3:</t>
  </si>
  <si>
    <t>Cuadro N° 3.1.1:</t>
  </si>
  <si>
    <t>Cuadro N° 4.1.3:</t>
  </si>
  <si>
    <t>Cuadro N° 4.2.3:</t>
  </si>
  <si>
    <t>Cuadro N° 2.1.6:</t>
  </si>
  <si>
    <t>Cuadro N° 2.2.6:</t>
  </si>
  <si>
    <t>Cuadro N° 3.1.5:</t>
  </si>
  <si>
    <t>Cuadro N° 3.2.1:</t>
  </si>
  <si>
    <t>Cuadro N° 3.2.5:</t>
  </si>
  <si>
    <t>Cuadro N° 3.2.4:</t>
  </si>
  <si>
    <t>Cuadro N° 4.1.4:</t>
  </si>
  <si>
    <t>Cuadro N° 4.2.4:</t>
  </si>
  <si>
    <t>Cuadro N° 5.1.1.1:</t>
  </si>
  <si>
    <t>Cuadro N° 5.1.2.1:</t>
  </si>
  <si>
    <t>Cuadro N° 5.1.2.2:</t>
  </si>
  <si>
    <t>Cuadro N° 5.1.3.1:</t>
  </si>
  <si>
    <t>Cuadro N° 5.1.4.1:</t>
  </si>
  <si>
    <t>Cuadro N° 5.1.3.2:</t>
  </si>
  <si>
    <t>Cuadro N° 5.1.4.2:</t>
  </si>
  <si>
    <t>Cuadro N° 5.2.1.1:</t>
  </si>
  <si>
    <t>Cuadro N° 5.2.2.1:</t>
  </si>
  <si>
    <t>Cuadro N° 5.2.3.1:</t>
  </si>
  <si>
    <t>Cuadro N° 5.2.4.1:</t>
  </si>
  <si>
    <t>Cuadro N° 5.2.2.2:</t>
  </si>
  <si>
    <t>Cuadro N° 5.2.3.2:</t>
  </si>
  <si>
    <t>Cuadro N° 5.2.4.2:</t>
  </si>
  <si>
    <t>Cuadro N° 6.1.1.1:</t>
  </si>
  <si>
    <t>Cuadro N° 6.1.2.1:</t>
  </si>
  <si>
    <t>Cuadro N° 6.1.3.1:</t>
  </si>
  <si>
    <t>Cuadro N° 6.1.4.1:</t>
  </si>
  <si>
    <t>Cuadro N° 6.1.2.2:</t>
  </si>
  <si>
    <t>Cuadro N° 6.1.3.2:</t>
  </si>
  <si>
    <t>Cuadro N° 6.1.4.2:</t>
  </si>
  <si>
    <t>Cuadro N° 6.2.1.1:</t>
  </si>
  <si>
    <t>Cuadro N° 6.2.2.1:</t>
  </si>
  <si>
    <t>Cuadro N° 6.2.3.1:</t>
  </si>
  <si>
    <t>Cuadro N° 6.2.4.1:</t>
  </si>
  <si>
    <t>Cuadro N° 6.2.2.2:</t>
  </si>
  <si>
    <t>Cuadro N° 6.2.3.2:</t>
  </si>
  <si>
    <t>Cuadro N° 6.2.4.2:</t>
  </si>
  <si>
    <t>Cuadro N° 7.1.1.1:</t>
  </si>
  <si>
    <t>Cuadro N° 7.1.2.1:</t>
  </si>
  <si>
    <t>Cuadro N° 7.1.3.1:</t>
  </si>
  <si>
    <t>Cuadro N° 7.1.4.1:</t>
  </si>
  <si>
    <t>Cuadro N° 7.1.2.2:</t>
  </si>
  <si>
    <t>Cuadro N° 7.1.3.2:</t>
  </si>
  <si>
    <t>Cuadro N° 7.1.4.2:</t>
  </si>
  <si>
    <t>Cuadro N° 7.2.1.1:</t>
  </si>
  <si>
    <t>Cuadro N° 7.2.2.1:</t>
  </si>
  <si>
    <t>Cuadro N° 7.2.3.1:</t>
  </si>
  <si>
    <t>Cuadro N° 7.2.4.1:</t>
  </si>
  <si>
    <t>Cuadro N° 7.2.2.2:</t>
  </si>
  <si>
    <t>Cuadro N° 7.2.3.2:</t>
  </si>
  <si>
    <t>Cuadro N° 7.2.4.2:</t>
  </si>
  <si>
    <t>Cotizantes con Derecho a Licencia Médica</t>
  </si>
  <si>
    <t>Cuadros N° 1</t>
  </si>
  <si>
    <t>Cuadros N° 2</t>
  </si>
  <si>
    <t>Cuadros N° 3</t>
  </si>
  <si>
    <t>Cuadros N° 4</t>
  </si>
  <si>
    <t>Cuadros N° 5</t>
  </si>
  <si>
    <t>Cuadros N° 6</t>
  </si>
  <si>
    <t>Cuadros N° 7</t>
  </si>
  <si>
    <t>Cuadros N° 8</t>
  </si>
  <si>
    <t>Cuadros N° 9</t>
  </si>
  <si>
    <t>Diagnósticos (CIE-10)</t>
  </si>
  <si>
    <t>CUADROS N° 2: LICENCIAS MÉDICAS TRAMITADAS Y DÍAS OTORGADOS</t>
  </si>
  <si>
    <t>CUADROS N° 3: LICENCIAS MÉDICAS AUTORIZADAS Y DÍAS PAGADOS</t>
  </si>
  <si>
    <t>CUADROS N° 4: LICENCIAS MÉDICAS RECHAZADAS Y DÍAS RECHAZADOS</t>
  </si>
  <si>
    <t>CUADROS N° 5: LICENCIAS MÉDICAS TRAMITADAS Y DÍAS OTORGADOS POR PRINCIPALES GRUPOS DIAGNÓSTICO (CIE-10)</t>
  </si>
  <si>
    <t>CUADROS N° 6: LICENCIAS MÉDICAS AUTORIZADAS Y DÍAS PAGADOS POR PRINCIPALES GRUPOS DIAGNÓSTICO (CIE-10)</t>
  </si>
  <si>
    <t>CUADROS N° 7: LICENCIAS MÉDICAS RECHAZADAS Y DÍAS RECHAZADOS POR PRINCIPALES GRUPOS DIAGNÓSTICO (CIE-10)</t>
  </si>
  <si>
    <t>CUADROS N° 8: GASTO POR SUBSIDIO POR INCAPACIDAD LABORAL</t>
  </si>
  <si>
    <t>CUADROS N° 9: INDICADORES DE GASTO POR SUBSIDIO POR INCAPACIDAD LABORAL</t>
  </si>
  <si>
    <t>CUADROS N° 5: LICENCIAS MÉDICAS TRAMITADAS Y DÍAS OTORGADOS POR PRINCIPALES GRUPOS DIAGNÓSTICOS (CIE-10)</t>
  </si>
  <si>
    <t>CUADROS N° 6: LICENCIAS MÉDICAS AUTORIZADAS Y DÍAS PAGADOS POR PRINCIPALES GRUPOS DIAGNÓSTICOS (CIE-10)</t>
  </si>
  <si>
    <t>CUADROS N° 7: LICENCIAS MÉDICAS RECHAZADAS Y DÍAS RECHAZADOS POR PRINCIPALES GRUPOS DIAGNÓSTICOS (CIE-10)</t>
  </si>
  <si>
    <t>CUADROS N° 8: GASTO EN SUBSIDIOS POR INCAPACIDAD LABORAL</t>
  </si>
  <si>
    <t>CUADROS N° 9: INDICADORES DE GASTO EN SUBSIDIOS POR INCAPACIDAD LABORAL</t>
  </si>
  <si>
    <t>TIPO DE DIAGNÓSTICO</t>
  </si>
  <si>
    <t>REGIÓN</t>
  </si>
  <si>
    <t>ACTIVIDAD ECONÓMICA</t>
  </si>
  <si>
    <t>TIPO DE RESOLUCIÓN</t>
  </si>
  <si>
    <t xml:space="preserve">Cuadro N° 1.9.1: </t>
  </si>
  <si>
    <t xml:space="preserve">Cuadro N° 1.9.2: </t>
  </si>
  <si>
    <t>Número de cotizantes FONASA, según sexo y tramo de remuneraciones año 2016</t>
  </si>
  <si>
    <t>Número de cotizantes ISAPREs, según sexo y tramo de remuneraciones año 2016</t>
  </si>
  <si>
    <t>HOMBRE</t>
  </si>
  <si>
    <t>MUJER</t>
  </si>
  <si>
    <t xml:space="preserve">Cuadro N° 1.10.1: </t>
  </si>
  <si>
    <t xml:space="preserve">Cuadro N° 1.10.2: </t>
  </si>
  <si>
    <t>Estadísticas promedio de cotizantes FONASA, según sexo año 2016</t>
  </si>
  <si>
    <t>Estadísticas promedio de cotizantes ISAPREs, según sexo año 2016</t>
  </si>
  <si>
    <t>VALORES PROMEDIOS</t>
  </si>
  <si>
    <t>Remuneración</t>
  </si>
  <si>
    <t>Reumeración dependientes</t>
  </si>
  <si>
    <t>Remuneración independientes</t>
  </si>
  <si>
    <t>Edad</t>
  </si>
  <si>
    <t>Número de licencias médicas tramitadas, según seguro de salud años 2012-2016</t>
  </si>
  <si>
    <t>Número de días otorgados, según seguro de salud años 2012-2016</t>
  </si>
  <si>
    <t>Número de licencias médicas tramitadas, según seguro de salud y sexo año 2016</t>
  </si>
  <si>
    <t>Número de días otorgados, según seguro de salud y sexo año 2016</t>
  </si>
  <si>
    <t>Enf. del Sistema Digestivo</t>
  </si>
  <si>
    <t>Afecciones del embarazo, Parto y Puerperio</t>
  </si>
  <si>
    <t>Enfermedades del Sist Genito urinario</t>
  </si>
  <si>
    <t>Tumores y Cánceres</t>
  </si>
  <si>
    <t>Otros Diagnósticos</t>
  </si>
  <si>
    <t>Sin información</t>
  </si>
  <si>
    <t>Cuadro 8.4.1:</t>
  </si>
  <si>
    <t>PÚBLICO</t>
  </si>
  <si>
    <t>PRIVADO</t>
  </si>
  <si>
    <t>Cuadro 8.4.2:</t>
  </si>
  <si>
    <t>CUADROS N° 10: NÚMERO DE PERSONAS QUE TIENEN LICENCIAS MÉDICAS TRAMITADAS</t>
  </si>
  <si>
    <t>Número de personas que tienen licencias médicas tramitadas, según seguro de salud y región año 2016</t>
  </si>
  <si>
    <t>No es factible de efectuar porque las personas tienen licencias en el año con cualquiera de estas variables, por tanto no se puede realizar sumatoria</t>
  </si>
  <si>
    <t>Número de personas que tienen licencias médicas tramitadas, según seguro de salud y  tipo de resolución año 2016</t>
  </si>
  <si>
    <t>Autorizadas</t>
  </si>
  <si>
    <t>Ampliadas</t>
  </si>
  <si>
    <t>Reducidas</t>
  </si>
  <si>
    <t>Número de personas con licencias médicas rechazada según seguro de salud años 2016</t>
  </si>
  <si>
    <t>CUADROS N° 11: LICENCIAS MÉDICAS TRAMITADAS Y DÍAS OTORGADOS POR TIPO SECTOR</t>
  </si>
  <si>
    <t>Cuadro N° 11.1.1.1:</t>
  </si>
  <si>
    <t>Número de licencias médicas tramitadas, según seguro de salud y tipo de sector año 2016</t>
  </si>
  <si>
    <t>TIPO DE SECTOR</t>
  </si>
  <si>
    <t>Público</t>
  </si>
  <si>
    <t>Privado</t>
  </si>
  <si>
    <t>Cuadro N° 11.1.2.1:</t>
  </si>
  <si>
    <t>Cuadro N° 11.1.2.2:</t>
  </si>
  <si>
    <t>Cuadro N° 11.1.3.1:</t>
  </si>
  <si>
    <t>Cuadro N° 11.1.3.2:</t>
  </si>
  <si>
    <t>Cuadro N° 11.1.4.1:</t>
  </si>
  <si>
    <t>Cuadro N° 11.1.4.2:</t>
  </si>
  <si>
    <t>Cuadro N° 11.2.1.1:</t>
  </si>
  <si>
    <t>Cuadro N° 11.2.2.1:</t>
  </si>
  <si>
    <t>Cuadro N° 11.2.2.2:</t>
  </si>
  <si>
    <t>Cuadro N° 11.2.3.1:</t>
  </si>
  <si>
    <t>Cuadro N° 11.2.3.2:</t>
  </si>
  <si>
    <t>Cuadro N° 11.2.4.1:</t>
  </si>
  <si>
    <t>Cuadro N° 11.2.4.2:</t>
  </si>
  <si>
    <t>CUADROS N° 12: LICENCIAS MÉDICAS AUTORIZADAS Y DÍAS PAGADOS POR TIPO SECTOR</t>
  </si>
  <si>
    <t>Cuadro N° 12.1.1.1:</t>
  </si>
  <si>
    <t>Cuadro N° 12.1.2.1:</t>
  </si>
  <si>
    <t>Cuadro N° 12.1.2.2:</t>
  </si>
  <si>
    <t>Cuadro N° 12.1.3.1:</t>
  </si>
  <si>
    <t>Cuadro N° 12.1.3.2:</t>
  </si>
  <si>
    <t>Cuadro N° 12.1.4.1:</t>
  </si>
  <si>
    <t>Cuadro N° 12.1.4.2:</t>
  </si>
  <si>
    <t>Cuadro N° 12.2.1.1:</t>
  </si>
  <si>
    <t>Cuadro N° 12.2.2.1:</t>
  </si>
  <si>
    <t>Cuadro N° 12.2.2.2:</t>
  </si>
  <si>
    <t>Cuadro N° 12.2.3.1:</t>
  </si>
  <si>
    <t>Cuadro N° 12.2.3.2:</t>
  </si>
  <si>
    <t>Cuadro N° 12.2.4.1:</t>
  </si>
  <si>
    <t>Cuadro N° 12.2.4.2:</t>
  </si>
  <si>
    <t>CUADROS N° 13: LICENCIAS MÉDICAS RECHAZADAS Y DÍAS RECHAZADOS POR TIPO SECTOR</t>
  </si>
  <si>
    <t>Cuadro N° 13.1.1.1:</t>
  </si>
  <si>
    <t>Cuadro N° 13.1.2.1:</t>
  </si>
  <si>
    <t>Cuadro N° 13.1.2.2:</t>
  </si>
  <si>
    <t>Cuadro N° 13.1.3.1:</t>
  </si>
  <si>
    <t>Cuadro N° 13.1.3.2:</t>
  </si>
  <si>
    <t>Cuadro N° 13.1.4.1:</t>
  </si>
  <si>
    <t>Cuadro N° 13.1.4.2:</t>
  </si>
  <si>
    <t>Cuadro N° 13.2.1.1:</t>
  </si>
  <si>
    <t>Cuadro N° 13.2.2.1:</t>
  </si>
  <si>
    <t>Cuadro N° 13.2.2.2:</t>
  </si>
  <si>
    <t>Cuadro N° 13.2.3.1:</t>
  </si>
  <si>
    <t>Cuadro N° 13.2.3.2:</t>
  </si>
  <si>
    <t>Cuadro N° 13.2.4.1:</t>
  </si>
  <si>
    <t>Cuadro N° 13.2.4.2:</t>
  </si>
  <si>
    <t>CUADROS N° 14: LICENCIAS MÉDICAS TRAMITADAS Y DÍAS OTORGADOS SEGÚN PATOLOGÍAS ESPECIALES</t>
  </si>
  <si>
    <t>Cuadro N° 14.1.1.1:</t>
  </si>
  <si>
    <t>Cuadro N° 14.2.1.1:</t>
  </si>
  <si>
    <t>DEPRESION</t>
  </si>
  <si>
    <t>F32 y F33</t>
  </si>
  <si>
    <t>Cuadro N° 14.1.2.1:</t>
  </si>
  <si>
    <t>Cuadro N° 14.2.2.1:</t>
  </si>
  <si>
    <t>Cuadro N° 14.1.3.1:</t>
  </si>
  <si>
    <t>Cuadro N° 14.2.3.1:</t>
  </si>
  <si>
    <t>F32</t>
  </si>
  <si>
    <t>Cuadro N° 14.3.1.1:</t>
  </si>
  <si>
    <t>Cuadro N° 14.4.1.1:</t>
  </si>
  <si>
    <t>ARTRITIS REUMATOIDE</t>
  </si>
  <si>
    <t>M05 y M06</t>
  </si>
  <si>
    <t>Cuadro N° 14.3.2.1:</t>
  </si>
  <si>
    <t>Cuadro N° 14.4.2.1:</t>
  </si>
  <si>
    <t>Cuadro N° 14.3.3.1:</t>
  </si>
  <si>
    <t>Cuadro N° 14.4.3.1:</t>
  </si>
  <si>
    <t>INSUFICIENCIA RENAL</t>
  </si>
  <si>
    <t>N17, N18 y N19</t>
  </si>
  <si>
    <t>CUADROS N° 15: LICENCIAS MÉDICAS AUTORIZADAS Y DÍAS PAGADOS SEGÚN PATOLOGÍAS ESPECIALES</t>
  </si>
  <si>
    <t>Cuadro N° 15.1.1.1:</t>
  </si>
  <si>
    <t>Cuadro N° 15.2.1.1:</t>
  </si>
  <si>
    <t>Cuadro N° 15.1.2.1:</t>
  </si>
  <si>
    <t>Cuadro N° 15.2.2.1:</t>
  </si>
  <si>
    <t>Cuadro N° 15.1.3.1:</t>
  </si>
  <si>
    <t>Cuadro N° 15.2.3.1:</t>
  </si>
  <si>
    <t>Cuadro N° 15.3.1.1:</t>
  </si>
  <si>
    <t>Cuadro N° 15.4.1.1:</t>
  </si>
  <si>
    <t>Cuadro N° 15.3.2.1:</t>
  </si>
  <si>
    <t>Cuadro N° 15.4.2.1:</t>
  </si>
  <si>
    <t>Cuadro N° 15.3.3.1:</t>
  </si>
  <si>
    <t>Cuadro N° 15.4.3.1:</t>
  </si>
  <si>
    <t>CUADROS N° 16: LICENCIAS MÉDICAS RECHAZADAS Y DÍAS RECHAZADOS SEGÚN PATOLOGÍAS ESPECIALES</t>
  </si>
  <si>
    <t>Cuadro N° 16.1.1.1:</t>
  </si>
  <si>
    <t>Cuadro N° 16.2.1.1:</t>
  </si>
  <si>
    <t>Cuadro N° 16.1.2.1:</t>
  </si>
  <si>
    <t>Cuadro N° 16.2.2.1:</t>
  </si>
  <si>
    <t>Cuadro N° 16.1.3.1:</t>
  </si>
  <si>
    <t>Cuadro N° 16.2.3.1:</t>
  </si>
  <si>
    <t>Cuadro N° 16.3.1.1:</t>
  </si>
  <si>
    <t>Cuadro N° 16.4.1.1:</t>
  </si>
  <si>
    <t>Cuadro N° 16.3.2.1:</t>
  </si>
  <si>
    <t>Cuadro N° 16.4.2.1:</t>
  </si>
  <si>
    <t>Cuadro N° 16.3.3.1:</t>
  </si>
  <si>
    <t>Cuadro N° 16.4.3.1:</t>
  </si>
  <si>
    <t>CUADROS N° 17: LICENCIAS MÉDICAS TRAMITADAS Y DÍAS OTORGADOS SEGÚN PATOLOGÍAS RELEVANTES</t>
  </si>
  <si>
    <t>Cuadro N° 17.1.1.1</t>
  </si>
  <si>
    <t>DIABETES</t>
  </si>
  <si>
    <t>E10 y E11</t>
  </si>
  <si>
    <t>PATOLOGIAS ISQUEMICAS AGUDAS DEL CORAZON</t>
  </si>
  <si>
    <t>I20, I21,  I22, I23, I24</t>
  </si>
  <si>
    <t>ACV</t>
  </si>
  <si>
    <t>I60, I61, I62, I63, I64</t>
  </si>
  <si>
    <t>CANCER DE MAMA</t>
  </si>
  <si>
    <t>C50</t>
  </si>
  <si>
    <t>CANCER GASTRICO</t>
  </si>
  <si>
    <t>C16</t>
  </si>
  <si>
    <t>C34</t>
  </si>
  <si>
    <t>CUADROS N° 18: LICENCIAS MÉDICAS AUTORIZADAS Y DÍAS PAGADOS SEGÚN PATOLOGÍAS RELEVANTES</t>
  </si>
  <si>
    <t>Cuadro N° 18.1.1.1:</t>
  </si>
  <si>
    <t>Cuadro N° 18.2.1.1:</t>
  </si>
  <si>
    <t>Cuadro N° 18.1.2.1:</t>
  </si>
  <si>
    <t>Cuadro N° 18.2.2.1:</t>
  </si>
  <si>
    <t>Cuadro N° 18.1.3.1:</t>
  </si>
  <si>
    <t>Cuadro N° 18.2.3.1:</t>
  </si>
  <si>
    <t>Cuadro N° 18.3.1.1:</t>
  </si>
  <si>
    <t>Cuadro N° 18.4.1.1:</t>
  </si>
  <si>
    <t>Cuadro N° 18.3.2.1:</t>
  </si>
  <si>
    <t>Cuadro N° 18.4.2.1:</t>
  </si>
  <si>
    <t>Cuadro N° 18.3.3.1:</t>
  </si>
  <si>
    <t>Cuadro N° 18.4.3.1:</t>
  </si>
  <si>
    <t>CUADROS N° 19: LICENCIAS MÉDICAS RECHAZADAS Y DÍAS RECHAZADOS SEGÚN PATOLOGÍAS ESPECIALES</t>
  </si>
  <si>
    <t>Cuadro N° 19.1.1.1:</t>
  </si>
  <si>
    <t>Cuadro N° 19.2.1.1:</t>
  </si>
  <si>
    <t>Cuadro N° 19.1.2.1:</t>
  </si>
  <si>
    <t>Cuadro N° 19.2.2.1:</t>
  </si>
  <si>
    <t>Cuadro N° 19.1.3.1:</t>
  </si>
  <si>
    <t>Cuadro N° 19.2.3.1:</t>
  </si>
  <si>
    <t>Cuadro N° 19.3.1.1:</t>
  </si>
  <si>
    <t>Cuadro N° 19.4.1.1:</t>
  </si>
  <si>
    <t>Cuadro N° 19.3.2.1:</t>
  </si>
  <si>
    <t>Cuadro N° 19.4.2.1:</t>
  </si>
  <si>
    <t>Cuadro N° 19.3.3.1:</t>
  </si>
  <si>
    <t>Cuadro N° 19.4.3.1:</t>
  </si>
  <si>
    <t>Número de licencias médicas tramitadas, según seguro de salud y tramo etario año 2016</t>
  </si>
  <si>
    <t>Número de dias otorgados, según seguro de salud y tramo etario año 2016</t>
  </si>
  <si>
    <t>Número de dias otorgados, según seguro de salud y tipo de sector año 2016</t>
  </si>
  <si>
    <t>Número de licencias médicas tramitadas, según seguro de salud y región año 2016</t>
  </si>
  <si>
    <t>Número de dias otorgados, según seguro de salud y región año 2016</t>
  </si>
  <si>
    <t>Número de licencias médicas tramitadas, según seguro de salud y  tipo de resolución año 2016</t>
  </si>
  <si>
    <t>Número de dias otorgados, según seguro de salud y  tipo de resolución año 2016</t>
  </si>
  <si>
    <t>Número de licencias médicas rechazadas, según seguro de salud y sexo año 2016</t>
  </si>
  <si>
    <t>Número de días rechazados, según seguro de salud y sexo año 2016</t>
  </si>
  <si>
    <t>Número de licencias médicas rechazadas, según seguro de salud y tramo etario año 2016</t>
  </si>
  <si>
    <t>Número de dias rechazados, según seguro de salud y tramo etario año 2016</t>
  </si>
  <si>
    <t>Número de licencias médicas rechazadas, según seguro de salud y región año 2016</t>
  </si>
  <si>
    <t>Número de dias rechazados, según seguro de salud y región año 2016</t>
  </si>
  <si>
    <t>Número de licencias médicas rechazadas, según seguro de salud años 2012-2016</t>
  </si>
  <si>
    <t>Número de días rechazados, según seguro de salud años 2012-2016</t>
  </si>
  <si>
    <t>Número de licencias médicas tramitadas, según seguro de salud y tipo de diagnóstico año 2016</t>
  </si>
  <si>
    <t>Número de licencias médicas tramitadas FONASA, según tipo de diagnóstico y sexo año 2016</t>
  </si>
  <si>
    <t>Número de licencias médicas tramitadas ISAPREs, según tipo de diagnóstico y sexo año 2016</t>
  </si>
  <si>
    <t>Número de licencias médicas tramitadas FONASA, según tipo de diagnóstico y tramo etario año 2016</t>
  </si>
  <si>
    <t>Número de licencias médicas tramitadas ISAPREs, según tipo de diagnóstico y tramo etario año 2016</t>
  </si>
  <si>
    <t>Número de licencias médicas tramitadas FONASA, según tipo de diagnóstico y región año 2016</t>
  </si>
  <si>
    <t>Número de licencias médicas tramitadas ISAPREs, según tipo de diagnóstico y región año 2016</t>
  </si>
  <si>
    <t>Número de días otorgados, según seguro de salud y tipo de diagnóstico año 2016</t>
  </si>
  <si>
    <t>Número de días otorgados FONASA, según tipo de diagnóstico y sexo año 2016</t>
  </si>
  <si>
    <t>Número de días otorgados ISAPREs, según tipo de diagnóstico y sexo año 2016</t>
  </si>
  <si>
    <t>Número de días otorgados FONASA, según tipo de diagnóstico y tramo etario año 2016</t>
  </si>
  <si>
    <t>Número de días otorgados ISAPREs, según tipo de diagnóstico y tramo etario año 2016</t>
  </si>
  <si>
    <t>Número de días otorgados FONASA, según tipo de diagnóstico y región año 2016</t>
  </si>
  <si>
    <t>Número de días otorgados ISAPREs, según tipo de diagnóstico y región año 2016</t>
  </si>
  <si>
    <t>Número de licencias médicas autorizadas ISAPREs, según tipo de diagnóstico y sexo año 2016 (*)</t>
  </si>
  <si>
    <t>Número de licencias médicas autorizadas ISAPREs, según tipo de diagnóstico y tramo etario año 2016 (*)</t>
  </si>
  <si>
    <t>Número de licencias médicas autorizadas ISAPREs, según tipo de diagnóstico y región año 2016 (*)</t>
  </si>
  <si>
    <t>Número de días pagados ISAPREs, según tipo de diagnóstico y sexo año 2016 (*)</t>
  </si>
  <si>
    <t>Número de días pagados ISAPREs, según tipo de diagnóstico y tramo etario año 2016 (*)</t>
  </si>
  <si>
    <t>Número de días pagados ISAPREs, según tipo de diagnóstico y región año 2016 (*)</t>
  </si>
  <si>
    <t>Número de licencias médicas rechazadas, según seguro de salud y tipo de diagnóstico año 2016</t>
  </si>
  <si>
    <t>Número de licencias médicas rechazadas FONASA, según tipo de diagnóstico y sexo año 2016</t>
  </si>
  <si>
    <t>Número de licencias médicas rechazadas ISAPREs, según tipo de diagnóstico y sexo año 2016</t>
  </si>
  <si>
    <t>Número de licencias médicas rechazadas FONASA, según tipo de diagnóstico y tramo etario año 2016</t>
  </si>
  <si>
    <t>Número de licencias médicas rechazadas ISAPREs, según tipo de diagnóstico y tramo etario año 2016</t>
  </si>
  <si>
    <t>Número de licencias médicas rechazadas FONASA, según tipo de diagnóstico y región año 2016</t>
  </si>
  <si>
    <t>Número de licencias médicas rechazadas ISAPREs, según tipo de diagnóstico y región año 2016</t>
  </si>
  <si>
    <t>Número de días rechazados, según seguro de salud y tipo de diagnóstico año 2016</t>
  </si>
  <si>
    <t>Número de días rechazados FONASA, según tipo de diagnóstico y sexo año 2016</t>
  </si>
  <si>
    <t>Número de días rechazados ISAPREs, según tipo de diagnóstico y sexo año 2016</t>
  </si>
  <si>
    <t>Número de días rechazados FONASA, según tipo de diagnóstico y tramo etario año 2016</t>
  </si>
  <si>
    <t>Número de días rechazados ISAPREs, según tipo de diagnóstico y tramo etario año 2016</t>
  </si>
  <si>
    <t>Número de días rechazados FONASA, según tipo de diagnóstico y región año 2016</t>
  </si>
  <si>
    <t>Número de días rechazados ISAPREs, según tipo de diagnóstico y región año 2016</t>
  </si>
  <si>
    <t>Número de días pagados por cotizante, según seguro de salud años 2012-2016</t>
  </si>
  <si>
    <t>Número de días pagados por licencia médica autorizada, según seguro de salud años 2012-2016</t>
  </si>
  <si>
    <t>Porcentaje de cotización necesario para financiar el SIL, según seguro de salud años 2012-2016</t>
  </si>
  <si>
    <t>Gasto en SIL por licencia médica autorizada, según seguro de salud (miles $ de diciembre 2016) años 2012-2016</t>
  </si>
  <si>
    <t>Gasto en SIL por día pagado, según seguro de salud (miles $ de diciembre 2016) años 2012-2016</t>
  </si>
  <si>
    <t>Gasto en SIL por cotizante, según seguro de salud (miles $ de diciembre 2016) años 2012-2016</t>
  </si>
  <si>
    <t>Cuadro N° 15.5.1.1:</t>
  </si>
  <si>
    <t>Cuadro N° 15.5.2.1:</t>
  </si>
  <si>
    <t>Cuadro N° 15.5.3.1:</t>
  </si>
  <si>
    <t>Cuadro N° 15.6.1.1:</t>
  </si>
  <si>
    <t>Cuadro N° 15.6.2.1:</t>
  </si>
  <si>
    <t>Cuadro N° 15.6.3.1:</t>
  </si>
  <si>
    <t>Cuadro N° 16.5.1.1:</t>
  </si>
  <si>
    <t>Cuadro N° 16.5.2.1:</t>
  </si>
  <si>
    <t>Cuadro N° 16.5.3.1:</t>
  </si>
  <si>
    <t>Cuadro N° 16.6.1.1:</t>
  </si>
  <si>
    <t>Cuadro N° 16.6.2.1:</t>
  </si>
  <si>
    <t>Cuadro N° 16.6.3.1:</t>
  </si>
  <si>
    <t>Cuadro N° 17.5.3.1:</t>
  </si>
  <si>
    <t>Cuadro N° 17.1.2.1:</t>
  </si>
  <si>
    <t>Cuadro N° 17.1.3.1:</t>
  </si>
  <si>
    <t>Cuadro N° 17.3.1.1:</t>
  </si>
  <si>
    <t>Cuadro N° 17.3.2.1:</t>
  </si>
  <si>
    <t>Cuadro N° 17.3.3.1:</t>
  </si>
  <si>
    <t>Cuadro N° 17.5.1.1:</t>
  </si>
  <si>
    <t>Cuadro N° 17.5.2.1:</t>
  </si>
  <si>
    <t>Número de cotizantes, según seguro de salud años 2012-2016</t>
  </si>
  <si>
    <t>Renta imponible promedio anual para el universo de cotizantes, según seguro de salud (miles $ de cada año) años 2012-2016</t>
  </si>
  <si>
    <t>Número de cotizantes, según seguro de salud y sexo año 2016</t>
  </si>
  <si>
    <t>Número de cotizantes, según seguro de salud y tramo etario año 2016</t>
  </si>
  <si>
    <t>Número de cotizantes, según seguro de salud y tipo de cotizante año 2016</t>
  </si>
  <si>
    <t>Número de cotizantes, según seguro de salud y región año 2016</t>
  </si>
  <si>
    <t>Número de cotizantes, según seguro de salud y tramo de remuneraciones año 2016</t>
  </si>
  <si>
    <t>Número de cotizantes, según seguro de salud y actividad económica año 2016</t>
  </si>
  <si>
    <t>Gasto en SIL por licencias médicas ISAPRE, según tipo de sector y tipo de diagnóstico (miles $ de diciembre 2016) año 2016 (*)</t>
  </si>
  <si>
    <t>Número de personas con licencias médicas tramitadas, según seguro de salud y sexo año 2016</t>
  </si>
  <si>
    <t>Número de personas con licencias médicas tramitadas, según seguro de salud año 2016</t>
  </si>
  <si>
    <t>Número de personas con licencias médicas tramitadas, según seguro de salud y tipo de sector año 2016</t>
  </si>
  <si>
    <t>Número de licencias médicas tramitadas con diagnóstico por Depresión, según seguro de salud año 2016</t>
  </si>
  <si>
    <t>Número de días otorgados con diagnóstico por Depresión, según seguro de salud año 2016</t>
  </si>
  <si>
    <t>Número de licencias médicas tramitadas con diagnóstico por Depresión, según seguro de salud y  sexo año 2016</t>
  </si>
  <si>
    <t>Número de días otorgados con diagnóstico por Depresión, según seguro de salud y sexo año 2016</t>
  </si>
  <si>
    <t>Número de licencias médicas tramitadas con diagnóstico por Depresión, según seguro de salud y tramo etario año 2016</t>
  </si>
  <si>
    <t>Número de días otorgados con diagnóstico por Depresion, según seguro de salud y tramo etario año 2016</t>
  </si>
  <si>
    <t>Número de licencias médicas tramitadas con diagnóstico por Artritis Reumatoidea, según seguro de salud año 2016</t>
  </si>
  <si>
    <t>Número de días otorgados con diagnóstico por Artritis Reumatoidea, según seguro de salud año 2016</t>
  </si>
  <si>
    <t>Número de días otorgados con diagnóstico por Artritis Reumatoidea, según seguro de salud y sexo año 2016</t>
  </si>
  <si>
    <t>Número de licencias médicas tramitadas con diagnóstico por Artritis Reumatoidea, según seguro de salud y sexo año 2016</t>
  </si>
  <si>
    <t>Número de licencias médicas tramitadas con diagnóstico por Artritis Reumatoidea, según seguro de salud y tramo etario año 2016</t>
  </si>
  <si>
    <t>Número de días otorgados con diagnóstico por Artritis Reumatoidea, según seguro de salud y tramo etario año 2016</t>
  </si>
  <si>
    <t>Número de licencias médicas tramitadas con diagnóstico por Insuficiencia Renal, según seguro de salud año 2016</t>
  </si>
  <si>
    <t>Número de días otorgados con diagnóstico por Insuficiencia Renal, según seguro de salud año 2016</t>
  </si>
  <si>
    <t>Número de licencias médicas tramitadas con diagnóstico por Insuficiencia Renal, según seguro de salud y sexo año 2016</t>
  </si>
  <si>
    <t>Número de días otorgados con diagnóstico por Insuficiencia Renal, según seguro de salud y sexo año 2016</t>
  </si>
  <si>
    <t>Número de días otorgados con diagnóstico por Insuficiencia Renal, según seguro de salud y tramo etario año 2016</t>
  </si>
  <si>
    <t>Número de licencias médicas tramitadas con diagnóstico por Insuficiencia Renal, según seguro de salud y tramo etario año 2016</t>
  </si>
  <si>
    <t>Número de licencias médicas Rechazadas con diagnóstico por Depresión, según seguro de salud año 2016</t>
  </si>
  <si>
    <t>Número de días rechazados con diagnóstico por Depresión, según seguro de salud año 2016</t>
  </si>
  <si>
    <t>Número de días rechazados con diagnóstico por Depresión, según seguro de salud y sexo año 2016</t>
  </si>
  <si>
    <r>
      <t>Número de licencias médicas rechazadas con diagnóstico por Depresión, según seguro de salud</t>
    </r>
    <r>
      <rPr>
        <b/>
        <sz val="10"/>
        <color rgb="FFC00000"/>
        <rFont val="Calibri"/>
        <family val="2"/>
        <scheme val="minor"/>
      </rPr>
      <t xml:space="preserve"> </t>
    </r>
    <r>
      <rPr>
        <b/>
        <sz val="10"/>
        <rFont val="Calibri"/>
        <family val="2"/>
        <scheme val="minor"/>
      </rPr>
      <t>y sexo año 2016</t>
    </r>
  </si>
  <si>
    <t>Número de licencias médicas rechazadas con diagnóstico por Depresión, según seguro de salud y tramo etario año 2016</t>
  </si>
  <si>
    <t>Número de días rechazados con diagnóstico por Depresión, según seguro de salud y tramo etario año 2016</t>
  </si>
  <si>
    <t>Número de licencias médicas Rechazadas con diagnóstico por Insuficiencia Renal, según seguro de salud año 2016</t>
  </si>
  <si>
    <t>Número de días rechazados con diagnóstico por Insuficiencia Renal, según seguro de salud año 2016</t>
  </si>
  <si>
    <t>Número de licencias médicas rechazadas con diagnóstico por Insuficiencia Renal, según seguro de salud y sexo año 2016</t>
  </si>
  <si>
    <t>Número de días rechazados con diagnóstico por Insuficiencia Renal, según seguro de salud y sexo año 2016</t>
  </si>
  <si>
    <t>Número de días rechazados con diagnóstico por Insuficiencia Renal, según seguro de salud y tramo etario año 2016</t>
  </si>
  <si>
    <t>Número de licencias médicas rechazadas con diagnóstico por Insuficiencia Renal, según seguro de salud y tramo etario año 2016</t>
  </si>
  <si>
    <t>Número de licencias médicas tramitadas con diagnóstico por Diabetes, según seguro de salud y año 2016</t>
  </si>
  <si>
    <t>Número de días otorgados con diagnóstico por Diabetes, según seguro de salud año 2016</t>
  </si>
  <si>
    <t>Número de licencias médicas tramitadas con diagnóstico por Diabetes, según seguro de salud y sexo año 2016</t>
  </si>
  <si>
    <t>Número de licencias médicas tramitadas con diagnóstico por Diabetes, según seguro de salud y tramo de edad año 2016</t>
  </si>
  <si>
    <t>Número de días otorgados con diagnóstico por Diabetes, según seguro de salud y tramo de edad año 2016</t>
  </si>
  <si>
    <t>Número de días otorgados con diagnóstico por Diabetes, según seguro de salud y sexo año 2016</t>
  </si>
  <si>
    <t>Número de licencias médicas tramitadas con diagnóstico por Cancer de Mama, según seguro de salud año 2016</t>
  </si>
  <si>
    <t>Número de licencias médicas tramitadas con diagnóstico por Cancer de Mama, según seguro de salud y sexo año 2016</t>
  </si>
  <si>
    <t>Número de licencias médicas Rechazadas con diagnóstico por Diabetes, según seguro de salud año 2016</t>
  </si>
  <si>
    <t>Número de días rechazados con diagnóstico por Diabetes, según seguro de salud año 2016</t>
  </si>
  <si>
    <t>Número de licencias médicas Rechazadas con diagnóstico por Diabetes, según seguro de salud y sexo año 2016</t>
  </si>
  <si>
    <t>Número de días rechazados con diagnóstico por Diabetes, según seguro de salud y sexo año 2016</t>
  </si>
  <si>
    <t>Enf. Osteomuscu-lares</t>
  </si>
  <si>
    <t>Enf. Cardiovacu-lares</t>
  </si>
  <si>
    <t>ARTRITIS REUMATOIDA</t>
  </si>
  <si>
    <t>Número de licencias médicas rechazadas con diagnóstico por Artritis Reumatoida, según seguro de salud año 2016</t>
  </si>
  <si>
    <t>Número de días rechazados con diagnóstico por Artritis Reumatoida, según seguro de salud año 2016</t>
  </si>
  <si>
    <t>Número de días rechazados con diagnóstico por Artritis Reumatoida, según seguro de salud y sexo año 2016</t>
  </si>
  <si>
    <t>Número de licencias médicas rechazadas con diagnóstico por Artritis Reumatoida, según seguro de salud y sexo año 2016</t>
  </si>
  <si>
    <t>Número de licencias médicas rechazadas con diagnóstico por Artritis Reumatoida, según seguro de salud y tramo etario año 2016</t>
  </si>
  <si>
    <r>
      <t>Número de días rechazados con diagnóstico por Artritis Reumatoida, según seguro de salud</t>
    </r>
    <r>
      <rPr>
        <b/>
        <sz val="10"/>
        <color rgb="FFC00000"/>
        <rFont val="Calibri"/>
        <family val="2"/>
        <scheme val="minor"/>
      </rPr>
      <t xml:space="preserve"> </t>
    </r>
    <r>
      <rPr>
        <b/>
        <sz val="10"/>
        <rFont val="Calibri"/>
        <family val="2"/>
        <scheme val="minor"/>
      </rPr>
      <t>y tramo etario año 2016</t>
    </r>
  </si>
  <si>
    <t>Número de licencias médicas tramitadas con diagnóstico por Patologías Isquémicas Agudas del Corazón, según seguro de salud año 2016</t>
  </si>
  <si>
    <t>Número de días otorgados con diagnóstico por Patologías Isquémicas Agudas del Corazón, según seguro de salud año 2016</t>
  </si>
  <si>
    <t>Número de licencias médicas tramitadas con diagnóstico por Patologías Isquémicas Agudas del Corazón, según seguro de salud y sexo año 2016</t>
  </si>
  <si>
    <t>Número de días otorgados con diagnóstico por Patologías Isquémicas Agudas del Corazón, según seguro de salud  y sexo año 2016</t>
  </si>
  <si>
    <t>Número de licencias médicas tramitadas con diagnóstico por Patologías Isquémicas Agudas del Corazón, según seguro de salud y tramo etario año 2016</t>
  </si>
  <si>
    <t>Número de días otorgados con diagnóstico por Patologías Isquémicas Agudas del Corazón, según seguro de salud  y tramo etario año 2016</t>
  </si>
  <si>
    <t>Número de licencias médicas tramitadas con diagnóstico por Accidentes Cerebro Vascular (Hemorragias, Infarto, ACV Agudo no especificado), según seguro de salud año 2016</t>
  </si>
  <si>
    <t>Número de días otorgados con diagnóstico por Accidentes Cerebro Vascular (Hemorragias, Infarto, ACV Agudo no especificado), según seguro de salud año 2016</t>
  </si>
  <si>
    <t>Número de licencias médicas tramitadas con diagnóstico por Accidentes Cerebro Vascular (Hemorragias, Infarto, ACV Agudo no especificado), según seguro de salud  y sexo año 2016</t>
  </si>
  <si>
    <t>Número de días otorgados con diagnóstico por Accidentes Cerebro Vascular (Hemorragias, Infarto, ACV Agudo no especificado), según seguro de salud y sexo año 2016</t>
  </si>
  <si>
    <t>Número de licencias médicas tramitadas con diagnóstico por Accidentes Cerebro Vascular (Hemorragias, Infarto, ACV Agudo no especificado), según seguro de salud  y tramo etario año 2016</t>
  </si>
  <si>
    <t>Número de días otorgados con diagnóstico por Accidentes Cerebro Vascular (Hemorragias, Infarto, ACV Agudo no especificado), según seguro de salud y tramo etario año 2016</t>
  </si>
  <si>
    <t>Número de días otorgados con diagnóstico por Cancer de Mama, según seguro de salud año 2016</t>
  </si>
  <si>
    <t>Número de días otorgados con diagnóstico por Cancer de Mama, según seguro de salud y sexo año 2016</t>
  </si>
  <si>
    <t>Número de licencias médicas tramitadas con diagnóstico por Cancer de Mama, según seguro de salud y tramo etario año 2016</t>
  </si>
  <si>
    <t>Número de días otorgados con diagnóstico por Cancer de Mama, según seguro de salud y tramo etario año 2016</t>
  </si>
  <si>
    <t>Número de días otorgados con diagnóstico por Cancer Gástrico, según seguro de salud y sexo año 2016</t>
  </si>
  <si>
    <t>Número de licencias médicas tramitadas con diagnóstico por Cancer Gástrico, según seguro de salud y sexo año 2016</t>
  </si>
  <si>
    <t>Número de licencias médicas tramitadas con diagnóstico por Cancer Gástrico, según seguro de salud año 2016</t>
  </si>
  <si>
    <t>Número de días otorgados con diagnóstico por Cancer Gástrico, según seguro de salud año 2016</t>
  </si>
  <si>
    <t>Número de licencias médicas tramitadas con diagnóstico por Cancer Gástrico, según seguro de salud y tramo etario año 2016</t>
  </si>
  <si>
    <t>Número de días otorgados con diagnóstico por Cancer Gástrico, según seguro de salud y tramo etario año 2016</t>
  </si>
  <si>
    <t>Número de licencias médicas tramitadas con diagnóstico por Cancer de Pulmón, según seguro de salud año 2016</t>
  </si>
  <si>
    <t>Número de días otorgados con diagnóstico por  Cancer de Pulmón, según seguro de salud año 2016</t>
  </si>
  <si>
    <t>CANCER DE PULMON</t>
  </si>
  <si>
    <t>Número de licencias médicas tramitadas con diagnóstico por Cancer de Pulmón, según seguro de salud y sexo año 2016</t>
  </si>
  <si>
    <t>Número de días otorgados con diagnóstico por  Cancer de Pulmón, según seguro de salud y sexo año 2016</t>
  </si>
  <si>
    <t>Número de licencias médicas tramitadas con diagnóstico por Cancer de Pulmón, según seguro de salud y tramo etario año 2016</t>
  </si>
  <si>
    <t>Número de días otorgados con diagnóstico por Cancer de Pulmón, según seguro de salud y sexo tramo etario 2016</t>
  </si>
  <si>
    <t>Número de licencias médicas Rechazadas con diagnóstico por Diabetes, según seguro de salud y tramo etario año 2016</t>
  </si>
  <si>
    <t>Número de días rechazados con diagnóstico por Diabetes, según seguro de salud y tramo etario año 2016</t>
  </si>
  <si>
    <t>Número de licencias médicas rechazadas con diagnóstico por Patologías Isquémicas Agudas del Corazón, según seguro de salud año 2016</t>
  </si>
  <si>
    <t>Número de días rechazados con diagnóstico por Patologías Isquémicas Agudas del Corazón, según seguro de salud año 2016</t>
  </si>
  <si>
    <t>Número de días rechazados con diagnóstico por Patologías Isquémicas Agudas del Corazón, según seguro de salud y sexo año 2016</t>
  </si>
  <si>
    <t>Número de licencias médicas rechazadas con diagnóstico por Patologías Isquémicas Agudas del Corazón, según seguro de salud y sexo año 2016</t>
  </si>
  <si>
    <t>Número de licencias médicas rechazadas con diagnóstico por Patologías Isquémicas Agudas del Corazón, según seguro de salud y tramo etario año 2016</t>
  </si>
  <si>
    <t>Número de días rechazados con diagnóstico por Patologías Isquémicas Agudas del Corazón, según seguro de salud y tramo etario año 2016</t>
  </si>
  <si>
    <t>Número de licencias médicas Rechazadas con diagnóstico por Accidentes Cerebro Vascular (Hemorragias, Infarto, ACV Agudo no especificado), según seguro de salud año 2016</t>
  </si>
  <si>
    <t>Número de días autorizadas con diagnóstico por Accidentes Cerebro Vascular (Hemorragias, Infarto, ACV Agudo no especificado), según seguro de salud  año 2016</t>
  </si>
  <si>
    <t>Número de licencias médicas Rechazadas con diagnóstico por Accidentes Cerebro Varscular (Hemorragias, Infarto, ACV Agudo no especificado), según seguro de salud y sexo año 2016</t>
  </si>
  <si>
    <t>Número de días autorizadas con diagnóstico por Accidentes Cerebro Vascular (Hemorragias, Infarto, ACV Agudo no especificado), según seguro de salud  y sexo año 2016</t>
  </si>
  <si>
    <t>Número de días autorizadas con diagnóstico por Accidentes Cerebro Vascular (Hemorragias, Infarto, ACV Agudo no especificado), según seguro de salud  y tramo etario año 2016</t>
  </si>
  <si>
    <t>Número de licencias médicas Rechazadas con diagnóstico por Accidentes Cerebro Vascular (Hemorragias, Infarto, ACV Agudo no especificado), según seguro de salud y tramo etario año 2016</t>
  </si>
  <si>
    <t>Número de licencias médicas Rechazadas con diagnóstico por Cancer de Mama, según seguro de salud año 2016</t>
  </si>
  <si>
    <t>Número de días rechazados con diagnóstico por Cancer de Mama, según seguro de salud año 2016</t>
  </si>
  <si>
    <t>Número de licencias médicas Rechazadas con diagnóstico por Cancer de Mama, según seguro de salud y sexo año 2016</t>
  </si>
  <si>
    <t>Número de días rechazados con diagnóstico por Cancer de Mama, según seguro de salud y sexo año 2016</t>
  </si>
  <si>
    <t>Número de licencias médicas Rechazadas con diagnóstico por Cancer de Mama, según seguro de salud y tramo etario año 2016</t>
  </si>
  <si>
    <t>Número de días rechazados con diagnóstico por Cancer de Mama, según seguro de salud y tramo etario año 2016</t>
  </si>
  <si>
    <t>Número de licencias médicas Rechazadas con diagnóstico por Cancer Gástrico, según seguro de salud año 2016</t>
  </si>
  <si>
    <t>Número de días rechazados con diagnóstico por Cancer Gástrico, según seguro de salud año 2016</t>
  </si>
  <si>
    <t>Número de días rechazados con diagnóstico por Cancer Gástrico, según seguro de salud y sexo año 2016</t>
  </si>
  <si>
    <t>Número de licencias médicas Rechazadas con diagnóstico por Cancer Gástrico, según seguro de salud y sexo año 2016</t>
  </si>
  <si>
    <t>Número de licencias médicas Rechazadas con diagnóstico por Cancer Gástrico, según seguro de salud y tramo etario año 2016</t>
  </si>
  <si>
    <t>Número de días rechazados con diagnóstico por Cancer Gástrico, según seguro de salud y tramo etario año 2016</t>
  </si>
  <si>
    <t>Número de licencias médicas Rechazadas con diagnóstico por Cancer de Pulmón, según seguro de salud año 2016</t>
  </si>
  <si>
    <t>Número de días rechazados con diagnóstico por Cancer de Pulmón, según seguro de salud año 2016</t>
  </si>
  <si>
    <t>Número de licencias médicas Rechazadas con diagnóstico por Cancer de Pulmón, según seguro de salud y sexo año 2016</t>
  </si>
  <si>
    <t>Número de días rechazados con diagnóstico por Cancer de Pulmón, según seguro de salud y sexo año 2016</t>
  </si>
  <si>
    <t>Número de días rechazados con diagnóstico por Cancer de Pulmón, según seguro de salud y tramo etario año 2016</t>
  </si>
  <si>
    <t>Número de licencias médicas Rechazadas con diagnóstico por Cancer de Pulmón, según seguro de salud y tramo etario año 2016</t>
  </si>
  <si>
    <t>Cuadro N° 1.1: Número de cotizantes, según seguro de salud años 2012-2016</t>
  </si>
  <si>
    <t>Cuadro N° 1.2: Número de cotizantes, según seguro de salud y sexo año 2016</t>
  </si>
  <si>
    <t>Cuadro N° 1.3: Número de cotizantes, según seguro de salud y tramo etario año 2016</t>
  </si>
  <si>
    <t>Cuadro N° 1.4: Número de cotizantes, según seguro de salud y tipo de cotizante año 2016</t>
  </si>
  <si>
    <t>Cuadro N° 1.5: Número de cotizantes, según seguro de salud y región año 2016</t>
  </si>
  <si>
    <t>Cuadro N° 1.6: Número de cotizantes, según seguro de salud y tramo de remuneraciones año 2016</t>
  </si>
  <si>
    <t>Cuadro N° 1.7: Número de cotizantes, según seguro de salud y actividad económica año 2016</t>
  </si>
  <si>
    <t>Cuadro N° 1.8: Renta imponible promedio anual para el universo de cotizantes, según seguro de salud (miles $ de cada año) años 2012-2016</t>
  </si>
  <si>
    <t>Cuadro N° 2.1.2: Número de licencias médicas tramitadas, según seguro de salud y sexo año 2016</t>
  </si>
  <si>
    <t>Cuadro N° 2.1.3: Número de licencias médicas tramitadas, según seguro de salud y tramo etario año 2016</t>
  </si>
  <si>
    <t>Cuadro N° 2.1.4: Número de licencias médicas tramitadas, según seguro de salud y tipo de sector año 2016</t>
  </si>
  <si>
    <t>Cuadro N° 2.1.5: Número de licencias médicas tramitadas, según seguro de salud y región año 2016</t>
  </si>
  <si>
    <t>Cuadro N° 2.1.6: Número de licencias médicas tramitadas, según seguro de salud y  tipo de resolución año 2016</t>
  </si>
  <si>
    <t>Cuadro N° 2.2.2: Número de días otorgados, según seguro de salud y sexo año 2016</t>
  </si>
  <si>
    <t>Cuadro N° 2.2.3: Número de días otorgados, según seguro de salud y tramo etario año 2016</t>
  </si>
  <si>
    <t>Cuadro N° 2.2.4: Número de días otorgados, según seguro de salud y tipo de sector año 2016</t>
  </si>
  <si>
    <t>Cuadro N° 2.2.5: Número de días otorgados, según seguro de salud y región año 2016</t>
  </si>
  <si>
    <t>Cuadro N° 2.2.6: Número de días otorgados, según seguro de salud y  tipo de resolución año 2016</t>
  </si>
  <si>
    <t>Cuadro N° 3.1.2: Número de licencias médicas autorizadas, según seguro de salud y sexo año 2016</t>
  </si>
  <si>
    <t>Cuadro N° 3.1.3: Número de licencias médicas autorizadas, según seguro de salud y tramo etario año 2016</t>
  </si>
  <si>
    <t>Cuadro N° 3.1.4: Número de licencias médicas autorizadas, según seguro de salud y tipo de sector año 2016</t>
  </si>
  <si>
    <t>Cuadro N° 3.1.5: Número de licencias médicas autorizadas, según seguro de salud y región año 2016</t>
  </si>
  <si>
    <t>Cuadro N° 3.2.2: Número de días pagados, según seguro de salud y sexo año 2016</t>
  </si>
  <si>
    <t>Cuadro N° 3.2.3: Número de días pagados, según seguro de salud y tramo etario año 2016</t>
  </si>
  <si>
    <t>Cuadro N° 3.2.4: Número de días pagados, según seguro de salud y tipo de sector año 2016</t>
  </si>
  <si>
    <t>Cuadro N° 3.2.5: Número de días pagados, según seguro de salud y región año 2016</t>
  </si>
  <si>
    <t>Cuadro N° 4.1.2: Número de licencias médicas rechazadas, según seguro de salud y sexo año 2016</t>
  </si>
  <si>
    <t>Cuadro N° 4.1.3: Número de licencias médicas rechazadas, según seguro de salud y tramo etario año 2016</t>
  </si>
  <si>
    <t>Cuadro N° 4.1.4: Número de licencias médicas rechazadas, según seguro de salud y región año 2016</t>
  </si>
  <si>
    <t>Cuadro N° 4.2.2: Número de días rechazados, según seguro de salud y sexo año 2016</t>
  </si>
  <si>
    <t>Cuadro N° 4.2.3: Número de días rechazados, según seguro de salud y tramo etario año 2016</t>
  </si>
  <si>
    <t>Cuadro N° 4.2.4: Número de días rechazados, según seguro de salud y región año 2016</t>
  </si>
  <si>
    <t>Cuadro N° 5.1.1.1: Número de licencias médicas tramitadas, según seguro de salud y tipo de diagnóstico año 2016</t>
  </si>
  <si>
    <t>Cuadro N° 5.1.2.1: Número de licencias médicas tramitadas FONASA, según tipo de diagnóstico y sexo año 2016</t>
  </si>
  <si>
    <t>Cuadro N° 5.1.2.2: Número de licencias médicas tramitadas ISAPREs, según tipo de diagnóstico y sexo año 2016</t>
  </si>
  <si>
    <t>Cuadro N° 5.1.3.1: Número de licencias médicas tramitadas FONASA, según tipo de diagnóstico y tramo etario año 2016</t>
  </si>
  <si>
    <t>Cuadro N° 5.1.3.2: Número de licencias médicas tramitadas ISAPREs, según tipo de diagnóstico y tramo etario año 2016</t>
  </si>
  <si>
    <t>Cuadro N° 5.1.4.1: Número de licencias médicas tramitadas FONASA, según tipo de diagnóstico y región año 2016</t>
  </si>
  <si>
    <t>Cuadro N° 5.1.4.2: Número de licencias médicas tramitadas ISAPREs, según tipo de diagnóstico y región año 2016</t>
  </si>
  <si>
    <t>Cuadro N° 5.2.1.1: Número de días otorgados, según seguro de salud y tipo de diagnóstico año 2016</t>
  </si>
  <si>
    <t>Cuadro N° 5.2.2.1: Número de días otorgados FONASA, según tipo de diagnóstico y sexo año 2016</t>
  </si>
  <si>
    <t>Cuadro N° 5.2.2.2: Número de días otorgados ISAPREs, según tipo de diagnóstico y sexo año 2016</t>
  </si>
  <si>
    <t>Cuadro N° 5.2.3.1: Número de días otorgados FONASA, según tipo de diagnóstico y tramo etario año 2016</t>
  </si>
  <si>
    <t>Cuadro N° 5.2.3.2: Número de días otorgados ISAPREs, según tipo de diagnóstico y tramo etario año 2016</t>
  </si>
  <si>
    <t>Cuadro N° 5.2.4.1: Número de días otorgados FONASA, según tipo de diagnóstico y región año 2016</t>
  </si>
  <si>
    <t>Cuadro N° 5.2.4.2: Número de días otorgados ISAPREs, según tipo de diagnóstico y región año 2016</t>
  </si>
  <si>
    <t>Cuadro N° 6.1.1.1: Número de licencias médicas autorizadas, según seguro de salud y tipo de diagnóstico año 2016</t>
  </si>
  <si>
    <t>Cuadro N° 6.1.2.1: Número de licencias médicas autorizadas FONASA, según tipo de diagnóstico y sexo año 2016</t>
  </si>
  <si>
    <t>Cuadro N° 6.1.2.2: Número de licencias médicas autorizadas ISAPREs, según tipo de diagnóstico y sexo año 2016</t>
  </si>
  <si>
    <t>Cuadro N° 6.1.3.1: Número de licencias médicas autorizadas FONASA, según tipo de diagnóstico y tramo etario año 2016</t>
  </si>
  <si>
    <t>Cuadro N° 6.1.3.2: Número de licencias médicas autorizadas ISAPREs, según tipo de diagnóstico y tramo etario año 2016</t>
  </si>
  <si>
    <t>Cuadro N° 6.1.4.1: Número de licencias médicas autorizadas FONASA, según tipo de diagnóstico y región año 2016</t>
  </si>
  <si>
    <t>Cuadro N° 6.1.4.2: Número de licencias médicas autorizadas ISAPREs, según tipo de diagnóstico y región año 2016</t>
  </si>
  <si>
    <t>Cuadro N° 6.2.1.1: Número de días pagados, según seguro de salud y tipo de diagnóstico año 2016</t>
  </si>
  <si>
    <t>Cuadro N° 6.2.2.1: Número de días pagados FONASA, según tipo de diagnóstico y sexo año 2016</t>
  </si>
  <si>
    <t>Cuadro N° 6.2.2.2: Número de días pagados ISAPREs, según tipo de diagnóstico y sexo año 2016</t>
  </si>
  <si>
    <t>Cuadro N° 6.2.3.1: Número de días pagados FONASA, según tipo de diagnóstico y tramo etario año 2016</t>
  </si>
  <si>
    <t>Cuadro N° 6.2.3.2: Número de días pagados ISAPREs, según tipo de diagnóstico y tramo etario año 2016</t>
  </si>
  <si>
    <t>Cuadro N° 6.2.4.1: Número de días pagados FONASA, según tipo de diagnóstico y región año 2016</t>
  </si>
  <si>
    <t>Cuadro N° 6.2.4.2: Número de días pagados ISAPREs, según tipo de diagnóstico y región año 2016</t>
  </si>
  <si>
    <t>Cuadro N° 7.1.1.1: Número de licencias médicas rechazadas, según seguro de salud y tipo de diagnóstico año 2016</t>
  </si>
  <si>
    <t>Cuadro N° 7.1.2.1: Número de licencias médicas rechazadas FONASA, según tipo de diagnóstico y sexo año 2016</t>
  </si>
  <si>
    <t>Cuadro N° 7.1.2.2: Número de licencias médicas rechazadas ISAPREs, según tipo de diagnóstico y sexo año 2016</t>
  </si>
  <si>
    <t>Cuadro N° 7.1.3.1: Número de licencias médicas rechazadas FONASA, según tipo de diagnóstico y tramo etario año 2016</t>
  </si>
  <si>
    <t>Cuadro N° 7.1.3.2: Número de licencias médicas rechazadas ISAPREs, según tipo de diagnóstico y tramo etario año 2016</t>
  </si>
  <si>
    <t>Cuadro N° 7.1.4.1: Número de licencias médicas rechazadas FONASA, según tipo de diagnóstico y región año 2016</t>
  </si>
  <si>
    <t>Cuadro N° 7.1.4.2: Número de licencias médicas rechazadas ISAPREs, según tipo de diagnóstico y región año 2016</t>
  </si>
  <si>
    <t>Cuadro N° 7.2.1.1: Número de días rechazados, según seguro de salud y tipo de diagnóstico año 2016</t>
  </si>
  <si>
    <t>Cuadro N° 7.2.2.1: Número de días rechazados FONASA, según tipo de diagnóstico y sexo año 2016</t>
  </si>
  <si>
    <t>Cuadro N° 7.2.2.2: Número de días rechazados ISAPREs, según tipo de diagnóstico y sexo año 2016</t>
  </si>
  <si>
    <t>Cuadro N° 7.2.3.1: Número de días rechazados FONASA, según tipo de diagnóstico y tramo etario año 2016</t>
  </si>
  <si>
    <t>Cuadro N° 7.2.3.2: Número de días rechazados ISAPREs, según tipo de diagnóstico y tramo etario año 2016</t>
  </si>
  <si>
    <t>Cuadro N° 7.2.4.1: Número de días rechazados FONASA, según tipo de diagnóstico y región año 2016</t>
  </si>
  <si>
    <t>Cuadro N° 7.2.4.2: Número de días rechazados ISAPREs, según tipo de diagnóstico y región año 2016</t>
  </si>
  <si>
    <t>Cuadro N° 8.3: Gasto en SIL por licencias médicas, según seguro de salud y tipo de diagnóstico (miles $ de diciembre 2016) año 2016</t>
  </si>
  <si>
    <t>Cuadro N° 2.1.1: Número de licencias médicas tramitadas, según seguro de salud años 2012-2016</t>
  </si>
  <si>
    <t>Cuadro N° 2.2.1: Número de días otorgados, según seguro de salud años 2012-2016</t>
  </si>
  <si>
    <t>Cuadro N° 3.1.1: Número de licencias médicas autorizadas, según seguro de salud años 2012-2016</t>
  </si>
  <si>
    <t>Cuadro N° 3.2.1: Número de días pagados, según seguro de salud años 2012-2016</t>
  </si>
  <si>
    <t>Cuadro N° 4.1.1: Número de licencias médicas rechazadas, según seguro de salud años 2012-2016</t>
  </si>
  <si>
    <t>Cuadro N° 4.2.1: Número de días rechazados, según seguro de salud años 2012-2016</t>
  </si>
  <si>
    <t>Cuadro N° 8.1: Gasto en SIL nominal por licencias médicas, según seguro de salud (miles $ de cada año) años 2012-2016</t>
  </si>
  <si>
    <t>Cuadro N° 8.2: Gasto en SIL por licencias médicas, según seguro de salud (miles $ de diciembre 2016) años 2012-2016</t>
  </si>
  <si>
    <t>Cuadro N° 9.1: Gasto en SIL por cotizante, según seguro de salud (miles $ de diciembre 2016) años 2012-2016</t>
  </si>
  <si>
    <t>Cuadro N° 9.2: Número de días pagados por cotizante, según seguro de salud años 2012-2016</t>
  </si>
  <si>
    <t>Cuadro N° 9.3: Gasto en SIL por día pagado, según seguro de salud (miles $ de diciembre 2016) años 2012-2016</t>
  </si>
  <si>
    <t>Cuadro N° 9.4: Gasto en SIL por licencia médica autorizada, según seguro de salud (miles $ de diciembre 2016) años 2012-2016</t>
  </si>
  <si>
    <t>Cuadro N° 9.5: Número de días pagados por licencia médica autorizada, según seguro de salud años 2012-2016</t>
  </si>
  <si>
    <t>Cuadro N° 9.6: Porcentaje de cotización necesario para financiar el SIL, según seguro de salud años 2012-2016</t>
  </si>
  <si>
    <t>Cuadros N° 1.9: Número de cotizantes, por seguro de salud,según sexo y tramo de renta imponible año 2016</t>
  </si>
  <si>
    <t>Cuadros N° 1.10: Estadísticas promedio de cotizante, por seguro de salud, según sexo año 2016</t>
  </si>
  <si>
    <t>Traumatismos, envenena-mientos y otros</t>
  </si>
  <si>
    <t>Enfermedades del Sist. Genito urinario</t>
  </si>
  <si>
    <t>Traumatismos, envenenamientos y otros</t>
  </si>
  <si>
    <t>Cuadros N° 8.4: Gasto en SIL por licencias médicas, por seguro de salud, según tipo de sector y tipo de diagnóstico (miles $ de diciembre 2016) año 2016</t>
  </si>
  <si>
    <t>CUADROS N° 10: PERSONAS CON LICENCIA MÉDICA</t>
  </si>
  <si>
    <t>Cuadro N° 10.1: Número de personas con licencias médicas tramitadas, según seguro de salud año 2016</t>
  </si>
  <si>
    <t>Cuadro N° 10.1:</t>
  </si>
  <si>
    <t>Cuadro N° 10.2:</t>
  </si>
  <si>
    <t>Cuadro N° 10.3:</t>
  </si>
  <si>
    <t>Cuadro N° 10.2: Número de personas con licencias médicas tramitadas, según seguro de salud y sexo año 2016</t>
  </si>
  <si>
    <t>Cuadro N° 10.3: Número de personas con licencias médicas tramitadas, según seguro de salud y tipo de sector año 2016</t>
  </si>
  <si>
    <t>Cuadro N° 11.1.1.1: Número de licencias médicas tramitadas, según seguro de salud y tipo de sector año 2016</t>
  </si>
  <si>
    <t>Cuadro N° 11.1.2.1: Número de licencias médicas tramitadas FONASA, según tipo de sector y sexo año 2016</t>
  </si>
  <si>
    <t>Cuadro N° 11.1.2.2: Número de licencias médicas tramitadas ISAPREs, según tipo de sector y sexo año 2016</t>
  </si>
  <si>
    <t>Cuadro N° 11.1.3.1: Número de licencias médicas tramitadas FONASA, según tipo de sector y tramo etario año 2016</t>
  </si>
  <si>
    <t>Cuadro N° 11.1.3.2: Número de licencias médicas tramitadas ISAPREs, según tipo de sector y tramo etario año 2016</t>
  </si>
  <si>
    <t>Cuadro N° 11.1.4.1: Número de licencias médicas tramitadas FONASA, según tipo de sector y región año 2016</t>
  </si>
  <si>
    <t>Cuadro N° 11.1.4.2: Número de licencias médicas tramitadas ISAPREs, según tipo de sector y región año 2016</t>
  </si>
  <si>
    <t>Cuadro N° 11.2.1.1: Número de días otorgados, según seguro de salud y tipo de sector año 2016</t>
  </si>
  <si>
    <t>Cuadro N° 11.2.2.1: Número de días otorgados FONASA, según tipo de sector y sexo año 2016</t>
  </si>
  <si>
    <t>Cuadro N° 11.2.2.2: Número de días otorgados ISAPREs, según tipo de sector y sexo año 2016</t>
  </si>
  <si>
    <t>Cuadro N° 11.2.3.1: Número de días otorgados FONASA, según tipo de sector y tramo etario año 2016</t>
  </si>
  <si>
    <t>Cuadro N° 11.2.3.2: Número de días otorgados ISAPREs, según tipo de sector y tramo etario año 2016</t>
  </si>
  <si>
    <t>Cuadro N° 11.2.4.1: Número de días otorgados FONASA, según tipo de sector y región año 2016</t>
  </si>
  <si>
    <t>Cuadro N° 11.2.4.2: Número de días otorgados ISAPREs, según tipo de sector y región año 2016</t>
  </si>
  <si>
    <t>Cuadro N° 12.1.1.1: Número de licencias médicas autorizadas, según seguro de salud y tipo de sector año 2016</t>
  </si>
  <si>
    <t>Cuadro N° 12.1.2.1: Número de licencias médicas autorizadas FONASA, según tipo de sector y sexo año 2016</t>
  </si>
  <si>
    <t>Cuadro N° 12.1.2.2: Número de licencias médicas autorizadas ISAPREs, según tipo de sector y sexo año 2016</t>
  </si>
  <si>
    <t>Cuadro N° 12.1.3.1: Número de licencias médicas autorizadas FONASA, según tipo de sector y tramo etario año 2016</t>
  </si>
  <si>
    <t>Cuadro N° 12.1.3.2: Número de licencias médicas autorizadas ISAPREs, según tipo de sector y tramo etario año 2016</t>
  </si>
  <si>
    <t>Cuadro N° 12.1.4.1: Número de licencias médicas autorizadas FONASA, según tipo de sector y región año 2016</t>
  </si>
  <si>
    <t>Cuadro N° 12.1.4.2: Número de licencias médicas autorizadas ISAPREs, según tipo de sector y región año 2016</t>
  </si>
  <si>
    <t>Cuadro N° 12.2.1.1: Número de días pagados, según seguro de salud y tipo de sector año 2016</t>
  </si>
  <si>
    <t>Cuadro N° 12.2.2.1: Número de días pagados FONASA, según tipo de sector y sexo año 2016</t>
  </si>
  <si>
    <t>Cuadro N° 12.2.2.2: Número de días pagados ISAPREs, según tipo de sector y sexo año 2016</t>
  </si>
  <si>
    <t>Cuadro N° 12.2.3.1: Número de días pagados FONASA, según tipo de sector y tramo etario año 2016</t>
  </si>
  <si>
    <t>Cuadro N° 12.2.3.2: Número de días pagados ISAPREs, según tipo de sector y tramo etario año 2016</t>
  </si>
  <si>
    <t>Cuadro N° 12.2.4.1: Número de días pagados FONASA, según tipo de sector y región año 2016</t>
  </si>
  <si>
    <t>Cuadro N° 12.2.4.2: Número de días pagados ISAPREs, según tipo de sector y región año 2016</t>
  </si>
  <si>
    <t>Cuadro N° 13.1.1.1: Número de licencias médicas rechazadas, según seguro de salud y tipo de sector año 2016</t>
  </si>
  <si>
    <t>Cuadro N° 13.1.2.1: Número de licencias médicas rechazadas FONASA, según tipo de sector y sexo año 2016</t>
  </si>
  <si>
    <t>Cuadro N° 13.1.2.2: Número de licencias médicas rechazadas ISAPREs, según tipo de sector y sexo año 2016</t>
  </si>
  <si>
    <t>Cuadro N° 13.1.3.1: Número de licencias médicas rechazadas FONASA, según tipo de sector y tramo etario año 2016</t>
  </si>
  <si>
    <t>Cuadro N° 13.1.3.2: Número de licencias médicas rechazadas ISAPREs, según tipo de sector y tramo etario año 2016</t>
  </si>
  <si>
    <t>Cuadro N° 13.1.4.1: Número de licencias médicas rechazadas FONASA, según tipo de sector y región año 2016</t>
  </si>
  <si>
    <t>Cuadro N° 13.1.4.2: Número de licencias médicas rechazadas ISAPREs, según tipo de sector y región año 2016</t>
  </si>
  <si>
    <t>Cuadro N° 13.2.1.1: Número de días rechazados, según seguro de salud y tipo de sector año 2016</t>
  </si>
  <si>
    <t>Cuadro N° 13.2.2.1: Número de días rechazados FONASA, según tipo de sector y sexo año 2016</t>
  </si>
  <si>
    <t>Cuadro N° 13.2.2.2: Número de días rechazados ISAPREs, según tipo de sector y sexo año 2016</t>
  </si>
  <si>
    <t>Cuadro N° 13.2.3.1: Número de días rechazados FONASA, según tipo de sector y tramo etario año 2016</t>
  </si>
  <si>
    <t>Cuadro N° 13.2.3.2: Número de días rechazados ISAPREs, según tipo de sector y tramo etario año 2016</t>
  </si>
  <si>
    <t>Cuadro N° 13.2.4.1: Número de días rechazados FONASA, según tipo de sector y región año 2016</t>
  </si>
  <si>
    <t>Cuadro N° 13.2.4.2: Número de días rechazados ISAPREs, según tipo de sector y región año 2016</t>
  </si>
  <si>
    <t>Cuadro N° 14.1.1.1: Número de licencias médicas tramitadas con diagnóstico por Depresión, según seguro de salud año 2016</t>
  </si>
  <si>
    <t>Cuadro N° 14.5.3.1:</t>
  </si>
  <si>
    <t>Cuadro N° 14.6.3.1:</t>
  </si>
  <si>
    <t>Cuadro N° 14.5.1.1:</t>
  </si>
  <si>
    <t>Cuadro N° 14.6.1.1:</t>
  </si>
  <si>
    <t>Cuadro N° 14.5.2.1:</t>
  </si>
  <si>
    <t>Cuadro N° 14.6.2.1:</t>
  </si>
  <si>
    <t>Cuadro N° 14.1.2.1: Número de licencias médicas tramitadas con diagnóstico por Depresión, según seguro de salud y sexo año 2016</t>
  </si>
  <si>
    <t>Cuadro N° 14.1.3.1: Número de licencias médicas tramitadas con diagnóstico por Depresión, según seguro de salud y tramo etario año 2016</t>
  </si>
  <si>
    <t>Cuadro N° 14.2.1.1: Número de días otorgados con diagnóstico por Depresión, según seguro de salud año 2016</t>
  </si>
  <si>
    <t>Cuadro N° 14.2.2.1: Número de días otorgados con diagnóstico por Depresión, según seguro de salud y sexo año 2016</t>
  </si>
  <si>
    <t>Cuadro N° 14.2.3.1: Número de días otorgados con diagnóstico por Depresión, según seguro de salud y tramo etario año 2016</t>
  </si>
  <si>
    <t>Cuadro N° 14.3.1.1: Número de licencias médicas tramitadas con diagnóstico por Artritis Reumatoidea, según seguro de salud año 2016</t>
  </si>
  <si>
    <t>Cuadro N° 14.3.2.1: Número de licencias médicas tramitadas con diagnóstico por Artritis Reumatoidea, según seguro de salud y sexo año 2016</t>
  </si>
  <si>
    <t>Cuadro N° 14.3.3.1: Número de licencias médicas tramitadas con diagnóstico por Artritis Reumatoidea, según seguro de salud y tramo etario año 2016</t>
  </si>
  <si>
    <t>Cuadro N° 14.4.1.1: Número de días otorgados con diagnóstico por Artritis Reumatoidea, según seguro de salud año 2016</t>
  </si>
  <si>
    <t>Cuadro N° 14.4.2.1: Número de días otorgados con diagnóstico por Artritis Reumatoidea, según seguro de salud y sexo año 2016</t>
  </si>
  <si>
    <t>Cuadro N° 14.4.3.1: Número de días otorgados con diagnóstico por Artritis Reumatoidea, según seguro de salud y tramo etario año 2016</t>
  </si>
  <si>
    <t>Cuadro N° 15.1.1.1: Número de licencias médicas autorizadas con diagnóstico por Depresión, según seguro de salud año 2016</t>
  </si>
  <si>
    <t>Cuadro N° 15.1.2.1: Número de licencias médicas autorizadas con diagnóstico por Depresión, según seguro de salud y sexo año 2016</t>
  </si>
  <si>
    <t>Cuadro N° 15.1.3.1: Número de licencias médicas autorizadas con diagnóstico por Depresión, según seguro de salud y tramo etario año 2016</t>
  </si>
  <si>
    <t>Cuadro N° 15.3.1.1: Número de licencias médicas autorizadas con diagnóstico por Artritis Reumatoidea, según seguro de salud año 2016</t>
  </si>
  <si>
    <t>Cuadro N° 15.3.2.1: Número de licencias médicas autorizadas con diagnóstico por Artritis Reumatoidea, según seguro de salud y sexo año 2016</t>
  </si>
  <si>
    <t>Cuadro N° 15.3.3.1: Número de licencias médicas autorizadas con diagnóstico por Artritis Reumatoidea, según seguro de salud y tramo etario año 2016</t>
  </si>
  <si>
    <t>Cuadro N° 15.5.1.1: Número de licencias médicas autorizadas con diagnóstico por Insufuciencia Renal, según seguro de salud año 2016</t>
  </si>
  <si>
    <t>Cuadro N° 15.5.2.1: Número de licencias médicas autorizadas con diagnóstico por Insufuciencia Renal, según seguro de salud y sexo año 2016</t>
  </si>
  <si>
    <t>Cuadro N° 15.5.3.1: Número de licencias médicas autorizadas con diagnóstico por Insufuciencia Renal, según seguro de salud y tramo etario año 2016</t>
  </si>
  <si>
    <t>Cuadro N° 15.2.1.1: Número de días pagados con diagnóstico por Depresión, según seguro de salud año 2016</t>
  </si>
  <si>
    <t>Cuadro N° 15.2.2.1: Número de días pagados con diagnóstico por Depresión, según seguro de salud y sexo año 2016</t>
  </si>
  <si>
    <t>Cuadro N° 15.2.3.1: Número de días pagados con diagnóstico por Depresión, según seguro de salud y tramo etario año 2016</t>
  </si>
  <si>
    <t>Cuadro N° 15.4.1.1: Número de días pagados con diagnóstico por Artritis Reumatoidea, según seguro de salud año 2016</t>
  </si>
  <si>
    <t>Cuadro N° 15.4.2.1: Número de días pagados con diagnóstico por Artritis Reumatoidea, según seguro de salud y sexo año 2016</t>
  </si>
  <si>
    <t>Cuadro N° 15.4.3.1: Número de días pagados con diagnóstico por Artritis Reumatoidea, según seguro de salud y tramo etario año 2016</t>
  </si>
  <si>
    <t>Cuadro N° 15.6.1.1: Número de días pagados con diagnóstico por Insufuciencia Renal, según seguro de salud año 2016</t>
  </si>
  <si>
    <t>Cuadro N° 15.6.2.1: Número de días pagados con diagnóstico por Insufuciencia Renal, según seguro de salud y sexo año 2016</t>
  </si>
  <si>
    <t>Cuadro N° 15.6.3.1: Número de días pagados con diagnóstico por Insufuciencia Renal, según seguro de salud y tramo etario año 2016</t>
  </si>
  <si>
    <t>Cuadro N° 16.1.1.1: Número de licencias médicas rechazadas con diagnóstico por Depresión, según seguro de salud año 2016</t>
  </si>
  <si>
    <t>Cuadro N° 16.1.2.1: Número de licencias médicas rechazadas con diagnóstico por Depresión, según seguro de salud y sexo año 2016</t>
  </si>
  <si>
    <t>Cuadro N° 16.1.3.1: Número de licencias médicas rechazadas con diagnóstico por Depresión, según seguro de salud y tramo etario año 2016</t>
  </si>
  <si>
    <t>Cuadro N° 16.3.1.1: Número de licencias médicas rechazadas con diagnóstico por Artritis Reumatoidea, según seguro de salud año 2016</t>
  </si>
  <si>
    <t>Cuadro N° 16.3.2.1: Número de licencias médicas rechazadas con diagnóstico por Artritis Reumatoidea, según seguro de salud y sexo año 2016</t>
  </si>
  <si>
    <t>Cuadro N° 16.3.3.1: Número de licencias médicas rechazadas con diagnóstico por Artritis Reumatoidea, según seguro de salud y tramo etario año 2016</t>
  </si>
  <si>
    <t>Cuadro N° 16.5.1.1: Número de licencias médicas rechazadas con diagnóstico por Insufuciencia Renal, según seguro de salud año 2016</t>
  </si>
  <si>
    <t>Cuadro N° 16.5.2.1: Número de licencias médicas rechazadas con diagnóstico por Insufuciencia Renal, según seguro de salud y sexo año 2016</t>
  </si>
  <si>
    <t>Cuadro N° 16.5.3.1: Número de licencias médicas rechazadas con diagnóstico por Insufuciencia Renal, según seguro de salud y tramo etario año 2016</t>
  </si>
  <si>
    <t>Cuadro N° 16.2.1.1: Número de días rechazados con diagnóstico por Depresión, según seguro de salud año 2016</t>
  </si>
  <si>
    <t>Cuadro N° 16.2.2.1: Número de días rechazados con diagnóstico por Depresión, según seguro de salud y sexo año 2016</t>
  </si>
  <si>
    <t>Cuadro N° 16.2.3.1: Número de días rechazados con diagnóstico por Depresión, según seguro de salud y tramo etario año 2016</t>
  </si>
  <si>
    <t>Cuadro N° 16.4.1.1: Número de días rechazados con diagnóstico por Artritis Reumatoidea, según seguro de salud año 2016</t>
  </si>
  <si>
    <t>Cuadro N° 16.4.2.1: Número de días rechazados con diagnóstico por Artritis Reumatoidea, según seguro de salud y sexo año 2016</t>
  </si>
  <si>
    <t>Cuadro N° 16.4.3.1: Número de días rechazados con diagnóstico por Artritis Reumatoidea, según seguro de salud y tramo etario año 2016</t>
  </si>
  <si>
    <t>Cuadro N° 16.6.1.1: Número de días rechazados con diagnóstico por Insufuciencia Renal, según seguro de salud año 2016</t>
  </si>
  <si>
    <t>Cuadro N° 16.6.2.1: Número de días rechazados con diagnóstico por Insufuciencia Renal, según seguro de salud y sexo año 2016</t>
  </si>
  <si>
    <t>Cuadro N° 16.6.3.1: Número de días rechazados con diagnóstico por Insufuciencia Renal, según seguro de salud y tramo etario año 2016</t>
  </si>
  <si>
    <t>Cuadro N° 17.1.1.1: Número de licencias médicas tramitadas con diagnóstico por Diabetes, según seguro de salud año 2016</t>
  </si>
  <si>
    <t>Cuadro N° 17.1.2.1: Número de licencias médicas tramitadas con diagnóstico por Diabetes, según seguro de salud y sexo año 2016</t>
  </si>
  <si>
    <t>Cuadro N° 17.1.3.1: Número de licencias médicas tramitadas con diagnóstico por Diabetes, según seguro de salud y tramo etario año 2016</t>
  </si>
  <si>
    <t>Cuadro N° 17.2.1.1: Número de días otorgados con diagnóstico por Diabetes, según seguro de salud año 2016</t>
  </si>
  <si>
    <t>Cuadro N° 17.2.2.1: Número de días otorgados con diagnóstico por Diabetes, según seguro de salud y sexo año 2016</t>
  </si>
  <si>
    <t>Cuadro N° 17.2.3.1: Número de días otorgados con diagnóstico por Diabetes, según seguro de salud y tramo etario año 2016</t>
  </si>
  <si>
    <t>Cuadro N° 17.3.1.1: Número de licencias médicas tramitadas con diagnóstico por Patologías Isquémicas Agudas del Corazón, según seguro de salud año 2016</t>
  </si>
  <si>
    <t>Cuadro N° 17.3.2.1: Número de licencias médicas tramitadas con diagnóstico por Patologías Isquémicas Agudas del Corazón, según seguro de salud y sexo año 2016</t>
  </si>
  <si>
    <t>Cuadro N° 17.3.3.1: Número de licencias médicas tramitadas con diagnóstico por Patologías Isquémicas Agudas del Corazón, según seguro de salud y tramo etario año 2016</t>
  </si>
  <si>
    <t>Cuadro N° 17.4.1.1: Número de días otorgados con diagnóstico por Patologías Isquémicas Agudas del Corazón, según seguro de salud año 2016</t>
  </si>
  <si>
    <t>Cuadro N° 17.4.2.1: Número de días otorgados con diagnóstico por Patologías Isquémicas Agudas del Corazón, según seguro de salud y sexo año 2016</t>
  </si>
  <si>
    <t>Cuadro N° 17.4.3.1: Número de días otorgados con diagnóstico por Patologías Isquémicas Agudas del Corazón, según seguro de salud y tramo etario año 2016</t>
  </si>
  <si>
    <t>Cuadro N° 17.5.1.1: Número de licencias médicas tramitadas con diagnóstico por Accidentes Cerebro Vasculares, según seguro de salud año 2016</t>
  </si>
  <si>
    <t>Cuadro N° 17.5.2.1: Número de licencias médicas tramitadas con diagnóstico por Accidentes Cerebro Vasculares, según seguro de salud y sexo año 2016</t>
  </si>
  <si>
    <t>Cuadro N° 17.5.3.1: Número de licencias médicas tramitadas con diagnóstico por Accidentes Cerebro Vasculares, según seguro de salud y tramo etario año 2016</t>
  </si>
  <si>
    <t>Cuadro N° 17.6.1.1: Número de días otorgados con diagnóstico por Accidentes Cerebro Vasculares, según seguro de salud año 2016</t>
  </si>
  <si>
    <t>Cuadro N° 17.6.2.1: Número de días otorgados con diagnóstico por Accidentes Cerebro Vasculares, según seguro de salud y sexo año 2016</t>
  </si>
  <si>
    <t>Cuadro N° 17.6.3.1: Número de días otorgados con diagnóstico por Accidentes Cerebro Vasculares, según seguro de salud y tramo etario año 2016</t>
  </si>
  <si>
    <t>Cuadro N° 14.5.1.1: Número de licencias médicas tramitadas con diagnóstico por Insuficiencia Renal, según seguro de salud año 2016</t>
  </si>
  <si>
    <t>Cuadro N° 14.5.2.1: Número de licencias médicas tramitadas con diagnóstico por Insuficiencia Renal, según seguro de salud y sexo año 2016</t>
  </si>
  <si>
    <t>Cuadro N° 14.5.3.1: Número de licencias médicas tramitadas con diagnóstico por Insuficiencia Renal, según seguro de salud y tramo etario año 2016</t>
  </si>
  <si>
    <t>Cuadro N° 14.6.1.1: Número de días otorgados con diagnóstico por Insuficiencia Renal, según seguro de salud año 2016</t>
  </si>
  <si>
    <t>Cuadro N° 14.6.2.1: Número de días otorgados con diagnóstico por Insuficiencia Renal, según seguro de salud y sexo año 2016</t>
  </si>
  <si>
    <t>Cuadro N° 14.6.3.1: Número de días otorgados con diagnóstico por Insuficiencia Renal, según seguro de salud y tramo etario año 2016</t>
  </si>
  <si>
    <t>Cuadro N° 17.7.1.1: Número de licencias médicas tramitadas con diagnóstico por Cáncer de Mama, según seguro de salud año 2016</t>
  </si>
  <si>
    <t>Cuadro N° 17.7.2.1: Número de licencias médicas tramitadas con diagnóstico por Cáncer de Mama, según seguro de salud y sexo año 2016</t>
  </si>
  <si>
    <t>Cuadro N° 17.7.3.1: Número de licencias médicas tramitadas con diagnóstico por Cáncer de Mama, según seguro de salud y tramo etario año 2016</t>
  </si>
  <si>
    <t>Cuadro N° 17.8.1.1: Número de días otorgados con diagnóstico por Cáncer de Mama, según seguro de salud año 2016</t>
  </si>
  <si>
    <t>Cuadro N° 17.8.2.1: Número de días otorgados con diagnóstico por Cáncer de Mama, según seguro de salud y sexo año 2016</t>
  </si>
  <si>
    <t>Cuadro N° 17.8.3.1: Número de días otorgados con diagnóstico por Cáncer de Mama, según seguro de salud y tramo etario año 2016</t>
  </si>
  <si>
    <t>Cuadro N° 17.9.1.1: Número de licencias médicas tramitadas con diagnóstico por Cáncer Gástrico, según seguro de salud año 2016</t>
  </si>
  <si>
    <t>Cuadro N° 17.9.2.1: Número de licencias médicas tramitadas con diagnóstico por Cáncer Gástrico, según seguro de salud y sexo año 2016</t>
  </si>
  <si>
    <t>Cuadro N° 17.9.3.1: Número de licencias médicas tramitadas con diagnóstico por Cáncer Gástrico, según seguro de salud y tramo etario año 2016</t>
  </si>
  <si>
    <t>Cuadro N° 17.10.1.1: Número de días otorgados con diagnóstico por Cáncer Gástrico, según seguro de salud año 2016</t>
  </si>
  <si>
    <t>Cuadro N° 17.10.2.1: Número de días otorgados con diagnóstico por Cáncer Gástrico, según seguro de salud y sexo año 2016</t>
  </si>
  <si>
    <t>Cuadro N° 17.10.3.1: Número de días otorgados con diagnóstico por Cáncer Gástrico, según seguro de salud y tramo etario año 2016</t>
  </si>
  <si>
    <t>Cuadro N° 17.11.1.1: Número de licencias médicas tramitadas con diagnóstico por Cáncer de Pulmón, según seguro de salud año 2016</t>
  </si>
  <si>
    <t>Cuadro N° 17.11.2.1: Número de licencias médicas tramitadas con diagnóstico por Cáncer de Pulmón, según seguro de salud y sexo año 2016</t>
  </si>
  <si>
    <t>Cuadro N° 17.11.3.1: Número de licencias médicas tramitadas con diagnóstico por Cáncer de Pulmón, según seguro de salud y tramo etario año 2016</t>
  </si>
  <si>
    <t>Cuadro N° 17.12.1.1: Número de días otorgados con diagnóstico por Cáncer de Pulmón, según seguro de salud año 2016</t>
  </si>
  <si>
    <t>Cuadro N° 17.12.2.1: Número de días otorgados con diagnóstico por Cáncer de Pulmón, según seguro de salud y sexo año 2016</t>
  </si>
  <si>
    <t>Cuadro N° 17.12.3.1: Número de días otorgados con diagnóstico por Cáncer de Pulmón, según seguro de salud y tramo etario año 2016</t>
  </si>
  <si>
    <t>Cuadro N° 18.1.1.1: Número de licencias médicas autorizadas con diagnóstico por Diabetes, según seguro de salud año 2016</t>
  </si>
  <si>
    <t>Cuadro N° 18.1.2.1: Número de licencias médicas autorizadas con diagnóstico por Diabetes, según seguro de salud y sexo año 2016</t>
  </si>
  <si>
    <t>Cuadro N° 18.1.3.1: Número de licencias médicas autorizadas con diagnóstico por Diabetes, según seguro de salud y tramo etario año 2016</t>
  </si>
  <si>
    <t>Cuadro N° 18.3.1.1: Número de licencias médicas autorizadas con diagnóstico por Patologías Isquémicas Agudas del Corazón, según seguro de salud año 2016</t>
  </si>
  <si>
    <t>Cuadro N° 18.3.2.1: Número de licencias médicas autorizadas con diagnóstico por Patologías Isquémicas Agudas del Corazón, según seguro de salud y sexo año 2016</t>
  </si>
  <si>
    <t>Cuadro N° 18.3.3.1: Número de licencias médicas autorizadas con diagnóstico por Patologías Isquémicas Agudas del Corazón, según seguro de salud y tramo etario año 2016</t>
  </si>
  <si>
    <t>Cuadro N° 18.5.1.1: Número de licencias médicas autorizadas con diagnóstico por Accidentes Cerebro Vasculares, según seguro de salud año 2016</t>
  </si>
  <si>
    <t>Cuadro N° 18.5.2.1: Número de licencias médicas autorizadas con diagnóstico por Accidentes Cerebro Vasculares, según seguro de salud y sexo año 2016</t>
  </si>
  <si>
    <t>Cuadro N° 18.5.3.1: Número de licencias médicas autorizadas con diagnóstico por Accidentes Cerebro Vasculares, según seguro de salud y tramo etario año 2016</t>
  </si>
  <si>
    <t>Cuadro N° 18.7.1.1: Número de licencias médicas autorizadas con diagnóstico por Cáncer de Mama, según seguro de salud año 2016</t>
  </si>
  <si>
    <t>Cuadro N° 18.7.2.1: Número de licencias médicas autorizadas con diagnóstico por Cáncer de Mama, según seguro de salud y sexo año 2016</t>
  </si>
  <si>
    <t>Cuadro N° 18.7.3.1: Número de licencias médicas autorizadas con diagnóstico por Cáncer de Mama, según seguro de salud y tramo etario año 2016</t>
  </si>
  <si>
    <t>Cuadro N° 18.9.1.1: Número de licencias médicas autorizadas con diagnóstico por Cáncer Gástrico, según seguro de salud año 2016</t>
  </si>
  <si>
    <t>Cuadro N° 18.9.2.1: Número de licencias médicas autorizadas con diagnóstico por Cáncer Gástrico, según seguro de salud y sexo año 2016</t>
  </si>
  <si>
    <t>Cuadro N° 18.9.3.1: Número de licencias médicas autorizadas con diagnóstico por Cáncer Gástrico, según seguro de salud y tramo etario año 2016</t>
  </si>
  <si>
    <t>Cuadro N° 18.11.1.1: Número de licencias médicas autorizadas con diagnóstico por Cáncer de Pulmón, según seguro de salud año 2016</t>
  </si>
  <si>
    <t>Cuadro N° 18.11.2.1: Número de licencias médicas autorizadas con diagnóstico por Cáncer de Pulmón, según seguro de salud y sexo año 2016</t>
  </si>
  <si>
    <t>Cuadro N° 18.11.3.1: Número de licencias médicas autorizadas con diagnóstico por Cáncer de Pulmón, según seguro de salud y tramo etario año 2016</t>
  </si>
  <si>
    <t>Cuadro N° 18.2.1.1: Número de días pagados con diagnóstico por Diabetes, según seguro de salud año 2016</t>
  </si>
  <si>
    <t>Cuadro N° 18.2.2.1: Número de días pagados con diagnóstico por Diabetes, según seguro de salud y sexo año 2016</t>
  </si>
  <si>
    <t>Cuadro N° 18.2.3.1: Número de días pagados con diagnóstico por Diabetes, según seguro de salud y tramo etario año 2016</t>
  </si>
  <si>
    <t>Cuadro N° 18.4.1.1: Número de días pagados con diagnóstico por Patologías Isquémicas Agudas del Corazón, según seguro de salud año 2016</t>
  </si>
  <si>
    <t>Cuadro N° 18.4.2.1: Número de días pagados con diagnóstico por Patologías Isquémicas Agudas del Corazón, según seguro de salud y sexo año 2016</t>
  </si>
  <si>
    <t>Cuadro N° 18.4.3.1: Número de días pagados con diagnóstico por Patologías Isquémicas Agudas del Corazón, según seguro de salud y tramo etario año 2016</t>
  </si>
  <si>
    <t>Cuadro N° 18.6.1.1: Número de días pagados con diagnóstico por Accidentes Cerebro Vasculares, según seguro de salud año 2016</t>
  </si>
  <si>
    <t>Cuadro N° 18.6.2.1: Número de días pagados con diagnóstico por Accidentes Cerebro Vasculares, según seguro de salud y sexo año 2016</t>
  </si>
  <si>
    <t>Cuadro N° 18.6.3.1: Número de días pagados con diagnóstico por Accidentes Cerebro Vasculares, según seguro de salud y tramo etario año 2016</t>
  </si>
  <si>
    <t>Cuadro N° 18.8.1.1: Número de días pagados con diagnóstico por Cáncer de Mama, según seguro de salud año 2016</t>
  </si>
  <si>
    <t>Cuadro N° 18.8.2.1: Número de días pagados con diagnóstico por Cáncer de Mama, según seguro de salud y sexo año 2016</t>
  </si>
  <si>
    <t>Cuadro N° 18.8.3.1: Número de días pagados con diagnóstico por Cáncer de Mama, según seguro de salud y tramo etario año 2016</t>
  </si>
  <si>
    <t>Cuadro N° 18.10.1.1: Número de días pagados con diagnóstico por Cáncer Gástrico, según seguro de salud año 2016</t>
  </si>
  <si>
    <t>Cuadro N° 18.10.2.1: Número de días pagados con diagnóstico por Cáncer Gástrico, según seguro de salud y sexo año 2016</t>
  </si>
  <si>
    <t>Cuadro N° 18.10.3.1: Número de días pagados con diagnóstico por Cáncer Gástrico, según seguro de salud y tramo etario año 2016</t>
  </si>
  <si>
    <t>Cuadro N° 18.12.1.1: Número de días pagados con diagnóstico por Cáncer de Pulmón, según seguro de salud año 2016</t>
  </si>
  <si>
    <t>Cuadro N° 18.12.2.1: Número de días pagados con diagnóstico por Cáncer de Pulmón, según seguro de salud y sexo año 2016</t>
  </si>
  <si>
    <t>Cuadro N° 18.12.3.1: Número de días pagados con diagnóstico por Cáncer de Pulmón, según seguro de salud y tramo etario año 2016</t>
  </si>
  <si>
    <t>Cuadro N° 17.2.1.1</t>
  </si>
  <si>
    <t>Cuadro N° 17.2.2.1</t>
  </si>
  <si>
    <t>Cuadro N° 17.2.3.1</t>
  </si>
  <si>
    <t>Cuadro N° 17.4.1.1</t>
  </si>
  <si>
    <t>Cuadro N° 17.4.2.1</t>
  </si>
  <si>
    <t>Cuadro N° 17.4.3.1</t>
  </si>
  <si>
    <t>Cuadro N° 17.6.1.1</t>
  </si>
  <si>
    <t>Cuadro N° 17.6.2.1</t>
  </si>
  <si>
    <t>Cuadro N° 17.6.3.1</t>
  </si>
  <si>
    <t>Cuadro N° 17.7.1.1</t>
  </si>
  <si>
    <t>Cuadro N° 17.8.1.1</t>
  </si>
  <si>
    <t>Cuadro N° 17.7.2.1</t>
  </si>
  <si>
    <t>Cuadro N° 17.8.2.1</t>
  </si>
  <si>
    <t>Cuadro N° 17.7.3.1</t>
  </si>
  <si>
    <t>Cuadro N° 17.8.3.1</t>
  </si>
  <si>
    <t>Cuadro N° 17.9.1.1</t>
  </si>
  <si>
    <t>Cuadro N° 17.10.1.1</t>
  </si>
  <si>
    <t>Cuadro N° 17.9.2.1</t>
  </si>
  <si>
    <t>Cuadro N° 17.10.2.1</t>
  </si>
  <si>
    <t>Cuadro N° 17.9.3.1</t>
  </si>
  <si>
    <t>Cuadro N° 17.11.1.1</t>
  </si>
  <si>
    <t>Cuadro N° 17.10.3.1</t>
  </si>
  <si>
    <t>Cuadro N° 17.12.1.1</t>
  </si>
  <si>
    <t>Cuadro N° 17.11.2.1</t>
  </si>
  <si>
    <t>Cuadro N° 17.12.2.1</t>
  </si>
  <si>
    <t>Cuadro N° 17.11.3.1</t>
  </si>
  <si>
    <t>Cuadro N° 17.12.3.1</t>
  </si>
  <si>
    <t>Cuadro N° 18.5.1.1</t>
  </si>
  <si>
    <t>Cuadro N° 18.6.1.1</t>
  </si>
  <si>
    <t>Cuadro N° 18.6.2.1</t>
  </si>
  <si>
    <t>Cuadro N° 18.5.2.1</t>
  </si>
  <si>
    <t>Cuadro N° 18.5.3.1</t>
  </si>
  <si>
    <t>Cuadro N° 18.6.3.1</t>
  </si>
  <si>
    <t>Cuadro N° 18.7.1.1</t>
  </si>
  <si>
    <t>Cuadro N° 18.8.1.1</t>
  </si>
  <si>
    <t>Cuadro N° 18.8.2.1</t>
  </si>
  <si>
    <t>Cuadro N° 18.7.2.1</t>
  </si>
  <si>
    <t>Cuadro N° 18.7.3.1</t>
  </si>
  <si>
    <t>Cuadro N° 18.8.3.1</t>
  </si>
  <si>
    <t>Cuadro N° 18.9.1.1</t>
  </si>
  <si>
    <t>Cuadro N° 18.10.1.1</t>
  </si>
  <si>
    <t>Cuadro N° 18.10.2.1</t>
  </si>
  <si>
    <t>Cuadro N° 18.9.2.1</t>
  </si>
  <si>
    <t>Cuadro N° 18.9.3.1</t>
  </si>
  <si>
    <t>Cuadro N° 18.10.3.1</t>
  </si>
  <si>
    <t>Cuadro N° 18.11.1.1</t>
  </si>
  <si>
    <t>Cuadro N° 18.12.2.1</t>
  </si>
  <si>
    <t>Cuadro N° 18.11.2.1</t>
  </si>
  <si>
    <t>Cuadro N° 18.12.1.1</t>
  </si>
  <si>
    <t>Cuadro N° 18.11.3.1</t>
  </si>
  <si>
    <t>Cuadro N° 18.12.3.1</t>
  </si>
  <si>
    <t>Cuadro N° 19.5.1.1</t>
  </si>
  <si>
    <t>Cuadro N° 19.6.1.1</t>
  </si>
  <si>
    <t>Cuadro N° 19.6.2.1</t>
  </si>
  <si>
    <t>Cuadro N° 19.5.2.1</t>
  </si>
  <si>
    <t>Cuadro N° 19.5.3.1</t>
  </si>
  <si>
    <t>Cuadro N° 19.6.3.1</t>
  </si>
  <si>
    <t>Cuadro N° 19.8.1.1</t>
  </si>
  <si>
    <t>Cuadro N° 19.7.1.1</t>
  </si>
  <si>
    <t>Cuadro N° 19.7.2.1</t>
  </si>
  <si>
    <t>Cuadro N° 19.8.2.1</t>
  </si>
  <si>
    <t>Cuadro N° 19.8.3.1</t>
  </si>
  <si>
    <t>Cuadro N° 19.7.3.1</t>
  </si>
  <si>
    <t>Cuadro N° 19.9.1.1</t>
  </si>
  <si>
    <t>Cuadro N° 19.10.1.1</t>
  </si>
  <si>
    <t>Cuadro N° 19.10.2.1</t>
  </si>
  <si>
    <t>Cuadro N° 19.9.2.1</t>
  </si>
  <si>
    <t>Cuadro N° 19.9.3.1</t>
  </si>
  <si>
    <t>Cuadro N° 19.10.3.1</t>
  </si>
  <si>
    <t>Cuadro N° 19.12.1.1</t>
  </si>
  <si>
    <t>Cuadro N° 19.11.1.1</t>
  </si>
  <si>
    <t>Cuadro N° 19.11.2.1</t>
  </si>
  <si>
    <t>Cuadro N° 19.12.2.1</t>
  </si>
  <si>
    <t>Cuadro N° 19.12.3.1</t>
  </si>
  <si>
    <t>Cuadro N° 19.11.3.1</t>
  </si>
  <si>
    <t>Cuadro N° 19.1.1.1: Número de licencias médicas rechazadas con diagnóstico por Diabetes, según seguro de salud año 2016</t>
  </si>
  <si>
    <t>Cuadro N° 19.1.2.1: Número de licencias médicas rechazadas con diagnóstico por Diabetes, según seguro de salud y sexo año 2016</t>
  </si>
  <si>
    <t>Cuadro N° 19.1.3.1: Número de licencias médicas rechazadas con diagnóstico por Diabetes, según seguro de salud y tramo etario año 2016</t>
  </si>
  <si>
    <t>Cuadro N° 19.3.1.1: Número de licencias médicas rechazadas con diagnóstico por Patologías Isquémicas Agudas del Corazón, según seguro de salud año 2016</t>
  </si>
  <si>
    <t>Cuadro N° 19.3.2.1: Número de licencias médicas rechazadas con diagnóstico por Patologías Isquémicas Agudas del Corazón, según seguro de salud y sexo año 2016</t>
  </si>
  <si>
    <t>Cuadro N° 19.3.3.1: Número de licencias médicas rechazadas con diagnóstico por Patologías Isquémicas Agudas del Corazón, según seguro de salud y tramo etario año 2016</t>
  </si>
  <si>
    <t>Cuadro N° 19.5.1.1: Número de licencias médicas rechazadas con diagnóstico por Accidentes Cerebro Vasculares, según seguro de salud año 2016</t>
  </si>
  <si>
    <t>Cuadro N° 19.5.2.1: Número de licencias médicas rechazadas con diagnóstico por Accidentes Cerebro Vasculares, según seguro de salud y sexo año 2016</t>
  </si>
  <si>
    <t>Cuadro N° 19.5.3.1: Número de licencias médicas rechazadas con diagnóstico por Accidentes Cerebro Vasculares, según seguro de salud y tramo etario año 2016</t>
  </si>
  <si>
    <t>Cuadro N° 19.7.1.1: Número de licencias médicas rechazadas con diagnóstico por Cáncer de Mama, según seguro de salud año 2016</t>
  </si>
  <si>
    <t>Cuadro N° 19.7.2.1: Número de licencias médicas rechazadas con diagnóstico por Cáncer de Mama, según seguro de salud y sexo año 2016</t>
  </si>
  <si>
    <t>Cuadro N° 19.7.3.1: Número de licencias médicas rechazadas con diagnóstico por Cáncer de Mama, según seguro de salud y tramo etario año 2016</t>
  </si>
  <si>
    <t>Cuadro N° 19.9.1.1: Número de licencias médicas rechazadas con diagnóstico por Cáncer Gástrico, según seguro de salud año 2016</t>
  </si>
  <si>
    <t>Cuadro N° 19.9.2.1: Número de licencias médicas rechazadas con diagnóstico por Cáncer Gástrico, según seguro de salud y sexo año 2016</t>
  </si>
  <si>
    <t>Cuadro N° 19.9.3.1: Número de licencias médicas rechazadas con diagnóstico por Cáncer Gástrico, según seguro de salud y tramo etario año 2016</t>
  </si>
  <si>
    <t>Cuadro N° 19.11.1.1: Número de licencias médicas rechazadas con diagnóstico por Cáncer de Pulmón, según seguro de salud año 2016</t>
  </si>
  <si>
    <t>Cuadro N° 19.11.2.1: Número de licencias médicas rechazadas con diagnóstico por Cáncer de Pulmón, según seguro de salud y sexo año 2016</t>
  </si>
  <si>
    <t>Cuadro N° 19.11.3.1: Número de licencias médicas rechazadas con diagnóstico por Cáncer de Pulmón, según seguro de salud y tramo etario año 2016</t>
  </si>
  <si>
    <t>Cuadro N° 19.2.1.1: Número de días rechazados con diagnóstico por Diabetes, según seguro de salud año 2016</t>
  </si>
  <si>
    <t>Cuadro N° 19.2.2.1: Número de días rechazados con diagnóstico por Diabetes, según seguro de salud y sexo año 2016</t>
  </si>
  <si>
    <t>Cuadro N° 19.2.3.1: Número de días rechazados con diagnóstico por Diabetes, según seguro de salud y tramo etario año 2016</t>
  </si>
  <si>
    <t>Cuadro N° 19.4.1.1: Número de días rechazados con diagnóstico por Patologías Isquémicas Agudas del Corazón, según seguro de salud año 2016</t>
  </si>
  <si>
    <t>Cuadro N° 19.4.2.1: Número de días rechazados con diagnóstico por Patologías Isquémicas Agudas del Corazón, según seguro de salud y sexo año 2016</t>
  </si>
  <si>
    <t>Cuadro N° 19.4.3.1: Número de días rechazados con diagnóstico por Patologías Isquémicas Agudas del Corazón, según seguro de salud y tramo etario año 2016</t>
  </si>
  <si>
    <t>Cuadro N° 19.6.1.1: Número de días rechazados con diagnóstico por Accidentes Cerebro Vasculares, según seguro de salud año 2016</t>
  </si>
  <si>
    <t>Cuadro N° 19.6.2.1: Número de días rechazados con diagnóstico por Accidentes Cerebro Vasculares, según seguro de salud y sexo año 2016</t>
  </si>
  <si>
    <t>Cuadro N° 19.6.3.1: Número de días rechazados con diagnóstico por Accidentes Cerebro Vasculares, según seguro de salud y tramo etario año 2016</t>
  </si>
  <si>
    <t>Cuadro N° 19.8.1.1: Número de días rechazados con diagnóstico por Cáncer de Mama, según seguro de salud año 2016</t>
  </si>
  <si>
    <t>Cuadro N° 19.8.2.1: Número de días rechazados con diagnóstico por Cáncer de Mama, según seguro de salud y sexo año 2016</t>
  </si>
  <si>
    <t>Cuadro N° 19.8.3.1: Número de días rechazados con diagnóstico por Cáncer de Mama, según seguro de salud y tramo etario año 2016</t>
  </si>
  <si>
    <t>Cuadro N° 19.10.1.1: Número de días rechazados con diagnóstico por Cáncer Gástrico, según seguro de salud año 2016</t>
  </si>
  <si>
    <t>Cuadro N° 19.10.2.1: Número de días rechazados con diagnóstico por Cáncer Gástrico, según seguro de salud y sexo año 2016</t>
  </si>
  <si>
    <t>Cuadro N° 19.10.3.1: Número de días rechazados con diagnóstico por Cáncer Gástrico, según seguro de salud y tramo etario año 2016</t>
  </si>
  <si>
    <t>Cuadro N° 19.12.1.1: Número de días rechazados con diagnóstico por Cáncer de Pulmón, según seguro de salud año 2016</t>
  </si>
  <si>
    <t>Cuadro N° 19.12.2.1: Número de días rechazados con diagnóstico por Cáncer de Pulmón, según seguro de salud y sexo año 2016</t>
  </si>
  <si>
    <t>Cuadro N° 19.12.3.1: Número de días rechazados con diagnóstico por Cáncer de Pulmón, según seguro de salud y tramo etario año 2016</t>
  </si>
  <si>
    <t>C10</t>
  </si>
  <si>
    <t>Cuadros N° 10</t>
  </si>
  <si>
    <t>Cuadros N° 11</t>
  </si>
  <si>
    <t>C11</t>
  </si>
  <si>
    <t>C12</t>
  </si>
  <si>
    <t>Cuadros N° 12</t>
  </si>
  <si>
    <t>Cuadros N° 13</t>
  </si>
  <si>
    <t>C13</t>
  </si>
  <si>
    <t>C14</t>
  </si>
  <si>
    <t>Cuadros N° 14</t>
  </si>
  <si>
    <t>Cuadros N° 15</t>
  </si>
  <si>
    <t>C15</t>
  </si>
  <si>
    <t>Cuadros N° 16</t>
  </si>
  <si>
    <t>Cuadros N° 17</t>
  </si>
  <si>
    <t>C17</t>
  </si>
  <si>
    <t>C18</t>
  </si>
  <si>
    <t>Cuadros N° 18</t>
  </si>
  <si>
    <t>Cuadros N° 19</t>
  </si>
  <si>
    <t>C19</t>
  </si>
  <si>
    <t>Enf. cardiovasculares</t>
  </si>
  <si>
    <t>Número de licencias médicas autorizadas, según seguro de salud años 2012-2016 (*)</t>
  </si>
  <si>
    <t>Número de días pagados, según seguro de salud años 2012-2016 (*)</t>
  </si>
  <si>
    <t>Número de licencias médicas autorizadas, según seguro de salud y sexo año 2016 (*)</t>
  </si>
  <si>
    <t>Número de días pagados, según seguro de salud y sexo año 2016 (*)</t>
  </si>
  <si>
    <t>Número de licencias médicas autorizadas, según seguro de salud y tramo etario año 2016 (*)</t>
  </si>
  <si>
    <t>Número de dias pagados, según seguro de salud y tramo etario año 2016 (*)</t>
  </si>
  <si>
    <t>Número de dias pagados, según seguro de salud y tipo de sector año 2016 (*)</t>
  </si>
  <si>
    <t>Número de licencias médicas autorizadas, según seguro de salud y tipo de sector año 2016 (*)</t>
  </si>
  <si>
    <t>Número de licencias médicas autorizadas, según seguro de salud y región año 2016 (*)</t>
  </si>
  <si>
    <t>Número de dias pagados, según seguro de salud y región año 2016 (*)</t>
  </si>
  <si>
    <t>Número de licencias médicas autorizadas, según seguro de salud y tipo de diagnóstico año 2016 (*)</t>
  </si>
  <si>
    <t>Número de días pagados, según seguro de salud y tipo de diagnóstico año 2016 (*)</t>
  </si>
  <si>
    <t>Gasto en SIL nominal por licencias médicas, según seguro de salud (miles $ de cada año) años 2012-2016 (*)</t>
  </si>
  <si>
    <t>Gasto en SIL por licencias médicas, según seguro de salud (miles $ de diciembre 2016) años 2012-2016 (*)</t>
  </si>
  <si>
    <t>Gasto en SIL por licencias médicas, según seguro de salud y tipo de diagnóstico (miles $ de diciembre 2016) año 2016 (*)</t>
  </si>
  <si>
    <t>Gasto en SIL por licencias médicas FONASA, según tipo de sector y tipo de diagnóstico (miles $ de diciembre 2016) año 2016 (*)</t>
  </si>
  <si>
    <t>Número de licencias médicas autorizadas FONASA, según tipo de diagnóstico y sexo año 2016 (*)</t>
  </si>
  <si>
    <t>Número de licencias médicas autorizadas FONASA, según tipo de diagnóstico y tramo etario año 2016 (*)</t>
  </si>
  <si>
    <t>Número de licencias médicas autorizadas FONASA, según tipo de diagnóstico y región año 2016 (*)</t>
  </si>
  <si>
    <t>Número de días pagados FONASA, según tipo de diagnóstico y sexo año 2016 (*)</t>
  </si>
  <si>
    <t>Número de días pagados FONASA, según tipo de diagnóstico y tramo etario año 2016 (*)</t>
  </si>
  <si>
    <t>Número de días pagados FONASA, según tipo de diagnóstico y región año 2016 (*)</t>
  </si>
  <si>
    <t>(*) Se incluye en sector privado las LM de los trabajadores independientes</t>
  </si>
  <si>
    <t>Número de licencias médicas tramitadas, según seguro de salud y tipo de sector año 2016 (*)</t>
  </si>
  <si>
    <t>Número de licencias médicas tramitadas FONASA, según tipo de sector y sexo año 2016 (*)</t>
  </si>
  <si>
    <t>Número de licencias médicas tramitadas FONASA, según tipo de sector y tramo etario año 2016 (*)</t>
  </si>
  <si>
    <t>Número de licencias médicas tramitadas FONASA, según tipo de sector y diagnóstico año 2016 (*)</t>
  </si>
  <si>
    <t>Número de días otorgados, según seguro de salud y tipo de sector año 2016 (*)</t>
  </si>
  <si>
    <t>Número de días otorgados FONASA, según tipo de sector y sexo año 2016 (*)</t>
  </si>
  <si>
    <t>Número de días otorgados FONASA, según tipo de sector y tramo etario año 2016 (*)</t>
  </si>
  <si>
    <t>Número de días otorgados FONASA, según tipo de sector y diagnóstico año 2016 (*)</t>
  </si>
  <si>
    <t>Número de licencias médicas tramitadas ISAPREs, según tipo de sector y sexo año 2016 (*)</t>
  </si>
  <si>
    <t>Número de licencias médicas tramitadas ISAPREs, según tipo de sector y tramo etario año 2016 (*)</t>
  </si>
  <si>
    <t>Número de licencias médicas tramitadas ISAPREs, según tipo de sector y diagnóstico año 2016 (*)</t>
  </si>
  <si>
    <t>Número de días otorgados ISAPREs, según tipo de sector y sexo año 2016 (*)</t>
  </si>
  <si>
    <t>Número de días otorgados ISAPREs, según tipo de sector y tramo etario año 2016 (*)</t>
  </si>
  <si>
    <t>Número de días otorgados ISAPREs, según tipo de sector y diagnóstico año 2016 (*)</t>
  </si>
  <si>
    <t>(**) se incluye en sector privado las LM de los trabajadores independientes</t>
  </si>
  <si>
    <t>Número de licencias médicas autorizadas, según seguro de salud y tipo de sector año 2016 (*) (**)</t>
  </si>
  <si>
    <t>Número de licencias médicas autorizadas FONASA, según tipo de sector y sexo año 2016 (*) (**)</t>
  </si>
  <si>
    <t>Número de licencias médicas autorizadas ISAPREs, según tipo de sector y sexo año 2016 (*) (**)</t>
  </si>
  <si>
    <t>Número de licencias médicas autorizadas FONASA, según tipo de sector y tramo etario año 2016 (*) (**)</t>
  </si>
  <si>
    <t>Número de licencias médicas autorizadas ISAPREs, según tipo de sector y tramo etario año 2016 (*) (**)</t>
  </si>
  <si>
    <t>Número de licencias médicas autorizadas FONASA, según tipo de sector y diagnóstico año 2016 (*) (**)</t>
  </si>
  <si>
    <t>Número de licencias médicas autorizadas ISAPREs, según tipo de sector y diagnóstico año 2016 (*) (**)</t>
  </si>
  <si>
    <t>Número de días pagados, según seguro de salud y tipo de sector año 2016 (*) (**)</t>
  </si>
  <si>
    <t>Número de días pagados FONASA, según tipo de sector y sexo año 2016 (*) (**)</t>
  </si>
  <si>
    <t>Número de días pagados ISAPREs, según tipo de sector y sexo año 2016 (*) (**)</t>
  </si>
  <si>
    <t>Número de días pagados FONASA, según tipo de sector y tramo etario año 2016 (*) (**)</t>
  </si>
  <si>
    <t>Número de días pagados ISAPREs, según tipo de sector y tramo etario año 2016 (*) (**)</t>
  </si>
  <si>
    <t>Número de días pagados FONASA, según tipo de sector y diagnóstico año 2016 (*) (**)</t>
  </si>
  <si>
    <t>Número de días pagados ISAPREs, según tipo de sector y diagnóstico año 2016 (*) (**)</t>
  </si>
  <si>
    <t>Número de licencias médicas rechazadas, según seguro de salud y tipo de sector año 2016 (*)</t>
  </si>
  <si>
    <t>Número de licencias médicas rechazadas FONASA, según tipo de sector y sexo año 2016 (*)</t>
  </si>
  <si>
    <t>Número de licencias médicas rechazadas ISAPREs, según tipo de sector y sexo año 2016 (*)</t>
  </si>
  <si>
    <t>Número de licencias médicas rechazadas FONASA, según tipo de sector y tramo etario año 2016 (*)</t>
  </si>
  <si>
    <t>Número de licencias médicas rechazadas ISAPREs, según tipo de sector y tramo etario año 2016 (*)</t>
  </si>
  <si>
    <t>Número de licencias médicas rechazadas ISAPREs, según tipo de sector y diagnóstico año 2016 (*)</t>
  </si>
  <si>
    <t>Número de licencias médicas rechazadas FONASA, según tipo de sector y diagnóstico año 2016 (*)</t>
  </si>
  <si>
    <t>Número de días rechazados, según seguro de salud y tipo de sector año 2016 (*)</t>
  </si>
  <si>
    <t>Número de días rechazados FONASA, según tipo de sector y sexo año 2016 (*)</t>
  </si>
  <si>
    <t>Número de días rechazados ISAPREs, según tipo de sector y sexo año 2016 (*)</t>
  </si>
  <si>
    <t>Número de días rechazados ISAPREs, según tipo de sector y tramo etario año 2016 (*)</t>
  </si>
  <si>
    <t>Número de días rechazados FONASA, según tipo de sector y tramo etario año 2016 (*)</t>
  </si>
  <si>
    <t>Número de días rechazados FONASA, según tipo de sector y diagnóstico año 2016 (*)</t>
  </si>
  <si>
    <t>Número de días rechazados ISAPREs, según tipo de sector y diagnóstico año 2016 (*)</t>
  </si>
  <si>
    <t>Número de licencias médicas autorizadas con diagnóstico por Depresión, según seguro de salud año 2016 (*)</t>
  </si>
  <si>
    <t>Número de días pagados con diagnóstico por Depresión, según seguro de salud año 2016 (*)</t>
  </si>
  <si>
    <t>Número de licencias médicas autorizadas con diagnóstico por Depresión, según seguro de salud y sexo año 2016 (*)</t>
  </si>
  <si>
    <t>Número de días pagados con diagnóstico por Depresión, según seguro de salud y sexo año 2016 (*)</t>
  </si>
  <si>
    <t>Número de días pagados con diagnóstico por Depresión, según seguro de salud y tramo etario año 2016 (*)</t>
  </si>
  <si>
    <t>Número de licencias médicas autorizadas con diagnóstico por Depresión, según seguro de salud y tramo etario año 2016 (*)</t>
  </si>
  <si>
    <t>Número de días pagados con diagnóstico por Artritis Reumatoidea, según seguro de salud año 2016 (*)</t>
  </si>
  <si>
    <t>Número de licencias médicas autorizadas con diagnóstico por Artritis Reumatoidea, según seguro de salud año 2016 (*)</t>
  </si>
  <si>
    <t>Número de licencias médicas autorizadas con diagnóstico por Artritis Reumatoidea, según seguro de salud y sexo año 2016 (*)</t>
  </si>
  <si>
    <t>Número de días pagados con diagnóstico por Artritis Reumatoidea, según seguro de salud y sexo año 2016 (*)</t>
  </si>
  <si>
    <t>Número de días pagados con diagnóstico por Artritis Reumatoidea, según seguro de salud y tramo etario año 2016 (*)</t>
  </si>
  <si>
    <t>Número de licencias médicas autorizadas con diagnóstico por Artritis Reumatoidea, según seguro de salud y tramo etario año 2016 (*)</t>
  </si>
  <si>
    <t>Número de licencias médicas autorizadas con diagnóstico por Insuficiencia Renal, según seguro de salud año 2016 (*)</t>
  </si>
  <si>
    <t>Número de días pagados con diagnóstico por Insuficiencia Renal, según seguro de salud año 2016 (*)</t>
  </si>
  <si>
    <t>Número de días pagados con diagnóstico por Insuficiencia Renal, según seguro de salud y sexo año 2016 (*)</t>
  </si>
  <si>
    <t>Número de licencias médicas autorizadas con diagnóstico por Insuficiencia Renal, según seguro de salud y sexo año 2016 (*)</t>
  </si>
  <si>
    <t>Número de licencias médicas autorizadas con diagnóstico por Insuficiencia Renal, según seguro de salud y tramo etario año 2016 (*)</t>
  </si>
  <si>
    <t>Número de días pagados con diagnóstico por Insuficiencia Renal, según seguro de salud y tramo etario año 2016 (*)</t>
  </si>
  <si>
    <t>Número de licencias médicas autorizadas con diagnóstico Diabetes, según seguro de salud año 2016 (*)</t>
  </si>
  <si>
    <t>Número de días pagados con diagnóstico por Diabetes, según seguro de salud año 2016 (*)</t>
  </si>
  <si>
    <t>Número de licencias médicas autorizadas con diagnóstico Diabetes, según seguro de salud y sexo año 2016 (*)</t>
  </si>
  <si>
    <t>Número de días pagados con diagnóstico por Diabetes, según seguro de salud y sexo año 2016 (*)</t>
  </si>
  <si>
    <t>Número de días pagados con diagnóstico por Diabetes, según seguro de salud y tramo etario año 2016 (*)</t>
  </si>
  <si>
    <t>Número de licencias médicas autorizadas con diagnóstico Diabetes, según seguro de salud y tramo etario año 2016 (*)</t>
  </si>
  <si>
    <t>Número de licencias médicas autorizadas con diagnóstico por Patologías Isquémicas Agudas del Corazón, según seguro de salud año 2016 (*)</t>
  </si>
  <si>
    <t>Número de días pagados con diagnóstico por Patologías Isquémicas Agudas del Corazón, según seguro de salud año 2016 (*)</t>
  </si>
  <si>
    <t>Número de días pagados con diagnóstico por Patologías Isquémicas Agudas del Corazón, según seguro de salud y sexo año 2016 (*)</t>
  </si>
  <si>
    <t>Número de licencias médicas autorizadas con diagnóstico por Patologías Isquémicas Agudas del Corazón, según seguro de salud y sexo año 2016 (*)</t>
  </si>
  <si>
    <t>Número de licencias médicas autorizadas con diagnóstico por Patologías Isquémicas Agudas del Corazón, según seguro de salud y tramo etario año 2016 (*)</t>
  </si>
  <si>
    <t>Número de días pagados con diagnóstico por Patologías Isquémicas Agudas del Corazón, según seguro de salud y tramo etario año 2016 (*)</t>
  </si>
  <si>
    <t>Número de días pagados con diagnóstico por Accidentes Cerebro Vascular (Hemorragias, Infarto, ACV Agudo no especificado), según seguro de salud año 2016 (*)</t>
  </si>
  <si>
    <t>Número de licencias médicas autorizadas con diagnóstico por Accidentes Cerebro Vascular (Hemorragias, Infarto, ACV Agudo no especificado), según seguro de salud año 2016 (*)</t>
  </si>
  <si>
    <t>Número de licencias médicas autorizadas con diagnóstico por Accidentes Cerebro Vascular (Hemorragias, Infarto, ACV Agudo no especificado), según seguro de salud y sexo año 2016 (*)</t>
  </si>
  <si>
    <t>Número de días pagados con diagnóstico por Accidentes Cerebro Vascular (Hemorragias, Infarto, ACV Agudo no especificado), según seguro de salud y sexo año 2016 (*)</t>
  </si>
  <si>
    <t>Número de días pagados con diagnóstico por Accidentes Cerebro Vascular (Hemorragias, Infarto, ACV Agudo no especificado), según seguro de salud y tramo etario año 2016 (*)</t>
  </si>
  <si>
    <t>Número de licencias médicas autorizadas con diagnóstico por Accidentes Cerebro Vascular (Hemorragias, Infarto, ACV Agudo no especificado), según seguro de salud y tramo etario año 2016 (*)</t>
  </si>
  <si>
    <t>Número de días pagados con diagnóstico por Cancer de Mama, según seguro de salud año 2016 (*)</t>
  </si>
  <si>
    <t>Número de licencias médicas autorizadas con diagnóstico por Cancer de Mama, según seguro de salud año 2016 (*)</t>
  </si>
  <si>
    <t>Número de licencias médicas autorizadas con diagnóstico por Cancer de Mama, según seguro de salud y sexo año 2016 (*)</t>
  </si>
  <si>
    <t>Número de días pagados con diagnóstico por Cancer de Mama, según seguro de salud y sexo año 2016 (*)</t>
  </si>
  <si>
    <t>Número de días pagados con diagnóstico por Cancer de Mama, según seguro de salud y tramo etario año 2016 (*)</t>
  </si>
  <si>
    <t>Número de licencias médicas autorizadas con diagnóstico por Cancer de Mama, según seguro de salud y tramo etario año 2016 (*)</t>
  </si>
  <si>
    <t>Número de licencias médicas autorizadas con diagnóstico por Cancer Gástrico, según seguro de salud año 2016 (*)</t>
  </si>
  <si>
    <t>Número de días pagados con diagnóstico por Cancer Gástrico, según seguro de salud año 2016 (*)</t>
  </si>
  <si>
    <t>Número de días pagados con diagnóstico por Cancer Gástrico, según seguro de salud y sexo año 2016 (*)</t>
  </si>
  <si>
    <t>Número de licencias médicas autorizadas con diagnóstico por Cancer Gástrico, según seguro de salud y sexo año 2016 (*)</t>
  </si>
  <si>
    <t>Número de días pagados con diagnóstico por Cancer Gástrico, según seguro de salud y tramo etario año 2016 (*)</t>
  </si>
  <si>
    <t>Número de licencias médicas autorizadas con diagnóstico por Cancer Gástrico, según seguro de salud y tramo etario año 2016 (*)</t>
  </si>
  <si>
    <t>Número de días pagados con diagnóstico por Cancer de Pulmón, según seguro de salud año 2016 (*)</t>
  </si>
  <si>
    <t>Número de licencias médicas autorizadas con diagnóstico por Cancer de Pulmón, según seguro de salud año 2016 (*)</t>
  </si>
  <si>
    <t>Número de días pagados con diagnóstico por Cancer de Pulmón, según seguro de salud y sexo año 2016 (*)</t>
  </si>
  <si>
    <t>Número de licencias médicas autorizadas con diagnóstico por Cancer de Pulmón, según seguro de salud y sexo año 2016 (*)</t>
  </si>
  <si>
    <t>Número de días pagados con diagnóstico por Cancer de Pulmón, según seguro de salud y tramo etario año 2016 (*)</t>
  </si>
  <si>
    <t>Número de licencias médicas autorizadas con diagnóstico por Cancer de Pulmón, según seguro de salud y tramo etario año 2016 (*)</t>
  </si>
  <si>
    <t>(*) Incluyen las LM reclamadas y acogidas total o parcialmente en las instancias de apelación, las que no necesariamente corresponden a LM tramitadas en un determinado año.</t>
  </si>
  <si>
    <t>(*)  Incluyen las LM reclamadas y acogidas total o parcialmente en las instancias de apelación, las que no necesariamente corresponden a LM tramitadas en un determinado año.</t>
  </si>
  <si>
    <t>Introducción</t>
  </si>
  <si>
    <t>En el año 2015, el Fondo Nacional de Salud (FONASA), la Superintendencia de Salud (SIS) y la Superintendencia de Seguridad Social (SUSESO), identificaron la necesidad de constituir una mesa de trabajo conjunto en la cual participen las tres entidades involucradas en el tema de licencias médicas (LM) y subsidio por incapacidad laboral (SIL), cuyo objetivo principal era presentar anualmente, en base a una metodología uniforme, las cifras oficiales en materia de estadísticas de LM y SIL. 
En este contexto en el mes de julio del año 2015, se presenta por primera vez de manera conjunta las estadísticas de LM y SIL del año 2014. 
En el año 2016, las tres instituciones continúan con los objetivos trazados en el año 2015 y en el mes de noviembre se publican las cifras oficiales de LM y SIL del año 2015. En dicha oportunidad se incluye nueva información relevante para el análisis: caracterización de los cotizantes con derecho a licencia médica, LM tramitadas, autorizadas y rechazadas. Lo anterior, desagregado por sexo, tramo de edad, diagnósticos, región, entre otras. Asimismo, se incorporan indicadores asociados al gasto en SIL.
Del mismo modo, que los años anteriores, este año se obtienen las estadísticas de LM y SIL del año 2016, además se incorpora información del número de cotizantes que tramitaron 1 o más LM en el año 2016, y estadísticas de LM por las principales causalidades de Morbi-Mortalidad del País.
De este modo, el siguiente informe contiene las estadísticas oficiales de LM y SIL de FONASA y de ISAPREs del año 2016(*).</t>
  </si>
  <si>
    <t>(*)Para una mejor comprensión de la metodología utilizada para elaborar esta información se sugiere revisar el siguiente documento metodológico</t>
  </si>
  <si>
    <t xml:space="preserve"> "Metodología LM&amp;SIL año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</si>
</sst>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 #,##0_-;_-* &quot;-&quot;_-;_-@_-"/>
    <numFmt numFmtId="165" formatCode="_-* #,##0.00_-;\-* #,##0.00_-;_-* &quot;-&quot;??_-;_-@_-"/>
    <numFmt numFmtId="166" formatCode="_-* #,##0.00\ _€_-;\-* #,##0.00\ _€_-;_-* &quot;-&quot;??\ _€_-;_-@_-"/>
    <numFmt numFmtId="167" formatCode="#,##0.0"/>
    <numFmt numFmtId="168" formatCode="0.0%"/>
    <numFmt numFmtId="169" formatCode="_(* #,##0.00_);_(* \(#,##0.00\);_(* &quot;-&quot;??_);_(@_)"/>
    <numFmt numFmtId="170" formatCode="#,##0;[Red]#,##0"/>
    <numFmt numFmtId="171" formatCode="_-* #,##0.00\ _P_t_s_-;\-* #,##0.00\ _P_t_s_-;_-* &quot;-&quot;??\ _P_t_s_-;_-@_-"/>
    <numFmt numFmtId="172" formatCode="&quot;$&quot;#,##0.00_);\(&quot;$&quot;#,##0.00\)"/>
    <numFmt numFmtId="173" formatCode="&quot;$&quot;#,##0_);\(&quot;$&quot;#,##0\)"/>
  </numFmts>
  <fonts count="47" x14ac:knownFonts="1">
    <font>
      <sz val="11"/>
      <color theme="1"/>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10"/>
      <name val="Calibri"/>
      <family val="2"/>
      <scheme val="minor"/>
    </font>
    <font>
      <sz val="11"/>
      <color theme="1"/>
      <name val="Calibri"/>
      <family val="2"/>
      <scheme val="minor"/>
    </font>
    <font>
      <b/>
      <sz val="11"/>
      <color rgb="FFFF0000"/>
      <name val="Calibri"/>
      <family val="2"/>
      <scheme val="minor"/>
    </font>
    <font>
      <b/>
      <sz val="14"/>
      <color theme="3" tint="0.39997558519241921"/>
      <name val="Calibri"/>
      <family val="2"/>
      <scheme val="minor"/>
    </font>
    <font>
      <b/>
      <sz val="14"/>
      <color theme="0"/>
      <name val="Calibri"/>
      <family val="2"/>
      <scheme val="minor"/>
    </font>
    <font>
      <u/>
      <sz val="11"/>
      <color theme="10"/>
      <name val="Calibri"/>
      <family val="2"/>
      <scheme val="minor"/>
    </font>
    <font>
      <b/>
      <sz val="14"/>
      <color rgb="FFFF0000"/>
      <name val="Calibri"/>
      <family val="2"/>
      <scheme val="minor"/>
    </font>
    <font>
      <b/>
      <sz val="12"/>
      <name val="Arial"/>
      <family val="2"/>
    </font>
    <font>
      <b/>
      <sz val="10"/>
      <name val="Arial"/>
      <family val="2"/>
    </font>
    <font>
      <sz val="10"/>
      <name val="Arial"/>
      <family val="2"/>
    </font>
    <font>
      <sz val="12"/>
      <name val="Arial"/>
      <family val="2"/>
    </font>
    <font>
      <b/>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8"/>
      <name val="Arial"/>
      <family val="2"/>
    </font>
    <font>
      <b/>
      <sz val="9"/>
      <color theme="1"/>
      <name val="Verdana"/>
      <family val="2"/>
    </font>
    <font>
      <u/>
      <sz val="12"/>
      <color indexed="12"/>
      <name val="Arial"/>
      <family val="2"/>
    </font>
    <font>
      <sz val="10"/>
      <name val="Calibri"/>
      <family val="2"/>
      <scheme val="minor"/>
    </font>
    <font>
      <b/>
      <sz val="12"/>
      <color theme="3" tint="0.39997558519241921"/>
      <name val="Calibri"/>
      <family val="2"/>
      <scheme val="minor"/>
    </font>
    <font>
      <sz val="10"/>
      <color rgb="FFFF0000"/>
      <name val="Calibri"/>
      <family val="2"/>
      <scheme val="minor"/>
    </font>
    <font>
      <b/>
      <sz val="10"/>
      <color rgb="FFC00000"/>
      <name val="Calibri"/>
      <family val="2"/>
      <scheme val="minor"/>
    </font>
    <font>
      <b/>
      <sz val="20"/>
      <color theme="3" tint="0.39997558519241921"/>
      <name val="Calibri"/>
      <family val="2"/>
      <scheme val="minor"/>
    </font>
    <font>
      <sz val="11"/>
      <color rgb="FF000000"/>
      <name val="Calibri"/>
      <family val="2"/>
      <scheme val="minor"/>
    </font>
    <font>
      <b/>
      <sz val="12"/>
      <color rgb="FF558ED5"/>
      <name val="Calibri"/>
      <family val="2"/>
      <scheme val="minor"/>
    </font>
    <font>
      <sz val="11"/>
      <name val="Calibri"/>
      <family val="2"/>
      <scheme val="minor"/>
    </font>
    <font>
      <b/>
      <sz val="11"/>
      <color rgb="FF558ED5"/>
      <name val="Calibri"/>
      <family val="2"/>
      <scheme val="minor"/>
    </font>
    <font>
      <b/>
      <sz val="11"/>
      <color rgb="FF000000"/>
      <name val="Calibri"/>
      <family val="2"/>
      <scheme val="minor"/>
    </font>
    <font>
      <i/>
      <sz val="11"/>
      <color rgb="FF000000"/>
      <name val="Calibri"/>
      <family val="2"/>
      <scheme val="minor"/>
    </font>
  </fonts>
  <fills count="32">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249977111117893"/>
        <bgColor indexed="64"/>
      </patternFill>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
      <patternFill patternType="solid">
        <fgColor theme="3" tint="0.59999389629810485"/>
        <bgColor indexed="64"/>
      </patternFill>
    </fill>
    <fill>
      <patternFill patternType="solid">
        <fgColor theme="5"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left>
      <right style="thin">
        <color theme="0"/>
      </right>
      <top/>
      <bottom/>
      <diagonal/>
    </border>
    <border>
      <left style="thick">
        <color rgb="FFFFFFFF"/>
      </left>
      <right style="thick">
        <color rgb="FFFFFFFF"/>
      </right>
      <top style="thick">
        <color rgb="FFFFFFFF"/>
      </top>
      <bottom style="thick">
        <color rgb="FFFFFFF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120">
    <xf numFmtId="0" fontId="0" fillId="0" borderId="0"/>
    <xf numFmtId="9" fontId="6" fillId="0" borderId="0" applyFont="0" applyFill="0" applyBorder="0" applyAlignment="0" applyProtection="0"/>
    <xf numFmtId="164" fontId="6" fillId="0" borderId="0" applyFont="0" applyFill="0" applyBorder="0" applyAlignment="0" applyProtection="0"/>
    <xf numFmtId="0" fontId="6" fillId="0" borderId="0"/>
    <xf numFmtId="0" fontId="10" fillId="0" borderId="0" applyNumberFormat="0" applyFill="0" applyBorder="0" applyAlignment="0" applyProtection="0"/>
    <xf numFmtId="165" fontId="6" fillId="0" borderId="0" applyFont="0" applyFill="0" applyBorder="0" applyAlignment="0" applyProtection="0"/>
    <xf numFmtId="0" fontId="14" fillId="0" borderId="0">
      <alignment vertical="top"/>
    </xf>
    <xf numFmtId="0" fontId="14" fillId="0" borderId="0"/>
    <xf numFmtId="165"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6" borderId="0" applyNumberFormat="0" applyBorder="0" applyAlignment="0" applyProtection="0"/>
    <xf numFmtId="0" fontId="18" fillId="17"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4" borderId="0" applyNumberFormat="0" applyBorder="0" applyAlignment="0" applyProtection="0"/>
    <xf numFmtId="0" fontId="19" fillId="8" borderId="0" applyNumberFormat="0" applyBorder="0" applyAlignment="0" applyProtection="0"/>
    <xf numFmtId="0" fontId="20" fillId="25" borderId="10" applyNumberFormat="0" applyAlignment="0" applyProtection="0"/>
    <xf numFmtId="0" fontId="21" fillId="26" borderId="11" applyNumberFormat="0" applyAlignment="0" applyProtection="0"/>
    <xf numFmtId="0" fontId="22" fillId="0" borderId="0" applyNumberFormat="0" applyFill="0" applyBorder="0" applyAlignment="0" applyProtection="0"/>
    <xf numFmtId="0" fontId="23" fillId="9" borderId="0" applyNumberFormat="0" applyBorder="0" applyAlignment="0" applyProtection="0"/>
    <xf numFmtId="0" fontId="24" fillId="0" borderId="12" applyNumberFormat="0" applyFill="0" applyAlignment="0" applyProtection="0"/>
    <xf numFmtId="0" fontId="25" fillId="0" borderId="13" applyNumberFormat="0" applyFill="0" applyAlignment="0" applyProtection="0"/>
    <xf numFmtId="0" fontId="26" fillId="0" borderId="14" applyNumberFormat="0" applyFill="0" applyAlignment="0" applyProtection="0"/>
    <xf numFmtId="0" fontId="26" fillId="0" borderId="0" applyNumberFormat="0" applyFill="0" applyBorder="0" applyAlignment="0" applyProtection="0"/>
    <xf numFmtId="0" fontId="27" fillId="12" borderId="10" applyNumberFormat="0" applyAlignment="0" applyProtection="0"/>
    <xf numFmtId="0" fontId="28" fillId="0" borderId="15" applyNumberFormat="0" applyFill="0" applyAlignment="0" applyProtection="0"/>
    <xf numFmtId="0" fontId="29" fillId="27" borderId="0" applyNumberFormat="0" applyBorder="0" applyAlignment="0" applyProtection="0"/>
    <xf numFmtId="0" fontId="14" fillId="0" borderId="0"/>
    <xf numFmtId="0" fontId="17" fillId="28" borderId="16" applyNumberFormat="0" applyFont="0" applyAlignment="0" applyProtection="0"/>
    <xf numFmtId="0" fontId="17" fillId="28" borderId="16" applyNumberFormat="0" applyFont="0" applyAlignment="0" applyProtection="0"/>
    <xf numFmtId="0" fontId="30" fillId="25" borderId="17" applyNumberFormat="0" applyAlignment="0" applyProtection="0"/>
    <xf numFmtId="9" fontId="17" fillId="0" borderId="0" applyFont="0" applyFill="0" applyBorder="0" applyAlignment="0" applyProtection="0"/>
    <xf numFmtId="0" fontId="31" fillId="0" borderId="0" applyNumberFormat="0" applyFill="0" applyBorder="0" applyAlignment="0" applyProtection="0"/>
    <xf numFmtId="0" fontId="16" fillId="0" borderId="18" applyNumberFormat="0" applyFill="0" applyAlignment="0" applyProtection="0"/>
    <xf numFmtId="0" fontId="32" fillId="0" borderId="0" applyNumberFormat="0" applyFill="0" applyBorder="0" applyAlignment="0" applyProtection="0"/>
    <xf numFmtId="169" fontId="6" fillId="0" borderId="0" applyFont="0" applyFill="0" applyBorder="0" applyAlignment="0" applyProtection="0"/>
    <xf numFmtId="166" fontId="6" fillId="0" borderId="0" applyFont="0" applyFill="0" applyBorder="0" applyAlignment="0" applyProtection="0"/>
    <xf numFmtId="0" fontId="14" fillId="0" borderId="0"/>
    <xf numFmtId="0" fontId="33" fillId="0" borderId="0" applyNumberFormat="0" applyFont="0" applyFill="0" applyAlignment="0" applyProtection="0"/>
    <xf numFmtId="0" fontId="12" fillId="0" borderId="0" applyNumberFormat="0" applyFont="0" applyFill="0" applyAlignment="0" applyProtection="0"/>
    <xf numFmtId="170" fontId="13" fillId="29" borderId="19"/>
    <xf numFmtId="3" fontId="34" fillId="30" borderId="20">
      <alignment horizontal="center" wrapText="1"/>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 fontId="14" fillId="0" borderId="0" applyFont="0" applyFill="0" applyBorder="0" applyAlignment="0" applyProtection="0"/>
    <xf numFmtId="2" fontId="14" fillId="0" borderId="0" applyFont="0" applyFill="0" applyBorder="0" applyAlignment="0" applyProtection="0"/>
    <xf numFmtId="0" fontId="35" fillId="0" borderId="0" applyNumberFormat="0" applyFill="0" applyBorder="0" applyAlignment="0" applyProtection="0">
      <alignment vertical="top"/>
      <protection locked="0"/>
    </xf>
    <xf numFmtId="165" fontId="6" fillId="0" borderId="0" applyFont="0" applyFill="0" applyBorder="0" applyAlignment="0" applyProtection="0"/>
    <xf numFmtId="165" fontId="6" fillId="0" borderId="0" applyFont="0" applyFill="0" applyBorder="0" applyAlignment="0" applyProtection="0"/>
    <xf numFmtId="171"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alignment vertical="top"/>
    </xf>
    <xf numFmtId="0" fontId="14" fillId="0" borderId="0">
      <alignment vertical="top"/>
    </xf>
    <xf numFmtId="0" fontId="6" fillId="0" borderId="0"/>
    <xf numFmtId="0" fontId="15" fillId="0" borderId="0">
      <alignment vertical="top"/>
    </xf>
    <xf numFmtId="0" fontId="6" fillId="0" borderId="0"/>
    <xf numFmtId="0" fontId="14" fillId="0" borderId="0"/>
    <xf numFmtId="0" fontId="6" fillId="0" borderId="0"/>
    <xf numFmtId="0" fontId="6" fillId="0" borderId="0"/>
    <xf numFmtId="0" fontId="6" fillId="0" borderId="0"/>
    <xf numFmtId="0" fontId="14" fillId="0" borderId="0">
      <alignment vertical="top"/>
    </xf>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alignment vertical="top"/>
    </xf>
    <xf numFmtId="0" fontId="14" fillId="0" borderId="0"/>
    <xf numFmtId="0" fontId="14" fillId="0" borderId="0"/>
    <xf numFmtId="0" fontId="14" fillId="0" borderId="0"/>
    <xf numFmtId="0" fontId="14" fillId="0" borderId="0"/>
    <xf numFmtId="9" fontId="6" fillId="0" borderId="0" applyFont="0" applyFill="0" applyBorder="0" applyAlignment="0" applyProtection="0"/>
    <xf numFmtId="9" fontId="6" fillId="0" borderId="0" applyFont="0" applyFill="0" applyBorder="0" applyAlignment="0" applyProtection="0"/>
    <xf numFmtId="3" fontId="14" fillId="0" borderId="0" applyFont="0" applyFill="0" applyBorder="0" applyAlignment="0" applyProtection="0"/>
    <xf numFmtId="3" fontId="14" fillId="0" borderId="0" applyFont="0" applyFill="0" applyBorder="0" applyAlignment="0" applyProtection="0"/>
    <xf numFmtId="0" fontId="14" fillId="0" borderId="0"/>
    <xf numFmtId="0" fontId="14" fillId="0" borderId="0">
      <alignment vertical="top"/>
    </xf>
    <xf numFmtId="165" fontId="6" fillId="0" borderId="0" applyFont="0" applyFill="0" applyBorder="0" applyAlignment="0" applyProtection="0"/>
  </cellStyleXfs>
  <cellXfs count="151">
    <xf numFmtId="0" fontId="0" fillId="0" borderId="0" xfId="0"/>
    <xf numFmtId="0" fontId="1" fillId="0" borderId="0" xfId="0" applyFont="1"/>
    <xf numFmtId="0" fontId="2" fillId="0" borderId="0" xfId="0" applyFont="1"/>
    <xf numFmtId="0" fontId="3" fillId="0" borderId="0" xfId="0" applyFont="1"/>
    <xf numFmtId="3" fontId="3" fillId="0" borderId="6" xfId="0" applyNumberFormat="1" applyFont="1" applyBorder="1" applyAlignment="1">
      <alignment horizontal="center" vertical="center"/>
    </xf>
    <xf numFmtId="3" fontId="3" fillId="0" borderId="7" xfId="0" applyNumberFormat="1" applyFont="1" applyBorder="1" applyAlignment="1">
      <alignment horizontal="center" vertical="center"/>
    </xf>
    <xf numFmtId="0" fontId="3" fillId="0" borderId="0" xfId="0" applyFont="1" applyAlignment="1">
      <alignment vertical="center"/>
    </xf>
    <xf numFmtId="0" fontId="5" fillId="0" borderId="0" xfId="0" applyFont="1"/>
    <xf numFmtId="0" fontId="4" fillId="2" borderId="1" xfId="0" applyFont="1" applyFill="1" applyBorder="1" applyAlignment="1">
      <alignment horizontal="center"/>
    </xf>
    <xf numFmtId="0" fontId="2" fillId="4" borderId="0" xfId="0" applyFont="1" applyFill="1"/>
    <xf numFmtId="0" fontId="0" fillId="0" borderId="8" xfId="0" applyBorder="1" applyAlignment="1">
      <alignment horizontal="left" indent="2"/>
    </xf>
    <xf numFmtId="0" fontId="0" fillId="0" borderId="7" xfId="0" applyBorder="1" applyAlignment="1">
      <alignment horizontal="left" indent="2"/>
    </xf>
    <xf numFmtId="0" fontId="8" fillId="6" borderId="6" xfId="3" applyFont="1" applyFill="1" applyBorder="1" applyAlignment="1">
      <alignment horizontal="center" vertical="center"/>
    </xf>
    <xf numFmtId="0" fontId="0" fillId="0" borderId="6" xfId="0" applyBorder="1"/>
    <xf numFmtId="3" fontId="3" fillId="0" borderId="7" xfId="0" applyNumberFormat="1" applyFont="1" applyBorder="1" applyAlignment="1">
      <alignment horizontal="center"/>
    </xf>
    <xf numFmtId="3" fontId="3" fillId="0" borderId="8" xfId="0" applyNumberFormat="1" applyFont="1" applyBorder="1" applyAlignment="1">
      <alignment horizontal="center" vertical="center"/>
    </xf>
    <xf numFmtId="0" fontId="11" fillId="0" borderId="0" xfId="0" applyFont="1"/>
    <xf numFmtId="3" fontId="3" fillId="0" borderId="0" xfId="0" applyNumberFormat="1" applyFont="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168" fontId="3" fillId="0" borderId="6" xfId="1" applyNumberFormat="1" applyFont="1" applyBorder="1" applyAlignment="1">
      <alignment horizontal="center" vertical="center"/>
    </xf>
    <xf numFmtId="168" fontId="3" fillId="0" borderId="7" xfId="1" applyNumberFormat="1" applyFont="1" applyBorder="1" applyAlignment="1">
      <alignment horizontal="center" vertical="center"/>
    </xf>
    <xf numFmtId="0" fontId="3" fillId="3" borderId="6" xfId="0" applyFont="1" applyFill="1" applyBorder="1" applyAlignment="1">
      <alignment horizontal="center" vertical="center"/>
    </xf>
    <xf numFmtId="3" fontId="3" fillId="0" borderId="6" xfId="0" applyNumberFormat="1" applyFont="1" applyBorder="1" applyAlignment="1">
      <alignment horizontal="center"/>
    </xf>
    <xf numFmtId="0" fontId="4" fillId="2" borderId="1" xfId="0" applyFont="1" applyFill="1" applyBorder="1" applyAlignment="1">
      <alignment horizontal="center" vertical="center"/>
    </xf>
    <xf numFmtId="0" fontId="3" fillId="3" borderId="7" xfId="0" applyFont="1" applyFill="1" applyBorder="1" applyAlignment="1">
      <alignment horizontal="center" vertical="center"/>
    </xf>
    <xf numFmtId="3" fontId="3" fillId="0" borderId="8" xfId="0" applyNumberFormat="1" applyFont="1" applyBorder="1" applyAlignment="1">
      <alignment horizontal="center"/>
    </xf>
    <xf numFmtId="0" fontId="3" fillId="3" borderId="8" xfId="0" applyFont="1" applyFill="1" applyBorder="1" applyAlignment="1">
      <alignment horizontal="center" vertical="center"/>
    </xf>
    <xf numFmtId="0" fontId="3" fillId="0" borderId="0" xfId="0" applyFont="1" applyAlignment="1">
      <alignment horizontal="left" vertical="center" indent="2"/>
    </xf>
    <xf numFmtId="0" fontId="2" fillId="3" borderId="8"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4" fillId="2" borderId="1" xfId="0" applyFont="1" applyFill="1" applyBorder="1" applyAlignment="1">
      <alignment horizontal="center" wrapText="1"/>
    </xf>
    <xf numFmtId="0" fontId="7" fillId="0" borderId="0" xfId="0" applyFont="1"/>
    <xf numFmtId="0" fontId="3" fillId="0" borderId="0" xfId="0" applyFont="1" applyAlignment="1">
      <alignment horizontal="center" vertical="center"/>
    </xf>
    <xf numFmtId="0" fontId="4" fillId="0" borderId="0" xfId="0" applyFont="1" applyAlignment="1">
      <alignment horizontal="center"/>
    </xf>
    <xf numFmtId="167" fontId="3" fillId="0" borderId="6" xfId="0" applyNumberFormat="1" applyFont="1" applyBorder="1" applyAlignment="1">
      <alignment horizontal="center" vertical="center"/>
    </xf>
    <xf numFmtId="167" fontId="3" fillId="0" borderId="7" xfId="0" applyNumberFormat="1" applyFont="1" applyBorder="1" applyAlignment="1">
      <alignment horizontal="center" vertical="center"/>
    </xf>
    <xf numFmtId="167" fontId="3" fillId="0" borderId="7" xfId="0" applyNumberFormat="1" applyFont="1" applyBorder="1" applyAlignment="1">
      <alignment horizontal="center"/>
    </xf>
    <xf numFmtId="167" fontId="3" fillId="0" borderId="8" xfId="0" applyNumberFormat="1" applyFont="1" applyBorder="1" applyAlignment="1">
      <alignment horizontal="center" vertical="center"/>
    </xf>
    <xf numFmtId="167" fontId="3" fillId="0" borderId="8" xfId="0" applyNumberFormat="1" applyFont="1" applyBorder="1" applyAlignment="1">
      <alignment horizontal="center"/>
    </xf>
    <xf numFmtId="168" fontId="3" fillId="0" borderId="7" xfId="1" applyNumberFormat="1" applyFont="1" applyBorder="1" applyAlignment="1">
      <alignment horizontal="center"/>
    </xf>
    <xf numFmtId="168" fontId="3" fillId="0" borderId="8" xfId="1" applyNumberFormat="1" applyFont="1" applyBorder="1" applyAlignment="1">
      <alignment horizontal="center" vertical="center"/>
    </xf>
    <xf numFmtId="168" fontId="3" fillId="0" borderId="8" xfId="1" applyNumberFormat="1" applyFont="1" applyBorder="1" applyAlignment="1">
      <alignment horizontal="center"/>
    </xf>
    <xf numFmtId="0" fontId="4" fillId="2" borderId="1" xfId="0" applyFont="1" applyFill="1" applyBorder="1" applyAlignment="1">
      <alignment horizontal="center" vertical="center" wrapText="1"/>
    </xf>
    <xf numFmtId="0" fontId="2" fillId="0" borderId="0" xfId="0" applyFont="1" applyAlignment="1">
      <alignment horizontal="center" vertical="center"/>
    </xf>
    <xf numFmtId="3" fontId="36" fillId="0" borderId="6" xfId="0" applyNumberFormat="1" applyFont="1" applyBorder="1" applyAlignment="1">
      <alignment horizontal="center" vertical="center"/>
    </xf>
    <xf numFmtId="3" fontId="36" fillId="0" borderId="6" xfId="0" applyNumberFormat="1" applyFont="1" applyBorder="1" applyAlignment="1">
      <alignment horizontal="center"/>
    </xf>
    <xf numFmtId="3" fontId="36" fillId="0" borderId="7" xfId="0" applyNumberFormat="1" applyFont="1" applyBorder="1" applyAlignment="1">
      <alignment horizontal="center" vertical="center"/>
    </xf>
    <xf numFmtId="3" fontId="36" fillId="0" borderId="7" xfId="0" applyNumberFormat="1" applyFont="1" applyBorder="1" applyAlignment="1">
      <alignment horizontal="center"/>
    </xf>
    <xf numFmtId="0" fontId="37" fillId="6" borderId="1" xfId="3" applyFont="1" applyFill="1" applyBorder="1" applyAlignment="1">
      <alignment horizontal="left" vertical="top" indent="2"/>
    </xf>
    <xf numFmtId="0" fontId="0" fillId="0" borderId="6" xfId="0" applyBorder="1" applyAlignment="1">
      <alignment horizontal="left" indent="3"/>
    </xf>
    <xf numFmtId="0" fontId="10" fillId="0" borderId="7" xfId="4" applyBorder="1" applyAlignment="1">
      <alignment horizontal="left" indent="1"/>
    </xf>
    <xf numFmtId="0" fontId="0" fillId="0" borderId="8" xfId="0" applyBorder="1" applyAlignment="1">
      <alignment horizontal="left" indent="3"/>
    </xf>
    <xf numFmtId="3" fontId="3" fillId="0" borderId="0" xfId="0" applyNumberFormat="1" applyFont="1" applyAlignment="1">
      <alignment vertical="center"/>
    </xf>
    <xf numFmtId="3" fontId="3" fillId="0" borderId="24" xfId="0" applyNumberFormat="1" applyFont="1" applyBorder="1" applyAlignment="1">
      <alignment horizontal="center" vertical="center"/>
    </xf>
    <xf numFmtId="0" fontId="5" fillId="4" borderId="0" xfId="0" applyFont="1" applyFill="1"/>
    <xf numFmtId="0" fontId="3" fillId="4" borderId="0" xfId="0" applyFont="1" applyFill="1" applyAlignment="1">
      <alignment vertical="center"/>
    </xf>
    <xf numFmtId="3" fontId="2" fillId="0" borderId="8" xfId="0" applyNumberFormat="1" applyFont="1" applyBorder="1" applyAlignment="1">
      <alignment horizontal="center" vertical="center"/>
    </xf>
    <xf numFmtId="3" fontId="2" fillId="0" borderId="5" xfId="0" applyNumberFormat="1" applyFont="1" applyBorder="1" applyAlignment="1">
      <alignment horizontal="center" vertical="center"/>
    </xf>
    <xf numFmtId="0" fontId="3" fillId="3" borderId="5" xfId="0" applyFont="1" applyFill="1" applyBorder="1" applyAlignment="1">
      <alignment horizontal="center" vertical="center"/>
    </xf>
    <xf numFmtId="0" fontId="4" fillId="2" borderId="6" xfId="0" applyFont="1" applyFill="1" applyBorder="1" applyAlignment="1">
      <alignment horizontal="center"/>
    </xf>
    <xf numFmtId="0" fontId="3" fillId="31" borderId="7" xfId="0" applyFont="1" applyFill="1" applyBorder="1" applyAlignment="1">
      <alignment horizontal="center" vertical="center"/>
    </xf>
    <xf numFmtId="3" fontId="3" fillId="31" borderId="6" xfId="0" applyNumberFormat="1" applyFont="1" applyFill="1" applyBorder="1" applyAlignment="1">
      <alignment horizontal="center" vertical="center"/>
    </xf>
    <xf numFmtId="3" fontId="3" fillId="31" borderId="6" xfId="0" applyNumberFormat="1" applyFont="1" applyFill="1" applyBorder="1" applyAlignment="1">
      <alignment horizontal="center"/>
    </xf>
    <xf numFmtId="0" fontId="3" fillId="31" borderId="0" xfId="0" applyFont="1" applyFill="1" applyAlignment="1">
      <alignment vertical="center"/>
    </xf>
    <xf numFmtId="0" fontId="3" fillId="31" borderId="0" xfId="0" applyFont="1" applyFill="1"/>
    <xf numFmtId="3" fontId="3" fillId="31" borderId="7" xfId="0" applyNumberFormat="1" applyFont="1" applyFill="1" applyBorder="1" applyAlignment="1">
      <alignment horizontal="center" vertical="center"/>
    </xf>
    <xf numFmtId="3" fontId="3" fillId="31" borderId="7" xfId="0" applyNumberFormat="1" applyFont="1" applyFill="1" applyBorder="1" applyAlignment="1">
      <alignment horizontal="center"/>
    </xf>
    <xf numFmtId="3" fontId="3" fillId="0" borderId="0" xfId="0" applyNumberFormat="1" applyFont="1"/>
    <xf numFmtId="3" fontId="38" fillId="0" borderId="0" xfId="0" applyNumberFormat="1" applyFont="1" applyAlignment="1">
      <alignment horizontal="center" vertical="center"/>
    </xf>
    <xf numFmtId="0" fontId="3" fillId="4" borderId="0" xfId="0" applyFont="1" applyFill="1"/>
    <xf numFmtId="3" fontId="3" fillId="4" borderId="4" xfId="0" applyNumberFormat="1" applyFont="1" applyFill="1" applyBorder="1" applyAlignment="1">
      <alignment horizontal="center" vertical="center"/>
    </xf>
    <xf numFmtId="3" fontId="3" fillId="4" borderId="6" xfId="0" applyNumberFormat="1" applyFont="1" applyFill="1" applyBorder="1" applyAlignment="1">
      <alignment horizontal="center" vertical="center"/>
    </xf>
    <xf numFmtId="3" fontId="3" fillId="4" borderId="24" xfId="0" applyNumberFormat="1" applyFont="1" applyFill="1" applyBorder="1" applyAlignment="1">
      <alignment horizontal="center" vertical="center"/>
    </xf>
    <xf numFmtId="3" fontId="3" fillId="4" borderId="7" xfId="0" applyNumberFormat="1" applyFont="1" applyFill="1" applyBorder="1" applyAlignment="1">
      <alignment horizontal="center" vertical="center"/>
    </xf>
    <xf numFmtId="3" fontId="3" fillId="4" borderId="7" xfId="0" applyNumberFormat="1" applyFont="1" applyFill="1" applyBorder="1" applyAlignment="1">
      <alignment horizontal="center"/>
    </xf>
    <xf numFmtId="3" fontId="2" fillId="4" borderId="8" xfId="0" applyNumberFormat="1" applyFont="1" applyFill="1" applyBorder="1" applyAlignment="1">
      <alignment horizontal="center" vertical="center"/>
    </xf>
    <xf numFmtId="3" fontId="3" fillId="4" borderId="9" xfId="0" applyNumberFormat="1" applyFont="1" applyFill="1" applyBorder="1" applyAlignment="1">
      <alignment horizontal="center" vertical="center"/>
    </xf>
    <xf numFmtId="3" fontId="3" fillId="4" borderId="8" xfId="0" applyNumberFormat="1" applyFont="1" applyFill="1" applyBorder="1" applyAlignment="1">
      <alignment horizontal="center" vertical="center"/>
    </xf>
    <xf numFmtId="0" fontId="39" fillId="4" borderId="0" xfId="0" applyFont="1" applyFill="1" applyAlignment="1">
      <alignment vertical="center"/>
    </xf>
    <xf numFmtId="0" fontId="3" fillId="4" borderId="2" xfId="0" applyFont="1" applyFill="1" applyBorder="1" applyAlignment="1">
      <alignment horizontal="center" vertical="center"/>
    </xf>
    <xf numFmtId="0" fontId="3"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3" fillId="4" borderId="1" xfId="0" applyFont="1" applyFill="1" applyBorder="1" applyAlignment="1">
      <alignment horizontal="center" vertical="center"/>
    </xf>
    <xf numFmtId="3" fontId="3" fillId="4" borderId="1" xfId="0" applyNumberFormat="1" applyFont="1" applyFill="1" applyBorder="1" applyAlignment="1">
      <alignment horizontal="center" vertical="center"/>
    </xf>
    <xf numFmtId="3" fontId="3" fillId="4" borderId="1" xfId="0" applyNumberFormat="1" applyFont="1" applyFill="1" applyBorder="1" applyAlignment="1">
      <alignment horizontal="center"/>
    </xf>
    <xf numFmtId="0" fontId="2" fillId="3" borderId="1" xfId="0" applyFont="1" applyFill="1" applyBorder="1" applyAlignment="1">
      <alignment horizontal="center" vertical="center"/>
    </xf>
    <xf numFmtId="3" fontId="3" fillId="0" borderId="1" xfId="0" applyNumberFormat="1" applyFont="1" applyBorder="1" applyAlignment="1">
      <alignment horizontal="center" vertical="center"/>
    </xf>
    <xf numFmtId="0" fontId="2" fillId="3" borderId="21"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21" xfId="0" applyFont="1" applyFill="1" applyBorder="1" applyAlignment="1">
      <alignment horizontal="center" vertical="center"/>
    </xf>
    <xf numFmtId="0" fontId="4" fillId="2" borderId="23" xfId="0" applyFont="1" applyFill="1" applyBorder="1" applyAlignment="1">
      <alignment horizontal="center" vertical="center" wrapText="1"/>
    </xf>
    <xf numFmtId="0" fontId="2" fillId="3" borderId="5" xfId="0" applyFont="1" applyFill="1" applyBorder="1" applyAlignment="1">
      <alignment horizontal="center" vertical="center"/>
    </xf>
    <xf numFmtId="3" fontId="2" fillId="0" borderId="9" xfId="0" applyNumberFormat="1" applyFont="1" applyBorder="1" applyAlignment="1">
      <alignment horizontal="center" vertical="center"/>
    </xf>
    <xf numFmtId="3" fontId="5" fillId="0" borderId="0" xfId="0" applyNumberFormat="1" applyFont="1"/>
    <xf numFmtId="3" fontId="2" fillId="4" borderId="9" xfId="0" applyNumberFormat="1" applyFont="1" applyFill="1" applyBorder="1" applyAlignment="1">
      <alignment horizontal="center" vertical="center"/>
    </xf>
    <xf numFmtId="9" fontId="3" fillId="0" borderId="0" xfId="1" applyFont="1" applyAlignment="1">
      <alignment vertical="center"/>
    </xf>
    <xf numFmtId="168" fontId="3" fillId="0" borderId="0" xfId="1" applyNumberFormat="1" applyFont="1" applyAlignment="1">
      <alignment vertical="center"/>
    </xf>
    <xf numFmtId="168" fontId="3" fillId="0" borderId="0" xfId="1" applyNumberFormat="1" applyFont="1"/>
    <xf numFmtId="10" fontId="3" fillId="0" borderId="7" xfId="1" applyNumberFormat="1" applyFont="1" applyBorder="1" applyAlignment="1">
      <alignment horizontal="center" vertical="center"/>
    </xf>
    <xf numFmtId="10" fontId="3" fillId="0" borderId="8" xfId="1" applyNumberFormat="1" applyFont="1" applyBorder="1" applyAlignment="1">
      <alignment horizontal="center" vertical="center"/>
    </xf>
    <xf numFmtId="165" fontId="3" fillId="0" borderId="0" xfId="119" applyFont="1" applyAlignment="1">
      <alignment vertical="center"/>
    </xf>
    <xf numFmtId="165" fontId="3" fillId="0" borderId="0" xfId="0" applyNumberFormat="1" applyFont="1"/>
    <xf numFmtId="165" fontId="2" fillId="0" borderId="0" xfId="0" applyNumberFormat="1" applyFont="1"/>
    <xf numFmtId="3" fontId="2" fillId="0" borderId="0" xfId="0" applyNumberFormat="1" applyFont="1"/>
    <xf numFmtId="165" fontId="3" fillId="0" borderId="0" xfId="119" applyFont="1"/>
    <xf numFmtId="167" fontId="3" fillId="0" borderId="0" xfId="0" applyNumberFormat="1" applyFont="1"/>
    <xf numFmtId="168" fontId="3" fillId="0" borderId="0" xfId="0" applyNumberFormat="1" applyFont="1"/>
    <xf numFmtId="3" fontId="2" fillId="0" borderId="8" xfId="0" applyNumberFormat="1" applyFont="1" applyBorder="1" applyAlignment="1">
      <alignment horizontal="center"/>
    </xf>
    <xf numFmtId="165" fontId="3" fillId="4" borderId="7" xfId="119" applyFont="1" applyFill="1" applyBorder="1" applyAlignment="1">
      <alignment horizontal="center" vertical="center"/>
    </xf>
    <xf numFmtId="165" fontId="3" fillId="4" borderId="6" xfId="119" applyFont="1" applyFill="1" applyBorder="1" applyAlignment="1">
      <alignment horizontal="center" vertical="center"/>
    </xf>
    <xf numFmtId="165" fontId="2" fillId="0" borderId="8" xfId="119" applyFont="1" applyBorder="1" applyAlignment="1">
      <alignment horizontal="center" vertical="center"/>
    </xf>
    <xf numFmtId="165" fontId="3" fillId="4" borderId="4" xfId="119" applyFont="1" applyFill="1" applyBorder="1" applyAlignment="1">
      <alignment horizontal="center" vertical="center"/>
    </xf>
    <xf numFmtId="165" fontId="3" fillId="4" borderId="24" xfId="119" applyFont="1" applyFill="1" applyBorder="1" applyAlignment="1">
      <alignment horizontal="center" vertical="center"/>
    </xf>
    <xf numFmtId="165" fontId="2" fillId="0" borderId="9" xfId="119" applyFont="1" applyBorder="1" applyAlignment="1">
      <alignment horizontal="center" vertical="center"/>
    </xf>
    <xf numFmtId="165" fontId="3" fillId="0" borderId="6" xfId="119" applyFont="1" applyBorder="1" applyAlignment="1">
      <alignment horizontal="center" vertical="center"/>
    </xf>
    <xf numFmtId="165" fontId="3" fillId="0" borderId="7" xfId="119" applyFont="1" applyBorder="1" applyAlignment="1">
      <alignment horizontal="center" vertical="center"/>
    </xf>
    <xf numFmtId="165" fontId="3" fillId="4" borderId="1" xfId="119" applyFont="1" applyFill="1" applyBorder="1" applyAlignment="1">
      <alignment horizontal="center" vertical="center"/>
    </xf>
    <xf numFmtId="165" fontId="3" fillId="0" borderId="22" xfId="119" applyFont="1" applyBorder="1" applyAlignment="1">
      <alignment vertical="center"/>
    </xf>
    <xf numFmtId="165" fontId="3" fillId="0" borderId="4" xfId="119" applyFont="1" applyBorder="1" applyAlignment="1">
      <alignment horizontal="center" vertical="center"/>
    </xf>
    <xf numFmtId="165" fontId="3" fillId="0" borderId="0" xfId="119" applyFont="1" applyAlignment="1">
      <alignment horizontal="center" vertical="center"/>
    </xf>
    <xf numFmtId="0" fontId="0" fillId="0" borderId="0" xfId="0" applyAlignment="1">
      <alignment vertical="top" wrapText="1"/>
    </xf>
    <xf numFmtId="0" fontId="40" fillId="4" borderId="0" xfId="3" applyFont="1" applyFill="1" applyAlignment="1">
      <alignment vertical="center" wrapText="1"/>
    </xf>
    <xf numFmtId="0" fontId="41" fillId="0" borderId="0" xfId="0" applyFont="1" applyAlignment="1">
      <alignment wrapText="1"/>
    </xf>
    <xf numFmtId="0" fontId="42" fillId="0" borderId="0" xfId="0" applyFont="1" applyAlignment="1">
      <alignment wrapText="1"/>
    </xf>
    <xf numFmtId="0" fontId="43" fillId="0" borderId="0" xfId="0" applyFont="1" applyAlignment="1">
      <alignment wrapText="1"/>
    </xf>
    <xf numFmtId="0" fontId="41" fillId="0" borderId="0" xfId="0" applyFont="1" applyAlignment="1">
      <alignment vertical="top" wrapText="1"/>
    </xf>
    <xf numFmtId="0" fontId="44" fillId="0" borderId="0" xfId="0" applyFont="1" applyAlignment="1">
      <alignment wrapText="1"/>
    </xf>
    <xf numFmtId="0" fontId="45" fillId="0" borderId="0" xfId="0" applyFont="1" applyAlignment="1">
      <alignment wrapText="1"/>
    </xf>
    <xf numFmtId="0" fontId="41" fillId="0" borderId="0" xfId="0" applyFont="1" applyAlignment="1">
      <alignment vertical="center" wrapText="1"/>
    </xf>
    <xf numFmtId="0" fontId="46" fillId="0" borderId="0" xfId="0" applyFont="1" applyAlignment="1">
      <alignment horizontal="left"/>
    </xf>
    <xf numFmtId="0" fontId="10" fillId="0" borderId="0" xfId="4"/>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41" fillId="0" borderId="2" xfId="0" applyFont="1" applyBorder="1" applyAlignment="1">
      <alignment horizontal="left" vertical="center" wrapText="1"/>
    </xf>
    <xf numFmtId="0" fontId="41" fillId="0" borderId="24" xfId="0" applyFont="1" applyBorder="1" applyAlignment="1">
      <alignment horizontal="left" vertical="center" wrapText="1"/>
    </xf>
    <xf numFmtId="0" fontId="41" fillId="0" borderId="5" xfId="0" applyFont="1" applyBorder="1" applyAlignment="1">
      <alignment horizontal="left" vertical="center" wrapText="1"/>
    </xf>
    <xf numFmtId="0" fontId="41" fillId="0" borderId="9" xfId="0" applyFont="1" applyBorder="1" applyAlignment="1">
      <alignment horizontal="left" vertical="center" wrapText="1"/>
    </xf>
    <xf numFmtId="0" fontId="9" fillId="5" borderId="6"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9" xfId="0" applyFont="1" applyFill="1" applyBorder="1" applyAlignment="1">
      <alignment horizontal="center" vertical="center"/>
    </xf>
    <xf numFmtId="0" fontId="2" fillId="0" borderId="25" xfId="0" applyFont="1" applyBorder="1" applyAlignment="1">
      <alignment horizontal="left" wrapText="1"/>
    </xf>
    <xf numFmtId="0" fontId="3" fillId="0" borderId="26" xfId="0" applyFont="1" applyBorder="1" applyAlignment="1">
      <alignment horizontal="left" wrapText="1"/>
    </xf>
    <xf numFmtId="0" fontId="5" fillId="0" borderId="25" xfId="0" applyFont="1" applyBorder="1" applyAlignment="1">
      <alignment horizontal="left" wrapText="1"/>
    </xf>
    <xf numFmtId="0" fontId="3" fillId="0" borderId="26" xfId="0" applyFont="1" applyBorder="1" applyAlignment="1">
      <alignment horizontal="left" vertical="center" wrapText="1"/>
    </xf>
    <xf numFmtId="0" fontId="5" fillId="0" borderId="25" xfId="0" applyFont="1" applyBorder="1" applyAlignment="1">
      <alignment horizontal="left" vertical="center" wrapText="1"/>
    </xf>
  </cellXfs>
  <cellStyles count="120">
    <cellStyle name="20% - Accent1" xfId="13" xr:uid="{00000000-0005-0000-0000-000000000000}"/>
    <cellStyle name="20% - Accent2" xfId="14" xr:uid="{00000000-0005-0000-0000-000001000000}"/>
    <cellStyle name="20% - Accent3" xfId="15" xr:uid="{00000000-0005-0000-0000-000002000000}"/>
    <cellStyle name="20% - Accent4" xfId="16" xr:uid="{00000000-0005-0000-0000-000003000000}"/>
    <cellStyle name="20% - Accent5" xfId="17" xr:uid="{00000000-0005-0000-0000-000004000000}"/>
    <cellStyle name="20% - Accent6" xfId="18" xr:uid="{00000000-0005-0000-0000-000005000000}"/>
    <cellStyle name="40% - Accent1" xfId="19" xr:uid="{00000000-0005-0000-0000-000006000000}"/>
    <cellStyle name="40% - Accent2" xfId="20" xr:uid="{00000000-0005-0000-0000-000007000000}"/>
    <cellStyle name="40% - Accent3" xfId="21" xr:uid="{00000000-0005-0000-0000-000008000000}"/>
    <cellStyle name="40% - Accent4" xfId="22" xr:uid="{00000000-0005-0000-0000-000009000000}"/>
    <cellStyle name="40% - Accent5" xfId="23" xr:uid="{00000000-0005-0000-0000-00000A000000}"/>
    <cellStyle name="40% - Accent6" xfId="24" xr:uid="{00000000-0005-0000-0000-00000B000000}"/>
    <cellStyle name="60% - Accent1" xfId="25" xr:uid="{00000000-0005-0000-0000-00000C000000}"/>
    <cellStyle name="60% - Accent2" xfId="26" xr:uid="{00000000-0005-0000-0000-00000D000000}"/>
    <cellStyle name="60% - Accent3" xfId="27" xr:uid="{00000000-0005-0000-0000-00000E000000}"/>
    <cellStyle name="60% - Accent4" xfId="28" xr:uid="{00000000-0005-0000-0000-00000F000000}"/>
    <cellStyle name="60% - Accent5" xfId="29" xr:uid="{00000000-0005-0000-0000-000010000000}"/>
    <cellStyle name="60% - Accent6" xfId="30" xr:uid="{00000000-0005-0000-0000-000011000000}"/>
    <cellStyle name="Accent1" xfId="31" xr:uid="{00000000-0005-0000-0000-000012000000}"/>
    <cellStyle name="Accent2" xfId="32" xr:uid="{00000000-0005-0000-0000-000013000000}"/>
    <cellStyle name="Accent3" xfId="33" xr:uid="{00000000-0005-0000-0000-000014000000}"/>
    <cellStyle name="Accent4" xfId="34" xr:uid="{00000000-0005-0000-0000-000015000000}"/>
    <cellStyle name="Accent5" xfId="35" xr:uid="{00000000-0005-0000-0000-000016000000}"/>
    <cellStyle name="Accent6" xfId="36" xr:uid="{00000000-0005-0000-0000-000017000000}"/>
    <cellStyle name="Bad" xfId="37" xr:uid="{00000000-0005-0000-0000-000018000000}"/>
    <cellStyle name="Cabecera 1" xfId="60" xr:uid="{00000000-0005-0000-0000-000019000000}"/>
    <cellStyle name="Cabecera 2" xfId="61" xr:uid="{00000000-0005-0000-0000-00001A000000}"/>
    <cellStyle name="Calculation" xfId="38" xr:uid="{00000000-0005-0000-0000-00001B000000}"/>
    <cellStyle name="Check Cell" xfId="39" xr:uid="{00000000-0005-0000-0000-00001C000000}"/>
    <cellStyle name="Estilo 1" xfId="62" xr:uid="{00000000-0005-0000-0000-00001D000000}"/>
    <cellStyle name="Estilo 2" xfId="63" xr:uid="{00000000-0005-0000-0000-00001E000000}"/>
    <cellStyle name="Explanatory Text" xfId="40" xr:uid="{00000000-0005-0000-0000-00001F000000}"/>
    <cellStyle name="F2" xfId="64" xr:uid="{00000000-0005-0000-0000-000020000000}"/>
    <cellStyle name="F3" xfId="65" xr:uid="{00000000-0005-0000-0000-000021000000}"/>
    <cellStyle name="F4" xfId="66" xr:uid="{00000000-0005-0000-0000-000022000000}"/>
    <cellStyle name="F5" xfId="67" xr:uid="{00000000-0005-0000-0000-000023000000}"/>
    <cellStyle name="F6" xfId="68" xr:uid="{00000000-0005-0000-0000-000024000000}"/>
    <cellStyle name="F7" xfId="69" xr:uid="{00000000-0005-0000-0000-000025000000}"/>
    <cellStyle name="F8" xfId="70" xr:uid="{00000000-0005-0000-0000-000026000000}"/>
    <cellStyle name="Fecha" xfId="71" xr:uid="{00000000-0005-0000-0000-000027000000}"/>
    <cellStyle name="Fecha 2" xfId="72" xr:uid="{00000000-0005-0000-0000-000028000000}"/>
    <cellStyle name="Fijo" xfId="73" xr:uid="{00000000-0005-0000-0000-000029000000}"/>
    <cellStyle name="Fijo 2" xfId="74" xr:uid="{00000000-0005-0000-0000-00002A000000}"/>
    <cellStyle name="Good" xfId="41" xr:uid="{00000000-0005-0000-0000-00002B000000}"/>
    <cellStyle name="Heading 1" xfId="42" xr:uid="{00000000-0005-0000-0000-00002C000000}"/>
    <cellStyle name="Heading 2" xfId="43" xr:uid="{00000000-0005-0000-0000-00002D000000}"/>
    <cellStyle name="Heading 3" xfId="44" xr:uid="{00000000-0005-0000-0000-00002E000000}"/>
    <cellStyle name="Heading 4" xfId="45" xr:uid="{00000000-0005-0000-0000-00002F000000}"/>
    <cellStyle name="Hipervínculo" xfId="4" builtinId="8"/>
    <cellStyle name="Hipervínculo 2" xfId="75" xr:uid="{00000000-0005-0000-0000-000031000000}"/>
    <cellStyle name="Input" xfId="46" xr:uid="{00000000-0005-0000-0000-000032000000}"/>
    <cellStyle name="Linked Cell" xfId="47" xr:uid="{00000000-0005-0000-0000-000033000000}"/>
    <cellStyle name="Millares" xfId="119" builtinId="3"/>
    <cellStyle name="Millares [0] 2" xfId="2" xr:uid="{00000000-0005-0000-0000-000035000000}"/>
    <cellStyle name="Millares 2" xfId="8" xr:uid="{00000000-0005-0000-0000-000036000000}"/>
    <cellStyle name="Millares 2 2" xfId="58" xr:uid="{00000000-0005-0000-0000-000037000000}"/>
    <cellStyle name="Millares 3" xfId="57" xr:uid="{00000000-0005-0000-0000-000038000000}"/>
    <cellStyle name="Millares 4" xfId="76" xr:uid="{00000000-0005-0000-0000-000039000000}"/>
    <cellStyle name="Millares 4 2" xfId="77" xr:uid="{00000000-0005-0000-0000-00003A000000}"/>
    <cellStyle name="Millares 5" xfId="5" xr:uid="{00000000-0005-0000-0000-00003B000000}"/>
    <cellStyle name="Millares 6" xfId="78" xr:uid="{00000000-0005-0000-0000-00003C000000}"/>
    <cellStyle name="Monetario" xfId="79" xr:uid="{00000000-0005-0000-0000-00003D000000}"/>
    <cellStyle name="Monetario 2" xfId="80" xr:uid="{00000000-0005-0000-0000-00003E000000}"/>
    <cellStyle name="Monetario0" xfId="81" xr:uid="{00000000-0005-0000-0000-00003F000000}"/>
    <cellStyle name="Monetario0 2" xfId="82" xr:uid="{00000000-0005-0000-0000-000040000000}"/>
    <cellStyle name="Neutral 2" xfId="48" xr:uid="{00000000-0005-0000-0000-000041000000}"/>
    <cellStyle name="Normal" xfId="0" builtinId="0"/>
    <cellStyle name="Normal 10" xfId="59" xr:uid="{00000000-0005-0000-0000-000043000000}"/>
    <cellStyle name="Normal 11" xfId="83" xr:uid="{00000000-0005-0000-0000-000044000000}"/>
    <cellStyle name="Normal 12" xfId="84" xr:uid="{00000000-0005-0000-0000-000045000000}"/>
    <cellStyle name="Normal 13" xfId="85" xr:uid="{00000000-0005-0000-0000-000046000000}"/>
    <cellStyle name="Normal 14" xfId="86" xr:uid="{00000000-0005-0000-0000-000047000000}"/>
    <cellStyle name="Normal 15" xfId="87" xr:uid="{00000000-0005-0000-0000-000048000000}"/>
    <cellStyle name="Normal 16" xfId="88" xr:uid="{00000000-0005-0000-0000-000049000000}"/>
    <cellStyle name="Normal 17" xfId="89" xr:uid="{00000000-0005-0000-0000-00004A000000}"/>
    <cellStyle name="Normal 18" xfId="90" xr:uid="{00000000-0005-0000-0000-00004B000000}"/>
    <cellStyle name="Normal 19" xfId="91" xr:uid="{00000000-0005-0000-0000-00004C000000}"/>
    <cellStyle name="Normal 2" xfId="6" xr:uid="{00000000-0005-0000-0000-00004D000000}"/>
    <cellStyle name="Normal 2 2" xfId="11" xr:uid="{00000000-0005-0000-0000-00004E000000}"/>
    <cellStyle name="Normal 2 3" xfId="92" xr:uid="{00000000-0005-0000-0000-00004F000000}"/>
    <cellStyle name="Normal 2 4" xfId="118" xr:uid="{00000000-0005-0000-0000-000050000000}"/>
    <cellStyle name="Normal 2 5" xfId="117" xr:uid="{00000000-0005-0000-0000-000051000000}"/>
    <cellStyle name="Normal 20" xfId="93" xr:uid="{00000000-0005-0000-0000-000052000000}"/>
    <cellStyle name="Normal 20 2" xfId="94" xr:uid="{00000000-0005-0000-0000-000053000000}"/>
    <cellStyle name="Normal 20 3" xfId="95" xr:uid="{00000000-0005-0000-0000-000054000000}"/>
    <cellStyle name="Normal 21" xfId="96" xr:uid="{00000000-0005-0000-0000-000055000000}"/>
    <cellStyle name="Normal 21 2" xfId="97" xr:uid="{00000000-0005-0000-0000-000056000000}"/>
    <cellStyle name="Normal 21 3" xfId="98" xr:uid="{00000000-0005-0000-0000-000057000000}"/>
    <cellStyle name="Normal 22" xfId="3" xr:uid="{00000000-0005-0000-0000-000058000000}"/>
    <cellStyle name="Normal 22 2" xfId="99" xr:uid="{00000000-0005-0000-0000-000059000000}"/>
    <cellStyle name="Normal 23" xfId="100" xr:uid="{00000000-0005-0000-0000-00005A000000}"/>
    <cellStyle name="Normal 24" xfId="101" xr:uid="{00000000-0005-0000-0000-00005B000000}"/>
    <cellStyle name="Normal 3" xfId="7" xr:uid="{00000000-0005-0000-0000-00005C000000}"/>
    <cellStyle name="Normal 3 2" xfId="49" xr:uid="{00000000-0005-0000-0000-00005D000000}"/>
    <cellStyle name="Normal 3 3" xfId="102" xr:uid="{00000000-0005-0000-0000-00005E000000}"/>
    <cellStyle name="Normal 3 4" xfId="103" xr:uid="{00000000-0005-0000-0000-00005F000000}"/>
    <cellStyle name="Normal 4" xfId="10" xr:uid="{00000000-0005-0000-0000-000060000000}"/>
    <cellStyle name="Normal 4 2" xfId="104" xr:uid="{00000000-0005-0000-0000-000061000000}"/>
    <cellStyle name="Normal 4 3" xfId="105" xr:uid="{00000000-0005-0000-0000-000062000000}"/>
    <cellStyle name="Normal 4 4" xfId="106" xr:uid="{00000000-0005-0000-0000-000063000000}"/>
    <cellStyle name="Normal 5" xfId="107" xr:uid="{00000000-0005-0000-0000-000064000000}"/>
    <cellStyle name="Normal 6" xfId="108" xr:uid="{00000000-0005-0000-0000-000065000000}"/>
    <cellStyle name="Normal 6 2" xfId="109" xr:uid="{00000000-0005-0000-0000-000066000000}"/>
    <cellStyle name="Normal 7" xfId="110" xr:uid="{00000000-0005-0000-0000-000067000000}"/>
    <cellStyle name="Normal 8" xfId="111" xr:uid="{00000000-0005-0000-0000-000068000000}"/>
    <cellStyle name="Normal 9" xfId="112" xr:uid="{00000000-0005-0000-0000-000069000000}"/>
    <cellStyle name="Notas 2" xfId="50" xr:uid="{00000000-0005-0000-0000-00006A000000}"/>
    <cellStyle name="Note" xfId="51" xr:uid="{00000000-0005-0000-0000-00006B000000}"/>
    <cellStyle name="Output" xfId="52" xr:uid="{00000000-0005-0000-0000-00006C000000}"/>
    <cellStyle name="Porcentaje" xfId="1" builtinId="5"/>
    <cellStyle name="Porcentaje 2" xfId="9" xr:uid="{00000000-0005-0000-0000-00006E000000}"/>
    <cellStyle name="Porcentaje 3" xfId="113" xr:uid="{00000000-0005-0000-0000-00006F000000}"/>
    <cellStyle name="Porcentaje 3 2" xfId="114" xr:uid="{00000000-0005-0000-0000-000070000000}"/>
    <cellStyle name="Porcentual 2" xfId="53" xr:uid="{00000000-0005-0000-0000-000071000000}"/>
    <cellStyle name="Porcentual 3" xfId="12" xr:uid="{00000000-0005-0000-0000-000072000000}"/>
    <cellStyle name="Punto0" xfId="115" xr:uid="{00000000-0005-0000-0000-000073000000}"/>
    <cellStyle name="Punto0 2" xfId="116" xr:uid="{00000000-0005-0000-0000-000074000000}"/>
    <cellStyle name="Title" xfId="54" xr:uid="{00000000-0005-0000-0000-000075000000}"/>
    <cellStyle name="Total 2" xfId="55" xr:uid="{00000000-0005-0000-0000-000076000000}"/>
    <cellStyle name="Warning Text" xfId="56" xr:uid="{00000000-0005-0000-0000-000077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3541276</xdr:colOff>
      <xdr:row>0</xdr:row>
      <xdr:rowOff>38101</xdr:rowOff>
    </xdr:from>
    <xdr:to>
      <xdr:col>2</xdr:col>
      <xdr:colOff>5714053</xdr:colOff>
      <xdr:row>3</xdr:row>
      <xdr:rowOff>28874</xdr:rowOff>
    </xdr:to>
    <xdr:pic>
      <xdr:nvPicPr>
        <xdr:cNvPr id="3" name="2 Image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17526" y="38101"/>
          <a:ext cx="2172777" cy="752773"/>
        </a:xfrm>
        <a:prstGeom prst="rect">
          <a:avLst/>
        </a:prstGeom>
      </xdr:spPr>
    </xdr:pic>
    <xdr:clientData/>
  </xdr:twoCellAnchor>
  <xdr:twoCellAnchor editAs="oneCell">
    <xdr:from>
      <xdr:col>0</xdr:col>
      <xdr:colOff>0</xdr:colOff>
      <xdr:row>0</xdr:row>
      <xdr:rowOff>39412</xdr:rowOff>
    </xdr:from>
    <xdr:to>
      <xdr:col>2</xdr:col>
      <xdr:colOff>1628775</xdr:colOff>
      <xdr:row>2</xdr:row>
      <xdr:rowOff>369908</xdr:rowOff>
    </xdr:to>
    <xdr:pic>
      <xdr:nvPicPr>
        <xdr:cNvPr id="4" name="3 Imagen">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9412"/>
          <a:ext cx="2105025" cy="711496"/>
        </a:xfrm>
        <a:prstGeom prst="rect">
          <a:avLst/>
        </a:prstGeom>
      </xdr:spPr>
    </xdr:pic>
    <xdr:clientData/>
  </xdr:twoCellAnchor>
  <xdr:twoCellAnchor editAs="oneCell">
    <xdr:from>
      <xdr:col>2</xdr:col>
      <xdr:colOff>1851547</xdr:colOff>
      <xdr:row>0</xdr:row>
      <xdr:rowOff>38101</xdr:rowOff>
    </xdr:from>
    <xdr:to>
      <xdr:col>2</xdr:col>
      <xdr:colOff>3087871</xdr:colOff>
      <xdr:row>3</xdr:row>
      <xdr:rowOff>237141</xdr:rowOff>
    </xdr:to>
    <xdr:pic>
      <xdr:nvPicPr>
        <xdr:cNvPr id="5" name="Picture 2" descr="C:\Users\agutierrez\Google Drive\SUSESO\nuevo logo web.jpg">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27797" y="38101"/>
          <a:ext cx="1236324" cy="961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suseso.cl/607/articles-41419_archivo_01.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C1:D57"/>
  <sheetViews>
    <sheetView showGridLines="0" workbookViewId="0"/>
  </sheetViews>
  <sheetFormatPr baseColWidth="10" defaultRowHeight="15" x14ac:dyDescent="0.25"/>
  <cols>
    <col min="1" max="2" width="3.5703125" customWidth="1"/>
    <col min="3" max="3" width="128.7109375" customWidth="1"/>
    <col min="4" max="4" width="59.85546875" customWidth="1"/>
  </cols>
  <sheetData>
    <row r="1" spans="3:4" x14ac:dyDescent="0.25">
      <c r="C1" s="123"/>
    </row>
    <row r="3" spans="3:4" ht="30" customHeight="1" x14ac:dyDescent="0.25">
      <c r="C3" s="123"/>
    </row>
    <row r="4" spans="3:4" ht="30" customHeight="1" x14ac:dyDescent="0.25"/>
    <row r="5" spans="3:4" ht="30" customHeight="1" x14ac:dyDescent="0.25">
      <c r="C5" s="124" t="s">
        <v>1110</v>
      </c>
    </row>
    <row r="6" spans="3:4" ht="19.5" customHeight="1" x14ac:dyDescent="0.25">
      <c r="C6" s="134" t="s">
        <v>1111</v>
      </c>
      <c r="D6" s="135"/>
    </row>
    <row r="7" spans="3:4" ht="19.5" customHeight="1" x14ac:dyDescent="0.25">
      <c r="C7" s="136"/>
      <c r="D7" s="137"/>
    </row>
    <row r="8" spans="3:4" ht="19.5" customHeight="1" x14ac:dyDescent="0.25">
      <c r="C8" s="136"/>
      <c r="D8" s="137"/>
    </row>
    <row r="9" spans="3:4" ht="19.5" customHeight="1" x14ac:dyDescent="0.25">
      <c r="C9" s="136"/>
      <c r="D9" s="137"/>
    </row>
    <row r="10" spans="3:4" ht="19.5" customHeight="1" x14ac:dyDescent="0.25">
      <c r="C10" s="136"/>
      <c r="D10" s="137"/>
    </row>
    <row r="11" spans="3:4" ht="19.5" customHeight="1" x14ac:dyDescent="0.25">
      <c r="C11" s="136"/>
      <c r="D11" s="137"/>
    </row>
    <row r="12" spans="3:4" ht="19.5" customHeight="1" x14ac:dyDescent="0.25">
      <c r="C12" s="136"/>
      <c r="D12" s="137"/>
    </row>
    <row r="13" spans="3:4" ht="19.5" customHeight="1" x14ac:dyDescent="0.25">
      <c r="C13" s="136"/>
      <c r="D13" s="137"/>
    </row>
    <row r="14" spans="3:4" ht="19.5" customHeight="1" x14ac:dyDescent="0.25">
      <c r="C14" s="136"/>
      <c r="D14" s="137"/>
    </row>
    <row r="15" spans="3:4" ht="19.5" customHeight="1" x14ac:dyDescent="0.25">
      <c r="C15" s="136"/>
      <c r="D15" s="137"/>
    </row>
    <row r="16" spans="3:4" ht="19.5" customHeight="1" x14ac:dyDescent="0.25">
      <c r="C16" s="138"/>
      <c r="D16" s="139"/>
    </row>
    <row r="17" spans="3:4" x14ac:dyDescent="0.25">
      <c r="C17" s="132" t="s">
        <v>1112</v>
      </c>
      <c r="D17" s="133" t="s">
        <v>1113</v>
      </c>
    </row>
    <row r="18" spans="3:4" ht="15.75" x14ac:dyDescent="0.25">
      <c r="C18" s="126"/>
    </row>
    <row r="19" spans="3:4" x14ac:dyDescent="0.25">
      <c r="C19" s="125"/>
    </row>
    <row r="20" spans="3:4" x14ac:dyDescent="0.25">
      <c r="C20" s="125"/>
    </row>
    <row r="21" spans="3:4" x14ac:dyDescent="0.25">
      <c r="C21" s="125"/>
    </row>
    <row r="22" spans="3:4" x14ac:dyDescent="0.25">
      <c r="C22" s="125"/>
    </row>
    <row r="23" spans="3:4" x14ac:dyDescent="0.25">
      <c r="C23" s="125"/>
    </row>
    <row r="24" spans="3:4" ht="15.75" x14ac:dyDescent="0.25">
      <c r="C24" s="126"/>
    </row>
    <row r="25" spans="3:4" x14ac:dyDescent="0.25">
      <c r="C25" s="125"/>
    </row>
    <row r="26" spans="3:4" x14ac:dyDescent="0.25">
      <c r="C26" s="125"/>
    </row>
    <row r="27" spans="3:4" x14ac:dyDescent="0.25">
      <c r="C27" s="125"/>
    </row>
    <row r="28" spans="3:4" x14ac:dyDescent="0.25">
      <c r="C28" s="125"/>
    </row>
    <row r="29" spans="3:4" x14ac:dyDescent="0.25">
      <c r="C29" s="125"/>
    </row>
    <row r="30" spans="3:4" x14ac:dyDescent="0.25">
      <c r="C30" s="125"/>
    </row>
    <row r="31" spans="3:4" x14ac:dyDescent="0.25">
      <c r="C31" s="127"/>
    </row>
    <row r="32" spans="3:4" x14ac:dyDescent="0.25">
      <c r="C32" s="125"/>
    </row>
    <row r="33" spans="3:3" ht="15.75" x14ac:dyDescent="0.25">
      <c r="C33" s="126"/>
    </row>
    <row r="34" spans="3:3" x14ac:dyDescent="0.25">
      <c r="C34" s="125"/>
    </row>
    <row r="35" spans="3:3" x14ac:dyDescent="0.25">
      <c r="C35" s="125"/>
    </row>
    <row r="36" spans="3:3" x14ac:dyDescent="0.25">
      <c r="C36" s="125"/>
    </row>
    <row r="37" spans="3:3" ht="15.75" x14ac:dyDescent="0.25">
      <c r="C37" s="126"/>
    </row>
    <row r="38" spans="3:3" x14ac:dyDescent="0.25">
      <c r="C38" s="125"/>
    </row>
    <row r="39" spans="3:3" x14ac:dyDescent="0.25">
      <c r="C39" s="125"/>
    </row>
    <row r="40" spans="3:3" x14ac:dyDescent="0.25">
      <c r="C40" s="125"/>
    </row>
    <row r="41" spans="3:3" x14ac:dyDescent="0.25">
      <c r="C41" s="125"/>
    </row>
    <row r="42" spans="3:3" ht="15.75" x14ac:dyDescent="0.25">
      <c r="C42" s="126"/>
    </row>
    <row r="43" spans="3:3" x14ac:dyDescent="0.25">
      <c r="C43" s="125"/>
    </row>
    <row r="44" spans="3:3" ht="33" customHeight="1" x14ac:dyDescent="0.25">
      <c r="C44" s="128"/>
    </row>
    <row r="45" spans="3:3" ht="27.75" customHeight="1" x14ac:dyDescent="0.25">
      <c r="C45" s="125"/>
    </row>
    <row r="46" spans="3:3" x14ac:dyDescent="0.25">
      <c r="C46" s="129"/>
    </row>
    <row r="47" spans="3:3" ht="15.75" x14ac:dyDescent="0.25">
      <c r="C47" s="126"/>
    </row>
    <row r="48" spans="3:3" x14ac:dyDescent="0.25">
      <c r="C48" s="125"/>
    </row>
    <row r="49" spans="3:3" x14ac:dyDescent="0.25">
      <c r="C49" s="125"/>
    </row>
    <row r="50" spans="3:3" x14ac:dyDescent="0.25">
      <c r="C50" s="130"/>
    </row>
    <row r="51" spans="3:3" ht="15.75" x14ac:dyDescent="0.25">
      <c r="C51" s="126"/>
    </row>
    <row r="52" spans="3:3" x14ac:dyDescent="0.25">
      <c r="C52" s="125"/>
    </row>
    <row r="53" spans="3:3" x14ac:dyDescent="0.25">
      <c r="C53" s="125"/>
    </row>
    <row r="54" spans="3:3" ht="17.25" customHeight="1" x14ac:dyDescent="0.25">
      <c r="C54" s="125"/>
    </row>
    <row r="55" spans="3:3" x14ac:dyDescent="0.25">
      <c r="C55" s="125"/>
    </row>
    <row r="56" spans="3:3" ht="15.75" x14ac:dyDescent="0.25">
      <c r="C56" s="126"/>
    </row>
    <row r="57" spans="3:3" x14ac:dyDescent="0.25">
      <c r="C57" s="131"/>
    </row>
  </sheetData>
  <mergeCells count="1">
    <mergeCell ref="C6:D16"/>
  </mergeCells>
  <hyperlinks>
    <hyperlink ref="D17"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B359"/>
  <sheetViews>
    <sheetView showGridLines="0" zoomScale="90" zoomScaleNormal="90" workbookViewId="0"/>
  </sheetViews>
  <sheetFormatPr baseColWidth="10" defaultRowHeight="15" x14ac:dyDescent="0.25"/>
  <cols>
    <col min="2" max="2" width="155.42578125" bestFit="1" customWidth="1"/>
  </cols>
  <sheetData>
    <row r="2" spans="1:2" ht="18.75" customHeight="1" x14ac:dyDescent="0.25">
      <c r="B2" s="140" t="s">
        <v>115</v>
      </c>
    </row>
    <row r="3" spans="1:2" ht="15" customHeight="1" x14ac:dyDescent="0.25">
      <c r="B3" s="141"/>
    </row>
    <row r="4" spans="1:2" ht="15.75" x14ac:dyDescent="0.25">
      <c r="B4" s="50" t="s">
        <v>116</v>
      </c>
    </row>
    <row r="5" spans="1:2" x14ac:dyDescent="0.25">
      <c r="B5" s="51"/>
    </row>
    <row r="6" spans="1:2" x14ac:dyDescent="0.25">
      <c r="B6" s="52" t="s">
        <v>581</v>
      </c>
    </row>
    <row r="7" spans="1:2" x14ac:dyDescent="0.25">
      <c r="B7" s="52" t="s">
        <v>582</v>
      </c>
    </row>
    <row r="8" spans="1:2" x14ac:dyDescent="0.25">
      <c r="B8" s="52" t="s">
        <v>583</v>
      </c>
    </row>
    <row r="9" spans="1:2" x14ac:dyDescent="0.25">
      <c r="B9" s="52" t="s">
        <v>584</v>
      </c>
    </row>
    <row r="10" spans="1:2" x14ac:dyDescent="0.25">
      <c r="B10" s="52" t="s">
        <v>585</v>
      </c>
    </row>
    <row r="11" spans="1:2" x14ac:dyDescent="0.25">
      <c r="B11" s="52" t="s">
        <v>586</v>
      </c>
    </row>
    <row r="12" spans="1:2" x14ac:dyDescent="0.25">
      <c r="B12" s="52" t="s">
        <v>587</v>
      </c>
    </row>
    <row r="13" spans="1:2" x14ac:dyDescent="0.25">
      <c r="A13" s="33"/>
      <c r="B13" s="52" t="s">
        <v>588</v>
      </c>
    </row>
    <row r="14" spans="1:2" x14ac:dyDescent="0.25">
      <c r="A14" s="33"/>
      <c r="B14" s="52" t="s">
        <v>670</v>
      </c>
    </row>
    <row r="15" spans="1:2" x14ac:dyDescent="0.25">
      <c r="A15" s="33"/>
      <c r="B15" s="52" t="s">
        <v>671</v>
      </c>
    </row>
    <row r="16" spans="1:2" x14ac:dyDescent="0.25">
      <c r="B16" s="53"/>
    </row>
    <row r="17" spans="2:2" ht="15.75" x14ac:dyDescent="0.25">
      <c r="B17" s="50" t="s">
        <v>194</v>
      </c>
    </row>
    <row r="18" spans="2:2" x14ac:dyDescent="0.25">
      <c r="B18" s="51"/>
    </row>
    <row r="19" spans="2:2" x14ac:dyDescent="0.25">
      <c r="B19" s="52" t="s">
        <v>656</v>
      </c>
    </row>
    <row r="20" spans="2:2" x14ac:dyDescent="0.25">
      <c r="B20" s="52" t="s">
        <v>589</v>
      </c>
    </row>
    <row r="21" spans="2:2" x14ac:dyDescent="0.25">
      <c r="B21" s="52" t="s">
        <v>590</v>
      </c>
    </row>
    <row r="22" spans="2:2" x14ac:dyDescent="0.25">
      <c r="B22" s="52" t="s">
        <v>591</v>
      </c>
    </row>
    <row r="23" spans="2:2" x14ac:dyDescent="0.25">
      <c r="B23" s="52" t="s">
        <v>592</v>
      </c>
    </row>
    <row r="24" spans="2:2" x14ac:dyDescent="0.25">
      <c r="B24" s="52" t="s">
        <v>593</v>
      </c>
    </row>
    <row r="25" spans="2:2" x14ac:dyDescent="0.25">
      <c r="B25" s="52" t="s">
        <v>657</v>
      </c>
    </row>
    <row r="26" spans="2:2" x14ac:dyDescent="0.25">
      <c r="B26" s="52" t="s">
        <v>594</v>
      </c>
    </row>
    <row r="27" spans="2:2" x14ac:dyDescent="0.25">
      <c r="B27" s="52" t="s">
        <v>595</v>
      </c>
    </row>
    <row r="28" spans="2:2" x14ac:dyDescent="0.25">
      <c r="B28" s="52" t="s">
        <v>596</v>
      </c>
    </row>
    <row r="29" spans="2:2" x14ac:dyDescent="0.25">
      <c r="B29" s="52" t="s">
        <v>597</v>
      </c>
    </row>
    <row r="30" spans="2:2" x14ac:dyDescent="0.25">
      <c r="B30" s="52" t="s">
        <v>598</v>
      </c>
    </row>
    <row r="31" spans="2:2" x14ac:dyDescent="0.25">
      <c r="B31" s="10"/>
    </row>
    <row r="32" spans="2:2" ht="15.75" x14ac:dyDescent="0.25">
      <c r="B32" s="50" t="s">
        <v>195</v>
      </c>
    </row>
    <row r="33" spans="2:2" x14ac:dyDescent="0.25">
      <c r="B33" s="51"/>
    </row>
    <row r="34" spans="2:2" x14ac:dyDescent="0.25">
      <c r="B34" s="52" t="s">
        <v>658</v>
      </c>
    </row>
    <row r="35" spans="2:2" x14ac:dyDescent="0.25">
      <c r="B35" s="52" t="s">
        <v>599</v>
      </c>
    </row>
    <row r="36" spans="2:2" x14ac:dyDescent="0.25">
      <c r="B36" s="52" t="s">
        <v>600</v>
      </c>
    </row>
    <row r="37" spans="2:2" x14ac:dyDescent="0.25">
      <c r="B37" s="52" t="s">
        <v>601</v>
      </c>
    </row>
    <row r="38" spans="2:2" x14ac:dyDescent="0.25">
      <c r="B38" s="52" t="s">
        <v>602</v>
      </c>
    </row>
    <row r="39" spans="2:2" x14ac:dyDescent="0.25">
      <c r="B39" s="52" t="s">
        <v>659</v>
      </c>
    </row>
    <row r="40" spans="2:2" x14ac:dyDescent="0.25">
      <c r="B40" s="52" t="s">
        <v>603</v>
      </c>
    </row>
    <row r="41" spans="2:2" x14ac:dyDescent="0.25">
      <c r="B41" s="52" t="s">
        <v>604</v>
      </c>
    </row>
    <row r="42" spans="2:2" x14ac:dyDescent="0.25">
      <c r="B42" s="52" t="s">
        <v>605</v>
      </c>
    </row>
    <row r="43" spans="2:2" x14ac:dyDescent="0.25">
      <c r="B43" s="52" t="s">
        <v>606</v>
      </c>
    </row>
    <row r="44" spans="2:2" x14ac:dyDescent="0.25">
      <c r="B44" s="10"/>
    </row>
    <row r="45" spans="2:2" ht="15.75" x14ac:dyDescent="0.25">
      <c r="B45" s="50" t="s">
        <v>196</v>
      </c>
    </row>
    <row r="46" spans="2:2" x14ac:dyDescent="0.25">
      <c r="B46" s="51"/>
    </row>
    <row r="47" spans="2:2" x14ac:dyDescent="0.25">
      <c r="B47" s="52" t="s">
        <v>660</v>
      </c>
    </row>
    <row r="48" spans="2:2" x14ac:dyDescent="0.25">
      <c r="B48" s="52" t="s">
        <v>607</v>
      </c>
    </row>
    <row r="49" spans="2:2" x14ac:dyDescent="0.25">
      <c r="B49" s="52" t="s">
        <v>608</v>
      </c>
    </row>
    <row r="50" spans="2:2" x14ac:dyDescent="0.25">
      <c r="B50" s="52" t="s">
        <v>609</v>
      </c>
    </row>
    <row r="51" spans="2:2" x14ac:dyDescent="0.25">
      <c r="B51" s="52" t="s">
        <v>661</v>
      </c>
    </row>
    <row r="52" spans="2:2" x14ac:dyDescent="0.25">
      <c r="B52" s="52" t="s">
        <v>610</v>
      </c>
    </row>
    <row r="53" spans="2:2" x14ac:dyDescent="0.25">
      <c r="B53" s="52" t="s">
        <v>611</v>
      </c>
    </row>
    <row r="54" spans="2:2" x14ac:dyDescent="0.25">
      <c r="B54" s="52" t="s">
        <v>612</v>
      </c>
    </row>
    <row r="55" spans="2:2" x14ac:dyDescent="0.25">
      <c r="B55" s="10"/>
    </row>
    <row r="56" spans="2:2" ht="15.75" x14ac:dyDescent="0.25">
      <c r="B56" s="50" t="s">
        <v>197</v>
      </c>
    </row>
    <row r="57" spans="2:2" x14ac:dyDescent="0.25">
      <c r="B57" s="51"/>
    </row>
    <row r="58" spans="2:2" x14ac:dyDescent="0.25">
      <c r="B58" s="52" t="s">
        <v>613</v>
      </c>
    </row>
    <row r="59" spans="2:2" x14ac:dyDescent="0.25">
      <c r="B59" s="52" t="s">
        <v>614</v>
      </c>
    </row>
    <row r="60" spans="2:2" x14ac:dyDescent="0.25">
      <c r="B60" s="52" t="s">
        <v>615</v>
      </c>
    </row>
    <row r="61" spans="2:2" x14ac:dyDescent="0.25">
      <c r="B61" s="52" t="s">
        <v>616</v>
      </c>
    </row>
    <row r="62" spans="2:2" x14ac:dyDescent="0.25">
      <c r="B62" s="52" t="s">
        <v>617</v>
      </c>
    </row>
    <row r="63" spans="2:2" x14ac:dyDescent="0.25">
      <c r="B63" s="52" t="s">
        <v>618</v>
      </c>
    </row>
    <row r="64" spans="2:2" x14ac:dyDescent="0.25">
      <c r="B64" s="52" t="s">
        <v>619</v>
      </c>
    </row>
    <row r="65" spans="2:2" x14ac:dyDescent="0.25">
      <c r="B65" s="52" t="s">
        <v>620</v>
      </c>
    </row>
    <row r="66" spans="2:2" x14ac:dyDescent="0.25">
      <c r="B66" s="52" t="s">
        <v>621</v>
      </c>
    </row>
    <row r="67" spans="2:2" x14ac:dyDescent="0.25">
      <c r="B67" s="52" t="s">
        <v>622</v>
      </c>
    </row>
    <row r="68" spans="2:2" x14ac:dyDescent="0.25">
      <c r="B68" s="52" t="s">
        <v>623</v>
      </c>
    </row>
    <row r="69" spans="2:2" x14ac:dyDescent="0.25">
      <c r="B69" s="52" t="s">
        <v>624</v>
      </c>
    </row>
    <row r="70" spans="2:2" x14ac:dyDescent="0.25">
      <c r="B70" s="52" t="s">
        <v>625</v>
      </c>
    </row>
    <row r="71" spans="2:2" x14ac:dyDescent="0.25">
      <c r="B71" s="52" t="s">
        <v>626</v>
      </c>
    </row>
    <row r="72" spans="2:2" x14ac:dyDescent="0.25">
      <c r="B72" s="53"/>
    </row>
    <row r="73" spans="2:2" ht="15.75" x14ac:dyDescent="0.25">
      <c r="B73" s="50" t="s">
        <v>198</v>
      </c>
    </row>
    <row r="74" spans="2:2" x14ac:dyDescent="0.25">
      <c r="B74" s="51"/>
    </row>
    <row r="75" spans="2:2" x14ac:dyDescent="0.25">
      <c r="B75" s="52" t="s">
        <v>627</v>
      </c>
    </row>
    <row r="76" spans="2:2" x14ac:dyDescent="0.25">
      <c r="B76" s="52" t="s">
        <v>628</v>
      </c>
    </row>
    <row r="77" spans="2:2" x14ac:dyDescent="0.25">
      <c r="B77" s="52" t="s">
        <v>629</v>
      </c>
    </row>
    <row r="78" spans="2:2" x14ac:dyDescent="0.25">
      <c r="B78" s="52" t="s">
        <v>630</v>
      </c>
    </row>
    <row r="79" spans="2:2" x14ac:dyDescent="0.25">
      <c r="B79" s="52" t="s">
        <v>631</v>
      </c>
    </row>
    <row r="80" spans="2:2" x14ac:dyDescent="0.25">
      <c r="B80" s="52" t="s">
        <v>632</v>
      </c>
    </row>
    <row r="81" spans="2:2" x14ac:dyDescent="0.25">
      <c r="B81" s="52" t="s">
        <v>633</v>
      </c>
    </row>
    <row r="82" spans="2:2" x14ac:dyDescent="0.25">
      <c r="B82" s="52" t="s">
        <v>634</v>
      </c>
    </row>
    <row r="83" spans="2:2" x14ac:dyDescent="0.25">
      <c r="B83" s="52" t="s">
        <v>635</v>
      </c>
    </row>
    <row r="84" spans="2:2" x14ac:dyDescent="0.25">
      <c r="B84" s="52" t="s">
        <v>636</v>
      </c>
    </row>
    <row r="85" spans="2:2" x14ac:dyDescent="0.25">
      <c r="B85" s="52" t="s">
        <v>637</v>
      </c>
    </row>
    <row r="86" spans="2:2" x14ac:dyDescent="0.25">
      <c r="B86" s="52" t="s">
        <v>638</v>
      </c>
    </row>
    <row r="87" spans="2:2" x14ac:dyDescent="0.25">
      <c r="B87" s="52" t="s">
        <v>639</v>
      </c>
    </row>
    <row r="88" spans="2:2" x14ac:dyDescent="0.25">
      <c r="B88" s="52" t="s">
        <v>640</v>
      </c>
    </row>
    <row r="89" spans="2:2" x14ac:dyDescent="0.25">
      <c r="B89" s="53"/>
    </row>
    <row r="90" spans="2:2" ht="15.75" x14ac:dyDescent="0.25">
      <c r="B90" s="50" t="s">
        <v>199</v>
      </c>
    </row>
    <row r="91" spans="2:2" x14ac:dyDescent="0.25">
      <c r="B91" s="51"/>
    </row>
    <row r="92" spans="2:2" x14ac:dyDescent="0.25">
      <c r="B92" s="52" t="s">
        <v>641</v>
      </c>
    </row>
    <row r="93" spans="2:2" x14ac:dyDescent="0.25">
      <c r="B93" s="52" t="s">
        <v>642</v>
      </c>
    </row>
    <row r="94" spans="2:2" x14ac:dyDescent="0.25">
      <c r="B94" s="52" t="s">
        <v>643</v>
      </c>
    </row>
    <row r="95" spans="2:2" x14ac:dyDescent="0.25">
      <c r="B95" s="52" t="s">
        <v>644</v>
      </c>
    </row>
    <row r="96" spans="2:2" x14ac:dyDescent="0.25">
      <c r="B96" s="52" t="s">
        <v>645</v>
      </c>
    </row>
    <row r="97" spans="2:2" x14ac:dyDescent="0.25">
      <c r="B97" s="52" t="s">
        <v>646</v>
      </c>
    </row>
    <row r="98" spans="2:2" x14ac:dyDescent="0.25">
      <c r="B98" s="52" t="s">
        <v>647</v>
      </c>
    </row>
    <row r="99" spans="2:2" x14ac:dyDescent="0.25">
      <c r="B99" s="52" t="s">
        <v>648</v>
      </c>
    </row>
    <row r="100" spans="2:2" x14ac:dyDescent="0.25">
      <c r="B100" s="52" t="s">
        <v>649</v>
      </c>
    </row>
    <row r="101" spans="2:2" x14ac:dyDescent="0.25">
      <c r="B101" s="52" t="s">
        <v>650</v>
      </c>
    </row>
    <row r="102" spans="2:2" x14ac:dyDescent="0.25">
      <c r="B102" s="52" t="s">
        <v>651</v>
      </c>
    </row>
    <row r="103" spans="2:2" x14ac:dyDescent="0.25">
      <c r="B103" s="52" t="s">
        <v>652</v>
      </c>
    </row>
    <row r="104" spans="2:2" x14ac:dyDescent="0.25">
      <c r="B104" s="52" t="s">
        <v>653</v>
      </c>
    </row>
    <row r="105" spans="2:2" x14ac:dyDescent="0.25">
      <c r="B105" s="52" t="s">
        <v>654</v>
      </c>
    </row>
    <row r="106" spans="2:2" x14ac:dyDescent="0.25">
      <c r="B106" s="53"/>
    </row>
    <row r="107" spans="2:2" ht="15.75" x14ac:dyDescent="0.25">
      <c r="B107" s="50" t="s">
        <v>200</v>
      </c>
    </row>
    <row r="108" spans="2:2" x14ac:dyDescent="0.25">
      <c r="B108" s="51"/>
    </row>
    <row r="109" spans="2:2" x14ac:dyDescent="0.25">
      <c r="B109" s="52" t="s">
        <v>662</v>
      </c>
    </row>
    <row r="110" spans="2:2" x14ac:dyDescent="0.25">
      <c r="B110" s="52" t="s">
        <v>663</v>
      </c>
    </row>
    <row r="111" spans="2:2" x14ac:dyDescent="0.25">
      <c r="B111" s="52" t="s">
        <v>655</v>
      </c>
    </row>
    <row r="112" spans="2:2" x14ac:dyDescent="0.25">
      <c r="B112" s="52" t="s">
        <v>675</v>
      </c>
    </row>
    <row r="113" spans="2:2" x14ac:dyDescent="0.25">
      <c r="B113" s="53"/>
    </row>
    <row r="114" spans="2:2" ht="15.75" x14ac:dyDescent="0.25">
      <c r="B114" s="50" t="s">
        <v>201</v>
      </c>
    </row>
    <row r="115" spans="2:2" x14ac:dyDescent="0.25">
      <c r="B115" s="51"/>
    </row>
    <row r="116" spans="2:2" x14ac:dyDescent="0.25">
      <c r="B116" s="52" t="s">
        <v>664</v>
      </c>
    </row>
    <row r="117" spans="2:2" x14ac:dyDescent="0.25">
      <c r="B117" s="52" t="s">
        <v>665</v>
      </c>
    </row>
    <row r="118" spans="2:2" x14ac:dyDescent="0.25">
      <c r="B118" s="52" t="s">
        <v>666</v>
      </c>
    </row>
    <row r="119" spans="2:2" x14ac:dyDescent="0.25">
      <c r="B119" s="52" t="s">
        <v>667</v>
      </c>
    </row>
    <row r="120" spans="2:2" x14ac:dyDescent="0.25">
      <c r="B120" s="52" t="s">
        <v>668</v>
      </c>
    </row>
    <row r="121" spans="2:2" x14ac:dyDescent="0.25">
      <c r="B121" s="52" t="s">
        <v>669</v>
      </c>
    </row>
    <row r="122" spans="2:2" x14ac:dyDescent="0.25">
      <c r="B122" s="53"/>
    </row>
    <row r="123" spans="2:2" ht="15.75" x14ac:dyDescent="0.25">
      <c r="B123" s="50" t="s">
        <v>676</v>
      </c>
    </row>
    <row r="124" spans="2:2" x14ac:dyDescent="0.25">
      <c r="B124" s="51"/>
    </row>
    <row r="125" spans="2:2" x14ac:dyDescent="0.25">
      <c r="B125" s="52" t="s">
        <v>677</v>
      </c>
    </row>
    <row r="126" spans="2:2" x14ac:dyDescent="0.25">
      <c r="B126" s="52" t="s">
        <v>681</v>
      </c>
    </row>
    <row r="127" spans="2:2" x14ac:dyDescent="0.25">
      <c r="B127" s="52" t="s">
        <v>682</v>
      </c>
    </row>
    <row r="128" spans="2:2" x14ac:dyDescent="0.25">
      <c r="B128" s="52"/>
    </row>
    <row r="129" spans="2:2" ht="15.75" x14ac:dyDescent="0.25">
      <c r="B129" s="50" t="s">
        <v>248</v>
      </c>
    </row>
    <row r="130" spans="2:2" x14ac:dyDescent="0.25">
      <c r="B130" s="51"/>
    </row>
    <row r="131" spans="2:2" x14ac:dyDescent="0.25">
      <c r="B131" s="52" t="s">
        <v>683</v>
      </c>
    </row>
    <row r="132" spans="2:2" x14ac:dyDescent="0.25">
      <c r="B132" s="52" t="s">
        <v>684</v>
      </c>
    </row>
    <row r="133" spans="2:2" x14ac:dyDescent="0.25">
      <c r="B133" s="52" t="s">
        <v>685</v>
      </c>
    </row>
    <row r="134" spans="2:2" x14ac:dyDescent="0.25">
      <c r="B134" s="52" t="s">
        <v>686</v>
      </c>
    </row>
    <row r="135" spans="2:2" x14ac:dyDescent="0.25">
      <c r="B135" s="52" t="s">
        <v>687</v>
      </c>
    </row>
    <row r="136" spans="2:2" x14ac:dyDescent="0.25">
      <c r="B136" s="52" t="s">
        <v>688</v>
      </c>
    </row>
    <row r="137" spans="2:2" x14ac:dyDescent="0.25">
      <c r="B137" s="52" t="s">
        <v>689</v>
      </c>
    </row>
    <row r="138" spans="2:2" x14ac:dyDescent="0.25">
      <c r="B138" s="52" t="s">
        <v>690</v>
      </c>
    </row>
    <row r="139" spans="2:2" x14ac:dyDescent="0.25">
      <c r="B139" s="52" t="s">
        <v>691</v>
      </c>
    </row>
    <row r="140" spans="2:2" x14ac:dyDescent="0.25">
      <c r="B140" s="52" t="s">
        <v>692</v>
      </c>
    </row>
    <row r="141" spans="2:2" x14ac:dyDescent="0.25">
      <c r="B141" s="52" t="s">
        <v>693</v>
      </c>
    </row>
    <row r="142" spans="2:2" x14ac:dyDescent="0.25">
      <c r="B142" s="52" t="s">
        <v>694</v>
      </c>
    </row>
    <row r="143" spans="2:2" x14ac:dyDescent="0.25">
      <c r="B143" s="52" t="s">
        <v>695</v>
      </c>
    </row>
    <row r="144" spans="2:2" x14ac:dyDescent="0.25">
      <c r="B144" s="52" t="s">
        <v>696</v>
      </c>
    </row>
    <row r="145" spans="2:2" x14ac:dyDescent="0.25">
      <c r="B145" s="53"/>
    </row>
    <row r="146" spans="2:2" ht="15.75" x14ac:dyDescent="0.25">
      <c r="B146" s="50" t="s">
        <v>267</v>
      </c>
    </row>
    <row r="147" spans="2:2" x14ac:dyDescent="0.25">
      <c r="B147" s="51"/>
    </row>
    <row r="148" spans="2:2" x14ac:dyDescent="0.25">
      <c r="B148" s="52" t="s">
        <v>697</v>
      </c>
    </row>
    <row r="149" spans="2:2" x14ac:dyDescent="0.25">
      <c r="B149" s="52" t="s">
        <v>698</v>
      </c>
    </row>
    <row r="150" spans="2:2" x14ac:dyDescent="0.25">
      <c r="B150" s="52" t="s">
        <v>699</v>
      </c>
    </row>
    <row r="151" spans="2:2" x14ac:dyDescent="0.25">
      <c r="B151" s="52" t="s">
        <v>700</v>
      </c>
    </row>
    <row r="152" spans="2:2" x14ac:dyDescent="0.25">
      <c r="B152" s="52" t="s">
        <v>701</v>
      </c>
    </row>
    <row r="153" spans="2:2" x14ac:dyDescent="0.25">
      <c r="B153" s="52" t="s">
        <v>702</v>
      </c>
    </row>
    <row r="154" spans="2:2" x14ac:dyDescent="0.25">
      <c r="B154" s="52" t="s">
        <v>703</v>
      </c>
    </row>
    <row r="155" spans="2:2" x14ac:dyDescent="0.25">
      <c r="B155" s="52" t="s">
        <v>704</v>
      </c>
    </row>
    <row r="156" spans="2:2" x14ac:dyDescent="0.25">
      <c r="B156" s="52" t="s">
        <v>705</v>
      </c>
    </row>
    <row r="157" spans="2:2" x14ac:dyDescent="0.25">
      <c r="B157" s="52" t="s">
        <v>706</v>
      </c>
    </row>
    <row r="158" spans="2:2" x14ac:dyDescent="0.25">
      <c r="B158" s="52" t="s">
        <v>707</v>
      </c>
    </row>
    <row r="159" spans="2:2" x14ac:dyDescent="0.25">
      <c r="B159" s="52" t="s">
        <v>708</v>
      </c>
    </row>
    <row r="160" spans="2:2" x14ac:dyDescent="0.25">
      <c r="B160" s="52" t="s">
        <v>709</v>
      </c>
    </row>
    <row r="161" spans="2:2" x14ac:dyDescent="0.25">
      <c r="B161" s="52" t="s">
        <v>710</v>
      </c>
    </row>
    <row r="162" spans="2:2" x14ac:dyDescent="0.25">
      <c r="B162" s="53"/>
    </row>
    <row r="163" spans="2:2" ht="15.75" x14ac:dyDescent="0.25">
      <c r="B163" s="50" t="s">
        <v>282</v>
      </c>
    </row>
    <row r="164" spans="2:2" x14ac:dyDescent="0.25">
      <c r="B164" s="51"/>
    </row>
    <row r="165" spans="2:2" x14ac:dyDescent="0.25">
      <c r="B165" s="52" t="s">
        <v>711</v>
      </c>
    </row>
    <row r="166" spans="2:2" x14ac:dyDescent="0.25">
      <c r="B166" s="52" t="s">
        <v>712</v>
      </c>
    </row>
    <row r="167" spans="2:2" x14ac:dyDescent="0.25">
      <c r="B167" s="52" t="s">
        <v>713</v>
      </c>
    </row>
    <row r="168" spans="2:2" x14ac:dyDescent="0.25">
      <c r="B168" s="52" t="s">
        <v>714</v>
      </c>
    </row>
    <row r="169" spans="2:2" x14ac:dyDescent="0.25">
      <c r="B169" s="52" t="s">
        <v>715</v>
      </c>
    </row>
    <row r="170" spans="2:2" x14ac:dyDescent="0.25">
      <c r="B170" s="52" t="s">
        <v>716</v>
      </c>
    </row>
    <row r="171" spans="2:2" x14ac:dyDescent="0.25">
      <c r="B171" s="52" t="s">
        <v>717</v>
      </c>
    </row>
    <row r="172" spans="2:2" x14ac:dyDescent="0.25">
      <c r="B172" s="52" t="s">
        <v>718</v>
      </c>
    </row>
    <row r="173" spans="2:2" x14ac:dyDescent="0.25">
      <c r="B173" s="52" t="s">
        <v>719</v>
      </c>
    </row>
    <row r="174" spans="2:2" x14ac:dyDescent="0.25">
      <c r="B174" s="52" t="s">
        <v>720</v>
      </c>
    </row>
    <row r="175" spans="2:2" x14ac:dyDescent="0.25">
      <c r="B175" s="52" t="s">
        <v>721</v>
      </c>
    </row>
    <row r="176" spans="2:2" x14ac:dyDescent="0.25">
      <c r="B176" s="52" t="s">
        <v>722</v>
      </c>
    </row>
    <row r="177" spans="2:2" x14ac:dyDescent="0.25">
      <c r="B177" s="52" t="s">
        <v>723</v>
      </c>
    </row>
    <row r="178" spans="2:2" x14ac:dyDescent="0.25">
      <c r="B178" s="52" t="s">
        <v>724</v>
      </c>
    </row>
    <row r="179" spans="2:2" x14ac:dyDescent="0.25">
      <c r="B179" s="53"/>
    </row>
    <row r="180" spans="2:2" ht="15.75" x14ac:dyDescent="0.25">
      <c r="B180" s="50" t="s">
        <v>297</v>
      </c>
    </row>
    <row r="181" spans="2:2" x14ac:dyDescent="0.25">
      <c r="B181" s="51"/>
    </row>
    <row r="182" spans="2:2" x14ac:dyDescent="0.25">
      <c r="B182" s="52" t="s">
        <v>725</v>
      </c>
    </row>
    <row r="183" spans="2:2" x14ac:dyDescent="0.25">
      <c r="B183" s="52" t="s">
        <v>732</v>
      </c>
    </row>
    <row r="184" spans="2:2" x14ac:dyDescent="0.25">
      <c r="B184" s="52" t="s">
        <v>733</v>
      </c>
    </row>
    <row r="185" spans="2:2" x14ac:dyDescent="0.25">
      <c r="B185" s="52" t="s">
        <v>734</v>
      </c>
    </row>
    <row r="186" spans="2:2" x14ac:dyDescent="0.25">
      <c r="B186" s="52" t="s">
        <v>735</v>
      </c>
    </row>
    <row r="187" spans="2:2" x14ac:dyDescent="0.25">
      <c r="B187" s="52" t="s">
        <v>736</v>
      </c>
    </row>
    <row r="188" spans="2:2" x14ac:dyDescent="0.25">
      <c r="B188" s="52" t="s">
        <v>737</v>
      </c>
    </row>
    <row r="189" spans="2:2" x14ac:dyDescent="0.25">
      <c r="B189" s="52" t="s">
        <v>738</v>
      </c>
    </row>
    <row r="190" spans="2:2" x14ac:dyDescent="0.25">
      <c r="B190" s="52" t="s">
        <v>739</v>
      </c>
    </row>
    <row r="191" spans="2:2" x14ac:dyDescent="0.25">
      <c r="B191" s="52" t="s">
        <v>740</v>
      </c>
    </row>
    <row r="192" spans="2:2" x14ac:dyDescent="0.25">
      <c r="B192" s="52" t="s">
        <v>741</v>
      </c>
    </row>
    <row r="193" spans="2:2" x14ac:dyDescent="0.25">
      <c r="B193" s="52" t="s">
        <v>742</v>
      </c>
    </row>
    <row r="194" spans="2:2" x14ac:dyDescent="0.25">
      <c r="B194" s="52" t="s">
        <v>797</v>
      </c>
    </row>
    <row r="195" spans="2:2" x14ac:dyDescent="0.25">
      <c r="B195" s="52" t="s">
        <v>798</v>
      </c>
    </row>
    <row r="196" spans="2:2" x14ac:dyDescent="0.25">
      <c r="B196" s="52" t="s">
        <v>799</v>
      </c>
    </row>
    <row r="197" spans="2:2" x14ac:dyDescent="0.25">
      <c r="B197" s="52" t="s">
        <v>800</v>
      </c>
    </row>
    <row r="198" spans="2:2" x14ac:dyDescent="0.25">
      <c r="B198" s="52" t="s">
        <v>801</v>
      </c>
    </row>
    <row r="199" spans="2:2" x14ac:dyDescent="0.25">
      <c r="B199" s="52" t="s">
        <v>802</v>
      </c>
    </row>
    <row r="200" spans="2:2" x14ac:dyDescent="0.25">
      <c r="B200" s="53"/>
    </row>
    <row r="201" spans="2:2" ht="15.75" x14ac:dyDescent="0.25">
      <c r="B201" s="50" t="s">
        <v>317</v>
      </c>
    </row>
    <row r="202" spans="2:2" x14ac:dyDescent="0.25">
      <c r="B202" s="51"/>
    </row>
    <row r="203" spans="2:2" x14ac:dyDescent="0.25">
      <c r="B203" s="52" t="s">
        <v>743</v>
      </c>
    </row>
    <row r="204" spans="2:2" x14ac:dyDescent="0.25">
      <c r="B204" s="52" t="s">
        <v>744</v>
      </c>
    </row>
    <row r="205" spans="2:2" x14ac:dyDescent="0.25">
      <c r="B205" s="52" t="s">
        <v>745</v>
      </c>
    </row>
    <row r="206" spans="2:2" x14ac:dyDescent="0.25">
      <c r="B206" s="52" t="s">
        <v>752</v>
      </c>
    </row>
    <row r="207" spans="2:2" x14ac:dyDescent="0.25">
      <c r="B207" s="52" t="s">
        <v>753</v>
      </c>
    </row>
    <row r="208" spans="2:2" x14ac:dyDescent="0.25">
      <c r="B208" s="52" t="s">
        <v>754</v>
      </c>
    </row>
    <row r="209" spans="2:2" x14ac:dyDescent="0.25">
      <c r="B209" s="52" t="s">
        <v>746</v>
      </c>
    </row>
    <row r="210" spans="2:2" x14ac:dyDescent="0.25">
      <c r="B210" s="52" t="s">
        <v>747</v>
      </c>
    </row>
    <row r="211" spans="2:2" x14ac:dyDescent="0.25">
      <c r="B211" s="52" t="s">
        <v>748</v>
      </c>
    </row>
    <row r="212" spans="2:2" x14ac:dyDescent="0.25">
      <c r="B212" s="52" t="s">
        <v>755</v>
      </c>
    </row>
    <row r="213" spans="2:2" x14ac:dyDescent="0.25">
      <c r="B213" s="52" t="s">
        <v>756</v>
      </c>
    </row>
    <row r="214" spans="2:2" x14ac:dyDescent="0.25">
      <c r="B214" s="52" t="s">
        <v>757</v>
      </c>
    </row>
    <row r="215" spans="2:2" x14ac:dyDescent="0.25">
      <c r="B215" s="52" t="s">
        <v>749</v>
      </c>
    </row>
    <row r="216" spans="2:2" x14ac:dyDescent="0.25">
      <c r="B216" s="52" t="s">
        <v>750</v>
      </c>
    </row>
    <row r="217" spans="2:2" x14ac:dyDescent="0.25">
      <c r="B217" s="52" t="s">
        <v>751</v>
      </c>
    </row>
    <row r="218" spans="2:2" x14ac:dyDescent="0.25">
      <c r="B218" s="52" t="s">
        <v>758</v>
      </c>
    </row>
    <row r="219" spans="2:2" x14ac:dyDescent="0.25">
      <c r="B219" s="52" t="s">
        <v>759</v>
      </c>
    </row>
    <row r="220" spans="2:2" x14ac:dyDescent="0.25">
      <c r="B220" s="52" t="s">
        <v>760</v>
      </c>
    </row>
    <row r="221" spans="2:2" x14ac:dyDescent="0.25">
      <c r="B221" s="53"/>
    </row>
    <row r="222" spans="2:2" ht="15.75" x14ac:dyDescent="0.25">
      <c r="B222" s="50" t="s">
        <v>330</v>
      </c>
    </row>
    <row r="223" spans="2:2" x14ac:dyDescent="0.25">
      <c r="B223" s="51"/>
    </row>
    <row r="224" spans="2:2" x14ac:dyDescent="0.25">
      <c r="B224" s="52" t="s">
        <v>761</v>
      </c>
    </row>
    <row r="225" spans="2:2" x14ac:dyDescent="0.25">
      <c r="B225" s="52" t="s">
        <v>762</v>
      </c>
    </row>
    <row r="226" spans="2:2" x14ac:dyDescent="0.25">
      <c r="B226" s="52" t="s">
        <v>763</v>
      </c>
    </row>
    <row r="227" spans="2:2" x14ac:dyDescent="0.25">
      <c r="B227" s="52" t="s">
        <v>770</v>
      </c>
    </row>
    <row r="228" spans="2:2" x14ac:dyDescent="0.25">
      <c r="B228" s="52" t="s">
        <v>771</v>
      </c>
    </row>
    <row r="229" spans="2:2" x14ac:dyDescent="0.25">
      <c r="B229" s="52" t="s">
        <v>772</v>
      </c>
    </row>
    <row r="230" spans="2:2" x14ac:dyDescent="0.25">
      <c r="B230" s="52" t="s">
        <v>764</v>
      </c>
    </row>
    <row r="231" spans="2:2" x14ac:dyDescent="0.25">
      <c r="B231" s="52" t="s">
        <v>765</v>
      </c>
    </row>
    <row r="232" spans="2:2" x14ac:dyDescent="0.25">
      <c r="B232" s="52" t="s">
        <v>766</v>
      </c>
    </row>
    <row r="233" spans="2:2" x14ac:dyDescent="0.25">
      <c r="B233" s="52" t="s">
        <v>773</v>
      </c>
    </row>
    <row r="234" spans="2:2" x14ac:dyDescent="0.25">
      <c r="B234" s="52" t="s">
        <v>774</v>
      </c>
    </row>
    <row r="235" spans="2:2" x14ac:dyDescent="0.25">
      <c r="B235" s="52" t="s">
        <v>775</v>
      </c>
    </row>
    <row r="236" spans="2:2" x14ac:dyDescent="0.25">
      <c r="B236" s="52" t="s">
        <v>767</v>
      </c>
    </row>
    <row r="237" spans="2:2" x14ac:dyDescent="0.25">
      <c r="B237" s="52" t="s">
        <v>768</v>
      </c>
    </row>
    <row r="238" spans="2:2" x14ac:dyDescent="0.25">
      <c r="B238" s="52" t="s">
        <v>769</v>
      </c>
    </row>
    <row r="239" spans="2:2" x14ac:dyDescent="0.25">
      <c r="B239" s="52" t="s">
        <v>776</v>
      </c>
    </row>
    <row r="240" spans="2:2" x14ac:dyDescent="0.25">
      <c r="B240" s="52" t="s">
        <v>777</v>
      </c>
    </row>
    <row r="241" spans="2:2" x14ac:dyDescent="0.25">
      <c r="B241" s="52" t="s">
        <v>778</v>
      </c>
    </row>
    <row r="242" spans="2:2" x14ac:dyDescent="0.25">
      <c r="B242" s="53"/>
    </row>
    <row r="243" spans="2:2" ht="15.75" x14ac:dyDescent="0.25">
      <c r="B243" s="50" t="s">
        <v>343</v>
      </c>
    </row>
    <row r="244" spans="2:2" x14ac:dyDescent="0.25">
      <c r="B244" s="51"/>
    </row>
    <row r="245" spans="2:2" x14ac:dyDescent="0.25">
      <c r="B245" s="52" t="s">
        <v>779</v>
      </c>
    </row>
    <row r="246" spans="2:2" x14ac:dyDescent="0.25">
      <c r="B246" s="52" t="s">
        <v>780</v>
      </c>
    </row>
    <row r="247" spans="2:2" x14ac:dyDescent="0.25">
      <c r="B247" s="52" t="s">
        <v>781</v>
      </c>
    </row>
    <row r="248" spans="2:2" x14ac:dyDescent="0.25">
      <c r="B248" s="52" t="s">
        <v>782</v>
      </c>
    </row>
    <row r="249" spans="2:2" x14ac:dyDescent="0.25">
      <c r="B249" s="52" t="s">
        <v>783</v>
      </c>
    </row>
    <row r="250" spans="2:2" x14ac:dyDescent="0.25">
      <c r="B250" s="52" t="s">
        <v>784</v>
      </c>
    </row>
    <row r="251" spans="2:2" x14ac:dyDescent="0.25">
      <c r="B251" s="52" t="s">
        <v>785</v>
      </c>
    </row>
    <row r="252" spans="2:2" x14ac:dyDescent="0.25">
      <c r="B252" s="52" t="s">
        <v>786</v>
      </c>
    </row>
    <row r="253" spans="2:2" x14ac:dyDescent="0.25">
      <c r="B253" s="52" t="s">
        <v>787</v>
      </c>
    </row>
    <row r="254" spans="2:2" x14ac:dyDescent="0.25">
      <c r="B254" s="52" t="s">
        <v>788</v>
      </c>
    </row>
    <row r="255" spans="2:2" x14ac:dyDescent="0.25">
      <c r="B255" s="52" t="s">
        <v>789</v>
      </c>
    </row>
    <row r="256" spans="2:2" x14ac:dyDescent="0.25">
      <c r="B256" s="52" t="s">
        <v>790</v>
      </c>
    </row>
    <row r="257" spans="2:2" x14ac:dyDescent="0.25">
      <c r="B257" s="52" t="s">
        <v>791</v>
      </c>
    </row>
    <row r="258" spans="2:2" x14ac:dyDescent="0.25">
      <c r="B258" s="52" t="s">
        <v>792</v>
      </c>
    </row>
    <row r="259" spans="2:2" x14ac:dyDescent="0.25">
      <c r="B259" s="52" t="s">
        <v>793</v>
      </c>
    </row>
    <row r="260" spans="2:2" x14ac:dyDescent="0.25">
      <c r="B260" s="52" t="s">
        <v>794</v>
      </c>
    </row>
    <row r="261" spans="2:2" x14ac:dyDescent="0.25">
      <c r="B261" s="52" t="s">
        <v>795</v>
      </c>
    </row>
    <row r="262" spans="2:2" x14ac:dyDescent="0.25">
      <c r="B262" s="52" t="s">
        <v>796</v>
      </c>
    </row>
    <row r="263" spans="2:2" x14ac:dyDescent="0.25">
      <c r="B263" s="52" t="s">
        <v>803</v>
      </c>
    </row>
    <row r="264" spans="2:2" x14ac:dyDescent="0.25">
      <c r="B264" s="52" t="s">
        <v>804</v>
      </c>
    </row>
    <row r="265" spans="2:2" x14ac:dyDescent="0.25">
      <c r="B265" s="52" t="s">
        <v>805</v>
      </c>
    </row>
    <row r="266" spans="2:2" x14ac:dyDescent="0.25">
      <c r="B266" s="52" t="s">
        <v>806</v>
      </c>
    </row>
    <row r="267" spans="2:2" x14ac:dyDescent="0.25">
      <c r="B267" s="52" t="s">
        <v>807</v>
      </c>
    </row>
    <row r="268" spans="2:2" x14ac:dyDescent="0.25">
      <c r="B268" s="52" t="s">
        <v>808</v>
      </c>
    </row>
    <row r="269" spans="2:2" x14ac:dyDescent="0.25">
      <c r="B269" s="52" t="s">
        <v>809</v>
      </c>
    </row>
    <row r="270" spans="2:2" x14ac:dyDescent="0.25">
      <c r="B270" s="52" t="s">
        <v>810</v>
      </c>
    </row>
    <row r="271" spans="2:2" x14ac:dyDescent="0.25">
      <c r="B271" s="52" t="s">
        <v>811</v>
      </c>
    </row>
    <row r="272" spans="2:2" x14ac:dyDescent="0.25">
      <c r="B272" s="52" t="s">
        <v>812</v>
      </c>
    </row>
    <row r="273" spans="2:2" x14ac:dyDescent="0.25">
      <c r="B273" s="52" t="s">
        <v>813</v>
      </c>
    </row>
    <row r="274" spans="2:2" x14ac:dyDescent="0.25">
      <c r="B274" s="52" t="s">
        <v>814</v>
      </c>
    </row>
    <row r="275" spans="2:2" x14ac:dyDescent="0.25">
      <c r="B275" s="52" t="s">
        <v>815</v>
      </c>
    </row>
    <row r="276" spans="2:2" x14ac:dyDescent="0.25">
      <c r="B276" s="52" t="s">
        <v>816</v>
      </c>
    </row>
    <row r="277" spans="2:2" x14ac:dyDescent="0.25">
      <c r="B277" s="52" t="s">
        <v>817</v>
      </c>
    </row>
    <row r="278" spans="2:2" x14ac:dyDescent="0.25">
      <c r="B278" s="52" t="s">
        <v>818</v>
      </c>
    </row>
    <row r="279" spans="2:2" x14ac:dyDescent="0.25">
      <c r="B279" s="52" t="s">
        <v>819</v>
      </c>
    </row>
    <row r="280" spans="2:2" x14ac:dyDescent="0.25">
      <c r="B280" s="52" t="s">
        <v>820</v>
      </c>
    </row>
    <row r="281" spans="2:2" x14ac:dyDescent="0.25">
      <c r="B281" s="53"/>
    </row>
    <row r="282" spans="2:2" ht="15.75" x14ac:dyDescent="0.25">
      <c r="B282" s="50" t="s">
        <v>356</v>
      </c>
    </row>
    <row r="283" spans="2:2" x14ac:dyDescent="0.25">
      <c r="B283" s="51"/>
    </row>
    <row r="284" spans="2:2" x14ac:dyDescent="0.25">
      <c r="B284" s="52" t="s">
        <v>821</v>
      </c>
    </row>
    <row r="285" spans="2:2" x14ac:dyDescent="0.25">
      <c r="B285" s="52" t="s">
        <v>822</v>
      </c>
    </row>
    <row r="286" spans="2:2" x14ac:dyDescent="0.25">
      <c r="B286" s="52" t="s">
        <v>823</v>
      </c>
    </row>
    <row r="287" spans="2:2" x14ac:dyDescent="0.25">
      <c r="B287" s="52" t="s">
        <v>839</v>
      </c>
    </row>
    <row r="288" spans="2:2" x14ac:dyDescent="0.25">
      <c r="B288" s="52" t="s">
        <v>840</v>
      </c>
    </row>
    <row r="289" spans="2:2" x14ac:dyDescent="0.25">
      <c r="B289" s="52" t="s">
        <v>841</v>
      </c>
    </row>
    <row r="290" spans="2:2" x14ac:dyDescent="0.25">
      <c r="B290" s="52" t="s">
        <v>824</v>
      </c>
    </row>
    <row r="291" spans="2:2" x14ac:dyDescent="0.25">
      <c r="B291" s="52" t="s">
        <v>825</v>
      </c>
    </row>
    <row r="292" spans="2:2" x14ac:dyDescent="0.25">
      <c r="B292" s="52" t="s">
        <v>826</v>
      </c>
    </row>
    <row r="293" spans="2:2" x14ac:dyDescent="0.25">
      <c r="B293" s="52" t="s">
        <v>842</v>
      </c>
    </row>
    <row r="294" spans="2:2" x14ac:dyDescent="0.25">
      <c r="B294" s="52" t="s">
        <v>843</v>
      </c>
    </row>
    <row r="295" spans="2:2" x14ac:dyDescent="0.25">
      <c r="B295" s="52" t="s">
        <v>844</v>
      </c>
    </row>
    <row r="296" spans="2:2" x14ac:dyDescent="0.25">
      <c r="B296" s="52" t="s">
        <v>827</v>
      </c>
    </row>
    <row r="297" spans="2:2" x14ac:dyDescent="0.25">
      <c r="B297" s="52" t="s">
        <v>828</v>
      </c>
    </row>
    <row r="298" spans="2:2" x14ac:dyDescent="0.25">
      <c r="B298" s="52" t="s">
        <v>829</v>
      </c>
    </row>
    <row r="299" spans="2:2" x14ac:dyDescent="0.25">
      <c r="B299" s="52" t="s">
        <v>845</v>
      </c>
    </row>
    <row r="300" spans="2:2" x14ac:dyDescent="0.25">
      <c r="B300" s="52" t="s">
        <v>846</v>
      </c>
    </row>
    <row r="301" spans="2:2" x14ac:dyDescent="0.25">
      <c r="B301" s="52" t="s">
        <v>847</v>
      </c>
    </row>
    <row r="302" spans="2:2" x14ac:dyDescent="0.25">
      <c r="B302" s="52" t="s">
        <v>830</v>
      </c>
    </row>
    <row r="303" spans="2:2" x14ac:dyDescent="0.25">
      <c r="B303" s="52" t="s">
        <v>831</v>
      </c>
    </row>
    <row r="304" spans="2:2" x14ac:dyDescent="0.25">
      <c r="B304" s="52" t="s">
        <v>832</v>
      </c>
    </row>
    <row r="305" spans="2:2" x14ac:dyDescent="0.25">
      <c r="B305" s="52" t="s">
        <v>848</v>
      </c>
    </row>
    <row r="306" spans="2:2" x14ac:dyDescent="0.25">
      <c r="B306" s="52" t="s">
        <v>849</v>
      </c>
    </row>
    <row r="307" spans="2:2" x14ac:dyDescent="0.25">
      <c r="B307" s="52" t="s">
        <v>850</v>
      </c>
    </row>
    <row r="308" spans="2:2" x14ac:dyDescent="0.25">
      <c r="B308" s="52" t="s">
        <v>833</v>
      </c>
    </row>
    <row r="309" spans="2:2" x14ac:dyDescent="0.25">
      <c r="B309" s="52" t="s">
        <v>834</v>
      </c>
    </row>
    <row r="310" spans="2:2" x14ac:dyDescent="0.25">
      <c r="B310" s="52" t="s">
        <v>835</v>
      </c>
    </row>
    <row r="311" spans="2:2" x14ac:dyDescent="0.25">
      <c r="B311" s="52" t="s">
        <v>851</v>
      </c>
    </row>
    <row r="312" spans="2:2" x14ac:dyDescent="0.25">
      <c r="B312" s="52" t="s">
        <v>852</v>
      </c>
    </row>
    <row r="313" spans="2:2" x14ac:dyDescent="0.25">
      <c r="B313" s="52" t="s">
        <v>853</v>
      </c>
    </row>
    <row r="314" spans="2:2" x14ac:dyDescent="0.25">
      <c r="B314" s="52" t="s">
        <v>836</v>
      </c>
    </row>
    <row r="315" spans="2:2" x14ac:dyDescent="0.25">
      <c r="B315" s="52" t="s">
        <v>837</v>
      </c>
    </row>
    <row r="316" spans="2:2" x14ac:dyDescent="0.25">
      <c r="B316" s="52" t="s">
        <v>838</v>
      </c>
    </row>
    <row r="317" spans="2:2" x14ac:dyDescent="0.25">
      <c r="B317" s="52" t="s">
        <v>854</v>
      </c>
    </row>
    <row r="318" spans="2:2" x14ac:dyDescent="0.25">
      <c r="B318" s="52" t="s">
        <v>855</v>
      </c>
    </row>
    <row r="319" spans="2:2" x14ac:dyDescent="0.25">
      <c r="B319" s="52" t="s">
        <v>856</v>
      </c>
    </row>
    <row r="320" spans="2:2" x14ac:dyDescent="0.25">
      <c r="B320" s="53"/>
    </row>
    <row r="321" spans="2:2" ht="15.75" x14ac:dyDescent="0.25">
      <c r="B321" s="50" t="s">
        <v>369</v>
      </c>
    </row>
    <row r="322" spans="2:2" x14ac:dyDescent="0.25">
      <c r="B322" s="51"/>
    </row>
    <row r="323" spans="2:2" x14ac:dyDescent="0.25">
      <c r="B323" s="52" t="s">
        <v>932</v>
      </c>
    </row>
    <row r="324" spans="2:2" x14ac:dyDescent="0.25">
      <c r="B324" s="52" t="s">
        <v>933</v>
      </c>
    </row>
    <row r="325" spans="2:2" x14ac:dyDescent="0.25">
      <c r="B325" s="52" t="s">
        <v>934</v>
      </c>
    </row>
    <row r="326" spans="2:2" x14ac:dyDescent="0.25">
      <c r="B326" s="52" t="s">
        <v>950</v>
      </c>
    </row>
    <row r="327" spans="2:2" x14ac:dyDescent="0.25">
      <c r="B327" s="52" t="s">
        <v>951</v>
      </c>
    </row>
    <row r="328" spans="2:2" x14ac:dyDescent="0.25">
      <c r="B328" s="52" t="s">
        <v>952</v>
      </c>
    </row>
    <row r="329" spans="2:2" x14ac:dyDescent="0.25">
      <c r="B329" s="52" t="s">
        <v>935</v>
      </c>
    </row>
    <row r="330" spans="2:2" x14ac:dyDescent="0.25">
      <c r="B330" s="52" t="s">
        <v>936</v>
      </c>
    </row>
    <row r="331" spans="2:2" x14ac:dyDescent="0.25">
      <c r="B331" s="52" t="s">
        <v>937</v>
      </c>
    </row>
    <row r="332" spans="2:2" x14ac:dyDescent="0.25">
      <c r="B332" s="52" t="s">
        <v>953</v>
      </c>
    </row>
    <row r="333" spans="2:2" x14ac:dyDescent="0.25">
      <c r="B333" s="52" t="s">
        <v>954</v>
      </c>
    </row>
    <row r="334" spans="2:2" x14ac:dyDescent="0.25">
      <c r="B334" s="52" t="s">
        <v>955</v>
      </c>
    </row>
    <row r="335" spans="2:2" x14ac:dyDescent="0.25">
      <c r="B335" s="52" t="s">
        <v>938</v>
      </c>
    </row>
    <row r="336" spans="2:2" x14ac:dyDescent="0.25">
      <c r="B336" s="52" t="s">
        <v>939</v>
      </c>
    </row>
    <row r="337" spans="2:2" x14ac:dyDescent="0.25">
      <c r="B337" s="52" t="s">
        <v>940</v>
      </c>
    </row>
    <row r="338" spans="2:2" x14ac:dyDescent="0.25">
      <c r="B338" s="52" t="s">
        <v>956</v>
      </c>
    </row>
    <row r="339" spans="2:2" x14ac:dyDescent="0.25">
      <c r="B339" s="52" t="s">
        <v>957</v>
      </c>
    </row>
    <row r="340" spans="2:2" x14ac:dyDescent="0.25">
      <c r="B340" s="52" t="s">
        <v>958</v>
      </c>
    </row>
    <row r="341" spans="2:2" x14ac:dyDescent="0.25">
      <c r="B341" s="52" t="s">
        <v>941</v>
      </c>
    </row>
    <row r="342" spans="2:2" x14ac:dyDescent="0.25">
      <c r="B342" s="52" t="s">
        <v>942</v>
      </c>
    </row>
    <row r="343" spans="2:2" x14ac:dyDescent="0.25">
      <c r="B343" s="52" t="s">
        <v>943</v>
      </c>
    </row>
    <row r="344" spans="2:2" x14ac:dyDescent="0.25">
      <c r="B344" s="52" t="s">
        <v>959</v>
      </c>
    </row>
    <row r="345" spans="2:2" x14ac:dyDescent="0.25">
      <c r="B345" s="52" t="s">
        <v>960</v>
      </c>
    </row>
    <row r="346" spans="2:2" x14ac:dyDescent="0.25">
      <c r="B346" s="52" t="s">
        <v>961</v>
      </c>
    </row>
    <row r="347" spans="2:2" x14ac:dyDescent="0.25">
      <c r="B347" s="52" t="s">
        <v>944</v>
      </c>
    </row>
    <row r="348" spans="2:2" x14ac:dyDescent="0.25">
      <c r="B348" s="52" t="s">
        <v>945</v>
      </c>
    </row>
    <row r="349" spans="2:2" x14ac:dyDescent="0.25">
      <c r="B349" s="52" t="s">
        <v>946</v>
      </c>
    </row>
    <row r="350" spans="2:2" x14ac:dyDescent="0.25">
      <c r="B350" s="52" t="s">
        <v>962</v>
      </c>
    </row>
    <row r="351" spans="2:2" x14ac:dyDescent="0.25">
      <c r="B351" s="52" t="s">
        <v>963</v>
      </c>
    </row>
    <row r="352" spans="2:2" x14ac:dyDescent="0.25">
      <c r="B352" s="52" t="s">
        <v>964</v>
      </c>
    </row>
    <row r="353" spans="2:2" x14ac:dyDescent="0.25">
      <c r="B353" s="52" t="s">
        <v>947</v>
      </c>
    </row>
    <row r="354" spans="2:2" x14ac:dyDescent="0.25">
      <c r="B354" s="52" t="s">
        <v>948</v>
      </c>
    </row>
    <row r="355" spans="2:2" x14ac:dyDescent="0.25">
      <c r="B355" s="52" t="s">
        <v>949</v>
      </c>
    </row>
    <row r="356" spans="2:2" x14ac:dyDescent="0.25">
      <c r="B356" s="52" t="s">
        <v>965</v>
      </c>
    </row>
    <row r="357" spans="2:2" x14ac:dyDescent="0.25">
      <c r="B357" s="52" t="s">
        <v>966</v>
      </c>
    </row>
    <row r="358" spans="2:2" x14ac:dyDescent="0.25">
      <c r="B358" s="52" t="s">
        <v>967</v>
      </c>
    </row>
    <row r="359" spans="2:2" x14ac:dyDescent="0.25">
      <c r="B359" s="53"/>
    </row>
  </sheetData>
  <mergeCells count="1">
    <mergeCell ref="B2:B3"/>
  </mergeCells>
  <hyperlinks>
    <hyperlink ref="B6" location="'C1_COT'!A3" display="Cuadro N° 1.1: Número de cotizantes, según seguro de salud años 2011-2015" xr:uid="{00000000-0004-0000-0100-000000000000}"/>
    <hyperlink ref="B7" location="'C1_COT'!A13" display="Cuadro N° 1.2: Número de cotizantes, según seguro de salud y sexo año 2015" xr:uid="{00000000-0004-0000-0100-000001000000}"/>
    <hyperlink ref="B8" location="'C1_COT'!A21" display="Cuadro N° 1.3: Número de cotizantes, según seguro de salud y tramo etario año 2015" xr:uid="{00000000-0004-0000-0100-000002000000}"/>
    <hyperlink ref="B9" location="'C1_COT'!A34" display="Cuadro N° 1.4: Número de cotizantes, según seguro de salud y tipo de cotizante año 2015" xr:uid="{00000000-0004-0000-0100-000003000000}"/>
    <hyperlink ref="B10" location="'C1_COT'!A42" display="Cuadro N° 1.5: Número de cotizantes, según seguro de salud y región año 2015" xr:uid="{00000000-0004-0000-0100-000004000000}"/>
    <hyperlink ref="B11" location="'C1_COT'!A63" display="Cuadro N° 1.6: Número de cotizantes, según seguro de salud y tramo de remuneraciones año 2015" xr:uid="{00000000-0004-0000-0100-000005000000}"/>
    <hyperlink ref="B12" location="'C1_COT'!A78" display="Cuadro N° 1.7: Número de cotizantes, según seguro de salud y actividad económica año 2015" xr:uid="{00000000-0004-0000-0100-000006000000}"/>
    <hyperlink ref="B13" location="'C1_COT'!A92" display="Cuadro N° 1.8: Renta imponible promedio anual para el universo de cotizantes, según seguro de salud (miles $ de cada año) años 2012-2016" xr:uid="{00000000-0004-0000-0100-000007000000}"/>
    <hyperlink ref="B19" location="'C2_LMT'!A3" display="Cuadro N° 2.1.: Número de licencias médicas tramitadas, según seguro de salud años 2011-2015" xr:uid="{00000000-0004-0000-0100-000008000000}"/>
    <hyperlink ref="B20" location="'C2_LMT'!A13" display="Cuadro N° 2.1.1: Número de licencias médicas tramitadas, según seguro de salud y sexo año 2015" xr:uid="{00000000-0004-0000-0100-000009000000}"/>
    <hyperlink ref="B21" location="'C2_LMT'!A21" display="Cuadro N° 2.1.2: Número de licencias médicas tramitadas, según seguro de salud y tramo etario año 2015" xr:uid="{00000000-0004-0000-0100-00000A000000}"/>
    <hyperlink ref="B22" location="'C2_LMT'!A34" display="Cuadro N° 2.1.3: Número de licencias médicas tramitadas, según seguro de salud y tipo de sector año 2015" xr:uid="{00000000-0004-0000-0100-00000B000000}"/>
    <hyperlink ref="B23" location="'C2_LMT'!A43" display="Cuadro N° 2.1.4: Número de licencias médicas tramitadas, según seguro de salud y región año 2015" xr:uid="{00000000-0004-0000-0100-00000C000000}"/>
    <hyperlink ref="B24" location="'C2_LMT'!A64" display="Cuadro N° 2.1.5: Número de licencias médicas tramitadas, según seguro de salud y  tipo de resolución año 2015" xr:uid="{00000000-0004-0000-0100-00000D000000}"/>
    <hyperlink ref="B25" location="'C2_LMT'!F3" display="Cuadro N° 2.2.: Número de días otorgados, según seguro de salud años 2011-2015" xr:uid="{00000000-0004-0000-0100-00000E000000}"/>
    <hyperlink ref="B26" location="'C2_LMT'!F13" display="Cuadro N° 2.2.1: Número de días otorgados, según seguro de salud y sexo año 2015" xr:uid="{00000000-0004-0000-0100-00000F000000}"/>
    <hyperlink ref="B27" location="'C2_LMT'!F21" display="Cuadro N° 2.2.2: Número de días otorgados, según seguro de salud y tramo etario año 2015" xr:uid="{00000000-0004-0000-0100-000010000000}"/>
    <hyperlink ref="B28" location="'C2_LMT'!F34" display="Cuadro N° 2.2.3: Número de días otorgados, según seguro de salud y tipo de sector año 2015" xr:uid="{00000000-0004-0000-0100-000011000000}"/>
    <hyperlink ref="B29" location="'C2_LMT'!F43" display="Cuadro N° 2.2.4: Número de días otorgados, según seguro de salud y región año 2015" xr:uid="{00000000-0004-0000-0100-000012000000}"/>
    <hyperlink ref="B30" location="'C2_LMT'!F64" display="Cuadro N° 2.2.5: Número de días otorgados, según seguro de salud y  tipo de resolución año 2015" xr:uid="{00000000-0004-0000-0100-000013000000}"/>
    <hyperlink ref="B34" location="'C3_LMA'!A3" display="Cuadro N° 3.1.: Número de licencias médicas autorizadas, según seguro de salud años 2011-2015" xr:uid="{00000000-0004-0000-0100-000014000000}"/>
    <hyperlink ref="B35" location="'C3_LMA'!A13" display="Cuadro N° 3.1.1: Número de licencias médicas autorizadas, según seguro de salud y sexo año 2015" xr:uid="{00000000-0004-0000-0100-000015000000}"/>
    <hyperlink ref="B36" location="'C3_LMA'!A21" display="Cuadro N° 3.1.2: Número de licencias médicas autorizadas, según seguro de salud y tramo etario año 2015" xr:uid="{00000000-0004-0000-0100-000016000000}"/>
    <hyperlink ref="B37" location="'C3_LMA'!A34" display="Cuadro N° 3.1.3: Número de licencias médicas autorizadas, según seguro de salud y tipo de sector año 2015" xr:uid="{00000000-0004-0000-0100-000017000000}"/>
    <hyperlink ref="B38" location="'C3_LMA'!A43" display="Cuadro N° 3.1.4: Número de licencias médicas autorizadas, según seguro de salud y región año 2015" xr:uid="{00000000-0004-0000-0100-000018000000}"/>
    <hyperlink ref="B39" location="'C3_LMA'!F3" display="Cuadro N° 3.2.: Número de días pagados, según seguro de salud años 2011-2015" xr:uid="{00000000-0004-0000-0100-000019000000}"/>
    <hyperlink ref="B40" location="'C3_LMA'!F13" display="Cuadro N° 3.2.1: Número de días pagados, según seguro de salud y sexo año 2015" xr:uid="{00000000-0004-0000-0100-00001A000000}"/>
    <hyperlink ref="B41" location="'C3_LMA'!F21" display="Cuadro N° 3.2.2: Número de días pagados, según seguro de salud y tramo etario año 2015" xr:uid="{00000000-0004-0000-0100-00001B000000}"/>
    <hyperlink ref="B42" location="'C3_LMA'!F34" display="Cuadro N° 3.2.3: Número de días pagados, según seguro de salud y tipo de sector año 2015" xr:uid="{00000000-0004-0000-0100-00001C000000}"/>
    <hyperlink ref="B43" location="'C3_LMA'!F43" display="Cuadro N° 3.2.4: Número de días pagados, según seguro de salud y región año 2015" xr:uid="{00000000-0004-0000-0100-00001D000000}"/>
    <hyperlink ref="B47" location="'C4_LMR'!A3" display="Cuadro N° 4.1.: Número de licencias médicas rechazadas, según seguro de salud años 2011-2015" xr:uid="{00000000-0004-0000-0100-00001E000000}"/>
    <hyperlink ref="B48" location="'C4_LMR'!A13" display="Cuadro N° 4.1.1: Número de licencias médicas rechazadas, según seguro de salud y sexo año 2015" xr:uid="{00000000-0004-0000-0100-00001F000000}"/>
    <hyperlink ref="B49" location="'C4_LMR'!A21" display="Cuadro N° 4.1.2: Número de licencias médicas rechazadas, según seguro de salud y tramo etario año 2015" xr:uid="{00000000-0004-0000-0100-000020000000}"/>
    <hyperlink ref="B50" location="'C4_LMR'!A34" display="Cuadro N° 4.1.3: Número de licencias médicas rechazadas, según seguro de salud y región año 2015" xr:uid="{00000000-0004-0000-0100-000021000000}"/>
    <hyperlink ref="B51" location="'C4_LMR'!F3" display="Cuadro N° 4.2.: Número de días rechazados, según seguro de salud años 2011-2015" xr:uid="{00000000-0004-0000-0100-000022000000}"/>
    <hyperlink ref="B52" location="'C4_LMR'!F13" display="Cuadro N° 4.2.1: Número de días rechazados, según seguro de salud y sexo año 2015" xr:uid="{00000000-0004-0000-0100-000023000000}"/>
    <hyperlink ref="B53" location="'C4_LMR'!F21" display="Cuadro N° 4.2.2: Número de días rechazados, según seguro de salud y tramo etario año 2015" xr:uid="{00000000-0004-0000-0100-000024000000}"/>
    <hyperlink ref="B54" location="'C4_LMR'!F34" display="Cuadro N° 4.2.3: Número de días rechazados, según seguro de salud y región año 2015" xr:uid="{00000000-0004-0000-0100-000025000000}"/>
    <hyperlink ref="B109" location="'C8_GTO_SIL'!A3" display="Cuadro N° 8.1: Gasto en SIL nominal por licencias médicas, según seguro de salud (miles $ de cada año) años 2011-2015" xr:uid="{00000000-0004-0000-0100-000026000000}"/>
    <hyperlink ref="B110" location="'C8_GTO_SIL'!A13" display="Cuadro N° 8.2: Gasto en SIL por licencias médicas, según seguro de salud (miles $ de diciembre 2015) años 2011-2015" xr:uid="{00000000-0004-0000-0100-000027000000}"/>
    <hyperlink ref="B111" location="'C8_GTO_SIL'!A23" display="Cuadro N° 8.3: Gasto en SIL por licencias médicas, según seguro de salud y tipo de diagnóstico (miles $ de diciembre 2015) año 2015" xr:uid="{00000000-0004-0000-0100-000028000000}"/>
    <hyperlink ref="B116" location="'C9_IND_SIL'!A3" display="Cuadro N° 9.1: Gasto en SIL por cotizante, según seguro de salud (miles $ de diciembre 2015) años 2011-2015" xr:uid="{00000000-0004-0000-0100-000029000000}"/>
    <hyperlink ref="B117" location="'C9_IND_SIL'!A13" display="Cuadro N° 9.2: Número de días pagados por cotizante, según seguro de salud años 2011-2015" xr:uid="{00000000-0004-0000-0100-00002A000000}"/>
    <hyperlink ref="B119" location="'C9_IND_SIL'!A33" display="Cuadro N° 9.4: Gasto en SIL por licencia médica autorizada, según seguro de salud (miles $ de diciembre 2015) años 2011-2015" xr:uid="{00000000-0004-0000-0100-00002B000000}"/>
    <hyperlink ref="B120" location="'C9_IND_SIL'!A43" display="Cuadro N° 9.5: Número de días pagados por licencia médica autorizada, según seguro de salud años 2011-2015" xr:uid="{00000000-0004-0000-0100-00002C000000}"/>
    <hyperlink ref="B118" location="'C9_IND_SIL'!A23" display="Cuadro N° 9.3: Gasto en SIL por día pagado, según seguro de salud (miles $ de diciembre 2015) años 2011-2015" xr:uid="{00000000-0004-0000-0100-00002D000000}"/>
    <hyperlink ref="B121" location="'C9_IND_SIL'!A53" display="Cuadro N° 9.6: Porcentaje de cotización necesario para financiar el SIL, según seguro de salud años 2011-2015" xr:uid="{00000000-0004-0000-0100-00002E000000}"/>
    <hyperlink ref="B58" location="'C5_LMT_DIAG'!A3" display="Cuadro 5.1.1.1: Número de licencias médicas tramitadas, según seguro de salud y tipo de diagnóstico año 2015" xr:uid="{00000000-0004-0000-0100-00002F000000}"/>
    <hyperlink ref="B59" location="'C5_LMT_DIAG'!A15" display="Cuadro 5.1.2.1: Número de licencias médicas tramitadas FONASA, según tipo de diagnóstico y sexo año 2015" xr:uid="{00000000-0004-0000-0100-000030000000}"/>
    <hyperlink ref="B60" location="'C5_LMT_DIAG'!J15" display="Cuadro 5.1.2.2: Número de licencias médicas tramitadas ISAPREs, según tipo de diagnóstico y sexo año 2015" xr:uid="{00000000-0004-0000-0100-000031000000}"/>
    <hyperlink ref="B61" location="'C5_LMT_DIAG'!A23" display="Cuadro 5.1.3.1: Número de licencias médicas tramitadas FONASA, según tipo de diagnóstico y tramo etario año 2015" xr:uid="{00000000-0004-0000-0100-000032000000}"/>
    <hyperlink ref="B62" location="'C5_LMT_DIAG'!J23" display="Cuadro 5.1.3.2: Número de licencias médicas tramitadas ISAPREs, según tipo de diagnóstico y tramo etario año 2015" xr:uid="{00000000-0004-0000-0100-000033000000}"/>
    <hyperlink ref="B63" location="'C5_LMT_DIAG'!A36" display="Cuadro 5.1.4.1: Número de licencias médicas tramitadas FONASA, según tipo de diagnóstico y región año 2015" xr:uid="{00000000-0004-0000-0100-000034000000}"/>
    <hyperlink ref="B64" location="'C5_LMT_DIAG'!J36" display="Cuadro 5.1.4.2: Número de licencias médicas tramitadas ISAPREs, según tipo de diagnóstico y región año 2015" xr:uid="{00000000-0004-0000-0100-000035000000}"/>
    <hyperlink ref="B65" location="'C5_LMT_DIAG'!A57" display="Cuadro 5.2.1.1: Número de días otorgados, según seguro de salud y tipo de diagnóstico año 2015" xr:uid="{00000000-0004-0000-0100-000036000000}"/>
    <hyperlink ref="B66" location="'C5_LMT_DIAG'!A69" display="Cuadro 5.2.2.1: Número de días otorgados FONASA, según tipo de diagnóstico y sexo año 2015" xr:uid="{00000000-0004-0000-0100-000037000000}"/>
    <hyperlink ref="B67" location="'C5_LMT_DIAG'!J69" display="Cuadro 5.2.2.2: Número de días otorgados ISAPREs, según tipo de diagnóstico y sexo año 2015" xr:uid="{00000000-0004-0000-0100-000038000000}"/>
    <hyperlink ref="B68" location="'C5_LMT_DIAG'!A77" display="Cuadro 5.2.3.1: Número de días otorgados FONASA, según tipo de diagnóstico y tramo etario año 2015" xr:uid="{00000000-0004-0000-0100-000039000000}"/>
    <hyperlink ref="B70" location="'C5_LMT_DIAG'!A90" display="Cuadro 5.2.4.1: Número de días otorgados FONASA, según tipo de diagnóstico y región año 2015" xr:uid="{00000000-0004-0000-0100-00003A000000}"/>
    <hyperlink ref="B71" location="'C5_LMT_DIAG'!J90" display="Cuadro 5.2.4.2: Número de días otorgados ISAPREs, según tipo de diagnóstico y región año 2015" xr:uid="{00000000-0004-0000-0100-00003B000000}"/>
    <hyperlink ref="B69" location="'C5_LMT_DIAG'!J77" display="Cuadro 5.2.3.2: Número de días otorgados ISAPREs, según tipo de diagnóstico y tramo etario año 2015" xr:uid="{00000000-0004-0000-0100-00003C000000}"/>
    <hyperlink ref="B75" location="'C6_LMA_DIAG'!A3" display="Cuadro N° 6.1.1.1: Número de licencias médicas autorizadas, según seguro de salud y tipo de diagnóstico año 2015" xr:uid="{00000000-0004-0000-0100-00003D000000}"/>
    <hyperlink ref="B76" location="'C6_LMA_DIAG'!A15" display="Cuadro N° 6.1.2.1: Número de licencias médicas autorizadas FONASA, según tipo de diagnóstico y sexo año 2015" xr:uid="{00000000-0004-0000-0100-00003E000000}"/>
    <hyperlink ref="B77" location="'C6_LMA_DIAG'!J15" display="Cuadro N° 6.1.2.2: Número de licencias médicas autorizadas ISAPREs, según tipo de diagnóstico y sexo año 2015" xr:uid="{00000000-0004-0000-0100-00003F000000}"/>
    <hyperlink ref="B78" location="'C6_LMA_DIAG'!A23" display="Cuadro N° 6.1.3.1: Número de licencias médicas autorizadas FONASA, según tipo de diagnóstico y tramo etario año 2015" xr:uid="{00000000-0004-0000-0100-000040000000}"/>
    <hyperlink ref="B79" location="'C6_LMA_DIAG'!J23" display="Cuadro N° 6.1.3.2: Número de licencias médicas autorizadas ISAPREs, según tipo de diagnóstico y tramo etario año 2015" xr:uid="{00000000-0004-0000-0100-000041000000}"/>
    <hyperlink ref="B80" location="'C6_LMA_DIAG'!A36" display="Cuadro N° 6.1.4.1: Número de licencias médicas autorizadas FONASA, según tipo de diagnóstico y región año 2015" xr:uid="{00000000-0004-0000-0100-000042000000}"/>
    <hyperlink ref="B81" location="'C6_LMA_DIAG'!J36" display="Cuadro N° 6.1.4.2: Número de licencias médicas autorizadas ISAPREs, según tipo de diagnóstico y región año 2015" xr:uid="{00000000-0004-0000-0100-000043000000}"/>
    <hyperlink ref="B82" location="'C6_LMA_DIAG'!A57" display="Cuadro N° 6.2.1.1: Número de días pagados, según seguro de salud y tipo de diagnóstico año 2015" xr:uid="{00000000-0004-0000-0100-000044000000}"/>
    <hyperlink ref="B83" location="'C6_LMA_DIAG'!A69" display="Cuadro N° 6.2.2.1: Número de días pagados FONASA, según tipo de diagnóstico y sexo año 2015" xr:uid="{00000000-0004-0000-0100-000045000000}"/>
    <hyperlink ref="B84" location="'C6_LMA_DIAG'!J69" display="Cuadro N° 6.2.2.2: Número de días pagados ISAPREs, según tipo de diagnóstico y sexo año 2015" xr:uid="{00000000-0004-0000-0100-000046000000}"/>
    <hyperlink ref="B85" location="'C6_LMA_DIAG'!A77" display="Cuadro N° 6.2.3.1: Número de días pagados FONASA, según tipo de diagnóstico y tramo etario año 2015" xr:uid="{00000000-0004-0000-0100-000047000000}"/>
    <hyperlink ref="B87" location="'C6_LMA_DIAG'!A90" display="Cuadro N° 6.2.4.1: Número de días pagados FONASA, según tipo de diagnóstico y región año 2015" xr:uid="{00000000-0004-0000-0100-000048000000}"/>
    <hyperlink ref="B88" location="'C6_LMA_DIAG'!J90" display="Cuadro N° 6.2.4.2: Número de días pagados ISAPREs, según tipo de diagnóstico y región año 2015" xr:uid="{00000000-0004-0000-0100-000049000000}"/>
    <hyperlink ref="B86" location="'C6_LMA_DIAG'!J77" display="Cuadro N° 6.2.3.2: Número de días pagados ISAPREs, según tipo de diagnóstico y tramo etario año 2015" xr:uid="{00000000-0004-0000-0100-00004A000000}"/>
    <hyperlink ref="B92" location="'C7_LMR_DIAG'!A3" display="Cuadro N° 7.1.1.1: Número de licencias médicas rechazadas, según seguro de salud y tipo de diagnóstico año 2015" xr:uid="{00000000-0004-0000-0100-00004B000000}"/>
    <hyperlink ref="B93" location="'C7_LMR_DIAG'!A15" display="Cuadro N° 7.1.2.1: Número de licencias médicas rechazadas FONASA, según tipo de diagnóstico y sexo año 2015" xr:uid="{00000000-0004-0000-0100-00004C000000}"/>
    <hyperlink ref="B94" location="'C7_LMR_DIAG'!J15" display="Cuadro N° 7.1.2.2: Número de licencias médicas rechazadas ISAPREs, según tipo de diagnóstico y sexo año 2015" xr:uid="{00000000-0004-0000-0100-00004D000000}"/>
    <hyperlink ref="B95" location="'C7_LMR_DIAG'!A23" display="Cuadro N° 7.1.3.1: Número de licencias médicas rechazadas FONASA, según tipo de diagnóstico y tramo etario año 2015" xr:uid="{00000000-0004-0000-0100-00004E000000}"/>
    <hyperlink ref="B96" location="'C7_LMR_DIAG'!J23" display="Cuadro N° 7.1.3.2: Número de licencias médicas rechazadas ISAPREs, según tipo de diagnóstico y tramo etario año 2015" xr:uid="{00000000-0004-0000-0100-00004F000000}"/>
    <hyperlink ref="B97" location="'C7_LMR_DIAG'!A36" display="Cuadro N° 7.1.4.1: Número de licencias médicas rechazadas FONASA, según tipo de diagnóstico y región año 2015" xr:uid="{00000000-0004-0000-0100-000050000000}"/>
    <hyperlink ref="B98" location="'C7_LMR_DIAG'!J36" display="Cuadro N° 7.1.4.2: Número de licencias médicas rechazadas ISAPREs, según tipo de diagnóstico y región año 2015" xr:uid="{00000000-0004-0000-0100-000051000000}"/>
    <hyperlink ref="B99" location="'C7_LMR_DIAG'!A57" display="Cuadro N° 7.2.1.1: Número de días rechazados, según seguro de salud y tipo de diagnóstico año 2015" xr:uid="{00000000-0004-0000-0100-000052000000}"/>
    <hyperlink ref="B100" location="'C7_LMR_DIAG'!A69" display="Cuadro N° 7.2.2.1: Número de días rechazados FONASA, según tipo de diagnóstico y sexo año 2015" xr:uid="{00000000-0004-0000-0100-000053000000}"/>
    <hyperlink ref="B101" location="'C7_LMR_DIAG'!J69" display="Cuadro N° 7.2.2.2: Número de días rechazados ISAPREs, según tipo de diagnóstico y sexo año 2015" xr:uid="{00000000-0004-0000-0100-000054000000}"/>
    <hyperlink ref="B102" location="'C7_LMR_DIAG'!A77" display="Cuadro N° 7.2.3.1: Número de días rechazados FONASA, según tipo de diagnóstico y tramo etario año 2015" xr:uid="{00000000-0004-0000-0100-000055000000}"/>
    <hyperlink ref="B104" location="'C7_LMR_DIAG'!A90" display="Cuadro N° 7.2.4.1: Número de días rechazados FONASA, según tipo de diagnóstico y región año 2015" xr:uid="{00000000-0004-0000-0100-000056000000}"/>
    <hyperlink ref="B105" location="'C7_LMR_DIAG'!J90" display="Cuadro N° 7.2.4.2: Número de días rechazados ISAPREs, según tipo de diagnóstico y región año 2015" xr:uid="{00000000-0004-0000-0100-000057000000}"/>
    <hyperlink ref="B103" location="'C7_LMR_DIAG'!J77" display="Cuadro N° 7.2.3.2: Número de días rechazados ISAPREs, según tipo de diagnóstico y tramo etario año 2015" xr:uid="{00000000-0004-0000-0100-000058000000}"/>
    <hyperlink ref="B14:B15" location="'C1_COT'!A78" display="Cuadro N° 1.7: Número de cotizantes, según seguro de salud y actividad económica año 2015" xr:uid="{00000000-0004-0000-0100-000059000000}"/>
    <hyperlink ref="B14" location="'C1_COT'!A102" display="Cuadros N° 1.9: Número de cotizantes, por seguro de salud,según sexo y tramo de renta imponible año 2016" xr:uid="{00000000-0004-0000-0100-00005A000000}"/>
    <hyperlink ref="B15" location="'C1_COT'!A117" display="Cuadros N° 1.10: Estadísticas promedio de cotizante, por seguro de salud, según sexo año 2016" xr:uid="{00000000-0004-0000-0100-00005B000000}"/>
    <hyperlink ref="B112" location="'C8_GTO_SIL'!A40" display="Cuadros N° 8.4: Gasto en SIL por licencias médicas, por seguro de salud, según tipo de sector y tipo de diagnóstico (miles $ de diciembre 2016) año 2016" xr:uid="{00000000-0004-0000-0100-00005C000000}"/>
    <hyperlink ref="B125" location="'C10_LMT_COT'!A3" display="Cuadro N° 10.1: Número de personas con licencias médicas tramitadas, según seguro de salud año 2016" xr:uid="{00000000-0004-0000-0100-00005D000000}"/>
    <hyperlink ref="B126" location="'C10_LMT_COT'!A13" display="Cuadro N° 10.2: Número de personas con licencias médicas tramitadas, según seguro de salud y sexo año 2016" xr:uid="{00000000-0004-0000-0100-00005E000000}"/>
    <hyperlink ref="B127" location="'C10_LMT_COT'!A21" display="Cuadro N° 10.3: Número de personas con licencias médicas tramitadas, según seguro de salud y tipo de sector año 2016" xr:uid="{00000000-0004-0000-0100-00005F000000}"/>
    <hyperlink ref="B131" location="'C11_LMT_SECTOR'!A3" display="Cuadro N° 11.1.1.1: Número de licencias médicas tramitadas, según seguro de salud y tipo de sector año 2016" xr:uid="{00000000-0004-0000-0100-000060000000}"/>
    <hyperlink ref="B132" location="'C11_LMT_SECTOR'!A11" display="Cuadro N° 11.1.2.1: Número de licencias médicas tramitadas FONASA, según tipo de sector y sexo año 2016" xr:uid="{00000000-0004-0000-0100-000061000000}"/>
    <hyperlink ref="B133" location="'C11_LMT_SECTOR'!J11" display="Cuadro N° 11.1.2.2: Número de licencias médicas tramitadas ISAPREs, según tipo de sector y sexo año 2016" xr:uid="{00000000-0004-0000-0100-000062000000}"/>
    <hyperlink ref="B134" location="'C11_LMT_SECTOR'!A19" display="Cuadro N° 11.1.3.1: Número de licencias médicas tramitadas FONASA, según tipo de sector y tramo etario año 2016" xr:uid="{00000000-0004-0000-0100-000063000000}"/>
    <hyperlink ref="B135" location="'C11_LMT_SECTOR'!J19" display="Cuadro N° 11.1.3.2: Número de licencias médicas tramitadas ISAPREs, según tipo de sector y tramo etario año 2016" xr:uid="{00000000-0004-0000-0100-000064000000}"/>
    <hyperlink ref="B136" location="'C11_LMT_SECTOR'!A32" display="Cuadro N° 11.1.4.1: Número de licencias médicas tramitadas FONASA, según tipo de sector y región año 2016" xr:uid="{00000000-0004-0000-0100-000065000000}"/>
    <hyperlink ref="B137" location="'C11_LMT_SECTOR'!J32" display="Cuadro N° 11.1.4.2: Número de licencias médicas tramitadas ISAPREs, según tipo de sector y región año 2016" xr:uid="{00000000-0004-0000-0100-000066000000}"/>
    <hyperlink ref="B138" location="'C11_LMT_SECTOR'!A49" display="Cuadro N° 11.2.1.1: Número de días otorgados, según seguro de salud y tipo de sector año 2016" xr:uid="{00000000-0004-0000-0100-000067000000}"/>
    <hyperlink ref="B139" location="'C11_LMT_SECTOR'!A57" display="Cuadro N° 11.2.2.1: Número de días otorgados FONASA, según tipo de sector y sexo año 2016" xr:uid="{00000000-0004-0000-0100-000068000000}"/>
    <hyperlink ref="B140" location="'C11_LMT_SECTOR'!J57" display="Cuadro N° 11.2.2.2: Número de días otorgados ISAPREs, según tipo de sector y sexo año 2016" xr:uid="{00000000-0004-0000-0100-000069000000}"/>
    <hyperlink ref="B141" location="'C11_LMT_SECTOR'!A65" display="Cuadro N° 11.2.3.1: Número de días otorgados FONASA, según tipo de sector y tramo etario año 2016" xr:uid="{00000000-0004-0000-0100-00006A000000}"/>
    <hyperlink ref="B143" location="'C11_LMT_SECTOR'!A78" display="Cuadro N° 11.2.4.1: Número de días otorgados FONASA, según tipo de sector y región año 2016" xr:uid="{00000000-0004-0000-0100-00006B000000}"/>
    <hyperlink ref="B144" location="'C11_LMT_SECTOR'!J78" display="Cuadro N° 11.2.4.2: Número de días otorgados ISAPREs, según tipo de sector y región año 2016" xr:uid="{00000000-0004-0000-0100-00006C000000}"/>
    <hyperlink ref="B142" location="'C11_LMT_SECTOR'!J65" display="Cuadro N° 11.2.3.2: Número de días otorgados ISAPREs, según tipo de sector y tramo etario año 2016" xr:uid="{00000000-0004-0000-0100-00006D000000}"/>
    <hyperlink ref="B148" location="'C12_LMA_SECTOR'!A3" display="Cuadro N° 12.1.1.1: Número de licencias médicas autorizadas, según seguro de salud y tipo de sector año 2016" xr:uid="{00000000-0004-0000-0100-00006E000000}"/>
    <hyperlink ref="B149" location="'C12_LMA_SECTOR'!A11" display="Cuadro N° 12.1.2.1: Número de licencias médicas autorizadas FONASA, según tipo de sector y sexo año 2016" xr:uid="{00000000-0004-0000-0100-00006F000000}"/>
    <hyperlink ref="B150" location="'C12_LMA_SECTOR'!J11" display="Cuadro N° 12.1.2.2: Número de licencias médicas autorizadas ISAPREs, según tipo de sector y sexo año 2016" xr:uid="{00000000-0004-0000-0100-000070000000}"/>
    <hyperlink ref="B151" location="'C12_LMA_SECTOR'!A19" display="Cuadro N° 12.1.3.1: Número de licencias médicas autorizadas FONASA, según tipo de sector y tramo etario año 2016" xr:uid="{00000000-0004-0000-0100-000071000000}"/>
    <hyperlink ref="B152" location="'C12_LMA_SECTOR'!J19" display="Cuadro N° 12.1.3.2: Número de licencias médicas autorizadas ISAPREs, según tipo de sector y tramo etario año 2016" xr:uid="{00000000-0004-0000-0100-000072000000}"/>
    <hyperlink ref="B153" location="'C12_LMA_SECTOR'!A32" display="Cuadro N° 12.1.4.1: Número de licencias médicas autorizadas FONASA, según tipo de sector y región año 2016" xr:uid="{00000000-0004-0000-0100-000073000000}"/>
    <hyperlink ref="B154" location="'C12_LMA_SECTOR'!J32" display="Cuadro N° 12.1.4.2: Número de licencias médicas autorizadas ISAPREs, según tipo de sector y región año 2016" xr:uid="{00000000-0004-0000-0100-000074000000}"/>
    <hyperlink ref="B155" location="'C12_LMA_SECTOR'!A49" display="Cuadro N° 12.2.1.1: Número de días pagados, según seguro de salud y tipo de sector año 2016" xr:uid="{00000000-0004-0000-0100-000075000000}"/>
    <hyperlink ref="B156" location="'C12_LMA_SECTOR'!A57" display="Cuadro N° 12.2.2.1: Número de días pagados FONASA, según tipo de sector y sexo año 2016" xr:uid="{00000000-0004-0000-0100-000076000000}"/>
    <hyperlink ref="B157" location="'C12_LMA_SECTOR'!J57" display="Cuadro N° 12.2.2.2: Número de días pagados ISAPREs, según tipo de sector y sexo año 2016" xr:uid="{00000000-0004-0000-0100-000077000000}"/>
    <hyperlink ref="B158" location="'C12_LMA_SECTOR'!A65" display="Cuadro N° 12.2.3.1: Número de días pagados FONASA, según tipo de sector y tramo etario año 2016" xr:uid="{00000000-0004-0000-0100-000078000000}"/>
    <hyperlink ref="B160" location="'C12_LMA_SECTOR'!A78" display="Cuadro N° 12.2.4.1: Número de días pagados FONASA, según tipo de sector y región año 2016" xr:uid="{00000000-0004-0000-0100-000079000000}"/>
    <hyperlink ref="B161" location="'C12_LMA_SECTOR'!J78" display="Cuadro N° 12.2.4.2: Número de días pagados ISAPREs, según tipo de sector y región año 2016" xr:uid="{00000000-0004-0000-0100-00007A000000}"/>
    <hyperlink ref="B159" location="'C12_LMA_SECTOR'!J65" display="Cuadro N° 12.2.3.2: Número de días pagados ISAPREs, según tipo de sector y tramo etario año 2016" xr:uid="{00000000-0004-0000-0100-00007B000000}"/>
    <hyperlink ref="B165" location="'C13_LMR_SECTOR'!A3" display="Cuadro N° 13.1.1.1: Número de licencias médicas rechazadas, según seguro de salud y tipo de sector año 2016" xr:uid="{00000000-0004-0000-0100-00007C000000}"/>
    <hyperlink ref="B166" location="'C13_LMR_SECTOR'!A11" display="Cuadro N° 13.1.2.1: Número de licencias médicas rechazadas FONASA, según tipo de sector y sexo año 2016" xr:uid="{00000000-0004-0000-0100-00007D000000}"/>
    <hyperlink ref="B167" location="'C13_LMR_SECTOR'!J11" display="Cuadro N° 13.1.2.2: Número de licencias médicas rechazadas ISAPREs, según tipo de sector y sexo año 2016" xr:uid="{00000000-0004-0000-0100-00007E000000}"/>
    <hyperlink ref="B168" location="'C13_LMR_SECTOR'!A19" display="Cuadro N° 13.1.3.1: Número de licencias médicas rechazadas FONASA, según tipo de sector y tramo etario año 2016" xr:uid="{00000000-0004-0000-0100-00007F000000}"/>
    <hyperlink ref="B169" location="'C13_LMR_SECTOR'!J19" display="Cuadro N° 13.1.3.2: Número de licencias médicas rechazadas ISAPREs, según tipo de sector y tramo etario año 2016" xr:uid="{00000000-0004-0000-0100-000080000000}"/>
    <hyperlink ref="B170" location="'C13_LMR_SECTOR'!A32" display="Cuadro N° 13.1.4.1: Número de licencias médicas rechazadas FONASA, según tipo de sector y región año 2016" xr:uid="{00000000-0004-0000-0100-000081000000}"/>
    <hyperlink ref="B171" location="'C13_LMR_SECTOR'!J32" display="Cuadro N° 13.1.4.2: Número de licencias médicas rechazadas ISAPREs, según tipo de sector y región año 2016" xr:uid="{00000000-0004-0000-0100-000082000000}"/>
    <hyperlink ref="B172" location="'C13_LMR_SECTOR'!A49" display="Cuadro N° 13.2.1.1: Número de días rechazados, según seguro de salud y tipo de sector año 2016" xr:uid="{00000000-0004-0000-0100-000083000000}"/>
    <hyperlink ref="B173" location="'C13_LMR_SECTOR'!A57" display="Cuadro N° 13.2.2.1: Número de días rechazados FONASA, según tipo de sector y sexo año 2016" xr:uid="{00000000-0004-0000-0100-000084000000}"/>
    <hyperlink ref="B174" location="'C13_LMR_SECTOR'!J57" display="Cuadro N° 13.2.2.2: Número de días rechazados ISAPREs, según tipo de sector y sexo año 2016" xr:uid="{00000000-0004-0000-0100-000085000000}"/>
    <hyperlink ref="B175" location="'C13_LMR_SECTOR'!A65" display="Cuadro N° 13.2.3.1: Número de días rechazados FONASA, según tipo de sector y tramo etario año 2016" xr:uid="{00000000-0004-0000-0100-000086000000}"/>
    <hyperlink ref="B177" location="'C13_LMR_SECTOR'!A78" display="Cuadro N° 13.2.4.1: Número de días rechazados FONASA, según tipo de sector y región año 2016" xr:uid="{00000000-0004-0000-0100-000087000000}"/>
    <hyperlink ref="B178" location="'C13_LMR_SECTOR'!J78" display="Cuadro N° 13.2.4.2: Número de días rechazados ISAPREs, según tipo de sector y región año 2016" xr:uid="{00000000-0004-0000-0100-000088000000}"/>
    <hyperlink ref="B176" location="'C13_LMR_SECTOR'!J65" display="Cuadro N° 13.2.3.2: Número de días rechazados ISAPREs, según tipo de sector y tramo etario año 2016" xr:uid="{00000000-0004-0000-0100-000089000000}"/>
    <hyperlink ref="B182" location="'C14_LMT_DIAG_ESPECIALES'!A3" display="Cuadro N° 14.1.1.1: Número de licencias médicas tramitadas con diagnóstico por Depresión, según seguro de salud año 2016" xr:uid="{00000000-0004-0000-0100-00008A000000}"/>
    <hyperlink ref="B183" location="'C14_LMT_DIAG_ESPECIALES'!A9" display="Cuadro N° 14.1.2.1: Número de licencias médicas tramitadas con diagnóstico por Depresión, según seguro de salud y sexo año 2016" xr:uid="{00000000-0004-0000-0100-00008B000000}"/>
    <hyperlink ref="B184" location="'C14_LMT_DIAG_ESPECIALES'!A17" display="Cuadro N° 14.1.3.1: Número de licencias médicas tramitadas con diagnóstico por Depresión, según seguro de salud y tramo etario año 2016" xr:uid="{00000000-0004-0000-0100-00008C000000}"/>
    <hyperlink ref="B185" location="'C14_LMT_DIAG_ESPECIALES'!F3" display="Cuadro N° 14.2.1.1: Número de días otorgados con diagnóstico por Depresión, según seguro de salud año 2016" xr:uid="{00000000-0004-0000-0100-00008D000000}"/>
    <hyperlink ref="B186" location="'C14_LMT_DIAG_ESPECIALES'!F9" display="Cuadro N° 14.2.2.1: Número de días otorgados con diagnóstico por Depresión, según seguro de salud y sexo año 2016" xr:uid="{00000000-0004-0000-0100-00008E000000}"/>
    <hyperlink ref="B187" location="'C14_LMT_DIAG_ESPECIALES'!F17" display="Cuadro N° 14.2.3.1: Número de días otorgados con diagnóstico por Depresión, según seguro de salud y tramo etario año 2016" xr:uid="{00000000-0004-0000-0100-00008F000000}"/>
    <hyperlink ref="B188" location="'C14_LMT_DIAG_ESPECIALES'!A30" display="Cuadro N° 14.3.1.1: Número de licencias médicas tramitadas con diagnóstico por Artritis Reumatoidea, según seguro de salud año 2016" xr:uid="{00000000-0004-0000-0100-000090000000}"/>
    <hyperlink ref="B189" location="'C14_LMT_DIAG_ESPECIALES'!A36" display="Cuadro N° 14.3.2.1: Número de licencias médicas tramitadas con diagnóstico por Artritis Reumatoidea, según seguro de salud y sexo año 2016" xr:uid="{00000000-0004-0000-0100-000091000000}"/>
    <hyperlink ref="B190" location="'C14_LMT_DIAG_ESPECIALES'!A44" display="Cuadro N° 14.3.3.1: Número de licencias médicas tramitadas con diagnóstico por Artritis Reumatoidea, según seguro de salud y tramo etario año 2016" xr:uid="{00000000-0004-0000-0100-000092000000}"/>
    <hyperlink ref="B191" location="'C14_LMT_DIAG_ESPECIALES'!F30" display="Cuadro N° 14.4.1.1: Número de días otorgados con diagnóstico por Artritis Reumatoidea, según seguro de salud año 2016" xr:uid="{00000000-0004-0000-0100-000093000000}"/>
    <hyperlink ref="B192" location="'C14_LMT_DIAG_ESPECIALES'!F36" display="Cuadro N° 14.4.2.1: Número de días otorgados con diagnóstico por Artritis Reumatoidea, según seguro de salud y sexo año 2016" xr:uid="{00000000-0004-0000-0100-000094000000}"/>
    <hyperlink ref="B193" location="'C14_LMT_DIAG_ESPECIALES'!F44" display="Cuadro N° 14.4.3.1: Número de días otorgados con diagnóstico por Artritis Reumatoidea, según seguro de salud y tramo etario año 2016" xr:uid="{00000000-0004-0000-0100-000095000000}"/>
    <hyperlink ref="B194" location="'C14_LMT_DIAG_ESPECIALES'!A57" display="Cuadro N° 14.5.1.1: Número de licencias médicas tramitadas con diagnóstico por Insufuciencia Renal, según seguro de salud año 2016" xr:uid="{00000000-0004-0000-0100-000096000000}"/>
    <hyperlink ref="B195" location="'C14_LMT_DIAG_ESPECIALES'!A63" display="Cuadro N° 14.5.2.1: Número de licencias médicas tramitadas con diagnóstico por Insufuciencia Renal, según seguro de salud y sexo año 2016" xr:uid="{00000000-0004-0000-0100-000097000000}"/>
    <hyperlink ref="B196" location="'C14_LMT_DIAG_ESPECIALES'!A71" display="Cuadro N° 14.5.3.1: Número de licencias médicas tramitadas con diagnóstico por Insufuciencia Renal, según seguro de salud y tramo etario año 2016" xr:uid="{00000000-0004-0000-0100-000098000000}"/>
    <hyperlink ref="B197" location="'C14_LMT_DIAG_ESPECIALES'!F57" display="Cuadro N° 14.6.1.1: Número de días otorgados con diagnóstico por Insufuciencia Renal, según seguro de salud año 2016" xr:uid="{00000000-0004-0000-0100-000099000000}"/>
    <hyperlink ref="B198" location="'C14_LMT_DIAG_ESPECIALES'!F63" display="Cuadro N° 14.6.2.1: Número de días otorgados con diagnóstico por Insufuciencia Renal, según seguro de salud y sexo año 2016" xr:uid="{00000000-0004-0000-0100-00009A000000}"/>
    <hyperlink ref="B199" location="'C14_LMT_DIAG_ESPECIALES'!F71" display="Cuadro N° 14.6.3.1: Número de días otorgados con diagnóstico por Insufuciencia Renal, según seguro de salud y tramo etario año 2016" xr:uid="{00000000-0004-0000-0100-00009B000000}"/>
    <hyperlink ref="B203" location="'C15_LMA_DIAG_ESPECIALES'!A3" display="Cuadro N° 15.1.1.1: Número de licencias médicas autorizadas con diagnóstico por Depresión, según seguro de salud año 2016" xr:uid="{00000000-0004-0000-0100-00009C000000}"/>
    <hyperlink ref="B204" location="'C15_LMA_DIAG_ESPECIALES'!A9" display="Cuadro N° 15.1.2.1: Número de licencias médicas autorizadas con diagnóstico por Depresión, según seguro de salud y sexo año 2016" xr:uid="{00000000-0004-0000-0100-00009D000000}"/>
    <hyperlink ref="B205" location="'C15_LMA_DIAG_ESPECIALES'!A17" display="Cuadro N° 15.1.3.1: Número de licencias médicas autorizadas con diagnóstico por Depresión, según seguro de salud y tramo etario año 2016" xr:uid="{00000000-0004-0000-0100-00009E000000}"/>
    <hyperlink ref="B206" location="'C15_LMA_DIAG_ESPECIALES'!F3" display="Cuadro N° 15.2.1.1: Número de días pagados con diagnóstico por Depresión, según seguro de salud año 2016" xr:uid="{00000000-0004-0000-0100-00009F000000}"/>
    <hyperlink ref="B207" location="'C15_LMA_DIAG_ESPECIALES'!F9" display="Cuadro N° 15.2.2.1: Número de días pagados con diagnóstico por Depresión, según seguro de salud y sexo año 2016" xr:uid="{00000000-0004-0000-0100-0000A0000000}"/>
    <hyperlink ref="B208" location="'C15_LMA_DIAG_ESPECIALES'!F17" display="Cuadro N° 15.2.3.1: Número de días pagados con diagnóstico por Depresión, según seguro de salud y tramo etario año 2016" xr:uid="{00000000-0004-0000-0100-0000A1000000}"/>
    <hyperlink ref="B209" location="'C15_LMA_DIAG_ESPECIALES'!A30" display="Cuadro N° 15.3.1.1: Número de licencias médicas autorizadas con diagnóstico por Artritis Reumatoidea, según seguro de salud año 2016" xr:uid="{00000000-0004-0000-0100-0000A2000000}"/>
    <hyperlink ref="B210" location="'C15_LMA_DIAG_ESPECIALES'!A36" display="Cuadro N° 15.3.2.1: Número de licencias médicas autorizadas con diagnóstico por Artritis Reumatoidea, según seguro de salud y sexo año 2016" xr:uid="{00000000-0004-0000-0100-0000A3000000}"/>
    <hyperlink ref="B211" location="'C15_LMA_DIAG_ESPECIALES'!A44" display="Cuadro N° 15.3.3.1: Número de licencias médicas autorizadas con diagnóstico por Artritis Reumatoidea, según seguro de salud y tramo etario año 2016" xr:uid="{00000000-0004-0000-0100-0000A4000000}"/>
    <hyperlink ref="B212" location="'C15_LMA_DIAG_ESPECIALES'!F30" display="Cuadro N° 15.4.1.1: Número de días pagados con diagnóstico por Artritis Reumatoidea, según seguro de salud año 2016" xr:uid="{00000000-0004-0000-0100-0000A5000000}"/>
    <hyperlink ref="B213" location="'C15_LMA_DIAG_ESPECIALES'!F36" display="Cuadro N° 15.4.2.1: Número de días pagados con diagnóstico por Artritis Reumatoidea, según seguro de salud y sexo año 2016" xr:uid="{00000000-0004-0000-0100-0000A6000000}"/>
    <hyperlink ref="B214" location="'C15_LMA_DIAG_ESPECIALES'!F44" display="Cuadro N° 15.4.3.1: Número de días pagados con diagnóstico por Artritis Reumatoidea, según seguro de salud y tramo etario año 2016" xr:uid="{00000000-0004-0000-0100-0000A7000000}"/>
    <hyperlink ref="B215" location="'C15_LMA_DIAG_ESPECIALES'!A57" display="Cuadro N° 15.5.1.1: Número de licencias médicas autorizadas con diagnóstico por Insufuciencia Renal, según seguro de salud año 2016" xr:uid="{00000000-0004-0000-0100-0000A8000000}"/>
    <hyperlink ref="B216" location="'C15_LMA_DIAG_ESPECIALES'!A63" display="Cuadro N° 15.5.2.1: Número de licencias médicas autorizadas con diagnóstico por Insufuciencia Renal, según seguro de salud y sexo año 2016" xr:uid="{00000000-0004-0000-0100-0000A9000000}"/>
    <hyperlink ref="B217" location="'C15_LMA_DIAG_ESPECIALES'!A71" display="Cuadro N° 15.5.3.1: Número de licencias médicas autorizadas con diagnóstico por Insufuciencia Renal, según seguro de salud y tramo etario año 2016" xr:uid="{00000000-0004-0000-0100-0000AA000000}"/>
    <hyperlink ref="B218" location="'C15_LMA_DIAG_ESPECIALES'!F57" display="Cuadro N° 15.6.1.1: Número de días pagados con diagnóstico por Insufuciencia Renal, según seguro de salud año 2016" xr:uid="{00000000-0004-0000-0100-0000AB000000}"/>
    <hyperlink ref="B219" location="'C15_LMA_DIAG_ESPECIALES'!F63" display="Cuadro N° 15.6.2.1: Número de días pagados con diagnóstico por Insufuciencia Renal, según seguro de salud y sexo año 2016" xr:uid="{00000000-0004-0000-0100-0000AC000000}"/>
    <hyperlink ref="B220" location="'C15_LMA_DIAG_ESPECIALES'!F71" display="Cuadro N° 15.6.3.1: Número de días pagados con diagnóstico por Insufuciencia Renal, según seguro de salud y tramo etario año 2016" xr:uid="{00000000-0004-0000-0100-0000AD000000}"/>
    <hyperlink ref="B224" location="'C16_LMR_DIAG_ESPECIALES'!A3" display="Cuadro N° 16.1.1.1: Número de licencias médicas rechazadas con diagnóstico por Depresión, según seguro de salud año 2016" xr:uid="{00000000-0004-0000-0100-0000AE000000}"/>
    <hyperlink ref="B225" location="'C16_LMR_DIAG_ESPECIALES'!A9" display="Cuadro N° 16.1.2.1: Número de licencias médicas rechazadas con diagnóstico por Depresión, según seguro de salud y sexo año 2016" xr:uid="{00000000-0004-0000-0100-0000AF000000}"/>
    <hyperlink ref="B226" location="'C16_LMR_DIAG_ESPECIALES'!A17" display="Cuadro N° 16.1.3.1: Número de licencias médicas rechazadas con diagnóstico por Depresión, según seguro de salud y tramo etario año 2016" xr:uid="{00000000-0004-0000-0100-0000B0000000}"/>
    <hyperlink ref="B227" location="'C16_LMR_DIAG_ESPECIALES'!F3" display="Cuadro N° 16.2.1.1: Número de días rechazados con diagnóstico por Depresión, según seguro de salud año 2016" xr:uid="{00000000-0004-0000-0100-0000B1000000}"/>
    <hyperlink ref="B228" location="'C16_LMR_DIAG_ESPECIALES'!F9" display="Cuadro N° 16.2.2.1: Número de días rechazados con diagnóstico por Depresión, según seguro de salud y sexo año 2016" xr:uid="{00000000-0004-0000-0100-0000B2000000}"/>
    <hyperlink ref="B229" location="'C16_LMR_DIAG_ESPECIALES'!F17" display="Cuadro N° 16.2.3.1: Número de días rechazados con diagnóstico por Depresión, según seguro de salud y tramo etario año 2016" xr:uid="{00000000-0004-0000-0100-0000B3000000}"/>
    <hyperlink ref="B230" location="'C16_LMR_DIAG_ESPECIALES'!A30" display="Cuadro N° 16.3.1.1: Número de licencias médicas rechazadas con diagnóstico por Artritis Reumatoidea, según seguro de salud año 2016" xr:uid="{00000000-0004-0000-0100-0000B4000000}"/>
    <hyperlink ref="B231" location="'C16_LMR_DIAG_ESPECIALES'!A36" display="Cuadro N° 16.3.2.1: Número de licencias médicas rechazadas con diagnóstico por Artritis Reumatoidea, según seguro de salud y sexo año 2016" xr:uid="{00000000-0004-0000-0100-0000B5000000}"/>
    <hyperlink ref="B232" location="'C16_LMR_DIAG_ESPECIALES'!A44" display="Cuadro N° 16.3.3.1: Número de licencias médicas rechazadas con diagnóstico por Artritis Reumatoidea, según seguro de salud y tramo etario año 2016" xr:uid="{00000000-0004-0000-0100-0000B6000000}"/>
    <hyperlink ref="B233" location="'C16_LMR_DIAG_ESPECIALES'!F30" display="Cuadro N° 16.4.1.1: Número de días rechazados con diagnóstico por Artritis Reumatoidea, según seguro de salud año 2016" xr:uid="{00000000-0004-0000-0100-0000B7000000}"/>
    <hyperlink ref="B234" location="'C16_LMR_DIAG_ESPECIALES'!F36" display="Cuadro N° 16.4.2.1: Número de días rechazados con diagnóstico por Artritis Reumatoidea, según seguro de salud y sexo año 2016" xr:uid="{00000000-0004-0000-0100-0000B8000000}"/>
    <hyperlink ref="B235" location="'C16_LMR_DIAG_ESPECIALES'!F44" display="Cuadro N° 16.4.3.1: Número de días rechazados con diagnóstico por Artritis Reumatoidea, según seguro de salud y tramo etario año 2016" xr:uid="{00000000-0004-0000-0100-0000B9000000}"/>
    <hyperlink ref="B236" location="'C16_LMR_DIAG_ESPECIALES'!A57" display="Cuadro N° 16.5.1.1: Número de licencias médicas rechazadas con diagnóstico por Insufuciencia Renal, según seguro de salud año 2016" xr:uid="{00000000-0004-0000-0100-0000BA000000}"/>
    <hyperlink ref="B237" location="'C16_LMR_DIAG_ESPECIALES'!A63" display="Cuadro N° 16.5.2.1: Número de licencias médicas rechazadas con diagnóstico por Insufuciencia Renal, según seguro de salud y sexo año 2016" xr:uid="{00000000-0004-0000-0100-0000BB000000}"/>
    <hyperlink ref="B238" location="'C16_LMR_DIAG_ESPECIALES'!A71" display="Cuadro N° 16.5.3.1: Número de licencias médicas rechazadas con diagnóstico por Insufuciencia Renal, según seguro de salud y tramo etario año 2016" xr:uid="{00000000-0004-0000-0100-0000BC000000}"/>
    <hyperlink ref="B239" location="'C16_LMR_DIAG_ESPECIALES'!F57" display="Cuadro N° 16.6.1.1: Número de días rechazados con diagnóstico por Insufuciencia Renal, según seguro de salud año 2016" xr:uid="{00000000-0004-0000-0100-0000BD000000}"/>
    <hyperlink ref="B240" location="'C16_LMR_DIAG_ESPECIALES'!F63" display="Cuadro N° 16.6.2.1: Número de días rechazados con diagnóstico por Insufuciencia Renal, según seguro de salud y sexo año 2016" xr:uid="{00000000-0004-0000-0100-0000BE000000}"/>
    <hyperlink ref="B241" location="'C16_LMR_DIAG_ESPECIALES'!F71" display="Cuadro N° 16.6.3.1: Número de días rechazados con diagnóstico por Insufuciencia Renal, según seguro de salud y tramo etario año 2016" xr:uid="{00000000-0004-0000-0100-0000BF000000}"/>
    <hyperlink ref="B245" location="'C17_LMT_PAT_RELEVANTES'!A3" display="Cuadro N° 17.1.1.1: Número de licencias médicas tramitadas con diagnóstico por Diabetes, según seguro de salud año 2016" xr:uid="{00000000-0004-0000-0100-0000C0000000}"/>
    <hyperlink ref="B246" location="'C17_LMT_PAT_RELEVANTES'!A9" display="Cuadro N° 17.1.2.1: Número de licencias médicas tramitadas con diagnóstico por Diabetes, según seguro de salud y sexo año 2016" xr:uid="{00000000-0004-0000-0100-0000C1000000}"/>
    <hyperlink ref="B247" location="'C17_LMT_PAT_RELEVANTES'!A17" display="Cuadro N° 17.1.3.1: Número de licencias médicas tramitadas con diagnóstico por Diabetes, según seguro de salud y tramo etario año 2016" xr:uid="{00000000-0004-0000-0100-0000C2000000}"/>
    <hyperlink ref="B248" location="'C17_LMT_PAT_RELEVANTES'!F3" display="Cuadro N° 17.2.1.1: Número de días otorgados con diagnóstico por Diabetes, según seguro de salud año 2016" xr:uid="{00000000-0004-0000-0100-0000C3000000}"/>
    <hyperlink ref="B249" location="'C17_LMT_PAT_RELEVANTES'!F9" display="Cuadro N° 17.2.2.1: Número de días otorgados con diagnóstico por Diabetes, según seguro de salud y sexo año 2016" xr:uid="{00000000-0004-0000-0100-0000C4000000}"/>
    <hyperlink ref="B250" location="'C17_LMT_PAT_RELEVANTES'!F17" display="Cuadro N° 17.2.3.1: Número de días otorgados con diagnóstico por Diabetes, según seguro de salud y tramo etario año 2016" xr:uid="{00000000-0004-0000-0100-0000C5000000}"/>
    <hyperlink ref="B251" location="'C17_LMT_PAT_RELEVANTES'!A30" display="Cuadro N° 17.3.1.1: Número de licencias médicas tramitadas con diagnóstico por Patologías Isquémicas Agudas del Corazón, según seguro de salud año 2016" xr:uid="{00000000-0004-0000-0100-0000C6000000}"/>
    <hyperlink ref="B252" location="'C17_LMT_PAT_RELEVANTES'!A36" display="Cuadro N° 17.3.2.1: Número de licencias médicas tramitadas con diagnóstico por Patologías Isquémicas Agudas del Corazón, según seguro de salud y sexo año 2016" xr:uid="{00000000-0004-0000-0100-0000C7000000}"/>
    <hyperlink ref="B253" location="'C17_LMT_PAT_RELEVANTES'!A44" display="Cuadro N° 17.3.3.1: Número de licencias médicas tramitadas con diagnóstico por Patologías Isquémicas Agudas del Corazón, según seguro de salud y tramo etario año 2016" xr:uid="{00000000-0004-0000-0100-0000C8000000}"/>
    <hyperlink ref="B254" location="'C17_LMT_PAT_RELEVANTES'!F30" display="Cuadro N° 17.4.1.1: Número de días otorgados con diagnóstico por Patologías Isquémicas Agudas del Corazón, según seguro de salud año 2016" xr:uid="{00000000-0004-0000-0100-0000C9000000}"/>
    <hyperlink ref="B255" location="'C17_LMT_PAT_RELEVANTES'!F36" display="Cuadro N° 17.4.2.1: Número de días otorgados con diagnóstico por Patologías Isquémicas Agudas del Corazón, según seguro de salud y sexo año 2016" xr:uid="{00000000-0004-0000-0100-0000CA000000}"/>
    <hyperlink ref="B256" location="'C17_LMT_PAT_RELEVANTES'!F44" display="Cuadro N° 17.4.3.1: Número de días otorgados con diagnóstico por Patologías Isquémicas Agudas del Corazón, según seguro de salud y tramo etario año 2016" xr:uid="{00000000-0004-0000-0100-0000CB000000}"/>
    <hyperlink ref="B257" location="'C17_LMT_PAT_RELEVANTES'!A57" display="Cuadro N° 17.5.1.1: Número de licencias médicas tramitadas con diagnóstico por Accidentes Cerebro Vasculares, según seguro de salud año 2016" xr:uid="{00000000-0004-0000-0100-0000CC000000}"/>
    <hyperlink ref="B258" location="'C17_LMT_PAT_RELEVANTES'!A63" display="Cuadro N° 17.5.2.1: Número de licencias médicas tramitadas con diagnóstico por Accidentes Cerebro Vasculares, según seguro de salud y sexo año 2016" xr:uid="{00000000-0004-0000-0100-0000CD000000}"/>
    <hyperlink ref="B259" location="'C17_LMT_PAT_RELEVANTES'!A71" display="Cuadro N° 17.5.3.1: Número de licencias médicas tramitadas con diagnóstico por Accidentes Cerebro Vasculares, según seguro de salud y tramo etario año 2016" xr:uid="{00000000-0004-0000-0100-0000CE000000}"/>
    <hyperlink ref="B260" location="'C17_LMT_PAT_RELEVANTES'!F57" display="Cuadro N° 17.6.1.1: Número de días otorgados con diagnóstico por Accidentes Cerebro Vasculares, según seguro de salud año 2016" xr:uid="{00000000-0004-0000-0100-0000CF000000}"/>
    <hyperlink ref="B261" location="'C17_LMT_PAT_RELEVANTES'!F63" display="Cuadro N° 17.6.2.1: Número de días otorgados con diagnóstico por Accidentes Cerebro Vasculares, según seguro de salud y sexo año 2016" xr:uid="{00000000-0004-0000-0100-0000D0000000}"/>
    <hyperlink ref="B262" location="'C17_LMT_PAT_RELEVANTES'!F71" display="Cuadro N° 17.6.3.1: Número de días otorgados con diagnóstico por Accidentes Cerebro Vasculares, según seguro de salud y tramo etario año 2016" xr:uid="{00000000-0004-0000-0100-0000D1000000}"/>
    <hyperlink ref="B263" location="'C17_LMT_PAT_RELEVANTES'!A84" display="Cuadro N° 17.7.1.1: Número de licencias médicas tramitadas con diagnóstico por Cáncer de Mama, según seguro de salud año 2016" xr:uid="{00000000-0004-0000-0100-0000D2000000}"/>
    <hyperlink ref="B264" location="'C17_LMT_PAT_RELEVANTES'!A90" display="Cuadro N° 17.7.2.1: Número de licencias médicas tramitadas con diagnóstico por Cáncer de Mama, según seguro de salud y sexo año 2016" xr:uid="{00000000-0004-0000-0100-0000D3000000}"/>
    <hyperlink ref="B265" location="'C17_LMT_PAT_RELEVANTES'!A98" display="Cuadro N° 17.7.3.1: Número de licencias médicas tramitadas con diagnóstico por Cáncer de Mama, según seguro de salud y tramo etario año 2016" xr:uid="{00000000-0004-0000-0100-0000D4000000}"/>
    <hyperlink ref="B266" location="'C17_LMT_PAT_RELEVANTES'!F84" display="Cuadro N° 17.8.1.1: Número de días otorgados con diagnóstico por Cáncer de Mama, según seguro de salud año 2016" xr:uid="{00000000-0004-0000-0100-0000D5000000}"/>
    <hyperlink ref="B267" location="'C17_LMT_PAT_RELEVANTES'!F90" display="Cuadro N° 17.8.2.1: Número de días otorgados con diagnóstico por Cáncer de Mama, según seguro de salud y sexo año 2016" xr:uid="{00000000-0004-0000-0100-0000D6000000}"/>
    <hyperlink ref="B268" location="'C17_LMT_PAT_RELEVANTES'!F98" display="Cuadro N° 17.8.3.1: Número de días otorgados con diagnóstico por Cáncer de Mama, según seguro de salud y tramo etario año 2016" xr:uid="{00000000-0004-0000-0100-0000D7000000}"/>
    <hyperlink ref="B269" location="'C17_LMT_PAT_RELEVANTES'!A111" display="Cuadro N° 17.9.1.1: Número de licencias médicas tramitadas con diagnóstico por Cáncer Gástrico, según seguro de salud año 2016" xr:uid="{00000000-0004-0000-0100-0000D8000000}"/>
    <hyperlink ref="B270" location="'C17_LMT_PAT_RELEVANTES'!A117" display="Cuadro N° 17.9.2.1: Número de licencias médicas tramitadas con diagnóstico por Cáncer Gástrico, según seguro de salud y sexo año 2016" xr:uid="{00000000-0004-0000-0100-0000D9000000}"/>
    <hyperlink ref="B271" location="'C17_LMT_PAT_RELEVANTES'!A125" display="Cuadro N° 17.9.3.1: Número de licencias médicas tramitadas con diagnóstico por Cáncer Gástrico, según seguro de salud y tramo etario año 2016" xr:uid="{00000000-0004-0000-0100-0000DA000000}"/>
    <hyperlink ref="B272" location="'C17_LMT_PAT_RELEVANTES'!F111" display="Cuadro N° 17.10.1.1: Número de días otorgados con diagnóstico por Cáncer Gástrico, según seguro de salud año 2016" xr:uid="{00000000-0004-0000-0100-0000DB000000}"/>
    <hyperlink ref="B273" location="'C17_LMT_PAT_RELEVANTES'!F117" display="Cuadro N° 17.10.2.1: Número de días otorgados con diagnóstico por Cáncer Gástrico, según seguro de salud y sexo año 2016" xr:uid="{00000000-0004-0000-0100-0000DC000000}"/>
    <hyperlink ref="B274" location="'C17_LMT_PAT_RELEVANTES'!F125" display="Cuadro N° 17.10.3.1: Número de días otorgados con diagnóstico por Cáncer Gástrico, según seguro de salud y tramo etario año 2016" xr:uid="{00000000-0004-0000-0100-0000DD000000}"/>
    <hyperlink ref="B275" location="'C17_LMT_PAT_RELEVANTES'!A138" display="Cuadro N° 17.11.1.1: Número de licencias médicas tramitadas con diagnóstico por Cáncer de Pulmón, según seguro de salud año 2016" xr:uid="{00000000-0004-0000-0100-0000DE000000}"/>
    <hyperlink ref="B276" location="'C17_LMT_PAT_RELEVANTES'!A144" display="Cuadro N° 17.11.2.1: Número de licencias médicas tramitadas con diagnóstico por Cáncer de Pulmón, según seguro de salud y sexo año 2016" xr:uid="{00000000-0004-0000-0100-0000DF000000}"/>
    <hyperlink ref="B277" location="'C17_LMT_PAT_RELEVANTES'!A152" display="Cuadro N° 17.11.3.1: Número de licencias médicas tramitadas con diagnóstico por Cáncer de Pulmón, según seguro de salud y tramo etario año 2016" xr:uid="{00000000-0004-0000-0100-0000E0000000}"/>
    <hyperlink ref="B278" location="'C17_LMT_PAT_RELEVANTES'!F138" display="Cuadro N° 17.12.1.1: Número de días otorgados con diagnóstico por Cáncer de Pulmón, según seguro de salud año 2016" xr:uid="{00000000-0004-0000-0100-0000E1000000}"/>
    <hyperlink ref="B279" location="'C17_LMT_PAT_RELEVANTES'!F144" display="Cuadro N° 17.12.2.1: Número de días otorgados con diagnóstico por Cáncer de Pulmón, según seguro de salud y sexo año 2016" xr:uid="{00000000-0004-0000-0100-0000E2000000}"/>
    <hyperlink ref="B280" location="'C17_LMT_PAT_RELEVANTES'!F152" display="Cuadro N° 17.12.3.1: Número de días otorgados con diagnóstico por Cáncer de Pulmón, según seguro de salud y tramo etario año 2016" xr:uid="{00000000-0004-0000-0100-0000E3000000}"/>
    <hyperlink ref="B284" location="'C18_LMA_PAT_RELEVANTES'!A3" display="Cuadro N° 18.1.1.1: Número de licencias médicas autorizadas con diagnóstico por Diabetes, según seguro de salud año 2016" xr:uid="{00000000-0004-0000-0100-0000E4000000}"/>
    <hyperlink ref="B285" location="'C18_LMA_PAT_RELEVANTES'!A9" display="Cuadro N° 18.1.2.1: Número de licencias médicas autorizadas con diagnóstico por Diabetes, según seguro de salud y sexo año 2016" xr:uid="{00000000-0004-0000-0100-0000E5000000}"/>
    <hyperlink ref="B286" location="'C18_LMA_PAT_RELEVANTES'!A17" display="Cuadro N° 18.1.3.1: Número de licencias médicas autorizadas con diagnóstico por Diabetes, según seguro de salud y tramo etario año 2016" xr:uid="{00000000-0004-0000-0100-0000E6000000}"/>
    <hyperlink ref="B287" location="'C18_LMA_PAT_RELEVANTES'!F3" display="Cuadro N° 18.2.1.1: Número de días pagados con diagnóstico por Diabetes, según seguro de salud año 2016" xr:uid="{00000000-0004-0000-0100-0000E7000000}"/>
    <hyperlink ref="B288" location="'C18_LMA_PAT_RELEVANTES'!F9" display="Cuadro N° 18.2.2.1: Número de días pagados con diagnóstico por Diabetes, según seguro de salud y sexo año 2016" xr:uid="{00000000-0004-0000-0100-0000E8000000}"/>
    <hyperlink ref="B289" location="'C18_LMA_PAT_RELEVANTES'!F17" display="Cuadro N° 18.2.3.1: Número de días pagados con diagnóstico por Diabetes, según seguro de salud y tramo etario año 2016" xr:uid="{00000000-0004-0000-0100-0000E9000000}"/>
    <hyperlink ref="B290" location="'C18_LMA_PAT_RELEVANTES'!A30" display="Cuadro N° 18.3.1.1: Número de licencias médicas autorizadas con diagnóstico por Patologías Isquémicas Agudas del Corazón, según seguro de salud año 2016" xr:uid="{00000000-0004-0000-0100-0000EA000000}"/>
    <hyperlink ref="B291" location="'C18_LMA_PAT_RELEVANTES'!A36" display="Cuadro N° 18.3.2.1: Número de licencias médicas autorizadas con diagnóstico por Patologías Isquémicas Agudas del Corazón, según seguro de salud y sexo año 2016" xr:uid="{00000000-0004-0000-0100-0000EB000000}"/>
    <hyperlink ref="B292" location="'C18_LMA_PAT_RELEVANTES'!A44" display="Cuadro N° 18.3.3.1: Número de licencias médicas autorizadas con diagnóstico por Patologías Isquémicas Agudas del Corazón, según seguro de salud y tramo etario año 2016" xr:uid="{00000000-0004-0000-0100-0000EC000000}"/>
    <hyperlink ref="B293" location="'C18_LMA_PAT_RELEVANTES'!F30" display="Cuadro N° 18.4.1.1: Número de días pagados con diagnóstico por Patologías Isquémicas Agudas del Corazón, según seguro de salud año 2016" xr:uid="{00000000-0004-0000-0100-0000ED000000}"/>
    <hyperlink ref="B294" location="'C18_LMA_PAT_RELEVANTES'!F36" display="Cuadro N° 18.4.2.1: Número de días pagados con diagnóstico por Patologías Isquémicas Agudas del Corazón, según seguro de salud y sexo año 2016" xr:uid="{00000000-0004-0000-0100-0000EE000000}"/>
    <hyperlink ref="B295" location="'C18_LMA_PAT_RELEVANTES'!F44" display="Cuadro N° 18.4.3.1: Número de días pagados con diagnóstico por Patologías Isquémicas Agudas del Corazón, según seguro de salud y tramo etario año 2016" xr:uid="{00000000-0004-0000-0100-0000EF000000}"/>
    <hyperlink ref="B296" location="'C18_LMA_PAT_RELEVANTES'!A57" display="Cuadro N° 18.5.1.1: Número de licencias médicas autorizadas con diagnóstico por Accidentes Cerebro Vasculares, según seguro de salud año 2016" xr:uid="{00000000-0004-0000-0100-0000F0000000}"/>
    <hyperlink ref="B297" location="'C18_LMA_PAT_RELEVANTES'!A63" display="Cuadro N° 18.5.2.1: Número de licencias médicas autorizadas con diagnóstico por Accidentes Cerebro Vasculares, según seguro de salud y sexo año 2016" xr:uid="{00000000-0004-0000-0100-0000F1000000}"/>
    <hyperlink ref="B298" location="'C18_LMA_PAT_RELEVANTES'!A71" display="Cuadro N° 18.5.3.1: Número de licencias médicas autorizadas con diagnóstico por Accidentes Cerebro Vasculares, según seguro de salud y tramo etario año 2016" xr:uid="{00000000-0004-0000-0100-0000F2000000}"/>
    <hyperlink ref="B299" location="'C18_LMA_PAT_RELEVANTES'!F57" display="Cuadro N° 18.6.1.1: Número de días pagados con diagnóstico por Accidentes Cerebro Vasculares, según seguro de salud año 2016" xr:uid="{00000000-0004-0000-0100-0000F3000000}"/>
    <hyperlink ref="B300" location="'C18_LMA_PAT_RELEVANTES'!F63" display="Cuadro N° 18.6.2.1: Número de días pagados con diagnóstico por Accidentes Cerebro Vasculares, según seguro de salud y sexo año 2016" xr:uid="{00000000-0004-0000-0100-0000F4000000}"/>
    <hyperlink ref="B301" location="'C18_LMA_PAT_RELEVANTES'!F71" display="Cuadro N° 18.6.3.1: Número de días pagados con diagnóstico por Accidentes Cerebro Vasculares, según seguro de salud y tramo etario año 2016" xr:uid="{00000000-0004-0000-0100-0000F5000000}"/>
    <hyperlink ref="B302" location="'C18_LMA_PAT_RELEVANTES'!A84" display="Cuadro N° 18.7.1.1: Número de licencias médicas autorizadas con diagnóstico por Cáncer de Mama, según seguro de salud año 2016" xr:uid="{00000000-0004-0000-0100-0000F6000000}"/>
    <hyperlink ref="B303" location="'C18_LMA_PAT_RELEVANTES'!A90" display="Cuadro N° 18.7.2.1: Número de licencias médicas autorizadas con diagnóstico por Cáncer de Mama, según seguro de salud y sexo año 2016" xr:uid="{00000000-0004-0000-0100-0000F7000000}"/>
    <hyperlink ref="B304" location="'C18_LMA_PAT_RELEVANTES'!A98" display="Cuadro N° 18.7.3.1: Número de licencias médicas autorizadas con diagnóstico por Cáncer de Mama, según seguro de salud y tramo etario año 2016" xr:uid="{00000000-0004-0000-0100-0000F8000000}"/>
    <hyperlink ref="B305" location="'C18_LMA_PAT_RELEVANTES'!F84" display="Cuadro N° 18.8.1.1: Número de días pagados con diagnóstico por Cáncer de Mama, según seguro de salud año 2016" xr:uid="{00000000-0004-0000-0100-0000F9000000}"/>
    <hyperlink ref="B306" location="'C18_LMA_PAT_RELEVANTES'!F90" display="Cuadro N° 18.8.2.1: Número de días pagados con diagnóstico por Cáncer de Mama, según seguro de salud y sexo año 2016" xr:uid="{00000000-0004-0000-0100-0000FA000000}"/>
    <hyperlink ref="B307" location="'C18_LMA_PAT_RELEVANTES'!F98" display="Cuadro N° 18.8.3.1: Número de días pagados con diagnóstico por Cáncer de Mama, según seguro de salud y tramo etario año 2016" xr:uid="{00000000-0004-0000-0100-0000FB000000}"/>
    <hyperlink ref="B308" location="'C18_LMA_PAT_RELEVANTES'!A111" display="Cuadro N° 18.9.1.1: Número de licencias médicas autorizadas con diagnóstico por Cáncer Gástrico, según seguro de salud año 2016" xr:uid="{00000000-0004-0000-0100-0000FC000000}"/>
    <hyperlink ref="B309" location="'C18_LMA_PAT_RELEVANTES'!A117" display="Cuadro N° 18.9.2.1: Número de licencias médicas autorizadas con diagnóstico por Cáncer Gástrico, según seguro de salud y sexo año 2016" xr:uid="{00000000-0004-0000-0100-0000FD000000}"/>
    <hyperlink ref="B310" location="'C18_LMA_PAT_RELEVANTES'!A125" display="Cuadro N° 18.9.3.1: Número de licencias médicas autorizadas con diagnóstico por Cáncer Gástrico, según seguro de salud y tramo etario año 2016" xr:uid="{00000000-0004-0000-0100-0000FE000000}"/>
    <hyperlink ref="B311" location="'C18_LMA_PAT_RELEVANTES'!F111" display="Cuadro N° 18.10.1.1: Número de días pagados con diagnóstico por Cáncer Gástrico, según seguro de salud año 2016" xr:uid="{00000000-0004-0000-0100-0000FF000000}"/>
    <hyperlink ref="B312" location="'C18_LMA_PAT_RELEVANTES'!F117" display="Cuadro N° 18.10.2.1: Número de días pagados con diagnóstico por Cáncer Gástrico, según seguro de salud y sexo año 2016" xr:uid="{00000000-0004-0000-0100-000000010000}"/>
    <hyperlink ref="B313" location="'C18_LMA_PAT_RELEVANTES'!F125" display="Cuadro N° 18.10.3.1: Número de días pagados con diagnóstico por Cáncer Gástrico, según seguro de salud y tramo etario año 2016" xr:uid="{00000000-0004-0000-0100-000001010000}"/>
    <hyperlink ref="B314" location="'C18_LMA_PAT_RELEVANTES'!A138" display="Cuadro N° 18.11.1.1: Número de licencias médicas autorizadas con diagnóstico por Cáncer de Pulmón, según seguro de salud año 2016" xr:uid="{00000000-0004-0000-0100-000002010000}"/>
    <hyperlink ref="B315" location="'C18_LMA_PAT_RELEVANTES'!A144" display="Cuadro N° 18.11.2.1: Número de licencias médicas autorizadas con diagnóstico por Cáncer de Pulmón, según seguro de salud y sexo año 2016" xr:uid="{00000000-0004-0000-0100-000003010000}"/>
    <hyperlink ref="B316" location="'C18_LMA_PAT_RELEVANTES'!A152" display="Cuadro N° 18.11.3.1: Número de licencias médicas autorizadas con diagnóstico por Cáncer de Pulmón, según seguro de salud y tramo etario año 2016" xr:uid="{00000000-0004-0000-0100-000004010000}"/>
    <hyperlink ref="B317" location="'C18_LMA_PAT_RELEVANTES'!F138" display="Cuadro N° 18.12.1.1: Número de días pagados con diagnóstico por Cáncer de Pulmón, según seguro de salud año 2016" xr:uid="{00000000-0004-0000-0100-000005010000}"/>
    <hyperlink ref="B318" location="'C18_LMA_PAT_RELEVANTES'!F144" display="Cuadro N° 18.12.2.1: Número de días pagados con diagnóstico por Cáncer de Pulmón, según seguro de salud y sexo año 2016" xr:uid="{00000000-0004-0000-0100-000006010000}"/>
    <hyperlink ref="B319" location="'C18_LMA_PAT_RELEVANTES'!F152" display="Cuadro N° 18.12.3.1: Número de días pagados con diagnóstico por Cáncer de Pulmón, según seguro de salud y tramo etario año 2016" xr:uid="{00000000-0004-0000-0100-000007010000}"/>
    <hyperlink ref="B323" location="'C19_LMR_PAT_RELEVANTES'!A3" display="Cuadro N° 19.1.1.1: Número de licencias médicas rechazadas con diagnóstico por Diabetes, según seguro de salud año 2016" xr:uid="{00000000-0004-0000-0100-000008010000}"/>
    <hyperlink ref="B324" location="'C19_LMR_PAT_RELEVANTES'!A9" display="Cuadro N° 19.1.2.1: Número de licencias médicas rechazadas con diagnóstico por Diabetes, según seguro de salud y sexo año 2016" xr:uid="{00000000-0004-0000-0100-000009010000}"/>
    <hyperlink ref="B325" location="'C19_LMR_PAT_RELEVANTES'!A17" display="Cuadro N° 19.1.3.1: Número de licencias médicas rechazadas con diagnóstico por Diabetes, según seguro de salud y tramo etario año 2016" xr:uid="{00000000-0004-0000-0100-00000A010000}"/>
    <hyperlink ref="B326" location="'C19_LMR_PAT_RELEVANTES'!F3" display="Cuadro N° 19.2.1.1: Número de días rechazados con diagnóstico por Diabetes, según seguro de salud año 2016" xr:uid="{00000000-0004-0000-0100-00000B010000}"/>
    <hyperlink ref="B327" location="'C19_LMR_PAT_RELEVANTES'!F9" display="Cuadro N° 19.2.2.1: Número de días rechazados con diagnóstico por Diabetes, según seguro de salud y sexo año 2016" xr:uid="{00000000-0004-0000-0100-00000C010000}"/>
    <hyperlink ref="B328" location="'C19_LMR_PAT_RELEVANTES'!F17" display="Cuadro N° 19.2.3.1: Número de días rechazados con diagnóstico por Diabetes, según seguro de salud y tramo etario año 2016" xr:uid="{00000000-0004-0000-0100-00000D010000}"/>
    <hyperlink ref="B329" location="'C19_LMR_PAT_RELEVANTES'!A30" display="Cuadro N° 19.3.1.1: Número de licencias médicas rechazadas con diagnóstico por Patologías Isquémicas Agudas del Corazón, según seguro de salud año 2016" xr:uid="{00000000-0004-0000-0100-00000E010000}"/>
    <hyperlink ref="B330" location="'C19_LMR_PAT_RELEVANTES'!A36" display="Cuadro N° 19.3.2.1: Número de licencias médicas rechazadas con diagnóstico por Patologías Isquémicas Agudas del Corazón, según seguro de salud y sexo año 2016" xr:uid="{00000000-0004-0000-0100-00000F010000}"/>
    <hyperlink ref="B331" location="'C19_LMR_PAT_RELEVANTES'!A44" display="Cuadro N° 19.3.3.1: Número de licencias médicas rechazadas con diagnóstico por Patologías Isquémicas Agudas del Corazón, según seguro de salud y tramo etario año 2016" xr:uid="{00000000-0004-0000-0100-000010010000}"/>
    <hyperlink ref="B332" location="'C19_LMR_PAT_RELEVANTES'!F30" display="Cuadro N° 19.4.1.1: Número de días rechazados con diagnóstico por Patologías Isquémicas Agudas del Corazón, según seguro de salud año 2016" xr:uid="{00000000-0004-0000-0100-000011010000}"/>
    <hyperlink ref="B333" location="'C19_LMR_PAT_RELEVANTES'!F36" display="Cuadro N° 19.4.2.1: Número de días rechazados con diagnóstico por Patologías Isquémicas Agudas del Corazón, según seguro de salud y sexo año 2016" xr:uid="{00000000-0004-0000-0100-000012010000}"/>
    <hyperlink ref="B334" location="'C19_LMR_PAT_RELEVANTES'!F44" display="Cuadro N° 19.4.3.1: Número de días rechazados con diagnóstico por Patologías Isquémicas Agudas del Corazón, según seguro de salud y tramo etario año 2016" xr:uid="{00000000-0004-0000-0100-000013010000}"/>
    <hyperlink ref="B335" location="'C19_LMR_PAT_RELEVANTES'!A57" display="Cuadro N° 19.5.1.1: Número de licencias médicas rechazadas con diagnóstico por Accidentes Cerebro Vasculares, según seguro de salud año 2016" xr:uid="{00000000-0004-0000-0100-000014010000}"/>
    <hyperlink ref="B336" location="'C19_LMR_PAT_RELEVANTES'!A63" display="Cuadro N° 19.5.2.1: Número de licencias médicas rechazadas con diagnóstico por Accidentes Cerebro Vasculares, según seguro de salud y sexo año 2016" xr:uid="{00000000-0004-0000-0100-000015010000}"/>
    <hyperlink ref="B337" location="'C19_LMR_PAT_RELEVANTES'!A71" display="Cuadro N° 19.5.3.1: Número de licencias médicas rechazadas con diagnóstico por Accidentes Cerebro Vasculares, según seguro de salud y tramo etario año 2016" xr:uid="{00000000-0004-0000-0100-000016010000}"/>
    <hyperlink ref="B338" location="'C19_LMR_PAT_RELEVANTES'!F57" display="Cuadro N° 19.6.1.1: Número de días rechazados con diagnóstico por Accidentes Cerebro Vasculares, según seguro de salud año 2016" xr:uid="{00000000-0004-0000-0100-000017010000}"/>
    <hyperlink ref="B339" location="'C19_LMR_PAT_RELEVANTES'!F63" display="Cuadro N° 19.6.2.1: Número de días rechazados con diagnóstico por Accidentes Cerebro Vasculares, según seguro de salud y sexo año 2016" xr:uid="{00000000-0004-0000-0100-000018010000}"/>
    <hyperlink ref="B340" location="'C19_LMR_PAT_RELEVANTES'!F71" display="Cuadro N° 19.6.3.1: Número de días rechazados con diagnóstico por Accidentes Cerebro Vasculares, según seguro de salud y tramo etario año 2016" xr:uid="{00000000-0004-0000-0100-000019010000}"/>
    <hyperlink ref="B341" location="'C19_LMR_PAT_RELEVANTES'!A84" display="Cuadro N° 19.7.1.1: Número de licencias médicas rechazadas con diagnóstico por Cáncer de Mama, según seguro de salud año 2016" xr:uid="{00000000-0004-0000-0100-00001A010000}"/>
    <hyperlink ref="B342" location="'C19_LMR_PAT_RELEVANTES'!A90" display="Cuadro N° 19.7.2.1: Número de licencias médicas rechazadas con diagnóstico por Cáncer de Mama, según seguro de salud y sexo año 2016" xr:uid="{00000000-0004-0000-0100-00001B010000}"/>
    <hyperlink ref="B343" location="'C19_LMR_PAT_RELEVANTES'!A98" display="Cuadro N° 19.7.3.1: Número de licencias médicas rechazadas con diagnóstico por Cáncer de Mama, según seguro de salud y tramo etario año 2016" xr:uid="{00000000-0004-0000-0100-00001C010000}"/>
    <hyperlink ref="B344" location="'C19_LMR_PAT_RELEVANTES'!F84" display="Cuadro N° 19.8.1.1: Número de días rechazados con diagnóstico por Cáncer de Mama, según seguro de salud año 2016" xr:uid="{00000000-0004-0000-0100-00001D010000}"/>
    <hyperlink ref="B345" location="'C19_LMR_PAT_RELEVANTES'!F90" display="Cuadro N° 19.8.2.1: Número de días rechazados con diagnóstico por Cáncer de Mama, según seguro de salud y sexo año 2016" xr:uid="{00000000-0004-0000-0100-00001E010000}"/>
    <hyperlink ref="B346" location="'C19_LMR_PAT_RELEVANTES'!F98" display="Cuadro N° 19.8.3.1: Número de días rechazados con diagnóstico por Cáncer de Mama, según seguro de salud y tramo etario año 2016" xr:uid="{00000000-0004-0000-0100-00001F010000}"/>
    <hyperlink ref="B347" location="'C19_LMR_PAT_RELEVANTES'!A111" display="Cuadro N° 19.9.1.1: Número de licencias médicas rechazadas con diagnóstico por Cáncer Gástrico, según seguro de salud año 2016" xr:uid="{00000000-0004-0000-0100-000020010000}"/>
    <hyperlink ref="B348" location="'C19_LMR_PAT_RELEVANTES'!A117" display="Cuadro N° 19.9.2.1: Número de licencias médicas rechazadas con diagnóstico por Cáncer Gástrico, según seguro de salud y sexo año 2016" xr:uid="{00000000-0004-0000-0100-000021010000}"/>
    <hyperlink ref="B349" location="'C19_LMR_PAT_RELEVANTES'!A125" display="Cuadro N° 19.9.3.1: Número de licencias médicas rechazadas con diagnóstico por Cáncer Gástrico, según seguro de salud y tramo etario año 2016" xr:uid="{00000000-0004-0000-0100-000022010000}"/>
    <hyperlink ref="B350" location="'C19_LMR_PAT_RELEVANTES'!F111" display="Cuadro N° 19.10.1.1: Número de días rechazados con diagnóstico por Cáncer Gástrico, según seguro de salud año 2016" xr:uid="{00000000-0004-0000-0100-000023010000}"/>
    <hyperlink ref="B351" location="'C19_LMR_PAT_RELEVANTES'!F117" display="Cuadro N° 19.10.2.1: Número de días rechazados con diagnóstico por Cáncer Gástrico, según seguro de salud y sexo año 2016" xr:uid="{00000000-0004-0000-0100-000024010000}"/>
    <hyperlink ref="B352" location="'C19_LMR_PAT_RELEVANTES'!F125" display="Cuadro N° 19.10.3.1: Número de días rechazados con diagnóstico por Cáncer Gástrico, según seguro de salud y tramo etario año 2016" xr:uid="{00000000-0004-0000-0100-000025010000}"/>
    <hyperlink ref="B353" location="'C19_LMR_PAT_RELEVANTES'!A138" display="Cuadro N° 19.11.1.1: Número de licencias médicas rechazadas con diagnóstico por Cáncer de Pulmón, según seguro de salud año 2016" xr:uid="{00000000-0004-0000-0100-000026010000}"/>
    <hyperlink ref="B354" location="'C19_LMR_PAT_RELEVANTES'!A144" display="Cuadro N° 19.11.2.1: Número de licencias médicas rechazadas con diagnóstico por Cáncer de Pulmón, según seguro de salud y sexo año 2016" xr:uid="{00000000-0004-0000-0100-000027010000}"/>
    <hyperlink ref="B355" location="'C19_LMR_PAT_RELEVANTES'!A152" display="Cuadro N° 19.11.3.1: Número de licencias médicas rechazadas con diagnóstico por Cáncer de Pulmón, según seguro de salud y tramo etario año 2016" xr:uid="{00000000-0004-0000-0100-000028010000}"/>
    <hyperlink ref="B356" location="'C19_LMR_PAT_RELEVANTES'!F138" display="Cuadro N° 19.12.1.1: Número de días rechazados con diagnóstico por Cáncer de Pulmón, según seguro de salud año 2016" xr:uid="{00000000-0004-0000-0100-000029010000}"/>
    <hyperlink ref="B357" location="'C19_LMR_PAT_RELEVANTES'!F144" display="Cuadro N° 19.12.2.1: Número de días rechazados con diagnóstico por Cáncer de Pulmón, según seguro de salud y sexo año 2016" xr:uid="{00000000-0004-0000-0100-00002A010000}"/>
    <hyperlink ref="B358" location="'C19_LMR_PAT_RELEVANTES'!F152" display="Cuadro N° 19.12.3.1: Número de días rechazados con diagnóstico por Cáncer de Pulmón, según seguro de salud y tramo etario año 2016" xr:uid="{00000000-0004-0000-0100-00002B010000}"/>
  </hyperlinks>
  <pageMargins left="0.7" right="0.7" top="0.75" bottom="0.75" header="0.3" footer="0.3"/>
  <pageSetup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C33"/>
  <sheetViews>
    <sheetView showGridLines="0" zoomScale="90" zoomScaleNormal="90" workbookViewId="0"/>
  </sheetViews>
  <sheetFormatPr baseColWidth="10" defaultRowHeight="15" x14ac:dyDescent="0.25"/>
  <cols>
    <col min="2" max="2" width="18" customWidth="1"/>
    <col min="3" max="3" width="40.7109375" bestFit="1" customWidth="1"/>
  </cols>
  <sheetData>
    <row r="2" spans="2:3" ht="18.75" customHeight="1" x14ac:dyDescent="0.25">
      <c r="B2" s="142" t="s">
        <v>50</v>
      </c>
      <c r="C2" s="143"/>
    </row>
    <row r="3" spans="2:3" ht="15" customHeight="1" x14ac:dyDescent="0.25">
      <c r="B3" s="144"/>
      <c r="C3" s="145"/>
    </row>
    <row r="4" spans="2:3" ht="18.75" x14ac:dyDescent="0.25">
      <c r="B4" s="12" t="s">
        <v>51</v>
      </c>
      <c r="C4" s="12" t="s">
        <v>52</v>
      </c>
    </row>
    <row r="5" spans="2:3" x14ac:dyDescent="0.25">
      <c r="B5" s="13"/>
      <c r="C5" s="13"/>
    </row>
    <row r="6" spans="2:3" x14ac:dyDescent="0.25">
      <c r="B6" s="18" t="s">
        <v>106</v>
      </c>
      <c r="C6" s="11" t="s">
        <v>184</v>
      </c>
    </row>
    <row r="7" spans="2:3" x14ac:dyDescent="0.25">
      <c r="B7" s="18" t="s">
        <v>107</v>
      </c>
      <c r="C7" s="11" t="s">
        <v>185</v>
      </c>
    </row>
    <row r="8" spans="2:3" x14ac:dyDescent="0.25">
      <c r="B8" s="18" t="s">
        <v>108</v>
      </c>
      <c r="C8" s="11" t="s">
        <v>186</v>
      </c>
    </row>
    <row r="9" spans="2:3" x14ac:dyDescent="0.25">
      <c r="B9" s="18" t="s">
        <v>109</v>
      </c>
      <c r="C9" s="11" t="s">
        <v>187</v>
      </c>
    </row>
    <row r="10" spans="2:3" x14ac:dyDescent="0.25">
      <c r="B10" s="18" t="s">
        <v>110</v>
      </c>
      <c r="C10" s="11" t="s">
        <v>188</v>
      </c>
    </row>
    <row r="11" spans="2:3" x14ac:dyDescent="0.25">
      <c r="B11" s="18" t="s">
        <v>111</v>
      </c>
      <c r="C11" s="11" t="s">
        <v>189</v>
      </c>
    </row>
    <row r="12" spans="2:3" x14ac:dyDescent="0.25">
      <c r="B12" s="18" t="s">
        <v>112</v>
      </c>
      <c r="C12" s="11" t="s">
        <v>190</v>
      </c>
    </row>
    <row r="13" spans="2:3" x14ac:dyDescent="0.25">
      <c r="B13" s="18" t="s">
        <v>113</v>
      </c>
      <c r="C13" s="11" t="s">
        <v>191</v>
      </c>
    </row>
    <row r="14" spans="2:3" x14ac:dyDescent="0.25">
      <c r="B14" s="18" t="s">
        <v>114</v>
      </c>
      <c r="C14" s="11" t="s">
        <v>192</v>
      </c>
    </row>
    <row r="15" spans="2:3" x14ac:dyDescent="0.25">
      <c r="B15" s="18" t="s">
        <v>968</v>
      </c>
      <c r="C15" s="11" t="s">
        <v>969</v>
      </c>
    </row>
    <row r="16" spans="2:3" x14ac:dyDescent="0.25">
      <c r="B16" s="18" t="s">
        <v>971</v>
      </c>
      <c r="C16" s="11" t="s">
        <v>970</v>
      </c>
    </row>
    <row r="17" spans="2:3" x14ac:dyDescent="0.25">
      <c r="B17" s="18" t="s">
        <v>972</v>
      </c>
      <c r="C17" s="11" t="s">
        <v>973</v>
      </c>
    </row>
    <row r="18" spans="2:3" x14ac:dyDescent="0.25">
      <c r="B18" s="18" t="s">
        <v>975</v>
      </c>
      <c r="C18" s="11" t="s">
        <v>974</v>
      </c>
    </row>
    <row r="19" spans="2:3" x14ac:dyDescent="0.25">
      <c r="B19" s="18" t="s">
        <v>976</v>
      </c>
      <c r="C19" s="11" t="s">
        <v>977</v>
      </c>
    </row>
    <row r="20" spans="2:3" x14ac:dyDescent="0.25">
      <c r="B20" s="18" t="s">
        <v>979</v>
      </c>
      <c r="C20" s="11" t="s">
        <v>978</v>
      </c>
    </row>
    <row r="21" spans="2:3" x14ac:dyDescent="0.25">
      <c r="B21" s="18" t="s">
        <v>354</v>
      </c>
      <c r="C21" s="11" t="s">
        <v>980</v>
      </c>
    </row>
    <row r="22" spans="2:3" x14ac:dyDescent="0.25">
      <c r="B22" s="18" t="s">
        <v>982</v>
      </c>
      <c r="C22" s="11" t="s">
        <v>981</v>
      </c>
    </row>
    <row r="23" spans="2:3" x14ac:dyDescent="0.25">
      <c r="B23" s="18" t="s">
        <v>983</v>
      </c>
      <c r="C23" s="11" t="s">
        <v>984</v>
      </c>
    </row>
    <row r="24" spans="2:3" x14ac:dyDescent="0.25">
      <c r="B24" s="18" t="s">
        <v>986</v>
      </c>
      <c r="C24" s="11" t="s">
        <v>985</v>
      </c>
    </row>
    <row r="25" spans="2:3" x14ac:dyDescent="0.25">
      <c r="B25" s="18" t="s">
        <v>40</v>
      </c>
      <c r="C25" s="11" t="s">
        <v>183</v>
      </c>
    </row>
    <row r="26" spans="2:3" x14ac:dyDescent="0.25">
      <c r="B26" s="18" t="s">
        <v>45</v>
      </c>
      <c r="C26" s="11" t="s">
        <v>193</v>
      </c>
    </row>
    <row r="27" spans="2:3" x14ac:dyDescent="0.25">
      <c r="B27" s="18" t="s">
        <v>125</v>
      </c>
      <c r="C27" s="11" t="s">
        <v>126</v>
      </c>
    </row>
    <row r="28" spans="2:3" x14ac:dyDescent="0.25">
      <c r="B28" s="18" t="s">
        <v>117</v>
      </c>
      <c r="C28" s="11" t="s">
        <v>118</v>
      </c>
    </row>
    <row r="29" spans="2:3" x14ac:dyDescent="0.25">
      <c r="B29" s="18" t="s">
        <v>42</v>
      </c>
      <c r="C29" s="11" t="s">
        <v>47</v>
      </c>
    </row>
    <row r="30" spans="2:3" x14ac:dyDescent="0.25">
      <c r="B30" s="18" t="s">
        <v>43</v>
      </c>
      <c r="C30" s="11" t="s">
        <v>48</v>
      </c>
    </row>
    <row r="31" spans="2:3" x14ac:dyDescent="0.25">
      <c r="B31" s="18" t="s">
        <v>41</v>
      </c>
      <c r="C31" s="11" t="s">
        <v>46</v>
      </c>
    </row>
    <row r="32" spans="2:3" x14ac:dyDescent="0.25">
      <c r="B32" s="18" t="s">
        <v>44</v>
      </c>
      <c r="C32" s="11" t="s">
        <v>49</v>
      </c>
    </row>
    <row r="33" spans="2:3" x14ac:dyDescent="0.25">
      <c r="B33" s="19"/>
      <c r="C33" s="10"/>
    </row>
  </sheetData>
  <mergeCells count="1">
    <mergeCell ref="B2: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4"/>
  <sheetViews>
    <sheetView showGridLines="0" zoomScale="90" zoomScaleNormal="90" workbookViewId="0"/>
  </sheetViews>
  <sheetFormatPr baseColWidth="10" defaultColWidth="33.140625" defaultRowHeight="15" x14ac:dyDescent="0.25"/>
  <cols>
    <col min="1" max="1" width="30.7109375" style="3" customWidth="1"/>
    <col min="2" max="3" width="15.7109375" style="6" customWidth="1"/>
    <col min="4" max="4" width="15.7109375" style="3" customWidth="1"/>
    <col min="5" max="5" width="15.7109375" customWidth="1"/>
    <col min="6" max="6" width="30.7109375" style="3" customWidth="1"/>
    <col min="7" max="9" width="15.7109375" style="3" customWidth="1"/>
    <col min="10" max="10" width="15.85546875" style="3" customWidth="1"/>
    <col min="11" max="11" width="15.7109375" style="3" customWidth="1"/>
    <col min="12" max="12" width="27.5703125" style="3" bestFit="1" customWidth="1"/>
    <col min="13" max="16" width="15.7109375" style="3" customWidth="1"/>
    <col min="17" max="17" width="27.5703125" style="3" customWidth="1"/>
    <col min="18" max="37" width="15.7109375" style="3" customWidth="1"/>
    <col min="38" max="16384" width="33.140625" style="3"/>
  </cols>
  <sheetData>
    <row r="1" spans="1:11" ht="18.75" x14ac:dyDescent="0.3">
      <c r="A1" s="1" t="s">
        <v>116</v>
      </c>
      <c r="K1" s="16"/>
    </row>
    <row r="2" spans="1:11" x14ac:dyDescent="0.25">
      <c r="A2" s="2"/>
    </row>
    <row r="3" spans="1:11" x14ac:dyDescent="0.25">
      <c r="A3" s="2" t="s">
        <v>79</v>
      </c>
    </row>
    <row r="4" spans="1:11" x14ac:dyDescent="0.25">
      <c r="A4" s="146" t="s">
        <v>457</v>
      </c>
      <c r="B4" s="146"/>
      <c r="C4" s="146"/>
      <c r="D4" s="146"/>
    </row>
    <row r="5" spans="1:11" x14ac:dyDescent="0.25">
      <c r="A5" s="8" t="s">
        <v>65</v>
      </c>
      <c r="B5" s="8" t="s">
        <v>0</v>
      </c>
      <c r="C5" s="8" t="s">
        <v>1</v>
      </c>
      <c r="D5" s="8" t="s">
        <v>59</v>
      </c>
    </row>
    <row r="6" spans="1:11" x14ac:dyDescent="0.25">
      <c r="A6" s="25">
        <v>2012</v>
      </c>
      <c r="B6" s="4">
        <v>4143087.5</v>
      </c>
      <c r="C6" s="4">
        <v>1389230.8333333335</v>
      </c>
      <c r="D6" s="23">
        <v>5532318.333333334</v>
      </c>
    </row>
    <row r="7" spans="1:11" x14ac:dyDescent="0.25">
      <c r="A7" s="25">
        <v>2013</v>
      </c>
      <c r="B7" s="5">
        <v>4110278.5</v>
      </c>
      <c r="C7" s="5">
        <v>1484403.5833333333</v>
      </c>
      <c r="D7" s="14">
        <v>5594682.083333333</v>
      </c>
    </row>
    <row r="8" spans="1:11" x14ac:dyDescent="0.25">
      <c r="A8" s="25">
        <v>2014</v>
      </c>
      <c r="B8" s="5">
        <v>4210762.333333333</v>
      </c>
      <c r="C8" s="5">
        <v>1554914</v>
      </c>
      <c r="D8" s="14">
        <v>5765676.333333333</v>
      </c>
    </row>
    <row r="9" spans="1:11" ht="12.75" x14ac:dyDescent="0.2">
      <c r="A9" s="25">
        <v>2015</v>
      </c>
      <c r="B9" s="5">
        <v>4242060.416666667</v>
      </c>
      <c r="C9" s="5">
        <v>1621432.4166666667</v>
      </c>
      <c r="D9" s="14">
        <v>5863492.833333334</v>
      </c>
      <c r="E9" s="6"/>
      <c r="F9" s="99"/>
      <c r="G9" s="99"/>
      <c r="H9" s="99"/>
    </row>
    <row r="10" spans="1:11" ht="12.75" x14ac:dyDescent="0.2">
      <c r="A10" s="27">
        <v>2016</v>
      </c>
      <c r="B10" s="15">
        <v>4301746</v>
      </c>
      <c r="C10" s="15">
        <v>1668243.0833333333</v>
      </c>
      <c r="D10" s="26">
        <v>5969989.083333333</v>
      </c>
      <c r="E10" s="6"/>
      <c r="F10" s="103"/>
      <c r="G10" s="99"/>
      <c r="H10" s="99"/>
    </row>
    <row r="11" spans="1:11" x14ac:dyDescent="0.25">
      <c r="F11" s="104"/>
    </row>
    <row r="12" spans="1:11" x14ac:dyDescent="0.25">
      <c r="F12" s="104"/>
    </row>
    <row r="13" spans="1:11" x14ac:dyDescent="0.25">
      <c r="A13" s="2" t="s">
        <v>80</v>
      </c>
      <c r="F13" s="105"/>
    </row>
    <row r="14" spans="1:11" x14ac:dyDescent="0.25">
      <c r="A14" s="146" t="s">
        <v>459</v>
      </c>
      <c r="B14" s="146"/>
      <c r="C14" s="146"/>
      <c r="D14" s="146"/>
      <c r="F14" s="106"/>
    </row>
    <row r="15" spans="1:11" x14ac:dyDescent="0.25">
      <c r="A15" s="8" t="s">
        <v>66</v>
      </c>
      <c r="B15" s="8" t="s">
        <v>0</v>
      </c>
      <c r="C15" s="8" t="s">
        <v>1</v>
      </c>
      <c r="D15" s="8" t="s">
        <v>59</v>
      </c>
      <c r="F15" s="69"/>
    </row>
    <row r="16" spans="1:11" x14ac:dyDescent="0.25">
      <c r="A16" s="22" t="s">
        <v>5</v>
      </c>
      <c r="B16" s="4">
        <v>2427403.4504151624</v>
      </c>
      <c r="C16" s="4">
        <v>1081382.3333333333</v>
      </c>
      <c r="D16" s="23">
        <v>3508785.7837484954</v>
      </c>
      <c r="F16" s="104"/>
    </row>
    <row r="17" spans="1:6" x14ac:dyDescent="0.25">
      <c r="A17" s="25" t="s">
        <v>6</v>
      </c>
      <c r="B17" s="5">
        <v>1874342.5495848376</v>
      </c>
      <c r="C17" s="5">
        <v>586860.33333333337</v>
      </c>
      <c r="D17" s="14">
        <v>2461202.8829181711</v>
      </c>
      <c r="F17" s="104"/>
    </row>
    <row r="18" spans="1:6" x14ac:dyDescent="0.25">
      <c r="A18" s="29" t="s">
        <v>60</v>
      </c>
      <c r="B18" s="58">
        <v>4301746</v>
      </c>
      <c r="C18" s="58">
        <v>1668242.6666666665</v>
      </c>
      <c r="D18" s="110">
        <v>5969988.666666666</v>
      </c>
    </row>
    <row r="19" spans="1:6" x14ac:dyDescent="0.25">
      <c r="A19" s="28"/>
    </row>
    <row r="20" spans="1:6" x14ac:dyDescent="0.25">
      <c r="A20" s="28"/>
    </row>
    <row r="21" spans="1:6" x14ac:dyDescent="0.25">
      <c r="A21" s="2" t="s">
        <v>81</v>
      </c>
    </row>
    <row r="22" spans="1:6" x14ac:dyDescent="0.25">
      <c r="A22" s="146" t="s">
        <v>460</v>
      </c>
      <c r="B22" s="146"/>
      <c r="C22" s="146"/>
      <c r="D22" s="146"/>
    </row>
    <row r="23" spans="1:6" x14ac:dyDescent="0.25">
      <c r="A23" s="8" t="s">
        <v>67</v>
      </c>
      <c r="B23" s="8" t="s">
        <v>0</v>
      </c>
      <c r="C23" s="8" t="s">
        <v>1</v>
      </c>
      <c r="D23" s="8" t="s">
        <v>59</v>
      </c>
    </row>
    <row r="24" spans="1:6" x14ac:dyDescent="0.25">
      <c r="A24" s="22" t="s">
        <v>53</v>
      </c>
      <c r="B24" s="4">
        <v>68799.303529524768</v>
      </c>
      <c r="C24" s="4">
        <v>6280.7804957317439</v>
      </c>
      <c r="D24" s="4">
        <v>75080.08402525651</v>
      </c>
    </row>
    <row r="25" spans="1:6" x14ac:dyDescent="0.25">
      <c r="A25" s="25" t="s">
        <v>2</v>
      </c>
      <c r="B25" s="5">
        <v>422186.56020014064</v>
      </c>
      <c r="C25" s="5">
        <v>82970.152853678126</v>
      </c>
      <c r="D25" s="5">
        <v>505156.71305381879</v>
      </c>
    </row>
    <row r="26" spans="1:6" x14ac:dyDescent="0.25">
      <c r="A26" s="25" t="s">
        <v>54</v>
      </c>
      <c r="B26" s="5">
        <v>1094014.7576690298</v>
      </c>
      <c r="C26" s="5">
        <v>538279.36356905894</v>
      </c>
      <c r="D26" s="5">
        <v>1632294.1212380887</v>
      </c>
    </row>
    <row r="27" spans="1:6" x14ac:dyDescent="0.25">
      <c r="A27" s="25" t="s">
        <v>55</v>
      </c>
      <c r="B27" s="5">
        <v>953046.73692528659</v>
      </c>
      <c r="C27" s="5">
        <v>478806.07479731209</v>
      </c>
      <c r="D27" s="5">
        <v>1431852.8117225987</v>
      </c>
    </row>
    <row r="28" spans="1:6" x14ac:dyDescent="0.25">
      <c r="A28" s="25" t="s">
        <v>56</v>
      </c>
      <c r="B28" s="5">
        <v>943581.14312308969</v>
      </c>
      <c r="C28" s="5">
        <v>334301.2898347528</v>
      </c>
      <c r="D28" s="5">
        <v>1277882.4329578425</v>
      </c>
    </row>
    <row r="29" spans="1:6" x14ac:dyDescent="0.25">
      <c r="A29" s="25" t="s">
        <v>57</v>
      </c>
      <c r="B29" s="5">
        <v>627695.35469009471</v>
      </c>
      <c r="C29" s="5">
        <v>184559.22944310118</v>
      </c>
      <c r="D29" s="5">
        <v>812254.58413319592</v>
      </c>
    </row>
    <row r="30" spans="1:6" x14ac:dyDescent="0.25">
      <c r="A30" s="25" t="s">
        <v>3</v>
      </c>
      <c r="B30" s="5">
        <v>192422.14386283373</v>
      </c>
      <c r="C30" s="5">
        <v>43046.125673031718</v>
      </c>
      <c r="D30" s="5">
        <v>235468.26953586546</v>
      </c>
    </row>
    <row r="31" spans="1:6" x14ac:dyDescent="0.25">
      <c r="A31" s="29" t="s">
        <v>60</v>
      </c>
      <c r="B31" s="58">
        <v>4301746</v>
      </c>
      <c r="C31" s="58">
        <v>1668243.0166666664</v>
      </c>
      <c r="D31" s="58">
        <v>5969989.0166666666</v>
      </c>
    </row>
    <row r="34" spans="1:6" x14ac:dyDescent="0.25">
      <c r="A34" s="2" t="s">
        <v>82</v>
      </c>
    </row>
    <row r="35" spans="1:6" x14ac:dyDescent="0.25">
      <c r="A35" s="146" t="s">
        <v>461</v>
      </c>
      <c r="B35" s="146"/>
      <c r="C35" s="146"/>
      <c r="D35" s="146"/>
      <c r="F35" s="9"/>
    </row>
    <row r="36" spans="1:6" x14ac:dyDescent="0.25">
      <c r="A36" s="8" t="s">
        <v>68</v>
      </c>
      <c r="B36" s="8" t="s">
        <v>0</v>
      </c>
      <c r="C36" s="8" t="s">
        <v>1</v>
      </c>
      <c r="D36" s="8" t="s">
        <v>59</v>
      </c>
    </row>
    <row r="37" spans="1:6" x14ac:dyDescent="0.25">
      <c r="A37" s="22" t="s">
        <v>32</v>
      </c>
      <c r="B37" s="4">
        <v>4184308.3901150203</v>
      </c>
      <c r="C37" s="4">
        <v>1604878.3333333335</v>
      </c>
      <c r="D37" s="4">
        <v>5789186.7234483538</v>
      </c>
    </row>
    <row r="38" spans="1:6" x14ac:dyDescent="0.25">
      <c r="A38" s="25" t="s">
        <v>4</v>
      </c>
      <c r="B38" s="5">
        <v>117437.60988498016</v>
      </c>
      <c r="C38" s="5">
        <v>63364.75</v>
      </c>
      <c r="D38" s="5">
        <v>180802.35988498016</v>
      </c>
      <c r="F38" s="2"/>
    </row>
    <row r="39" spans="1:6" x14ac:dyDescent="0.25">
      <c r="A39" s="29" t="s">
        <v>60</v>
      </c>
      <c r="B39" s="58">
        <v>4301746.0000000009</v>
      </c>
      <c r="C39" s="58">
        <v>1668243.0833333335</v>
      </c>
      <c r="D39" s="58">
        <v>5969989.083333334</v>
      </c>
      <c r="F39" s="2"/>
    </row>
    <row r="42" spans="1:6" x14ac:dyDescent="0.25">
      <c r="A42" s="2" t="s">
        <v>83</v>
      </c>
    </row>
    <row r="43" spans="1:6" x14ac:dyDescent="0.25">
      <c r="A43" s="146" t="s">
        <v>462</v>
      </c>
      <c r="B43" s="146"/>
      <c r="C43" s="146"/>
      <c r="D43" s="146"/>
    </row>
    <row r="44" spans="1:6" x14ac:dyDescent="0.25">
      <c r="A44" s="8" t="s">
        <v>208</v>
      </c>
      <c r="B44" s="8" t="s">
        <v>0</v>
      </c>
      <c r="C44" s="8" t="s">
        <v>1</v>
      </c>
      <c r="D44" s="8" t="s">
        <v>59</v>
      </c>
    </row>
    <row r="45" spans="1:6" x14ac:dyDescent="0.25">
      <c r="A45" s="30" t="s">
        <v>14</v>
      </c>
      <c r="B45" s="4">
        <v>45207.80505856104</v>
      </c>
      <c r="C45" s="4">
        <v>13613.328080807898</v>
      </c>
      <c r="D45" s="4">
        <v>58821.13313936894</v>
      </c>
    </row>
    <row r="46" spans="1:6" x14ac:dyDescent="0.25">
      <c r="A46" s="31" t="s">
        <v>15</v>
      </c>
      <c r="B46" s="5">
        <v>73367.921148521476</v>
      </c>
      <c r="C46" s="5">
        <v>29711.23124900955</v>
      </c>
      <c r="D46" s="5">
        <v>103079.15239753103</v>
      </c>
    </row>
    <row r="47" spans="1:6" x14ac:dyDescent="0.25">
      <c r="A47" s="31" t="s">
        <v>16</v>
      </c>
      <c r="B47" s="5">
        <v>135888.61223128697</v>
      </c>
      <c r="C47" s="5">
        <v>85086.904780642362</v>
      </c>
      <c r="D47" s="5">
        <v>220975.51701192933</v>
      </c>
    </row>
    <row r="48" spans="1:6" x14ac:dyDescent="0.25">
      <c r="A48" s="31" t="s">
        <v>17</v>
      </c>
      <c r="B48" s="5">
        <v>76032.15464226107</v>
      </c>
      <c r="C48" s="5">
        <v>23380.206583104155</v>
      </c>
      <c r="D48" s="5">
        <v>99412.361225365225</v>
      </c>
    </row>
    <row r="49" spans="1:6" x14ac:dyDescent="0.25">
      <c r="A49" s="31" t="s">
        <v>18</v>
      </c>
      <c r="B49" s="5">
        <v>190406.45723689412</v>
      </c>
      <c r="C49" s="5">
        <v>35067.059776433642</v>
      </c>
      <c r="D49" s="5">
        <v>225473.51701332774</v>
      </c>
    </row>
    <row r="50" spans="1:6" x14ac:dyDescent="0.25">
      <c r="A50" s="31" t="s">
        <v>19</v>
      </c>
      <c r="B50" s="5">
        <v>451555.15539314057</v>
      </c>
      <c r="C50" s="5">
        <v>115547.15866618158</v>
      </c>
      <c r="D50" s="5">
        <v>567102.31405932212</v>
      </c>
    </row>
    <row r="51" spans="1:6" x14ac:dyDescent="0.25">
      <c r="A51" s="31" t="s">
        <v>20</v>
      </c>
      <c r="B51" s="5">
        <v>1700272.8980750695</v>
      </c>
      <c r="C51" s="5">
        <v>997633.81657986029</v>
      </c>
      <c r="D51" s="5">
        <v>2697906.7146549299</v>
      </c>
    </row>
    <row r="52" spans="1:6" x14ac:dyDescent="0.25">
      <c r="A52" s="31" t="s">
        <v>21</v>
      </c>
      <c r="B52" s="5">
        <v>250787.13335699061</v>
      </c>
      <c r="C52" s="5">
        <v>57037.973768710814</v>
      </c>
      <c r="D52" s="5">
        <v>307825.10712570144</v>
      </c>
    </row>
    <row r="53" spans="1:6" x14ac:dyDescent="0.25">
      <c r="A53" s="31" t="s">
        <v>22</v>
      </c>
      <c r="B53" s="5">
        <v>274723.77019115468</v>
      </c>
      <c r="C53" s="5">
        <v>46230.647155925821</v>
      </c>
      <c r="D53" s="5">
        <v>320954.41734708048</v>
      </c>
    </row>
    <row r="54" spans="1:6" x14ac:dyDescent="0.25">
      <c r="A54" s="31" t="s">
        <v>23</v>
      </c>
      <c r="B54" s="5">
        <v>513670.55197376228</v>
      </c>
      <c r="C54" s="5">
        <v>117823.22745221829</v>
      </c>
      <c r="D54" s="5">
        <v>631493.77942598052</v>
      </c>
    </row>
    <row r="55" spans="1:6" x14ac:dyDescent="0.25">
      <c r="A55" s="31" t="s">
        <v>24</v>
      </c>
      <c r="B55" s="5">
        <v>221675.18392274869</v>
      </c>
      <c r="C55" s="5">
        <v>44478.260862985728</v>
      </c>
      <c r="D55" s="5">
        <v>266153.44478573441</v>
      </c>
    </row>
    <row r="56" spans="1:6" x14ac:dyDescent="0.25">
      <c r="A56" s="31" t="s">
        <v>25</v>
      </c>
      <c r="B56" s="5">
        <v>84928.166052397995</v>
      </c>
      <c r="C56" s="5">
        <v>19292.166370046511</v>
      </c>
      <c r="D56" s="5">
        <v>104220.33242244451</v>
      </c>
    </row>
    <row r="57" spans="1:6" x14ac:dyDescent="0.25">
      <c r="A57" s="31" t="s">
        <v>26</v>
      </c>
      <c r="B57" s="5">
        <v>209666.32723319498</v>
      </c>
      <c r="C57" s="5">
        <v>60715.918254758843</v>
      </c>
      <c r="D57" s="5">
        <v>270382.24548795383</v>
      </c>
    </row>
    <row r="58" spans="1:6" x14ac:dyDescent="0.25">
      <c r="A58" s="31" t="s">
        <v>27</v>
      </c>
      <c r="B58" s="5">
        <v>27710.622078549346</v>
      </c>
      <c r="C58" s="5">
        <v>5620.3365212319577</v>
      </c>
      <c r="D58" s="5">
        <v>33330.958599781305</v>
      </c>
      <c r="F58" s="2"/>
    </row>
    <row r="59" spans="1:6" x14ac:dyDescent="0.25">
      <c r="A59" s="31" t="s">
        <v>28</v>
      </c>
      <c r="B59" s="5">
        <v>45853.241405466528</v>
      </c>
      <c r="C59" s="5">
        <v>17004.430564749226</v>
      </c>
      <c r="D59" s="5">
        <v>62857.671970215757</v>
      </c>
      <c r="F59" s="2"/>
    </row>
    <row r="60" spans="1:6" x14ac:dyDescent="0.25">
      <c r="A60" s="29" t="s">
        <v>60</v>
      </c>
      <c r="B60" s="58">
        <v>4301746</v>
      </c>
      <c r="C60" s="58">
        <v>1668242.666666667</v>
      </c>
      <c r="D60" s="58">
        <v>5969988.666666667</v>
      </c>
    </row>
    <row r="63" spans="1:6" x14ac:dyDescent="0.25">
      <c r="A63" s="2" t="s">
        <v>84</v>
      </c>
    </row>
    <row r="64" spans="1:6" x14ac:dyDescent="0.25">
      <c r="A64" s="146" t="s">
        <v>463</v>
      </c>
      <c r="B64" s="146"/>
      <c r="C64" s="146"/>
      <c r="D64" s="146"/>
    </row>
    <row r="65" spans="1:6" ht="26.25" x14ac:dyDescent="0.25">
      <c r="A65" s="32" t="s">
        <v>69</v>
      </c>
      <c r="B65" s="24" t="s">
        <v>0</v>
      </c>
      <c r="C65" s="24" t="s">
        <v>1</v>
      </c>
      <c r="D65" s="24" t="s">
        <v>59</v>
      </c>
    </row>
    <row r="66" spans="1:6" x14ac:dyDescent="0.25">
      <c r="A66" s="31" t="s">
        <v>58</v>
      </c>
      <c r="B66" s="4">
        <v>966777.26575593941</v>
      </c>
      <c r="C66" s="4">
        <v>26863.087929947342</v>
      </c>
      <c r="D66" s="4">
        <v>993640.35368588672</v>
      </c>
    </row>
    <row r="67" spans="1:6" x14ac:dyDescent="0.25">
      <c r="A67" s="31" t="s">
        <v>70</v>
      </c>
      <c r="B67" s="5">
        <v>1006700.9226346627</v>
      </c>
      <c r="C67" s="5">
        <v>44731.222535628098</v>
      </c>
      <c r="D67" s="5">
        <v>1051432.1451702907</v>
      </c>
    </row>
    <row r="68" spans="1:6" x14ac:dyDescent="0.25">
      <c r="A68" s="31" t="s">
        <v>71</v>
      </c>
      <c r="B68" s="5">
        <v>1025749.6135925641</v>
      </c>
      <c r="C68" s="5">
        <v>94116.228970982047</v>
      </c>
      <c r="D68" s="5">
        <v>1119865.8425635463</v>
      </c>
    </row>
    <row r="69" spans="1:6" x14ac:dyDescent="0.25">
      <c r="A69" s="31" t="s">
        <v>72</v>
      </c>
      <c r="B69" s="5">
        <v>712898.86683606915</v>
      </c>
      <c r="C69" s="5">
        <v>231032.4946762172</v>
      </c>
      <c r="D69" s="5">
        <v>943931.36151228636</v>
      </c>
    </row>
    <row r="70" spans="1:6" x14ac:dyDescent="0.25">
      <c r="A70" s="31" t="s">
        <v>73</v>
      </c>
      <c r="B70" s="5">
        <v>308848.19399419555</v>
      </c>
      <c r="C70" s="5">
        <v>241670.19635372981</v>
      </c>
      <c r="D70" s="5">
        <v>550518.39034792536</v>
      </c>
    </row>
    <row r="71" spans="1:6" x14ac:dyDescent="0.25">
      <c r="A71" s="31" t="s">
        <v>74</v>
      </c>
      <c r="B71" s="5">
        <v>137258.02292213193</v>
      </c>
      <c r="C71" s="5">
        <v>202103.73984534229</v>
      </c>
      <c r="D71" s="5">
        <v>339361.76276747423</v>
      </c>
    </row>
    <row r="72" spans="1:6" x14ac:dyDescent="0.25">
      <c r="A72" s="31" t="s">
        <v>75</v>
      </c>
      <c r="B72" s="5">
        <v>63816.61473733453</v>
      </c>
      <c r="C72" s="5">
        <v>157224.5844450132</v>
      </c>
      <c r="D72" s="5">
        <v>221041.19918234774</v>
      </c>
    </row>
    <row r="73" spans="1:6" x14ac:dyDescent="0.25">
      <c r="A73" s="31" t="s">
        <v>76</v>
      </c>
      <c r="B73" s="5">
        <v>39810.403928389474</v>
      </c>
      <c r="C73" s="5">
        <v>157026.1338512704</v>
      </c>
      <c r="D73" s="5">
        <v>196836.53777965988</v>
      </c>
    </row>
    <row r="74" spans="1:6" x14ac:dyDescent="0.25">
      <c r="A74" s="31" t="s">
        <v>77</v>
      </c>
      <c r="B74" s="5">
        <v>39886.095598713066</v>
      </c>
      <c r="C74" s="5">
        <v>513474.97805853625</v>
      </c>
      <c r="D74" s="5">
        <v>553361.07365724933</v>
      </c>
    </row>
    <row r="75" spans="1:6" x14ac:dyDescent="0.25">
      <c r="A75" s="29" t="s">
        <v>60</v>
      </c>
      <c r="B75" s="58">
        <v>4301746.0000000009</v>
      </c>
      <c r="C75" s="58">
        <v>1668242.6666666667</v>
      </c>
      <c r="D75" s="58">
        <v>5969988.666666666</v>
      </c>
    </row>
    <row r="78" spans="1:6" x14ac:dyDescent="0.25">
      <c r="A78" s="2" t="s">
        <v>85</v>
      </c>
      <c r="F78" s="2"/>
    </row>
    <row r="79" spans="1:6" x14ac:dyDescent="0.25">
      <c r="A79" s="146" t="s">
        <v>464</v>
      </c>
      <c r="B79" s="146"/>
      <c r="C79" s="146"/>
      <c r="D79" s="146"/>
      <c r="F79" s="2"/>
    </row>
    <row r="80" spans="1:6" x14ac:dyDescent="0.25">
      <c r="A80" s="32" t="s">
        <v>209</v>
      </c>
      <c r="B80" s="24" t="s">
        <v>0</v>
      </c>
      <c r="C80" s="24" t="s">
        <v>1</v>
      </c>
      <c r="D80" s="24" t="s">
        <v>59</v>
      </c>
    </row>
    <row r="81" spans="1:4" x14ac:dyDescent="0.25">
      <c r="A81" s="31" t="s">
        <v>33</v>
      </c>
      <c r="B81" s="4">
        <v>484224.73620833759</v>
      </c>
      <c r="C81" s="4">
        <v>37489.841528388832</v>
      </c>
      <c r="D81" s="4">
        <v>521714.57773672644</v>
      </c>
    </row>
    <row r="82" spans="1:4" x14ac:dyDescent="0.25">
      <c r="A82" s="31" t="s">
        <v>34</v>
      </c>
      <c r="B82" s="5">
        <v>22197.169274050109</v>
      </c>
      <c r="C82" s="5">
        <v>46396.335799834254</v>
      </c>
      <c r="D82" s="5">
        <v>68593.505073884357</v>
      </c>
    </row>
    <row r="83" spans="1:4" x14ac:dyDescent="0.25">
      <c r="A83" s="31" t="s">
        <v>35</v>
      </c>
      <c r="B83" s="5">
        <v>340940.66367182683</v>
      </c>
      <c r="C83" s="5">
        <v>158519.79086519184</v>
      </c>
      <c r="D83" s="5">
        <v>499460.45453701867</v>
      </c>
    </row>
    <row r="84" spans="1:4" x14ac:dyDescent="0.25">
      <c r="A84" s="31" t="s">
        <v>36</v>
      </c>
      <c r="B84" s="5">
        <v>11908.410749934999</v>
      </c>
      <c r="C84" s="5">
        <v>16421.804420022705</v>
      </c>
      <c r="D84" s="5">
        <v>28330.215169957704</v>
      </c>
    </row>
    <row r="85" spans="1:4" x14ac:dyDescent="0.25">
      <c r="A85" s="31" t="s">
        <v>37</v>
      </c>
      <c r="B85" s="5">
        <v>607357.97427223728</v>
      </c>
      <c r="C85" s="5">
        <v>139868.10169003686</v>
      </c>
      <c r="D85" s="5">
        <v>747226.0759622741</v>
      </c>
    </row>
    <row r="86" spans="1:4" x14ac:dyDescent="0.25">
      <c r="A86" s="31" t="s">
        <v>38</v>
      </c>
      <c r="B86" s="5">
        <v>803538.10824112501</v>
      </c>
      <c r="C86" s="5">
        <v>251243.40202853485</v>
      </c>
      <c r="D86" s="5">
        <v>1054781.5102696598</v>
      </c>
    </row>
    <row r="87" spans="1:4" x14ac:dyDescent="0.25">
      <c r="A87" s="31" t="s">
        <v>39</v>
      </c>
      <c r="B87" s="5">
        <v>262819.05096610688</v>
      </c>
      <c r="C87" s="5">
        <v>117471.80218967694</v>
      </c>
      <c r="D87" s="5">
        <v>380290.85315578384</v>
      </c>
    </row>
    <row r="88" spans="1:4" x14ac:dyDescent="0.25">
      <c r="A88" s="31" t="s">
        <v>63</v>
      </c>
      <c r="B88" s="5">
        <v>1768759.8866163814</v>
      </c>
      <c r="C88" s="5">
        <v>900832.00481164688</v>
      </c>
      <c r="D88" s="5">
        <v>2669591.8914280282</v>
      </c>
    </row>
    <row r="89" spans="1:4" x14ac:dyDescent="0.25">
      <c r="A89" s="29" t="s">
        <v>60</v>
      </c>
      <c r="B89" s="58">
        <v>4301746</v>
      </c>
      <c r="C89" s="58">
        <v>1668243.083333333</v>
      </c>
      <c r="D89" s="58">
        <v>5969989.083333333</v>
      </c>
    </row>
    <row r="92" spans="1:4" x14ac:dyDescent="0.25">
      <c r="A92" s="2" t="s">
        <v>105</v>
      </c>
    </row>
    <row r="93" spans="1:4" ht="27.75" customHeight="1" x14ac:dyDescent="0.25">
      <c r="A93" s="146" t="s">
        <v>458</v>
      </c>
      <c r="B93" s="146"/>
      <c r="C93" s="146"/>
      <c r="D93" s="146"/>
    </row>
    <row r="94" spans="1:4" x14ac:dyDescent="0.25">
      <c r="A94" s="8" t="s">
        <v>65</v>
      </c>
      <c r="B94" s="8" t="s">
        <v>0</v>
      </c>
      <c r="C94" s="8" t="s">
        <v>1</v>
      </c>
      <c r="D94" s="8" t="s">
        <v>59</v>
      </c>
    </row>
    <row r="95" spans="1:4" x14ac:dyDescent="0.25">
      <c r="A95" s="25">
        <v>2012</v>
      </c>
      <c r="B95" s="4">
        <v>18286809669</v>
      </c>
      <c r="C95" s="4">
        <v>18840205418.438381</v>
      </c>
      <c r="D95" s="23">
        <v>37127015087.438385</v>
      </c>
    </row>
    <row r="96" spans="1:4" x14ac:dyDescent="0.25">
      <c r="A96" s="25">
        <v>2013</v>
      </c>
      <c r="B96" s="5">
        <v>19450147520</v>
      </c>
      <c r="C96" s="5">
        <v>20790043536.123932</v>
      </c>
      <c r="D96" s="14">
        <v>40240191056.123932</v>
      </c>
    </row>
    <row r="97" spans="1:9" x14ac:dyDescent="0.25">
      <c r="A97" s="25">
        <v>2014</v>
      </c>
      <c r="B97" s="5">
        <v>21897518000</v>
      </c>
      <c r="C97" s="5">
        <v>21994829727.160137</v>
      </c>
      <c r="D97" s="14">
        <v>43892347727.160141</v>
      </c>
    </row>
    <row r="98" spans="1:9" x14ac:dyDescent="0.25">
      <c r="A98" s="25">
        <v>2015</v>
      </c>
      <c r="B98" s="5">
        <v>23273807000</v>
      </c>
      <c r="C98" s="5">
        <v>21729028637</v>
      </c>
      <c r="D98" s="14">
        <v>45002835637</v>
      </c>
    </row>
    <row r="99" spans="1:9" x14ac:dyDescent="0.25">
      <c r="A99" s="27">
        <v>2016</v>
      </c>
      <c r="B99" s="15">
        <v>26200412992</v>
      </c>
      <c r="C99" s="15">
        <v>23151888710.3078</v>
      </c>
      <c r="D99" s="26">
        <v>49352301702</v>
      </c>
    </row>
    <row r="102" spans="1:9" ht="12.75" x14ac:dyDescent="0.2">
      <c r="A102" s="2" t="s">
        <v>211</v>
      </c>
      <c r="E102" s="3"/>
      <c r="F102" s="2" t="s">
        <v>212</v>
      </c>
      <c r="H102" s="6"/>
      <c r="I102" s="6"/>
    </row>
    <row r="103" spans="1:9" ht="12.75" x14ac:dyDescent="0.2">
      <c r="A103" s="146" t="s">
        <v>213</v>
      </c>
      <c r="B103" s="146"/>
      <c r="C103" s="146"/>
      <c r="D103" s="146"/>
      <c r="E103" s="3"/>
      <c r="F103" s="146" t="s">
        <v>214</v>
      </c>
      <c r="G103" s="146"/>
      <c r="H103" s="146"/>
      <c r="I103" s="146"/>
    </row>
    <row r="104" spans="1:9" ht="25.5" x14ac:dyDescent="0.2">
      <c r="A104" s="44" t="s">
        <v>69</v>
      </c>
      <c r="B104" s="24" t="s">
        <v>215</v>
      </c>
      <c r="C104" s="24" t="s">
        <v>216</v>
      </c>
      <c r="D104" s="24" t="s">
        <v>64</v>
      </c>
      <c r="E104" s="3"/>
      <c r="F104" s="44" t="s">
        <v>69</v>
      </c>
      <c r="G104" s="24" t="s">
        <v>215</v>
      </c>
      <c r="H104" s="24" t="s">
        <v>216</v>
      </c>
      <c r="I104" s="24" t="s">
        <v>64</v>
      </c>
    </row>
    <row r="105" spans="1:9" ht="12.75" x14ac:dyDescent="0.2">
      <c r="A105" s="31" t="s">
        <v>58</v>
      </c>
      <c r="B105" s="4">
        <v>414641.11658971634</v>
      </c>
      <c r="C105" s="4">
        <v>552136.14916622301</v>
      </c>
      <c r="D105" s="4">
        <v>966777.2657559393</v>
      </c>
      <c r="E105" s="3"/>
      <c r="F105" s="31" t="s">
        <v>58</v>
      </c>
      <c r="G105" s="4">
        <v>17822.266407630355</v>
      </c>
      <c r="H105" s="4">
        <v>9040.8215223169864</v>
      </c>
      <c r="I105" s="4">
        <v>26863.087929947342</v>
      </c>
    </row>
    <row r="106" spans="1:9" ht="12.75" x14ac:dyDescent="0.2">
      <c r="A106" s="31" t="s">
        <v>70</v>
      </c>
      <c r="B106" s="5">
        <v>536926.12984691653</v>
      </c>
      <c r="C106" s="5">
        <v>469774.79278774618</v>
      </c>
      <c r="D106" s="5">
        <v>1006700.9226346627</v>
      </c>
      <c r="E106" s="3"/>
      <c r="F106" s="31" t="s">
        <v>70</v>
      </c>
      <c r="G106" s="5">
        <v>31663.261522876466</v>
      </c>
      <c r="H106" s="5">
        <v>13067.961012751632</v>
      </c>
      <c r="I106" s="5">
        <v>44731.222535628098</v>
      </c>
    </row>
    <row r="107" spans="1:9" ht="12.75" x14ac:dyDescent="0.2">
      <c r="A107" s="31" t="s">
        <v>71</v>
      </c>
      <c r="B107" s="5">
        <v>593310.16883491224</v>
      </c>
      <c r="C107" s="5">
        <v>432439.44475765195</v>
      </c>
      <c r="D107" s="5">
        <v>1025749.6135925641</v>
      </c>
      <c r="E107" s="3"/>
      <c r="F107" s="31" t="s">
        <v>71</v>
      </c>
      <c r="G107" s="5">
        <v>66574.820443038916</v>
      </c>
      <c r="H107" s="5">
        <v>27541.408527943127</v>
      </c>
      <c r="I107" s="5">
        <v>94116.228970982047</v>
      </c>
    </row>
    <row r="108" spans="1:9" ht="12.75" x14ac:dyDescent="0.2">
      <c r="A108" s="31" t="s">
        <v>72</v>
      </c>
      <c r="B108" s="5">
        <v>451707.62421062583</v>
      </c>
      <c r="C108" s="5">
        <v>261191.24262544329</v>
      </c>
      <c r="D108" s="5">
        <v>712898.86683606915</v>
      </c>
      <c r="E108" s="3"/>
      <c r="F108" s="31" t="s">
        <v>72</v>
      </c>
      <c r="G108" s="5">
        <v>152605.751414244</v>
      </c>
      <c r="H108" s="5">
        <v>78426.743261973199</v>
      </c>
      <c r="I108" s="5">
        <v>231032.4946762172</v>
      </c>
    </row>
    <row r="109" spans="1:9" ht="12.75" x14ac:dyDescent="0.2">
      <c r="A109" s="31" t="s">
        <v>73</v>
      </c>
      <c r="B109" s="5">
        <v>199303.43616516909</v>
      </c>
      <c r="C109" s="5">
        <v>109544.75782902645</v>
      </c>
      <c r="D109" s="5">
        <v>308848.19399419555</v>
      </c>
      <c r="E109" s="3"/>
      <c r="F109" s="31" t="s">
        <v>73</v>
      </c>
      <c r="G109" s="5">
        <v>144689.36849663363</v>
      </c>
      <c r="H109" s="5">
        <v>96980.827857096185</v>
      </c>
      <c r="I109" s="5">
        <v>241670.19635372981</v>
      </c>
    </row>
    <row r="110" spans="1:9" ht="12.75" x14ac:dyDescent="0.2">
      <c r="A110" s="31" t="s">
        <v>74</v>
      </c>
      <c r="B110" s="5">
        <v>90623.440250884887</v>
      </c>
      <c r="C110" s="5">
        <v>46634.582671247044</v>
      </c>
      <c r="D110" s="5">
        <v>137258.02292213193</v>
      </c>
      <c r="E110" s="3"/>
      <c r="F110" s="31" t="s">
        <v>74</v>
      </c>
      <c r="G110" s="5">
        <v>119458.09715220419</v>
      </c>
      <c r="H110" s="5">
        <v>82645.642693138085</v>
      </c>
      <c r="I110" s="5">
        <v>202103.73984534229</v>
      </c>
    </row>
    <row r="111" spans="1:9" ht="12.75" x14ac:dyDescent="0.2">
      <c r="A111" s="31" t="s">
        <v>75</v>
      </c>
      <c r="B111" s="5">
        <v>41696.604556640072</v>
      </c>
      <c r="C111" s="5">
        <v>22120.010180694455</v>
      </c>
      <c r="D111" s="5">
        <v>63816.61473733453</v>
      </c>
      <c r="E111" s="3"/>
      <c r="F111" s="31" t="s">
        <v>75</v>
      </c>
      <c r="G111" s="5">
        <v>92528.37707111401</v>
      </c>
      <c r="H111" s="5">
        <v>64696.207373899182</v>
      </c>
      <c r="I111" s="5">
        <v>157224.5844450132</v>
      </c>
    </row>
    <row r="112" spans="1:9" ht="12.75" x14ac:dyDescent="0.2">
      <c r="A112" s="31" t="s">
        <v>76</v>
      </c>
      <c r="B112" s="5">
        <v>26575.508641624685</v>
      </c>
      <c r="C112" s="5">
        <v>13234.895286764786</v>
      </c>
      <c r="D112" s="5">
        <v>39810.403928389467</v>
      </c>
      <c r="E112" s="3"/>
      <c r="F112" s="31" t="s">
        <v>76</v>
      </c>
      <c r="G112" s="5">
        <v>95166.383131301802</v>
      </c>
      <c r="H112" s="5">
        <v>61859.750719968601</v>
      </c>
      <c r="I112" s="5">
        <v>157026.1338512704</v>
      </c>
    </row>
    <row r="113" spans="1:9" ht="12.75" x14ac:dyDescent="0.2">
      <c r="A113" s="31" t="s">
        <v>77</v>
      </c>
      <c r="B113" s="5">
        <v>26264.153728158872</v>
      </c>
      <c r="C113" s="5">
        <v>13621.941870554192</v>
      </c>
      <c r="D113" s="5">
        <v>39886.095598713066</v>
      </c>
      <c r="E113" s="3"/>
      <c r="F113" s="31" t="s">
        <v>77</v>
      </c>
      <c r="G113" s="5">
        <v>360874.0076942899</v>
      </c>
      <c r="H113" s="5">
        <v>152600.97036424634</v>
      </c>
      <c r="I113" s="5">
        <v>513474.97805853625</v>
      </c>
    </row>
    <row r="114" spans="1:9" ht="12.75" x14ac:dyDescent="0.2">
      <c r="A114" s="29" t="s">
        <v>60</v>
      </c>
      <c r="B114" s="58">
        <v>2381048.1828246485</v>
      </c>
      <c r="C114" s="58">
        <v>1920697.8171753513</v>
      </c>
      <c r="D114" s="58">
        <v>4301746.0000000009</v>
      </c>
      <c r="E114" s="3"/>
      <c r="F114" s="29" t="s">
        <v>60</v>
      </c>
      <c r="G114" s="58">
        <v>1081382.3333333333</v>
      </c>
      <c r="H114" s="58">
        <v>586860.33333333326</v>
      </c>
      <c r="I114" s="58">
        <v>1668242.6666666667</v>
      </c>
    </row>
    <row r="115" spans="1:9" ht="12.75" x14ac:dyDescent="0.2">
      <c r="E115" s="3"/>
    </row>
    <row r="116" spans="1:9" ht="12.75" x14ac:dyDescent="0.2">
      <c r="E116" s="3"/>
    </row>
    <row r="117" spans="1:9" ht="12.75" x14ac:dyDescent="0.2">
      <c r="A117" s="2" t="s">
        <v>217</v>
      </c>
      <c r="E117" s="3"/>
      <c r="F117" s="2" t="s">
        <v>218</v>
      </c>
      <c r="G117" s="6"/>
      <c r="H117" s="6"/>
    </row>
    <row r="118" spans="1:9" ht="12.75" x14ac:dyDescent="0.2">
      <c r="A118" s="146" t="s">
        <v>219</v>
      </c>
      <c r="B118" s="146"/>
      <c r="C118" s="146"/>
      <c r="D118" s="146"/>
      <c r="E118" s="3"/>
      <c r="F118" s="146" t="s">
        <v>220</v>
      </c>
      <c r="G118" s="146"/>
      <c r="H118" s="146"/>
      <c r="I118" s="146"/>
    </row>
    <row r="119" spans="1:9" ht="12.75" x14ac:dyDescent="0.2">
      <c r="A119" s="44" t="s">
        <v>221</v>
      </c>
      <c r="B119" s="24" t="s">
        <v>215</v>
      </c>
      <c r="C119" s="24" t="s">
        <v>216</v>
      </c>
      <c r="D119" s="24" t="s">
        <v>64</v>
      </c>
      <c r="E119" s="3"/>
      <c r="F119" s="44" t="s">
        <v>221</v>
      </c>
      <c r="G119" s="24" t="s">
        <v>215</v>
      </c>
      <c r="H119" s="24" t="s">
        <v>216</v>
      </c>
      <c r="I119" s="24" t="s">
        <v>64</v>
      </c>
    </row>
    <row r="120" spans="1:9" ht="12.75" x14ac:dyDescent="0.2">
      <c r="A120" s="22" t="s">
        <v>222</v>
      </c>
      <c r="B120" s="4">
        <v>543746</v>
      </c>
      <c r="C120" s="4">
        <v>479749</v>
      </c>
      <c r="D120" s="4">
        <v>515318</v>
      </c>
      <c r="E120" s="3"/>
      <c r="F120" s="22" t="s">
        <v>222</v>
      </c>
      <c r="G120" s="4">
        <v>1302671.7473622877</v>
      </c>
      <c r="H120" s="4">
        <v>1271799.7018061716</v>
      </c>
      <c r="I120" s="4">
        <v>1291487.8930409388</v>
      </c>
    </row>
    <row r="121" spans="1:9" ht="12.75" x14ac:dyDescent="0.2">
      <c r="A121" s="25" t="s">
        <v>223</v>
      </c>
      <c r="B121" s="5">
        <v>550024</v>
      </c>
      <c r="C121" s="5">
        <v>485288</v>
      </c>
      <c r="D121" s="5">
        <v>521268</v>
      </c>
      <c r="E121" s="3"/>
      <c r="F121" s="25" t="s">
        <v>223</v>
      </c>
      <c r="G121" s="5">
        <v>1304244.1923174758</v>
      </c>
      <c r="H121" s="5">
        <v>1274268.0855967388</v>
      </c>
      <c r="I121" s="5">
        <v>1293394.1683796267</v>
      </c>
    </row>
    <row r="122" spans="1:9" ht="12.75" x14ac:dyDescent="0.2">
      <c r="A122" s="25" t="s">
        <v>224</v>
      </c>
      <c r="B122" s="5">
        <v>320059</v>
      </c>
      <c r="C122" s="5">
        <v>282389</v>
      </c>
      <c r="D122" s="5">
        <v>303326</v>
      </c>
      <c r="E122" s="3"/>
      <c r="F122" s="25" t="s">
        <v>224</v>
      </c>
      <c r="G122" s="5">
        <v>1189625.5875800762</v>
      </c>
      <c r="H122" s="5">
        <v>1110119.9568924641</v>
      </c>
      <c r="I122" s="5">
        <v>1159117.4386487396</v>
      </c>
    </row>
    <row r="123" spans="1:9" ht="12.75" x14ac:dyDescent="0.2">
      <c r="A123" s="27" t="s">
        <v>225</v>
      </c>
      <c r="B123" s="15">
        <v>42</v>
      </c>
      <c r="C123" s="15">
        <v>40</v>
      </c>
      <c r="D123" s="15">
        <v>41</v>
      </c>
      <c r="E123" s="3"/>
      <c r="F123" s="27" t="s">
        <v>225</v>
      </c>
      <c r="G123" s="15">
        <v>40.140257978445497</v>
      </c>
      <c r="H123" s="15">
        <v>40.455604712308038</v>
      </c>
      <c r="I123" s="15">
        <v>40.251206758888792</v>
      </c>
    </row>
    <row r="125" spans="1:9" ht="12.75" x14ac:dyDescent="0.2">
      <c r="B125" s="34"/>
      <c r="C125" s="34"/>
      <c r="D125" s="34"/>
      <c r="E125" s="34"/>
    </row>
    <row r="126" spans="1:9" x14ac:dyDescent="0.25">
      <c r="A126" s="54"/>
      <c r="B126" s="54"/>
      <c r="C126" s="54"/>
      <c r="D126" s="54"/>
    </row>
    <row r="127" spans="1:9" x14ac:dyDescent="0.25">
      <c r="A127" s="54"/>
      <c r="B127" s="54"/>
      <c r="C127" s="54"/>
      <c r="D127" s="54"/>
    </row>
    <row r="128" spans="1:9" x14ac:dyDescent="0.25">
      <c r="A128" s="54"/>
      <c r="B128" s="54"/>
      <c r="C128" s="54"/>
      <c r="D128" s="54"/>
    </row>
    <row r="129" spans="1:4" x14ac:dyDescent="0.25">
      <c r="A129" s="54"/>
      <c r="B129" s="54"/>
      <c r="C129" s="54"/>
      <c r="D129" s="54"/>
    </row>
    <row r="130" spans="1:4" x14ac:dyDescent="0.25">
      <c r="A130" s="54"/>
      <c r="B130" s="54"/>
      <c r="C130" s="54"/>
      <c r="D130" s="54"/>
    </row>
    <row r="132" spans="1:4" x14ac:dyDescent="0.25">
      <c r="B132" s="54"/>
      <c r="C132" s="54"/>
      <c r="D132" s="54"/>
    </row>
    <row r="133" spans="1:4" x14ac:dyDescent="0.25">
      <c r="B133" s="54"/>
      <c r="C133" s="54"/>
      <c r="D133" s="54"/>
    </row>
    <row r="134" spans="1:4" x14ac:dyDescent="0.25">
      <c r="B134" s="54"/>
      <c r="C134" s="54"/>
      <c r="D134" s="54"/>
    </row>
  </sheetData>
  <mergeCells count="12">
    <mergeCell ref="A64:D64"/>
    <mergeCell ref="A4:D4"/>
    <mergeCell ref="A14:D14"/>
    <mergeCell ref="A22:D22"/>
    <mergeCell ref="A35:D35"/>
    <mergeCell ref="A43:D43"/>
    <mergeCell ref="A79:D79"/>
    <mergeCell ref="A93:D93"/>
    <mergeCell ref="A103:D103"/>
    <mergeCell ref="A118:D118"/>
    <mergeCell ref="F103:I103"/>
    <mergeCell ref="F118:I11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1"/>
  <sheetViews>
    <sheetView showGridLines="0" zoomScale="90" zoomScaleNormal="90" workbookViewId="0"/>
  </sheetViews>
  <sheetFormatPr baseColWidth="10" defaultColWidth="33.140625" defaultRowHeight="12.75" x14ac:dyDescent="0.2"/>
  <cols>
    <col min="1" max="1" width="30.7109375" style="3" customWidth="1"/>
    <col min="2" max="5" width="15.7109375" style="6" customWidth="1"/>
    <col min="6" max="6" width="30.7109375" style="6" customWidth="1"/>
    <col min="7" max="9" width="15.7109375" style="3" customWidth="1"/>
    <col min="10" max="10" width="10.85546875" style="3" customWidth="1"/>
    <col min="11" max="41" width="15.7109375" style="3" customWidth="1"/>
    <col min="42" max="16384" width="33.140625" style="3"/>
  </cols>
  <sheetData>
    <row r="1" spans="1:10" ht="18.75" x14ac:dyDescent="0.3">
      <c r="A1" s="1" t="s">
        <v>194</v>
      </c>
    </row>
    <row r="3" spans="1:10" x14ac:dyDescent="0.2">
      <c r="A3" s="2" t="s">
        <v>95</v>
      </c>
      <c r="F3" s="2" t="s">
        <v>97</v>
      </c>
      <c r="G3" s="6"/>
      <c r="H3" s="6"/>
      <c r="I3" s="6"/>
    </row>
    <row r="4" spans="1:10" x14ac:dyDescent="0.2">
      <c r="A4" s="146" t="s">
        <v>226</v>
      </c>
      <c r="B4" s="146"/>
      <c r="C4" s="146"/>
      <c r="D4" s="146"/>
      <c r="F4" s="146" t="s">
        <v>227</v>
      </c>
      <c r="G4" s="146"/>
      <c r="H4" s="146"/>
      <c r="I4" s="146"/>
    </row>
    <row r="5" spans="1:10" x14ac:dyDescent="0.2">
      <c r="A5" s="8" t="s">
        <v>65</v>
      </c>
      <c r="B5" s="8" t="s">
        <v>0</v>
      </c>
      <c r="C5" s="8" t="s">
        <v>1</v>
      </c>
      <c r="D5" s="8" t="s">
        <v>59</v>
      </c>
      <c r="F5" s="8" t="s">
        <v>65</v>
      </c>
      <c r="G5" s="8" t="s">
        <v>0</v>
      </c>
      <c r="H5" s="8" t="s">
        <v>1</v>
      </c>
      <c r="I5" s="8" t="s">
        <v>59</v>
      </c>
    </row>
    <row r="6" spans="1:10" x14ac:dyDescent="0.2">
      <c r="A6" s="25">
        <v>2012</v>
      </c>
      <c r="B6" s="4">
        <v>3019530</v>
      </c>
      <c r="C6" s="4">
        <v>1104417</v>
      </c>
      <c r="D6" s="23">
        <v>4123947</v>
      </c>
      <c r="E6" s="54"/>
      <c r="F6" s="25">
        <v>2012</v>
      </c>
      <c r="G6" s="4">
        <v>36329673</v>
      </c>
      <c r="H6" s="4">
        <v>10830894</v>
      </c>
      <c r="I6" s="23">
        <v>47160567</v>
      </c>
      <c r="J6" s="54"/>
    </row>
    <row r="7" spans="1:10" x14ac:dyDescent="0.2">
      <c r="A7" s="25">
        <v>2013</v>
      </c>
      <c r="B7" s="5">
        <v>3099951</v>
      </c>
      <c r="C7" s="5">
        <v>1249224</v>
      </c>
      <c r="D7" s="14">
        <v>4349175</v>
      </c>
      <c r="E7" s="54"/>
      <c r="F7" s="25">
        <v>2013</v>
      </c>
      <c r="G7" s="5">
        <v>37162319</v>
      </c>
      <c r="H7" s="5">
        <v>12356710</v>
      </c>
      <c r="I7" s="14">
        <v>49519029</v>
      </c>
      <c r="J7" s="54"/>
    </row>
    <row r="8" spans="1:10" x14ac:dyDescent="0.2">
      <c r="A8" s="25">
        <v>2014</v>
      </c>
      <c r="B8" s="5">
        <v>3210803</v>
      </c>
      <c r="C8" s="5">
        <v>1311658</v>
      </c>
      <c r="D8" s="14">
        <v>4522461</v>
      </c>
      <c r="E8" s="54"/>
      <c r="F8" s="25">
        <v>2014</v>
      </c>
      <c r="G8" s="5">
        <v>39235458</v>
      </c>
      <c r="H8" s="5">
        <v>13125650</v>
      </c>
      <c r="I8" s="14">
        <v>52361108</v>
      </c>
      <c r="J8" s="54"/>
    </row>
    <row r="9" spans="1:10" x14ac:dyDescent="0.2">
      <c r="A9" s="25">
        <v>2015</v>
      </c>
      <c r="B9" s="5">
        <v>3341885</v>
      </c>
      <c r="C9" s="5">
        <v>1402972</v>
      </c>
      <c r="D9" s="14">
        <v>4744857</v>
      </c>
      <c r="E9" s="54"/>
      <c r="F9" s="25">
        <v>2015</v>
      </c>
      <c r="G9" s="5">
        <v>42577491</v>
      </c>
      <c r="H9" s="5">
        <v>14198125</v>
      </c>
      <c r="I9" s="14">
        <v>56775616</v>
      </c>
      <c r="J9" s="54"/>
    </row>
    <row r="10" spans="1:10" x14ac:dyDescent="0.2">
      <c r="A10" s="27">
        <v>2016</v>
      </c>
      <c r="B10" s="15">
        <v>3563432</v>
      </c>
      <c r="C10" s="15">
        <v>1463628</v>
      </c>
      <c r="D10" s="26">
        <v>5027060</v>
      </c>
      <c r="E10" s="54"/>
      <c r="F10" s="27">
        <v>2016</v>
      </c>
      <c r="G10" s="15">
        <v>46810880</v>
      </c>
      <c r="H10" s="15">
        <v>14893358</v>
      </c>
      <c r="I10" s="26">
        <v>61704238</v>
      </c>
      <c r="J10" s="54"/>
    </row>
    <row r="11" spans="1:10" x14ac:dyDescent="0.2">
      <c r="B11" s="98"/>
      <c r="C11" s="98"/>
      <c r="E11" s="54"/>
      <c r="J11" s="54"/>
    </row>
    <row r="12" spans="1:10" x14ac:dyDescent="0.2">
      <c r="E12" s="54"/>
      <c r="J12" s="54"/>
    </row>
    <row r="13" spans="1:10" x14ac:dyDescent="0.2">
      <c r="A13" s="2" t="s">
        <v>96</v>
      </c>
      <c r="E13" s="54"/>
      <c r="F13" s="2" t="s">
        <v>98</v>
      </c>
      <c r="J13" s="54"/>
    </row>
    <row r="14" spans="1:10" x14ac:dyDescent="0.2">
      <c r="A14" s="146" t="s">
        <v>228</v>
      </c>
      <c r="B14" s="146"/>
      <c r="C14" s="146"/>
      <c r="D14" s="146"/>
      <c r="E14" s="54"/>
      <c r="F14" s="146" t="s">
        <v>229</v>
      </c>
      <c r="G14" s="146"/>
      <c r="H14" s="146"/>
      <c r="I14" s="146"/>
      <c r="J14" s="54"/>
    </row>
    <row r="15" spans="1:10" x14ac:dyDescent="0.2">
      <c r="A15" s="8" t="s">
        <v>66</v>
      </c>
      <c r="B15" s="8" t="s">
        <v>0</v>
      </c>
      <c r="C15" s="8" t="s">
        <v>1</v>
      </c>
      <c r="D15" s="8" t="s">
        <v>59</v>
      </c>
      <c r="E15" s="54"/>
      <c r="F15" s="8" t="s">
        <v>66</v>
      </c>
      <c r="G15" s="8" t="s">
        <v>0</v>
      </c>
      <c r="H15" s="8" t="s">
        <v>1</v>
      </c>
      <c r="I15" s="8" t="s">
        <v>59</v>
      </c>
      <c r="J15" s="54"/>
    </row>
    <row r="16" spans="1:10" x14ac:dyDescent="0.2">
      <c r="A16" s="22" t="s">
        <v>5</v>
      </c>
      <c r="B16" s="4">
        <v>1321088</v>
      </c>
      <c r="C16" s="4">
        <v>685619</v>
      </c>
      <c r="D16" s="23">
        <v>2006707</v>
      </c>
      <c r="E16" s="54"/>
      <c r="F16" s="22" t="s">
        <v>5</v>
      </c>
      <c r="G16" s="4">
        <v>18688440</v>
      </c>
      <c r="H16" s="4">
        <v>7123383</v>
      </c>
      <c r="I16" s="23">
        <v>25811823</v>
      </c>
      <c r="J16" s="54"/>
    </row>
    <row r="17" spans="1:10" x14ac:dyDescent="0.2">
      <c r="A17" s="25" t="s">
        <v>6</v>
      </c>
      <c r="B17" s="5">
        <v>2242344</v>
      </c>
      <c r="C17" s="5">
        <v>778009</v>
      </c>
      <c r="D17" s="14">
        <v>3020353</v>
      </c>
      <c r="E17" s="54"/>
      <c r="F17" s="25" t="s">
        <v>6</v>
      </c>
      <c r="G17" s="5">
        <v>28122440</v>
      </c>
      <c r="H17" s="5">
        <v>7769975</v>
      </c>
      <c r="I17" s="14">
        <v>35892415</v>
      </c>
      <c r="J17" s="54"/>
    </row>
    <row r="18" spans="1:10" x14ac:dyDescent="0.2">
      <c r="A18" s="29" t="s">
        <v>60</v>
      </c>
      <c r="B18" s="58">
        <v>3563432</v>
      </c>
      <c r="C18" s="58">
        <v>1463628</v>
      </c>
      <c r="D18" s="110">
        <v>5027060</v>
      </c>
      <c r="E18" s="54"/>
      <c r="F18" s="29" t="s">
        <v>60</v>
      </c>
      <c r="G18" s="58">
        <v>46810880</v>
      </c>
      <c r="H18" s="58">
        <v>14893358</v>
      </c>
      <c r="I18" s="110">
        <v>61704238</v>
      </c>
      <c r="J18" s="54"/>
    </row>
    <row r="19" spans="1:10" x14ac:dyDescent="0.2">
      <c r="E19" s="54"/>
      <c r="J19" s="54"/>
    </row>
    <row r="20" spans="1:10" x14ac:dyDescent="0.2">
      <c r="E20" s="54"/>
      <c r="J20" s="54"/>
    </row>
    <row r="21" spans="1:10" x14ac:dyDescent="0.2">
      <c r="A21" s="2" t="s">
        <v>119</v>
      </c>
      <c r="E21" s="54"/>
      <c r="F21" s="2" t="s">
        <v>122</v>
      </c>
      <c r="J21" s="54"/>
    </row>
    <row r="22" spans="1:10" x14ac:dyDescent="0.2">
      <c r="A22" s="146" t="s">
        <v>382</v>
      </c>
      <c r="B22" s="146"/>
      <c r="C22" s="146"/>
      <c r="D22" s="146"/>
      <c r="E22" s="54"/>
      <c r="F22" s="146" t="s">
        <v>383</v>
      </c>
      <c r="G22" s="146"/>
      <c r="H22" s="146"/>
      <c r="I22" s="146"/>
      <c r="J22" s="54"/>
    </row>
    <row r="23" spans="1:10" x14ac:dyDescent="0.2">
      <c r="A23" s="8" t="s">
        <v>67</v>
      </c>
      <c r="B23" s="8" t="s">
        <v>0</v>
      </c>
      <c r="C23" s="8" t="s">
        <v>1</v>
      </c>
      <c r="D23" s="8" t="s">
        <v>59</v>
      </c>
      <c r="E23" s="54"/>
      <c r="F23" s="8" t="s">
        <v>67</v>
      </c>
      <c r="G23" s="8" t="s">
        <v>0</v>
      </c>
      <c r="H23" s="8" t="s">
        <v>1</v>
      </c>
      <c r="I23" s="8" t="s">
        <v>59</v>
      </c>
      <c r="J23" s="54"/>
    </row>
    <row r="24" spans="1:10" x14ac:dyDescent="0.2">
      <c r="A24" s="22" t="s">
        <v>53</v>
      </c>
      <c r="B24" s="4">
        <v>31596</v>
      </c>
      <c r="C24" s="4">
        <v>2616.0518338697962</v>
      </c>
      <c r="D24" s="4">
        <v>34212.051833869795</v>
      </c>
      <c r="E24" s="54"/>
      <c r="F24" s="22" t="s">
        <v>53</v>
      </c>
      <c r="G24" s="4">
        <v>278449</v>
      </c>
      <c r="H24" s="4">
        <v>19542.548485121137</v>
      </c>
      <c r="I24" s="4">
        <v>297991.54848512111</v>
      </c>
      <c r="J24" s="54"/>
    </row>
    <row r="25" spans="1:10" x14ac:dyDescent="0.2">
      <c r="A25" s="25" t="s">
        <v>2</v>
      </c>
      <c r="B25" s="5">
        <v>302557</v>
      </c>
      <c r="C25" s="5">
        <v>64574.279460425976</v>
      </c>
      <c r="D25" s="5">
        <v>367131.27946042595</v>
      </c>
      <c r="E25" s="54"/>
      <c r="F25" s="25" t="s">
        <v>2</v>
      </c>
      <c r="G25" s="5">
        <v>3072045</v>
      </c>
      <c r="H25" s="5">
        <v>510793.33602915209</v>
      </c>
      <c r="I25" s="5">
        <v>3582838.3360291519</v>
      </c>
      <c r="J25" s="54"/>
    </row>
    <row r="26" spans="1:10" x14ac:dyDescent="0.2">
      <c r="A26" s="25" t="s">
        <v>54</v>
      </c>
      <c r="B26" s="5">
        <v>1045488</v>
      </c>
      <c r="C26" s="5">
        <v>523318.36891388969</v>
      </c>
      <c r="D26" s="5">
        <v>1568806.3689138896</v>
      </c>
      <c r="E26" s="54"/>
      <c r="F26" s="25" t="s">
        <v>54</v>
      </c>
      <c r="G26" s="5">
        <v>12020944</v>
      </c>
      <c r="H26" s="5">
        <v>4633217.0368071049</v>
      </c>
      <c r="I26" s="5">
        <v>16654161.036807105</v>
      </c>
      <c r="J26" s="54"/>
    </row>
    <row r="27" spans="1:10" x14ac:dyDescent="0.2">
      <c r="A27" s="25" t="s">
        <v>55</v>
      </c>
      <c r="B27" s="5">
        <v>831545</v>
      </c>
      <c r="C27" s="5">
        <v>417428.27083101316</v>
      </c>
      <c r="D27" s="5">
        <v>1248973.2708310131</v>
      </c>
      <c r="E27" s="54"/>
      <c r="F27" s="25" t="s">
        <v>55</v>
      </c>
      <c r="G27" s="5">
        <v>10514182</v>
      </c>
      <c r="H27" s="5">
        <v>4240291.0088656778</v>
      </c>
      <c r="I27" s="5">
        <v>14754473.008865677</v>
      </c>
      <c r="J27" s="54"/>
    </row>
    <row r="28" spans="1:10" x14ac:dyDescent="0.2">
      <c r="A28" s="25" t="s">
        <v>56</v>
      </c>
      <c r="B28" s="5">
        <v>722725</v>
      </c>
      <c r="C28" s="5">
        <v>253908.03087730997</v>
      </c>
      <c r="D28" s="5">
        <v>976633.03087730997</v>
      </c>
      <c r="E28" s="54"/>
      <c r="F28" s="25" t="s">
        <v>56</v>
      </c>
      <c r="G28" s="5">
        <v>10236412</v>
      </c>
      <c r="H28" s="5">
        <v>2834135.5434217826</v>
      </c>
      <c r="I28" s="5">
        <v>13070547.543421783</v>
      </c>
      <c r="J28" s="54"/>
    </row>
    <row r="29" spans="1:10" x14ac:dyDescent="0.2">
      <c r="A29" s="25" t="s">
        <v>57</v>
      </c>
      <c r="B29" s="5">
        <v>492432</v>
      </c>
      <c r="C29" s="5">
        <v>170437.37700831989</v>
      </c>
      <c r="D29" s="5">
        <v>662869.37700831983</v>
      </c>
      <c r="E29" s="54"/>
      <c r="F29" s="25" t="s">
        <v>57</v>
      </c>
      <c r="G29" s="5">
        <v>8125625</v>
      </c>
      <c r="H29" s="5">
        <v>2184499.3105997876</v>
      </c>
      <c r="I29" s="5">
        <v>10310124.310599787</v>
      </c>
      <c r="J29" s="54"/>
    </row>
    <row r="30" spans="1:10" x14ac:dyDescent="0.2">
      <c r="A30" s="25" t="s">
        <v>3</v>
      </c>
      <c r="B30" s="5">
        <v>137089</v>
      </c>
      <c r="C30" s="5">
        <v>31345.621075171548</v>
      </c>
      <c r="D30" s="5">
        <v>168434.62107517154</v>
      </c>
      <c r="E30" s="54"/>
      <c r="F30" s="25" t="s">
        <v>3</v>
      </c>
      <c r="G30" s="5">
        <v>2563223</v>
      </c>
      <c r="H30" s="5">
        <v>470879.21579137497</v>
      </c>
      <c r="I30" s="5">
        <v>3034102.2157913749</v>
      </c>
      <c r="J30" s="54"/>
    </row>
    <row r="31" spans="1:10" x14ac:dyDescent="0.2">
      <c r="A31" s="29" t="s">
        <v>60</v>
      </c>
      <c r="B31" s="58">
        <v>3563432</v>
      </c>
      <c r="C31" s="58">
        <v>1463628</v>
      </c>
      <c r="D31" s="58">
        <v>5027060</v>
      </c>
      <c r="E31" s="54"/>
      <c r="F31" s="29" t="s">
        <v>60</v>
      </c>
      <c r="G31" s="58">
        <v>46810880</v>
      </c>
      <c r="H31" s="58">
        <v>14893358</v>
      </c>
      <c r="I31" s="58">
        <v>61704238</v>
      </c>
      <c r="J31" s="54"/>
    </row>
    <row r="32" spans="1:10" x14ac:dyDescent="0.2">
      <c r="B32" s="98"/>
      <c r="C32" s="98"/>
      <c r="E32" s="54"/>
      <c r="J32" s="54"/>
    </row>
    <row r="33" spans="1:10" x14ac:dyDescent="0.2">
      <c r="E33" s="54"/>
      <c r="J33" s="54"/>
    </row>
    <row r="34" spans="1:10" x14ac:dyDescent="0.2">
      <c r="A34" s="2" t="s">
        <v>120</v>
      </c>
      <c r="E34" s="54"/>
      <c r="F34" s="2" t="s">
        <v>123</v>
      </c>
      <c r="J34" s="54"/>
    </row>
    <row r="35" spans="1:10" x14ac:dyDescent="0.2">
      <c r="A35" s="146" t="s">
        <v>250</v>
      </c>
      <c r="B35" s="146"/>
      <c r="C35" s="146"/>
      <c r="D35" s="146"/>
      <c r="E35" s="54"/>
      <c r="F35" s="146" t="s">
        <v>384</v>
      </c>
      <c r="G35" s="146"/>
      <c r="H35" s="146"/>
      <c r="I35" s="146"/>
      <c r="J35" s="54"/>
    </row>
    <row r="36" spans="1:10" x14ac:dyDescent="0.2">
      <c r="A36" s="8" t="s">
        <v>68</v>
      </c>
      <c r="B36" s="8" t="s">
        <v>0</v>
      </c>
      <c r="C36" s="8" t="s">
        <v>1</v>
      </c>
      <c r="D36" s="8" t="s">
        <v>59</v>
      </c>
      <c r="E36" s="54"/>
      <c r="F36" s="8" t="s">
        <v>68</v>
      </c>
      <c r="G36" s="8" t="s">
        <v>0</v>
      </c>
      <c r="H36" s="8" t="s">
        <v>1</v>
      </c>
      <c r="I36" s="8" t="s">
        <v>59</v>
      </c>
      <c r="J36" s="54"/>
    </row>
    <row r="37" spans="1:10" x14ac:dyDescent="0.2">
      <c r="A37" s="22" t="s">
        <v>29</v>
      </c>
      <c r="B37" s="4">
        <v>3030530</v>
      </c>
      <c r="C37" s="4">
        <v>1044778</v>
      </c>
      <c r="D37" s="4">
        <v>4075308</v>
      </c>
      <c r="E37" s="54"/>
      <c r="F37" s="22" t="s">
        <v>29</v>
      </c>
      <c r="G37" s="4">
        <v>41065816</v>
      </c>
      <c r="H37" s="4">
        <v>11466281</v>
      </c>
      <c r="I37" s="4">
        <v>52532097</v>
      </c>
      <c r="J37" s="54"/>
    </row>
    <row r="38" spans="1:10" x14ac:dyDescent="0.2">
      <c r="A38" s="25" t="s">
        <v>30</v>
      </c>
      <c r="B38" s="5">
        <v>519544</v>
      </c>
      <c r="C38" s="5">
        <v>411477</v>
      </c>
      <c r="D38" s="5">
        <v>931021</v>
      </c>
      <c r="E38" s="54"/>
      <c r="F38" s="25" t="s">
        <v>30</v>
      </c>
      <c r="G38" s="5">
        <v>5451000</v>
      </c>
      <c r="H38" s="5">
        <v>3296714</v>
      </c>
      <c r="I38" s="5">
        <v>8747714</v>
      </c>
      <c r="J38" s="54"/>
    </row>
    <row r="39" spans="1:10" x14ac:dyDescent="0.2">
      <c r="A39" s="25" t="s">
        <v>4</v>
      </c>
      <c r="B39" s="5">
        <v>13358</v>
      </c>
      <c r="C39" s="5">
        <v>7373</v>
      </c>
      <c r="D39" s="5">
        <v>20731</v>
      </c>
      <c r="E39" s="54"/>
      <c r="F39" s="25" t="s">
        <v>4</v>
      </c>
      <c r="G39" s="5">
        <v>294064</v>
      </c>
      <c r="H39" s="5">
        <v>130363</v>
      </c>
      <c r="I39" s="5">
        <v>424427</v>
      </c>
      <c r="J39" s="54"/>
    </row>
    <row r="40" spans="1:10" x14ac:dyDescent="0.2">
      <c r="A40" s="29" t="s">
        <v>60</v>
      </c>
      <c r="B40" s="58">
        <v>3563432</v>
      </c>
      <c r="C40" s="58">
        <v>1463628</v>
      </c>
      <c r="D40" s="58">
        <v>5027060</v>
      </c>
      <c r="E40" s="54"/>
      <c r="F40" s="29" t="s">
        <v>60</v>
      </c>
      <c r="G40" s="58">
        <v>46810880</v>
      </c>
      <c r="H40" s="58">
        <v>14893358</v>
      </c>
      <c r="I40" s="58">
        <v>61704238</v>
      </c>
      <c r="J40" s="54"/>
    </row>
    <row r="41" spans="1:10" x14ac:dyDescent="0.2">
      <c r="E41" s="54"/>
      <c r="J41" s="54"/>
    </row>
    <row r="42" spans="1:10" x14ac:dyDescent="0.2">
      <c r="E42" s="54"/>
      <c r="J42" s="54"/>
    </row>
    <row r="43" spans="1:10" x14ac:dyDescent="0.2">
      <c r="A43" s="7" t="s">
        <v>121</v>
      </c>
      <c r="E43" s="54"/>
      <c r="F43" s="2" t="s">
        <v>124</v>
      </c>
      <c r="J43" s="54"/>
    </row>
    <row r="44" spans="1:10" x14ac:dyDescent="0.2">
      <c r="A44" s="146" t="s">
        <v>385</v>
      </c>
      <c r="B44" s="146"/>
      <c r="C44" s="146"/>
      <c r="D44" s="146"/>
      <c r="E44" s="54"/>
      <c r="F44" s="146" t="s">
        <v>386</v>
      </c>
      <c r="G44" s="146"/>
      <c r="H44" s="146"/>
      <c r="I44" s="146"/>
      <c r="J44" s="54"/>
    </row>
    <row r="45" spans="1:10" x14ac:dyDescent="0.2">
      <c r="A45" s="8" t="s">
        <v>208</v>
      </c>
      <c r="B45" s="8" t="s">
        <v>0</v>
      </c>
      <c r="C45" s="8" t="s">
        <v>1</v>
      </c>
      <c r="D45" s="8" t="s">
        <v>59</v>
      </c>
      <c r="E45" s="54"/>
      <c r="F45" s="8" t="s">
        <v>208</v>
      </c>
      <c r="G45" s="8" t="s">
        <v>0</v>
      </c>
      <c r="H45" s="8" t="s">
        <v>1</v>
      </c>
      <c r="I45" s="8" t="s">
        <v>59</v>
      </c>
      <c r="J45" s="54"/>
    </row>
    <row r="46" spans="1:10" x14ac:dyDescent="0.2">
      <c r="A46" s="30" t="s">
        <v>14</v>
      </c>
      <c r="B46" s="4">
        <v>33132</v>
      </c>
      <c r="C46" s="4">
        <v>9969.6108565420036</v>
      </c>
      <c r="D46" s="4">
        <v>43101.610856542</v>
      </c>
      <c r="E46" s="54"/>
      <c r="F46" s="30" t="s">
        <v>14</v>
      </c>
      <c r="G46" s="4">
        <v>327474</v>
      </c>
      <c r="H46" s="4">
        <v>86199.549715994581</v>
      </c>
      <c r="I46" s="4">
        <v>413673.54971599457</v>
      </c>
      <c r="J46" s="54"/>
    </row>
    <row r="47" spans="1:10" x14ac:dyDescent="0.2">
      <c r="A47" s="31" t="s">
        <v>15</v>
      </c>
      <c r="B47" s="5">
        <v>58196</v>
      </c>
      <c r="C47" s="5">
        <v>25685.945506024855</v>
      </c>
      <c r="D47" s="5">
        <v>83881.945506024858</v>
      </c>
      <c r="E47" s="54"/>
      <c r="F47" s="31" t="s">
        <v>15</v>
      </c>
      <c r="G47" s="5">
        <v>795951</v>
      </c>
      <c r="H47" s="5">
        <v>320445.18906191195</v>
      </c>
      <c r="I47" s="5">
        <v>1116396.189061912</v>
      </c>
      <c r="J47" s="54"/>
    </row>
    <row r="48" spans="1:10" x14ac:dyDescent="0.2">
      <c r="A48" s="31" t="s">
        <v>16</v>
      </c>
      <c r="B48" s="5">
        <v>106741</v>
      </c>
      <c r="C48" s="5">
        <v>62275.205540945739</v>
      </c>
      <c r="D48" s="5">
        <v>169016.20554094575</v>
      </c>
      <c r="E48" s="54"/>
      <c r="F48" s="31" t="s">
        <v>16</v>
      </c>
      <c r="G48" s="5">
        <v>1410837</v>
      </c>
      <c r="H48" s="5">
        <v>731421.93418925651</v>
      </c>
      <c r="I48" s="5">
        <v>2142258.9341892563</v>
      </c>
      <c r="J48" s="54"/>
    </row>
    <row r="49" spans="1:10" x14ac:dyDescent="0.2">
      <c r="A49" s="31" t="s">
        <v>17</v>
      </c>
      <c r="B49" s="5">
        <v>59924</v>
      </c>
      <c r="C49" s="5">
        <v>17345.263567052858</v>
      </c>
      <c r="D49" s="5">
        <v>77269.263567052854</v>
      </c>
      <c r="E49" s="54"/>
      <c r="F49" s="31" t="s">
        <v>17</v>
      </c>
      <c r="G49" s="5">
        <v>874600</v>
      </c>
      <c r="H49" s="5">
        <v>218204.98882317872</v>
      </c>
      <c r="I49" s="5">
        <v>1092804.9888231787</v>
      </c>
      <c r="J49" s="54"/>
    </row>
    <row r="50" spans="1:10" x14ac:dyDescent="0.2">
      <c r="A50" s="31" t="s">
        <v>18</v>
      </c>
      <c r="B50" s="5">
        <v>98200</v>
      </c>
      <c r="C50" s="5">
        <v>17787.863359792103</v>
      </c>
      <c r="D50" s="5">
        <v>115987.8633597921</v>
      </c>
      <c r="E50" s="54"/>
      <c r="F50" s="31" t="s">
        <v>18</v>
      </c>
      <c r="G50" s="5">
        <v>1427618</v>
      </c>
      <c r="H50" s="5">
        <v>217107.58763458766</v>
      </c>
      <c r="I50" s="5">
        <v>1644725.5876345877</v>
      </c>
      <c r="J50" s="54"/>
    </row>
    <row r="51" spans="1:10" x14ac:dyDescent="0.2">
      <c r="A51" s="31" t="s">
        <v>19</v>
      </c>
      <c r="B51" s="5">
        <v>256616</v>
      </c>
      <c r="C51" s="5">
        <v>81553.559070350602</v>
      </c>
      <c r="D51" s="5">
        <v>338169.5590703506</v>
      </c>
      <c r="E51" s="54"/>
      <c r="F51" s="31" t="s">
        <v>19</v>
      </c>
      <c r="G51" s="5">
        <v>3643521</v>
      </c>
      <c r="H51" s="5">
        <v>915658.01108271477</v>
      </c>
      <c r="I51" s="5">
        <v>4559179.0110827144</v>
      </c>
      <c r="J51" s="54"/>
    </row>
    <row r="52" spans="1:10" x14ac:dyDescent="0.2">
      <c r="A52" s="31" t="s">
        <v>20</v>
      </c>
      <c r="B52" s="5">
        <v>1922591</v>
      </c>
      <c r="C52" s="5">
        <v>945707.42335390986</v>
      </c>
      <c r="D52" s="5">
        <v>2868298.42335391</v>
      </c>
      <c r="E52" s="54"/>
      <c r="F52" s="31" t="s">
        <v>20</v>
      </c>
      <c r="G52" s="5">
        <v>24314474</v>
      </c>
      <c r="H52" s="5">
        <v>9050841.5653629061</v>
      </c>
      <c r="I52" s="5">
        <v>33365315.565362908</v>
      </c>
      <c r="J52" s="54"/>
    </row>
    <row r="53" spans="1:10" x14ac:dyDescent="0.2">
      <c r="A53" s="31" t="s">
        <v>21</v>
      </c>
      <c r="B53" s="5">
        <v>192249</v>
      </c>
      <c r="C53" s="5">
        <v>46792.296809551393</v>
      </c>
      <c r="D53" s="5">
        <v>239041.29680955139</v>
      </c>
      <c r="E53" s="54"/>
      <c r="F53" s="31" t="s">
        <v>21</v>
      </c>
      <c r="G53" s="5">
        <v>3239443</v>
      </c>
      <c r="H53" s="5">
        <v>600493.68630402279</v>
      </c>
      <c r="I53" s="5">
        <v>3839936.6863040226</v>
      </c>
      <c r="J53" s="54"/>
    </row>
    <row r="54" spans="1:10" x14ac:dyDescent="0.2">
      <c r="A54" s="31" t="s">
        <v>22</v>
      </c>
      <c r="B54" s="5">
        <v>142808</v>
      </c>
      <c r="C54" s="5">
        <v>34962.352120970689</v>
      </c>
      <c r="D54" s="5">
        <v>177770.3521209707</v>
      </c>
      <c r="E54" s="54"/>
      <c r="F54" s="31" t="s">
        <v>22</v>
      </c>
      <c r="G54" s="5">
        <v>1992468</v>
      </c>
      <c r="H54" s="5">
        <v>368140.71033400873</v>
      </c>
      <c r="I54" s="5">
        <v>2360608.7103340086</v>
      </c>
      <c r="J54" s="54"/>
    </row>
    <row r="55" spans="1:10" x14ac:dyDescent="0.2">
      <c r="A55" s="31" t="s">
        <v>23</v>
      </c>
      <c r="B55" s="5">
        <v>358113</v>
      </c>
      <c r="C55" s="5">
        <v>101410.93013683215</v>
      </c>
      <c r="D55" s="5">
        <v>459523.93013683218</v>
      </c>
      <c r="E55" s="54"/>
      <c r="F55" s="31" t="s">
        <v>23</v>
      </c>
      <c r="G55" s="5">
        <v>5010199</v>
      </c>
      <c r="H55" s="5">
        <v>1171254.4696862197</v>
      </c>
      <c r="I55" s="5">
        <v>6181453.4696862195</v>
      </c>
      <c r="J55" s="54"/>
    </row>
    <row r="56" spans="1:10" x14ac:dyDescent="0.2">
      <c r="A56" s="31" t="s">
        <v>24</v>
      </c>
      <c r="B56" s="5">
        <v>128931</v>
      </c>
      <c r="C56" s="5">
        <v>38960.907782772505</v>
      </c>
      <c r="D56" s="5">
        <v>167891.9077827725</v>
      </c>
      <c r="E56" s="54"/>
      <c r="F56" s="31" t="s">
        <v>24</v>
      </c>
      <c r="G56" s="5">
        <v>1546437</v>
      </c>
      <c r="H56" s="5">
        <v>412565.24850530515</v>
      </c>
      <c r="I56" s="5">
        <v>1959002.248505305</v>
      </c>
      <c r="J56" s="54"/>
    </row>
    <row r="57" spans="1:10" x14ac:dyDescent="0.2">
      <c r="A57" s="31" t="s">
        <v>25</v>
      </c>
      <c r="B57" s="5">
        <v>33049</v>
      </c>
      <c r="C57" s="5">
        <v>14929.153739565332</v>
      </c>
      <c r="D57" s="5">
        <v>47978.153739565329</v>
      </c>
      <c r="E57" s="54"/>
      <c r="F57" s="31" t="s">
        <v>25</v>
      </c>
      <c r="G57" s="5">
        <v>304892</v>
      </c>
      <c r="H57" s="5">
        <v>129738.8913484275</v>
      </c>
      <c r="I57" s="5">
        <v>434630.89134842751</v>
      </c>
      <c r="J57" s="54"/>
    </row>
    <row r="58" spans="1:10" x14ac:dyDescent="0.2">
      <c r="A58" s="31" t="s">
        <v>26</v>
      </c>
      <c r="B58" s="5">
        <v>131989</v>
      </c>
      <c r="C58" s="5">
        <v>46959.029608186043</v>
      </c>
      <c r="D58" s="5">
        <v>178948.02960818604</v>
      </c>
      <c r="E58" s="54"/>
      <c r="F58" s="31" t="s">
        <v>26</v>
      </c>
      <c r="G58" s="5">
        <v>1398593</v>
      </c>
      <c r="H58" s="5">
        <v>451419.91987041943</v>
      </c>
      <c r="I58" s="5">
        <v>1850012.9198704194</v>
      </c>
      <c r="J58" s="54"/>
    </row>
    <row r="59" spans="1:10" x14ac:dyDescent="0.2">
      <c r="A59" s="31" t="s">
        <v>27</v>
      </c>
      <c r="B59" s="5">
        <v>15095</v>
      </c>
      <c r="C59" s="5">
        <v>5448.625759018294</v>
      </c>
      <c r="D59" s="5">
        <v>20543.625759018294</v>
      </c>
      <c r="E59" s="54"/>
      <c r="F59" s="31" t="s">
        <v>27</v>
      </c>
      <c r="G59" s="5">
        <v>175667</v>
      </c>
      <c r="H59" s="5">
        <v>54405.230196815486</v>
      </c>
      <c r="I59" s="5">
        <v>230072.23019681548</v>
      </c>
      <c r="J59" s="54"/>
    </row>
    <row r="60" spans="1:10" x14ac:dyDescent="0.2">
      <c r="A60" s="31" t="s">
        <v>28</v>
      </c>
      <c r="B60" s="5">
        <v>25798</v>
      </c>
      <c r="C60" s="5">
        <v>13839.832788485637</v>
      </c>
      <c r="D60" s="5">
        <v>39637.832788485641</v>
      </c>
      <c r="E60" s="54"/>
      <c r="F60" s="31" t="s">
        <v>28</v>
      </c>
      <c r="G60" s="5">
        <v>348706</v>
      </c>
      <c r="H60" s="5">
        <v>165461.01788423033</v>
      </c>
      <c r="I60" s="5">
        <v>514167.01788423036</v>
      </c>
      <c r="J60" s="54"/>
    </row>
    <row r="61" spans="1:10" x14ac:dyDescent="0.2">
      <c r="A61" s="29" t="s">
        <v>60</v>
      </c>
      <c r="B61" s="58">
        <v>3563432</v>
      </c>
      <c r="C61" s="58">
        <v>1463628</v>
      </c>
      <c r="D61" s="58">
        <v>5027060.0000000009</v>
      </c>
      <c r="E61" s="54"/>
      <c r="F61" s="29" t="s">
        <v>60</v>
      </c>
      <c r="G61" s="58">
        <v>46810880</v>
      </c>
      <c r="H61" s="58">
        <v>14893358</v>
      </c>
      <c r="I61" s="58">
        <v>61704238.000000007</v>
      </c>
      <c r="J61" s="54"/>
    </row>
    <row r="62" spans="1:10" x14ac:dyDescent="0.2">
      <c r="E62" s="54"/>
      <c r="J62" s="54"/>
    </row>
    <row r="63" spans="1:10" x14ac:dyDescent="0.2">
      <c r="E63" s="54"/>
      <c r="J63" s="54"/>
    </row>
    <row r="64" spans="1:10" x14ac:dyDescent="0.2">
      <c r="A64" s="7" t="s">
        <v>133</v>
      </c>
      <c r="E64" s="54"/>
      <c r="F64" s="2" t="s">
        <v>134</v>
      </c>
      <c r="J64" s="54"/>
    </row>
    <row r="65" spans="1:10" x14ac:dyDescent="0.2">
      <c r="A65" s="146" t="s">
        <v>387</v>
      </c>
      <c r="B65" s="146"/>
      <c r="C65" s="146"/>
      <c r="D65" s="146"/>
      <c r="E65" s="54"/>
      <c r="F65" s="146" t="s">
        <v>388</v>
      </c>
      <c r="G65" s="146"/>
      <c r="H65" s="146"/>
      <c r="I65" s="146"/>
      <c r="J65" s="54"/>
    </row>
    <row r="66" spans="1:10" x14ac:dyDescent="0.2">
      <c r="A66" s="8" t="s">
        <v>210</v>
      </c>
      <c r="B66" s="8" t="s">
        <v>0</v>
      </c>
      <c r="C66" s="8" t="s">
        <v>1</v>
      </c>
      <c r="D66" s="8" t="s">
        <v>59</v>
      </c>
      <c r="E66" s="54"/>
      <c r="F66" s="8" t="s">
        <v>210</v>
      </c>
      <c r="G66" s="8" t="s">
        <v>0</v>
      </c>
      <c r="H66" s="8" t="s">
        <v>1</v>
      </c>
      <c r="I66" s="8" t="s">
        <v>59</v>
      </c>
      <c r="J66" s="54"/>
    </row>
    <row r="67" spans="1:10" x14ac:dyDescent="0.2">
      <c r="A67" s="31" t="s">
        <v>61</v>
      </c>
      <c r="B67" s="4">
        <v>3247409.37920568</v>
      </c>
      <c r="C67" s="4">
        <v>1072112</v>
      </c>
      <c r="D67" s="4">
        <v>4319521.3792056795</v>
      </c>
      <c r="E67" s="54"/>
      <c r="F67" s="31" t="s">
        <v>61</v>
      </c>
      <c r="G67" s="4">
        <v>40592068.401041299</v>
      </c>
      <c r="H67" s="4">
        <v>8845966</v>
      </c>
      <c r="I67" s="4">
        <v>49438034.401041299</v>
      </c>
      <c r="J67" s="54"/>
    </row>
    <row r="68" spans="1:10" x14ac:dyDescent="0.2">
      <c r="A68" s="31" t="s">
        <v>62</v>
      </c>
      <c r="B68" s="5">
        <v>101157.1987130359</v>
      </c>
      <c r="C68" s="5">
        <v>161776</v>
      </c>
      <c r="D68" s="5">
        <v>262933.1987130359</v>
      </c>
      <c r="E68" s="54"/>
      <c r="F68" s="31" t="s">
        <v>62</v>
      </c>
      <c r="G68" s="5">
        <v>2045833.118591161</v>
      </c>
      <c r="H68" s="5">
        <v>2373073</v>
      </c>
      <c r="I68" s="5">
        <v>4418906.1185911605</v>
      </c>
      <c r="J68" s="54"/>
    </row>
    <row r="69" spans="1:10" x14ac:dyDescent="0.2">
      <c r="A69" s="31" t="s">
        <v>7</v>
      </c>
      <c r="B69" s="5">
        <v>191527.37623606503</v>
      </c>
      <c r="C69" s="5">
        <v>229740</v>
      </c>
      <c r="D69" s="5">
        <v>421267.37623606506</v>
      </c>
      <c r="E69" s="54"/>
      <c r="F69" s="31" t="s">
        <v>7</v>
      </c>
      <c r="G69" s="5">
        <v>3695690.0529134981</v>
      </c>
      <c r="H69" s="5">
        <v>3674319</v>
      </c>
      <c r="I69" s="5">
        <v>7370009.0529134981</v>
      </c>
      <c r="J69" s="54"/>
    </row>
    <row r="70" spans="1:10" x14ac:dyDescent="0.2">
      <c r="A70" s="31" t="s">
        <v>8</v>
      </c>
      <c r="B70" s="5">
        <v>23338.045845219138</v>
      </c>
      <c r="C70" s="118">
        <v>0</v>
      </c>
      <c r="D70" s="5">
        <v>23338.045845219138</v>
      </c>
      <c r="E70" s="54"/>
      <c r="F70" s="31" t="s">
        <v>8</v>
      </c>
      <c r="G70" s="5">
        <v>477288.42745404155</v>
      </c>
      <c r="H70" s="118">
        <v>0</v>
      </c>
      <c r="I70" s="5">
        <v>477288.42745404155</v>
      </c>
      <c r="J70" s="54"/>
    </row>
    <row r="71" spans="1:10" x14ac:dyDescent="0.2">
      <c r="A71" s="29" t="s">
        <v>60</v>
      </c>
      <c r="B71" s="58">
        <v>3563431.9999999995</v>
      </c>
      <c r="C71" s="58">
        <v>1463628</v>
      </c>
      <c r="D71" s="58">
        <v>5027060</v>
      </c>
      <c r="E71" s="54"/>
      <c r="F71" s="29" t="s">
        <v>60</v>
      </c>
      <c r="G71" s="58">
        <v>46810880</v>
      </c>
      <c r="H71" s="58">
        <v>14893358</v>
      </c>
      <c r="I71" s="58">
        <v>61704238</v>
      </c>
      <c r="J71" s="54"/>
    </row>
  </sheetData>
  <mergeCells count="12">
    <mergeCell ref="A4:D4"/>
    <mergeCell ref="A14:D14"/>
    <mergeCell ref="F4:I4"/>
    <mergeCell ref="F14:I14"/>
    <mergeCell ref="F22:I22"/>
    <mergeCell ref="A22:D22"/>
    <mergeCell ref="A35:D35"/>
    <mergeCell ref="F35:I35"/>
    <mergeCell ref="F44:I44"/>
    <mergeCell ref="A44:D44"/>
    <mergeCell ref="A65:D65"/>
    <mergeCell ref="F65:I6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6"/>
  <sheetViews>
    <sheetView showGridLines="0" topLeftCell="A41" zoomScale="90" zoomScaleNormal="90" workbookViewId="0">
      <selection activeCell="C16" sqref="C16:C17"/>
    </sheetView>
  </sheetViews>
  <sheetFormatPr baseColWidth="10" defaultColWidth="33.140625" defaultRowHeight="12.75" x14ac:dyDescent="0.2"/>
  <cols>
    <col min="1" max="1" width="30.7109375" style="3" customWidth="1"/>
    <col min="2" max="5" width="15.7109375" style="6" customWidth="1"/>
    <col min="6" max="6" width="30.7109375" style="6" customWidth="1"/>
    <col min="7" max="33" width="15.7109375" style="3" customWidth="1"/>
    <col min="34" max="16384" width="33.140625" style="3"/>
  </cols>
  <sheetData>
    <row r="1" spans="1:10" ht="18.75" x14ac:dyDescent="0.3">
      <c r="A1" s="1" t="s">
        <v>195</v>
      </c>
    </row>
    <row r="2" spans="1:10" ht="18.75" x14ac:dyDescent="0.3">
      <c r="A2" s="1"/>
    </row>
    <row r="3" spans="1:10" x14ac:dyDescent="0.2">
      <c r="A3" s="2" t="s">
        <v>130</v>
      </c>
      <c r="F3" s="2" t="s">
        <v>136</v>
      </c>
      <c r="G3" s="6"/>
      <c r="H3" s="6"/>
      <c r="I3" s="6"/>
    </row>
    <row r="4" spans="1:10" x14ac:dyDescent="0.2">
      <c r="A4" s="146" t="s">
        <v>988</v>
      </c>
      <c r="B4" s="146"/>
      <c r="C4" s="146"/>
      <c r="D4" s="146"/>
      <c r="F4" s="146" t="s">
        <v>989</v>
      </c>
      <c r="G4" s="146"/>
      <c r="H4" s="146"/>
      <c r="I4" s="146"/>
    </row>
    <row r="5" spans="1:10" x14ac:dyDescent="0.2">
      <c r="A5" s="8" t="s">
        <v>65</v>
      </c>
      <c r="B5" s="8" t="s">
        <v>0</v>
      </c>
      <c r="C5" s="8" t="s">
        <v>1</v>
      </c>
      <c r="D5" s="8" t="s">
        <v>59</v>
      </c>
      <c r="F5" s="8" t="s">
        <v>65</v>
      </c>
      <c r="G5" s="8" t="s">
        <v>0</v>
      </c>
      <c r="H5" s="8" t="s">
        <v>1</v>
      </c>
      <c r="I5" s="8" t="s">
        <v>59</v>
      </c>
    </row>
    <row r="6" spans="1:10" x14ac:dyDescent="0.2">
      <c r="A6" s="25">
        <v>2012</v>
      </c>
      <c r="B6" s="4">
        <v>2685957</v>
      </c>
      <c r="C6" s="4">
        <v>1265494</v>
      </c>
      <c r="D6" s="23">
        <v>3951451</v>
      </c>
      <c r="E6" s="54"/>
      <c r="F6" s="25">
        <v>2012</v>
      </c>
      <c r="G6" s="4">
        <v>30621755</v>
      </c>
      <c r="H6" s="4">
        <v>9922444</v>
      </c>
      <c r="I6" s="23">
        <v>40544199</v>
      </c>
      <c r="J6" s="54"/>
    </row>
    <row r="7" spans="1:10" x14ac:dyDescent="0.2">
      <c r="A7" s="25">
        <v>2013</v>
      </c>
      <c r="B7" s="5">
        <v>2640436</v>
      </c>
      <c r="C7" s="5">
        <v>1385015</v>
      </c>
      <c r="D7" s="14">
        <v>4025451</v>
      </c>
      <c r="E7" s="54"/>
      <c r="F7" s="25">
        <v>2013</v>
      </c>
      <c r="G7" s="5">
        <v>31300886</v>
      </c>
      <c r="H7" s="5">
        <v>10819899</v>
      </c>
      <c r="I7" s="14">
        <v>42120785</v>
      </c>
      <c r="J7" s="54"/>
    </row>
    <row r="8" spans="1:10" x14ac:dyDescent="0.2">
      <c r="A8" s="25">
        <v>2014</v>
      </c>
      <c r="B8" s="5">
        <v>2847159</v>
      </c>
      <c r="C8" s="5">
        <v>1565075</v>
      </c>
      <c r="D8" s="14">
        <v>4412234</v>
      </c>
      <c r="E8" s="54"/>
      <c r="F8" s="25">
        <v>2014</v>
      </c>
      <c r="G8" s="5">
        <v>33174797</v>
      </c>
      <c r="H8" s="5">
        <v>12033526</v>
      </c>
      <c r="I8" s="14">
        <v>45208323</v>
      </c>
      <c r="J8" s="54"/>
    </row>
    <row r="9" spans="1:10" x14ac:dyDescent="0.2">
      <c r="A9" s="25">
        <v>2015</v>
      </c>
      <c r="B9" s="5">
        <v>3159058</v>
      </c>
      <c r="C9" s="5">
        <v>1696620</v>
      </c>
      <c r="D9" s="14">
        <v>4855678</v>
      </c>
      <c r="E9" s="54"/>
      <c r="F9" s="25">
        <v>2015</v>
      </c>
      <c r="G9" s="5">
        <v>35572645</v>
      </c>
      <c r="H9" s="5">
        <v>12310568</v>
      </c>
      <c r="I9" s="14">
        <v>47883213</v>
      </c>
      <c r="J9" s="54"/>
    </row>
    <row r="10" spans="1:10" x14ac:dyDescent="0.2">
      <c r="A10" s="27">
        <v>2016</v>
      </c>
      <c r="B10" s="15">
        <v>3348560</v>
      </c>
      <c r="C10" s="15">
        <v>1685906</v>
      </c>
      <c r="D10" s="26">
        <v>5034466</v>
      </c>
      <c r="E10" s="54"/>
      <c r="F10" s="27">
        <v>2016</v>
      </c>
      <c r="G10" s="15">
        <v>38924481</v>
      </c>
      <c r="H10" s="15">
        <v>11774964</v>
      </c>
      <c r="I10" s="26">
        <v>50699445</v>
      </c>
      <c r="J10" s="54"/>
    </row>
    <row r="11" spans="1:10" ht="40.5" customHeight="1" x14ac:dyDescent="0.2">
      <c r="A11" s="147" t="s">
        <v>1108</v>
      </c>
      <c r="B11" s="147"/>
      <c r="C11" s="147"/>
      <c r="D11" s="147"/>
      <c r="E11" s="54"/>
      <c r="F11" s="147" t="s">
        <v>1108</v>
      </c>
      <c r="G11" s="147"/>
      <c r="H11" s="147"/>
      <c r="I11" s="147"/>
      <c r="J11" s="54"/>
    </row>
    <row r="12" spans="1:10" x14ac:dyDescent="0.2">
      <c r="E12" s="54"/>
      <c r="F12" s="3"/>
      <c r="J12" s="54"/>
    </row>
    <row r="13" spans="1:10" x14ac:dyDescent="0.2">
      <c r="A13" s="2" t="s">
        <v>99</v>
      </c>
      <c r="E13" s="54"/>
      <c r="F13" s="2" t="s">
        <v>100</v>
      </c>
      <c r="J13" s="54"/>
    </row>
    <row r="14" spans="1:10" x14ac:dyDescent="0.2">
      <c r="A14" s="146" t="s">
        <v>990</v>
      </c>
      <c r="B14" s="146"/>
      <c r="C14" s="146"/>
      <c r="D14" s="146"/>
      <c r="E14" s="54"/>
      <c r="F14" s="146" t="s">
        <v>991</v>
      </c>
      <c r="G14" s="146"/>
      <c r="H14" s="146"/>
      <c r="I14" s="146"/>
      <c r="J14" s="54"/>
    </row>
    <row r="15" spans="1:10" x14ac:dyDescent="0.2">
      <c r="A15" s="8" t="s">
        <v>66</v>
      </c>
      <c r="B15" s="8" t="s">
        <v>0</v>
      </c>
      <c r="C15" s="8" t="s">
        <v>1</v>
      </c>
      <c r="D15" s="8" t="s">
        <v>59</v>
      </c>
      <c r="E15" s="54"/>
      <c r="F15" s="8" t="s">
        <v>66</v>
      </c>
      <c r="G15" s="8" t="s">
        <v>0</v>
      </c>
      <c r="H15" s="8" t="s">
        <v>1</v>
      </c>
      <c r="I15" s="8" t="s">
        <v>59</v>
      </c>
      <c r="J15" s="54"/>
    </row>
    <row r="16" spans="1:10" x14ac:dyDescent="0.2">
      <c r="A16" s="22" t="s">
        <v>5</v>
      </c>
      <c r="B16" s="4">
        <v>1255109</v>
      </c>
      <c r="C16" s="4">
        <v>796298.07971874275</v>
      </c>
      <c r="D16" s="23">
        <v>2051407.0797187428</v>
      </c>
      <c r="E16" s="54"/>
      <c r="F16" s="22" t="s">
        <v>5</v>
      </c>
      <c r="G16" s="4">
        <v>15996775</v>
      </c>
      <c r="H16" s="4">
        <v>6049524.5189362662</v>
      </c>
      <c r="I16" s="23">
        <v>22046299.518936265</v>
      </c>
      <c r="J16" s="54"/>
    </row>
    <row r="17" spans="1:10" x14ac:dyDescent="0.2">
      <c r="A17" s="25" t="s">
        <v>6</v>
      </c>
      <c r="B17" s="5">
        <v>2093451</v>
      </c>
      <c r="C17" s="5">
        <v>889607.92028125736</v>
      </c>
      <c r="D17" s="14">
        <v>2983058.9202812575</v>
      </c>
      <c r="E17" s="54"/>
      <c r="F17" s="25" t="s">
        <v>6</v>
      </c>
      <c r="G17" s="5">
        <v>22927706</v>
      </c>
      <c r="H17" s="5">
        <v>5725439.4810637338</v>
      </c>
      <c r="I17" s="14">
        <v>28653145.481063735</v>
      </c>
      <c r="J17" s="54"/>
    </row>
    <row r="18" spans="1:10" x14ac:dyDescent="0.2">
      <c r="A18" s="29" t="s">
        <v>60</v>
      </c>
      <c r="B18" s="58">
        <v>3348560</v>
      </c>
      <c r="C18" s="58">
        <v>1685906</v>
      </c>
      <c r="D18" s="110">
        <v>5034466</v>
      </c>
      <c r="E18" s="54"/>
      <c r="F18" s="29" t="s">
        <v>60</v>
      </c>
      <c r="G18" s="58">
        <v>38924481</v>
      </c>
      <c r="H18" s="58">
        <v>11774964</v>
      </c>
      <c r="I18" s="110">
        <v>50699445</v>
      </c>
      <c r="J18" s="54"/>
    </row>
    <row r="19" spans="1:10" ht="36.75" customHeight="1" x14ac:dyDescent="0.2">
      <c r="A19" s="147" t="s">
        <v>1108</v>
      </c>
      <c r="B19" s="147"/>
      <c r="C19" s="147"/>
      <c r="D19" s="147"/>
      <c r="E19" s="54"/>
      <c r="F19" s="147" t="s">
        <v>1108</v>
      </c>
      <c r="G19" s="147"/>
      <c r="H19" s="147"/>
      <c r="I19" s="147"/>
      <c r="J19" s="54"/>
    </row>
    <row r="20" spans="1:10" x14ac:dyDescent="0.2">
      <c r="E20" s="54"/>
      <c r="F20" s="3"/>
      <c r="J20" s="54"/>
    </row>
    <row r="21" spans="1:10" x14ac:dyDescent="0.2">
      <c r="A21" s="2" t="s">
        <v>127</v>
      </c>
      <c r="E21" s="54"/>
      <c r="F21" s="2" t="s">
        <v>129</v>
      </c>
      <c r="J21" s="54"/>
    </row>
    <row r="22" spans="1:10" x14ac:dyDescent="0.2">
      <c r="A22" s="146" t="s">
        <v>992</v>
      </c>
      <c r="B22" s="146"/>
      <c r="C22" s="146"/>
      <c r="D22" s="146"/>
      <c r="E22" s="54"/>
      <c r="F22" s="146" t="s">
        <v>993</v>
      </c>
      <c r="G22" s="146"/>
      <c r="H22" s="146"/>
      <c r="I22" s="146"/>
      <c r="J22" s="54"/>
    </row>
    <row r="23" spans="1:10" ht="12.75" customHeight="1" x14ac:dyDescent="0.2">
      <c r="A23" s="8" t="s">
        <v>67</v>
      </c>
      <c r="B23" s="8" t="s">
        <v>0</v>
      </c>
      <c r="C23" s="8" t="s">
        <v>1</v>
      </c>
      <c r="D23" s="8" t="s">
        <v>59</v>
      </c>
      <c r="E23" s="54"/>
      <c r="F23" s="8" t="s">
        <v>67</v>
      </c>
      <c r="G23" s="8" t="s">
        <v>0</v>
      </c>
      <c r="H23" s="8" t="s">
        <v>1</v>
      </c>
      <c r="I23" s="8" t="s">
        <v>59</v>
      </c>
      <c r="J23" s="54"/>
    </row>
    <row r="24" spans="1:10" x14ac:dyDescent="0.2">
      <c r="A24" s="22" t="s">
        <v>53</v>
      </c>
      <c r="B24" s="4">
        <v>30551</v>
      </c>
      <c r="C24" s="4">
        <v>3027.8405669307672</v>
      </c>
      <c r="D24" s="4">
        <v>33578.840566930769</v>
      </c>
      <c r="E24" s="54"/>
      <c r="F24" s="22" t="s">
        <v>53</v>
      </c>
      <c r="G24" s="4">
        <v>210058</v>
      </c>
      <c r="H24" s="4">
        <v>13216.945127360894</v>
      </c>
      <c r="I24" s="4">
        <v>223274.9451273609</v>
      </c>
      <c r="J24" s="54"/>
    </row>
    <row r="25" spans="1:10" x14ac:dyDescent="0.2">
      <c r="A25" s="25" t="s">
        <v>2</v>
      </c>
      <c r="B25" s="5">
        <v>287632</v>
      </c>
      <c r="C25" s="5">
        <v>74061.854733716304</v>
      </c>
      <c r="D25" s="5">
        <v>361693.85473371629</v>
      </c>
      <c r="E25" s="54"/>
      <c r="F25" s="25" t="s">
        <v>2</v>
      </c>
      <c r="G25" s="5">
        <v>2436825</v>
      </c>
      <c r="H25" s="5">
        <v>350260.8312856516</v>
      </c>
      <c r="I25" s="5">
        <v>2787085.8312856518</v>
      </c>
      <c r="J25" s="54"/>
    </row>
    <row r="26" spans="1:10" x14ac:dyDescent="0.2">
      <c r="A26" s="25" t="s">
        <v>54</v>
      </c>
      <c r="B26" s="5">
        <v>979478</v>
      </c>
      <c r="C26" s="5">
        <v>604222.25465040142</v>
      </c>
      <c r="D26" s="5">
        <v>1583700.2546504014</v>
      </c>
      <c r="E26" s="54"/>
      <c r="F26" s="25" t="s">
        <v>54</v>
      </c>
      <c r="G26" s="5">
        <v>9685397</v>
      </c>
      <c r="H26" s="5">
        <v>3322877.6586141954</v>
      </c>
      <c r="I26" s="5">
        <v>13008274.658614196</v>
      </c>
      <c r="J26" s="54"/>
    </row>
    <row r="27" spans="1:10" x14ac:dyDescent="0.2">
      <c r="A27" s="25" t="s">
        <v>55</v>
      </c>
      <c r="B27" s="5">
        <v>780273</v>
      </c>
      <c r="C27" s="5">
        <v>476343.81308920216</v>
      </c>
      <c r="D27" s="5">
        <v>1256616.8130892022</v>
      </c>
      <c r="E27" s="54"/>
      <c r="F27" s="25" t="s">
        <v>55</v>
      </c>
      <c r="G27" s="5">
        <v>8687867</v>
      </c>
      <c r="H27" s="5">
        <v>3282348.4172962913</v>
      </c>
      <c r="I27" s="5">
        <v>11970215.41729629</v>
      </c>
      <c r="J27" s="54"/>
    </row>
    <row r="28" spans="1:10" x14ac:dyDescent="0.2">
      <c r="A28" s="25" t="s">
        <v>56</v>
      </c>
      <c r="B28" s="5">
        <v>682753</v>
      </c>
      <c r="C28" s="5">
        <v>294890.6293667414</v>
      </c>
      <c r="D28" s="5">
        <v>977643.6293667414</v>
      </c>
      <c r="E28" s="54"/>
      <c r="F28" s="25" t="s">
        <v>56</v>
      </c>
      <c r="G28" s="5">
        <v>8708529</v>
      </c>
      <c r="H28" s="5">
        <v>2447641.2125468017</v>
      </c>
      <c r="I28" s="5">
        <v>11156170.212546801</v>
      </c>
      <c r="J28" s="54"/>
    </row>
    <row r="29" spans="1:10" x14ac:dyDescent="0.2">
      <c r="A29" s="25" t="s">
        <v>57</v>
      </c>
      <c r="B29" s="5">
        <v>459736</v>
      </c>
      <c r="C29" s="5">
        <v>197237.3056670384</v>
      </c>
      <c r="D29" s="5">
        <v>656973.30566703842</v>
      </c>
      <c r="E29" s="54"/>
      <c r="F29" s="25" t="s">
        <v>57</v>
      </c>
      <c r="G29" s="5">
        <v>6951935</v>
      </c>
      <c r="H29" s="5">
        <v>1922860.4498867795</v>
      </c>
      <c r="I29" s="5">
        <v>8874795.4498867802</v>
      </c>
      <c r="J29" s="54"/>
    </row>
    <row r="30" spans="1:10" x14ac:dyDescent="0.2">
      <c r="A30" s="25" t="s">
        <v>3</v>
      </c>
      <c r="B30" s="5">
        <v>128137</v>
      </c>
      <c r="C30" s="5">
        <v>36122.30192596963</v>
      </c>
      <c r="D30" s="5">
        <v>164259.30192596963</v>
      </c>
      <c r="E30" s="54"/>
      <c r="F30" s="25" t="s">
        <v>3</v>
      </c>
      <c r="G30" s="5">
        <v>2243870</v>
      </c>
      <c r="H30" s="5">
        <v>435758.48524291936</v>
      </c>
      <c r="I30" s="5">
        <v>2679628.4852429195</v>
      </c>
      <c r="J30" s="54"/>
    </row>
    <row r="31" spans="1:10" x14ac:dyDescent="0.2">
      <c r="A31" s="29" t="s">
        <v>60</v>
      </c>
      <c r="B31" s="58">
        <v>3348560</v>
      </c>
      <c r="C31" s="58">
        <v>1685906</v>
      </c>
      <c r="D31" s="58">
        <v>5034465.9999999991</v>
      </c>
      <c r="E31" s="54"/>
      <c r="F31" s="29" t="s">
        <v>60</v>
      </c>
      <c r="G31" s="58">
        <v>38924481</v>
      </c>
      <c r="H31" s="58">
        <v>11774964</v>
      </c>
      <c r="I31" s="58">
        <v>50699445</v>
      </c>
      <c r="J31" s="54"/>
    </row>
    <row r="32" spans="1:10" ht="39.75" customHeight="1" x14ac:dyDescent="0.2">
      <c r="A32" s="147" t="s">
        <v>1108</v>
      </c>
      <c r="B32" s="147"/>
      <c r="C32" s="147"/>
      <c r="D32" s="147"/>
      <c r="E32" s="54"/>
      <c r="F32" s="147" t="s">
        <v>1108</v>
      </c>
      <c r="G32" s="147"/>
      <c r="H32" s="147"/>
      <c r="I32" s="147"/>
      <c r="J32" s="54"/>
    </row>
    <row r="33" spans="1:10" x14ac:dyDescent="0.2">
      <c r="E33" s="54"/>
      <c r="F33" s="3"/>
      <c r="J33" s="54"/>
    </row>
    <row r="34" spans="1:10" x14ac:dyDescent="0.2">
      <c r="A34" s="2" t="s">
        <v>128</v>
      </c>
      <c r="E34" s="54"/>
      <c r="F34" s="2" t="s">
        <v>138</v>
      </c>
      <c r="J34" s="54"/>
    </row>
    <row r="35" spans="1:10" x14ac:dyDescent="0.2">
      <c r="A35" s="146" t="s">
        <v>995</v>
      </c>
      <c r="B35" s="146"/>
      <c r="C35" s="146"/>
      <c r="D35" s="146"/>
      <c r="E35" s="54"/>
      <c r="F35" s="146" t="s">
        <v>994</v>
      </c>
      <c r="G35" s="146"/>
      <c r="H35" s="146"/>
      <c r="I35" s="146"/>
      <c r="J35" s="54"/>
    </row>
    <row r="36" spans="1:10" x14ac:dyDescent="0.2">
      <c r="A36" s="8" t="s">
        <v>68</v>
      </c>
      <c r="B36" s="8" t="s">
        <v>0</v>
      </c>
      <c r="C36" s="8" t="s">
        <v>1</v>
      </c>
      <c r="D36" s="8" t="s">
        <v>59</v>
      </c>
      <c r="E36" s="54"/>
      <c r="F36" s="8" t="s">
        <v>68</v>
      </c>
      <c r="G36" s="8" t="s">
        <v>0</v>
      </c>
      <c r="H36" s="8" t="s">
        <v>1</v>
      </c>
      <c r="I36" s="8" t="s">
        <v>59</v>
      </c>
      <c r="J36" s="54"/>
    </row>
    <row r="37" spans="1:10" x14ac:dyDescent="0.2">
      <c r="A37" s="22" t="s">
        <v>29</v>
      </c>
      <c r="B37" s="4">
        <v>2854572</v>
      </c>
      <c r="C37" s="4">
        <v>1176161.4404905469</v>
      </c>
      <c r="D37" s="4">
        <v>4030733.4404905466</v>
      </c>
      <c r="E37" s="54"/>
      <c r="F37" s="22" t="s">
        <v>29</v>
      </c>
      <c r="G37" s="4">
        <v>34649637</v>
      </c>
      <c r="H37" s="4">
        <v>9552975.4833227731</v>
      </c>
      <c r="I37" s="4">
        <v>44202612.483322769</v>
      </c>
      <c r="J37" s="54"/>
    </row>
    <row r="38" spans="1:10" x14ac:dyDescent="0.2">
      <c r="A38" s="25" t="s">
        <v>30</v>
      </c>
      <c r="B38" s="5">
        <v>481470</v>
      </c>
      <c r="C38" s="5">
        <v>501519.21481042041</v>
      </c>
      <c r="D38" s="5">
        <v>982989.21481042041</v>
      </c>
      <c r="E38" s="54"/>
      <c r="F38" s="25" t="s">
        <v>30</v>
      </c>
      <c r="G38" s="5">
        <v>4008028</v>
      </c>
      <c r="H38" s="5">
        <v>2102773.6082761325</v>
      </c>
      <c r="I38" s="5">
        <v>6110801.6082761325</v>
      </c>
      <c r="J38" s="54"/>
    </row>
    <row r="39" spans="1:10" x14ac:dyDescent="0.2">
      <c r="A39" s="25" t="s">
        <v>4</v>
      </c>
      <c r="B39" s="5">
        <v>12518</v>
      </c>
      <c r="C39" s="5">
        <v>8225.344699032652</v>
      </c>
      <c r="D39" s="5">
        <v>20743.344699032652</v>
      </c>
      <c r="E39" s="54"/>
      <c r="F39" s="25" t="s">
        <v>4</v>
      </c>
      <c r="G39" s="5">
        <v>266816</v>
      </c>
      <c r="H39" s="5">
        <v>119214.90840109471</v>
      </c>
      <c r="I39" s="5">
        <v>386030.90840109473</v>
      </c>
      <c r="J39" s="54"/>
    </row>
    <row r="40" spans="1:10" x14ac:dyDescent="0.2">
      <c r="A40" s="29" t="s">
        <v>60</v>
      </c>
      <c r="B40" s="58">
        <v>3348560</v>
      </c>
      <c r="C40" s="58">
        <v>1685906</v>
      </c>
      <c r="D40" s="58">
        <v>5034466</v>
      </c>
      <c r="E40" s="54"/>
      <c r="F40" s="29" t="s">
        <v>60</v>
      </c>
      <c r="G40" s="58">
        <v>38924481</v>
      </c>
      <c r="H40" s="58">
        <v>11774964</v>
      </c>
      <c r="I40" s="58">
        <v>50699444.999999993</v>
      </c>
      <c r="J40" s="54"/>
    </row>
    <row r="41" spans="1:10" ht="39" customHeight="1" x14ac:dyDescent="0.2">
      <c r="A41" s="147" t="s">
        <v>1108</v>
      </c>
      <c r="B41" s="147"/>
      <c r="C41" s="147"/>
      <c r="D41" s="147"/>
      <c r="E41" s="54"/>
      <c r="F41" s="147" t="s">
        <v>1108</v>
      </c>
      <c r="G41" s="147"/>
      <c r="H41" s="147"/>
      <c r="I41" s="147"/>
      <c r="J41" s="54"/>
    </row>
    <row r="42" spans="1:10" x14ac:dyDescent="0.2">
      <c r="E42" s="54"/>
      <c r="F42" s="3"/>
      <c r="J42" s="54"/>
    </row>
    <row r="43" spans="1:10" ht="12.75" customHeight="1" x14ac:dyDescent="0.2">
      <c r="A43" s="2" t="s">
        <v>135</v>
      </c>
      <c r="E43" s="54"/>
      <c r="F43" s="2" t="s">
        <v>137</v>
      </c>
      <c r="J43" s="54"/>
    </row>
    <row r="44" spans="1:10" ht="12.75" customHeight="1" x14ac:dyDescent="0.2">
      <c r="A44" s="146" t="s">
        <v>996</v>
      </c>
      <c r="B44" s="146"/>
      <c r="C44" s="146"/>
      <c r="D44" s="146"/>
      <c r="E44" s="54"/>
      <c r="F44" s="146" t="s">
        <v>997</v>
      </c>
      <c r="G44" s="146"/>
      <c r="H44" s="146"/>
      <c r="I44" s="146"/>
      <c r="J44" s="54"/>
    </row>
    <row r="45" spans="1:10" x14ac:dyDescent="0.2">
      <c r="A45" s="8" t="s">
        <v>208</v>
      </c>
      <c r="B45" s="8" t="s">
        <v>0</v>
      </c>
      <c r="C45" s="8" t="s">
        <v>1</v>
      </c>
      <c r="D45" s="8" t="s">
        <v>59</v>
      </c>
      <c r="E45" s="54"/>
      <c r="F45" s="8" t="s">
        <v>208</v>
      </c>
      <c r="G45" s="8" t="s">
        <v>0</v>
      </c>
      <c r="H45" s="8" t="s">
        <v>1</v>
      </c>
      <c r="I45" s="8" t="s">
        <v>59</v>
      </c>
      <c r="J45" s="54"/>
    </row>
    <row r="46" spans="1:10" x14ac:dyDescent="0.2">
      <c r="A46" s="30" t="s">
        <v>14</v>
      </c>
      <c r="B46" s="4">
        <v>32122</v>
      </c>
      <c r="C46" s="4">
        <v>12010.465891962775</v>
      </c>
      <c r="D46" s="4">
        <v>44132.465891962776</v>
      </c>
      <c r="E46" s="54"/>
      <c r="F46" s="30" t="s">
        <v>14</v>
      </c>
      <c r="G46" s="4">
        <v>265094</v>
      </c>
      <c r="H46" s="4">
        <v>64436.623830512552</v>
      </c>
      <c r="I46" s="4">
        <v>329530.62383051257</v>
      </c>
      <c r="J46" s="54"/>
    </row>
    <row r="47" spans="1:10" x14ac:dyDescent="0.2">
      <c r="A47" s="31" t="s">
        <v>15</v>
      </c>
      <c r="B47" s="5">
        <v>51851</v>
      </c>
      <c r="C47" s="5">
        <v>27299.892214258536</v>
      </c>
      <c r="D47" s="5">
        <v>79150.892214258536</v>
      </c>
      <c r="E47" s="54"/>
      <c r="F47" s="31" t="s">
        <v>15</v>
      </c>
      <c r="G47" s="5">
        <v>625915</v>
      </c>
      <c r="H47" s="5">
        <v>227278.08508171712</v>
      </c>
      <c r="I47" s="5">
        <v>853193.08508171712</v>
      </c>
      <c r="J47" s="54"/>
    </row>
    <row r="48" spans="1:10" x14ac:dyDescent="0.2">
      <c r="A48" s="31" t="s">
        <v>16</v>
      </c>
      <c r="B48" s="5">
        <v>95285</v>
      </c>
      <c r="C48" s="5">
        <v>69524.422961544042</v>
      </c>
      <c r="D48" s="5">
        <v>164809.42296154404</v>
      </c>
      <c r="E48" s="54"/>
      <c r="F48" s="31" t="s">
        <v>16</v>
      </c>
      <c r="G48" s="5">
        <v>1092473</v>
      </c>
      <c r="H48" s="5">
        <v>612226.35113673098</v>
      </c>
      <c r="I48" s="5">
        <v>1704699.351136731</v>
      </c>
      <c r="J48" s="54"/>
    </row>
    <row r="49" spans="1:10" x14ac:dyDescent="0.2">
      <c r="A49" s="31" t="s">
        <v>17</v>
      </c>
      <c r="B49" s="5">
        <v>55565</v>
      </c>
      <c r="C49" s="5">
        <v>18747.339253024755</v>
      </c>
      <c r="D49" s="5">
        <v>74312.339253024751</v>
      </c>
      <c r="E49" s="54"/>
      <c r="F49" s="31" t="s">
        <v>17</v>
      </c>
      <c r="G49" s="5">
        <v>720471</v>
      </c>
      <c r="H49" s="5">
        <v>159717.14608330186</v>
      </c>
      <c r="I49" s="5">
        <v>880188.14608330186</v>
      </c>
      <c r="J49" s="54"/>
    </row>
    <row r="50" spans="1:10" x14ac:dyDescent="0.2">
      <c r="A50" s="31" t="s">
        <v>18</v>
      </c>
      <c r="B50" s="5">
        <v>91299</v>
      </c>
      <c r="C50" s="5">
        <v>20239.527794788384</v>
      </c>
      <c r="D50" s="5">
        <v>111538.52779478839</v>
      </c>
      <c r="E50" s="54"/>
      <c r="F50" s="31" t="s">
        <v>18</v>
      </c>
      <c r="G50" s="5">
        <v>1189602</v>
      </c>
      <c r="H50" s="5">
        <v>152524.2501085157</v>
      </c>
      <c r="I50" s="5">
        <v>1342126.2501085156</v>
      </c>
      <c r="J50" s="54"/>
    </row>
    <row r="51" spans="1:10" x14ac:dyDescent="0.2">
      <c r="A51" s="31" t="s">
        <v>19</v>
      </c>
      <c r="B51" s="5">
        <v>237112</v>
      </c>
      <c r="C51" s="5">
        <v>93014.003475063</v>
      </c>
      <c r="D51" s="5">
        <v>330126.00347506301</v>
      </c>
      <c r="E51" s="54"/>
      <c r="F51" s="31" t="s">
        <v>19</v>
      </c>
      <c r="G51" s="5">
        <v>3004860</v>
      </c>
      <c r="H51" s="5">
        <v>713631.92533633148</v>
      </c>
      <c r="I51" s="5">
        <v>3718491.9253363316</v>
      </c>
      <c r="J51" s="54"/>
    </row>
    <row r="52" spans="1:10" x14ac:dyDescent="0.2">
      <c r="A52" s="31" t="s">
        <v>20</v>
      </c>
      <c r="B52" s="5">
        <v>1835225</v>
      </c>
      <c r="C52" s="5">
        <v>1096995.3461198667</v>
      </c>
      <c r="D52" s="5">
        <v>2932220.3461198667</v>
      </c>
      <c r="E52" s="54"/>
      <c r="F52" s="31" t="s">
        <v>20</v>
      </c>
      <c r="G52" s="5">
        <v>20505194</v>
      </c>
      <c r="H52" s="5">
        <v>7188199.9960043607</v>
      </c>
      <c r="I52" s="5">
        <v>27693393.996004362</v>
      </c>
      <c r="J52" s="54"/>
    </row>
    <row r="53" spans="1:10" x14ac:dyDescent="0.2">
      <c r="A53" s="31" t="s">
        <v>21</v>
      </c>
      <c r="B53" s="5">
        <v>172807</v>
      </c>
      <c r="C53" s="5">
        <v>49971.797456737258</v>
      </c>
      <c r="D53" s="5">
        <v>222778.79745673726</v>
      </c>
      <c r="E53" s="54"/>
      <c r="F53" s="31" t="s">
        <v>21</v>
      </c>
      <c r="G53" s="5">
        <v>2733097</v>
      </c>
      <c r="H53" s="5">
        <v>469772.15539291571</v>
      </c>
      <c r="I53" s="5">
        <v>3202869.1553929159</v>
      </c>
      <c r="J53" s="54"/>
    </row>
    <row r="54" spans="1:10" x14ac:dyDescent="0.2">
      <c r="A54" s="31" t="s">
        <v>22</v>
      </c>
      <c r="B54" s="5">
        <v>135293</v>
      </c>
      <c r="C54" s="5">
        <v>40941.578975215685</v>
      </c>
      <c r="D54" s="5">
        <v>176234.57897521567</v>
      </c>
      <c r="E54" s="54"/>
      <c r="F54" s="31" t="s">
        <v>22</v>
      </c>
      <c r="G54" s="5">
        <v>1702869</v>
      </c>
      <c r="H54" s="5">
        <v>265584.21699325443</v>
      </c>
      <c r="I54" s="5">
        <v>1968453.2169932544</v>
      </c>
      <c r="J54" s="54"/>
    </row>
    <row r="55" spans="1:10" x14ac:dyDescent="0.2">
      <c r="A55" s="31" t="s">
        <v>23</v>
      </c>
      <c r="B55" s="5">
        <v>335131</v>
      </c>
      <c r="C55" s="5">
        <v>116425.12019994677</v>
      </c>
      <c r="D55" s="5">
        <v>451556.1201999468</v>
      </c>
      <c r="E55" s="54"/>
      <c r="F55" s="31" t="s">
        <v>23</v>
      </c>
      <c r="G55" s="5">
        <v>4190245</v>
      </c>
      <c r="H55" s="5">
        <v>993910.8802516436</v>
      </c>
      <c r="I55" s="5">
        <v>5184155.8802516432</v>
      </c>
      <c r="J55" s="54"/>
    </row>
    <row r="56" spans="1:10" x14ac:dyDescent="0.2">
      <c r="A56" s="31" t="s">
        <v>24</v>
      </c>
      <c r="B56" s="5">
        <v>116201</v>
      </c>
      <c r="C56" s="5">
        <v>44377.466982819016</v>
      </c>
      <c r="D56" s="5">
        <v>160578.46698281902</v>
      </c>
      <c r="E56" s="54"/>
      <c r="F56" s="31" t="s">
        <v>24</v>
      </c>
      <c r="G56" s="5">
        <v>1180242</v>
      </c>
      <c r="H56" s="5">
        <v>291784.41979832895</v>
      </c>
      <c r="I56" s="5">
        <v>1472026.419798329</v>
      </c>
      <c r="J56" s="54"/>
    </row>
    <row r="57" spans="1:10" x14ac:dyDescent="0.2">
      <c r="A57" s="31" t="s">
        <v>25</v>
      </c>
      <c r="B57" s="5">
        <v>30735</v>
      </c>
      <c r="C57" s="5">
        <v>18287.568982776553</v>
      </c>
      <c r="D57" s="5">
        <v>49022.568982776553</v>
      </c>
      <c r="E57" s="54"/>
      <c r="F57" s="31" t="s">
        <v>25</v>
      </c>
      <c r="G57" s="5">
        <v>228739</v>
      </c>
      <c r="H57" s="5">
        <v>107067.99935684413</v>
      </c>
      <c r="I57" s="5">
        <v>335806.99935684411</v>
      </c>
      <c r="J57" s="54"/>
    </row>
    <row r="58" spans="1:10" x14ac:dyDescent="0.2">
      <c r="A58" s="31" t="s">
        <v>26</v>
      </c>
      <c r="B58" s="5">
        <v>122125</v>
      </c>
      <c r="C58" s="5">
        <v>56159.424297353042</v>
      </c>
      <c r="D58" s="5">
        <v>178284.42429735305</v>
      </c>
      <c r="E58" s="54"/>
      <c r="F58" s="31" t="s">
        <v>26</v>
      </c>
      <c r="G58" s="5">
        <v>1060342</v>
      </c>
      <c r="H58" s="5">
        <v>360750.66688697221</v>
      </c>
      <c r="I58" s="5">
        <v>1421092.6668869723</v>
      </c>
      <c r="J58" s="54"/>
    </row>
    <row r="59" spans="1:10" x14ac:dyDescent="0.2">
      <c r="A59" s="31" t="s">
        <v>27</v>
      </c>
      <c r="B59" s="5">
        <v>13821</v>
      </c>
      <c r="C59" s="5">
        <v>6345.9309755814766</v>
      </c>
      <c r="D59" s="5">
        <v>20166.930975581476</v>
      </c>
      <c r="E59" s="54"/>
      <c r="F59" s="31" t="s">
        <v>27</v>
      </c>
      <c r="G59" s="5">
        <v>140892</v>
      </c>
      <c r="H59" s="5">
        <v>39305.849391733325</v>
      </c>
      <c r="I59" s="5">
        <v>180197.84939173333</v>
      </c>
      <c r="J59" s="54"/>
    </row>
    <row r="60" spans="1:10" x14ac:dyDescent="0.2">
      <c r="A60" s="31" t="s">
        <v>28</v>
      </c>
      <c r="B60" s="5">
        <v>23988</v>
      </c>
      <c r="C60" s="5">
        <v>15566.114419061894</v>
      </c>
      <c r="D60" s="5">
        <v>39554.114419061894</v>
      </c>
      <c r="E60" s="54"/>
      <c r="F60" s="31" t="s">
        <v>28</v>
      </c>
      <c r="G60" s="5">
        <v>284446</v>
      </c>
      <c r="H60" s="5">
        <v>128773.43434683754</v>
      </c>
      <c r="I60" s="5">
        <v>413219.43434683757</v>
      </c>
      <c r="J60" s="54"/>
    </row>
    <row r="61" spans="1:10" x14ac:dyDescent="0.2">
      <c r="A61" s="29" t="s">
        <v>60</v>
      </c>
      <c r="B61" s="58">
        <v>3348560</v>
      </c>
      <c r="C61" s="58">
        <v>1685905.9999999998</v>
      </c>
      <c r="D61" s="58">
        <v>5034466</v>
      </c>
      <c r="E61" s="54"/>
      <c r="F61" s="29" t="s">
        <v>60</v>
      </c>
      <c r="G61" s="58">
        <v>38924481</v>
      </c>
      <c r="H61" s="58">
        <v>11774964</v>
      </c>
      <c r="I61" s="58">
        <v>50699445.000000007</v>
      </c>
      <c r="J61" s="54"/>
    </row>
    <row r="62" spans="1:10" ht="40.5" customHeight="1" x14ac:dyDescent="0.2">
      <c r="A62" s="147" t="s">
        <v>1108</v>
      </c>
      <c r="B62" s="147"/>
      <c r="C62" s="147"/>
      <c r="D62" s="147"/>
      <c r="E62" s="54"/>
      <c r="F62" s="147" t="s">
        <v>1108</v>
      </c>
      <c r="G62" s="147"/>
      <c r="H62" s="147"/>
      <c r="I62" s="147"/>
      <c r="J62" s="54"/>
    </row>
    <row r="63" spans="1:10" x14ac:dyDescent="0.2">
      <c r="F63" s="3"/>
    </row>
    <row r="74" ht="12.75" customHeight="1" x14ac:dyDescent="0.2"/>
    <row r="93" ht="12.75" customHeight="1" x14ac:dyDescent="0.2"/>
    <row r="117" ht="12.75" customHeight="1" x14ac:dyDescent="0.2"/>
    <row r="143" ht="12.75" customHeight="1" x14ac:dyDescent="0.2"/>
    <row r="162" ht="12.75" customHeight="1" x14ac:dyDescent="0.2"/>
    <row r="186" ht="12.75" customHeight="1" x14ac:dyDescent="0.2"/>
  </sheetData>
  <mergeCells count="20">
    <mergeCell ref="A32:D32"/>
    <mergeCell ref="F32:I32"/>
    <mergeCell ref="A4:D4"/>
    <mergeCell ref="F4:I4"/>
    <mergeCell ref="F14:I14"/>
    <mergeCell ref="A14:D14"/>
    <mergeCell ref="A22:D22"/>
    <mergeCell ref="F22:I22"/>
    <mergeCell ref="A11:D11"/>
    <mergeCell ref="F11:I11"/>
    <mergeCell ref="A19:D19"/>
    <mergeCell ref="F19:I19"/>
    <mergeCell ref="A41:D41"/>
    <mergeCell ref="F41:I41"/>
    <mergeCell ref="A62:D62"/>
    <mergeCell ref="F62:I62"/>
    <mergeCell ref="F35:I35"/>
    <mergeCell ref="A35:D35"/>
    <mergeCell ref="A44:D44"/>
    <mergeCell ref="F44:I4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4"/>
  <sheetViews>
    <sheetView showGridLines="0" zoomScale="90" zoomScaleNormal="90" workbookViewId="0"/>
  </sheetViews>
  <sheetFormatPr baseColWidth="10" defaultColWidth="33.140625" defaultRowHeight="12.75" x14ac:dyDescent="0.2"/>
  <cols>
    <col min="1" max="1" width="30.7109375" style="3" customWidth="1"/>
    <col min="2" max="5" width="20.7109375" style="6" customWidth="1"/>
    <col min="6" max="6" width="30.7109375" style="6" customWidth="1"/>
    <col min="7" max="9" width="20.7109375" style="3" customWidth="1"/>
    <col min="10" max="10" width="16" style="3" customWidth="1"/>
    <col min="11" max="34" width="15.7109375" style="3" customWidth="1"/>
    <col min="35" max="16384" width="33.140625" style="3"/>
  </cols>
  <sheetData>
    <row r="1" spans="1:10" ht="18.75" x14ac:dyDescent="0.3">
      <c r="A1" s="1" t="s">
        <v>196</v>
      </c>
    </row>
    <row r="3" spans="1:10" x14ac:dyDescent="0.2">
      <c r="A3" s="2" t="s">
        <v>101</v>
      </c>
      <c r="F3" s="2" t="s">
        <v>103</v>
      </c>
      <c r="G3" s="6"/>
      <c r="H3" s="6"/>
      <c r="I3" s="6"/>
    </row>
    <row r="4" spans="1:10" x14ac:dyDescent="0.2">
      <c r="A4" s="146" t="s">
        <v>395</v>
      </c>
      <c r="B4" s="146"/>
      <c r="C4" s="146"/>
      <c r="D4" s="146"/>
      <c r="F4" s="146" t="s">
        <v>396</v>
      </c>
      <c r="G4" s="146"/>
      <c r="H4" s="146"/>
      <c r="I4" s="146"/>
    </row>
    <row r="5" spans="1:10" x14ac:dyDescent="0.2">
      <c r="A5" s="8" t="s">
        <v>65</v>
      </c>
      <c r="B5" s="8" t="s">
        <v>0</v>
      </c>
      <c r="C5" s="8" t="s">
        <v>1</v>
      </c>
      <c r="D5" s="8" t="s">
        <v>59</v>
      </c>
      <c r="F5" s="8" t="s">
        <v>65</v>
      </c>
      <c r="G5" s="8" t="s">
        <v>0</v>
      </c>
      <c r="H5" s="8" t="s">
        <v>1</v>
      </c>
      <c r="I5" s="8" t="s">
        <v>59</v>
      </c>
    </row>
    <row r="6" spans="1:10" x14ac:dyDescent="0.2">
      <c r="A6" s="25">
        <v>2012</v>
      </c>
      <c r="B6" s="4">
        <v>270250</v>
      </c>
      <c r="C6" s="4">
        <v>148965</v>
      </c>
      <c r="D6" s="23">
        <v>419215</v>
      </c>
      <c r="E6" s="54"/>
      <c r="F6" s="25">
        <v>2012</v>
      </c>
      <c r="G6" s="46">
        <v>3983243</v>
      </c>
      <c r="H6" s="46">
        <v>2243225</v>
      </c>
      <c r="I6" s="47">
        <v>6226468</v>
      </c>
      <c r="J6" s="54"/>
    </row>
    <row r="7" spans="1:10" x14ac:dyDescent="0.2">
      <c r="A7" s="25">
        <v>2013</v>
      </c>
      <c r="B7" s="5">
        <v>275251</v>
      </c>
      <c r="C7" s="5">
        <v>153914</v>
      </c>
      <c r="D7" s="14">
        <v>429165</v>
      </c>
      <c r="E7" s="54"/>
      <c r="F7" s="25">
        <v>2013</v>
      </c>
      <c r="G7" s="48">
        <v>4133007</v>
      </c>
      <c r="H7" s="48">
        <v>2287911</v>
      </c>
      <c r="I7" s="49">
        <v>6420918</v>
      </c>
      <c r="J7" s="54"/>
    </row>
    <row r="8" spans="1:10" x14ac:dyDescent="0.2">
      <c r="A8" s="25">
        <v>2014</v>
      </c>
      <c r="B8" s="5">
        <v>179052</v>
      </c>
      <c r="C8" s="5">
        <v>175166</v>
      </c>
      <c r="D8" s="14">
        <v>354218</v>
      </c>
      <c r="E8" s="54"/>
      <c r="F8" s="25">
        <v>2014</v>
      </c>
      <c r="G8" s="48">
        <v>2964693</v>
      </c>
      <c r="H8" s="48">
        <v>2634654</v>
      </c>
      <c r="I8" s="49">
        <v>5599347</v>
      </c>
      <c r="J8" s="54"/>
    </row>
    <row r="9" spans="1:10" x14ac:dyDescent="0.2">
      <c r="A9" s="25">
        <v>2015</v>
      </c>
      <c r="B9" s="5">
        <v>182821</v>
      </c>
      <c r="C9" s="5">
        <v>203429</v>
      </c>
      <c r="D9" s="14">
        <v>386250</v>
      </c>
      <c r="E9" s="54"/>
      <c r="F9" s="25">
        <v>2015</v>
      </c>
      <c r="G9" s="48">
        <v>3302819</v>
      </c>
      <c r="H9" s="48">
        <v>3173685</v>
      </c>
      <c r="I9" s="49">
        <v>6476504</v>
      </c>
      <c r="J9" s="54"/>
    </row>
    <row r="10" spans="1:10" x14ac:dyDescent="0.2">
      <c r="A10" s="27">
        <v>2016</v>
      </c>
      <c r="B10" s="15">
        <v>191527</v>
      </c>
      <c r="C10" s="15">
        <v>229740</v>
      </c>
      <c r="D10" s="26">
        <v>421267</v>
      </c>
      <c r="E10" s="54"/>
      <c r="F10" s="27">
        <v>2016</v>
      </c>
      <c r="G10" s="15">
        <v>3695679</v>
      </c>
      <c r="H10" s="15">
        <v>3674319</v>
      </c>
      <c r="I10" s="26">
        <v>7369998</v>
      </c>
      <c r="J10" s="54"/>
    </row>
    <row r="11" spans="1:10" x14ac:dyDescent="0.2">
      <c r="E11" s="54"/>
      <c r="F11" s="3"/>
      <c r="J11" s="54"/>
    </row>
    <row r="12" spans="1:10" x14ac:dyDescent="0.2">
      <c r="E12" s="54"/>
      <c r="F12" s="3"/>
      <c r="J12" s="54"/>
    </row>
    <row r="13" spans="1:10" x14ac:dyDescent="0.2">
      <c r="A13" s="2" t="s">
        <v>102</v>
      </c>
      <c r="E13" s="54"/>
      <c r="F13" s="2" t="s">
        <v>104</v>
      </c>
      <c r="J13" s="54"/>
    </row>
    <row r="14" spans="1:10" x14ac:dyDescent="0.2">
      <c r="A14" s="146" t="s">
        <v>389</v>
      </c>
      <c r="B14" s="146"/>
      <c r="C14" s="146"/>
      <c r="D14" s="146"/>
      <c r="E14" s="54"/>
      <c r="F14" s="146" t="s">
        <v>390</v>
      </c>
      <c r="G14" s="146"/>
      <c r="H14" s="146"/>
      <c r="I14" s="146"/>
      <c r="J14" s="54"/>
    </row>
    <row r="15" spans="1:10" x14ac:dyDescent="0.2">
      <c r="A15" s="8" t="s">
        <v>66</v>
      </c>
      <c r="B15" s="8" t="s">
        <v>0</v>
      </c>
      <c r="C15" s="8" t="s">
        <v>1</v>
      </c>
      <c r="D15" s="8" t="s">
        <v>59</v>
      </c>
      <c r="E15" s="54"/>
      <c r="F15" s="8" t="s">
        <v>66</v>
      </c>
      <c r="G15" s="8" t="s">
        <v>0</v>
      </c>
      <c r="H15" s="8" t="s">
        <v>1</v>
      </c>
      <c r="I15" s="8" t="s">
        <v>59</v>
      </c>
      <c r="J15" s="54"/>
    </row>
    <row r="16" spans="1:10" x14ac:dyDescent="0.2">
      <c r="A16" s="22" t="s">
        <v>5</v>
      </c>
      <c r="B16" s="4">
        <v>57258</v>
      </c>
      <c r="C16" s="4">
        <v>102821</v>
      </c>
      <c r="D16" s="23">
        <v>160079</v>
      </c>
      <c r="E16" s="54"/>
      <c r="F16" s="22" t="s">
        <v>5</v>
      </c>
      <c r="G16" s="4">
        <v>1158903</v>
      </c>
      <c r="H16" s="4">
        <v>1582426</v>
      </c>
      <c r="I16" s="23">
        <v>2741329</v>
      </c>
      <c r="J16" s="54"/>
    </row>
    <row r="17" spans="1:10" x14ac:dyDescent="0.2">
      <c r="A17" s="25" t="s">
        <v>6</v>
      </c>
      <c r="B17" s="5">
        <v>134269</v>
      </c>
      <c r="C17" s="5">
        <v>126919</v>
      </c>
      <c r="D17" s="14">
        <v>261188</v>
      </c>
      <c r="E17" s="54"/>
      <c r="F17" s="25" t="s">
        <v>6</v>
      </c>
      <c r="G17" s="5">
        <v>2536776</v>
      </c>
      <c r="H17" s="5">
        <v>2091893</v>
      </c>
      <c r="I17" s="14">
        <v>4628669</v>
      </c>
      <c r="J17" s="54"/>
    </row>
    <row r="18" spans="1:10" x14ac:dyDescent="0.2">
      <c r="A18" s="29" t="s">
        <v>60</v>
      </c>
      <c r="B18" s="58">
        <v>191527</v>
      </c>
      <c r="C18" s="58">
        <v>229740</v>
      </c>
      <c r="D18" s="110">
        <v>421267</v>
      </c>
      <c r="E18" s="54"/>
      <c r="F18" s="29" t="s">
        <v>60</v>
      </c>
      <c r="G18" s="58">
        <v>3695679</v>
      </c>
      <c r="H18" s="58">
        <v>3674319</v>
      </c>
      <c r="I18" s="110">
        <v>7369998</v>
      </c>
      <c r="J18" s="54"/>
    </row>
    <row r="19" spans="1:10" x14ac:dyDescent="0.2">
      <c r="E19" s="54"/>
      <c r="F19" s="3"/>
      <c r="J19" s="54"/>
    </row>
    <row r="20" spans="1:10" x14ac:dyDescent="0.2">
      <c r="E20" s="54"/>
      <c r="F20" s="3"/>
      <c r="J20" s="54"/>
    </row>
    <row r="21" spans="1:10" x14ac:dyDescent="0.2">
      <c r="A21" s="2" t="s">
        <v>131</v>
      </c>
      <c r="E21" s="54"/>
      <c r="F21" s="2" t="s">
        <v>132</v>
      </c>
      <c r="J21" s="54"/>
    </row>
    <row r="22" spans="1:10" x14ac:dyDescent="0.2">
      <c r="A22" s="146" t="s">
        <v>391</v>
      </c>
      <c r="B22" s="146"/>
      <c r="C22" s="146"/>
      <c r="D22" s="146"/>
      <c r="E22" s="54"/>
      <c r="F22" s="146" t="s">
        <v>392</v>
      </c>
      <c r="G22" s="146"/>
      <c r="H22" s="146"/>
      <c r="I22" s="146"/>
      <c r="J22" s="54"/>
    </row>
    <row r="23" spans="1:10" x14ac:dyDescent="0.2">
      <c r="A23" s="8" t="s">
        <v>67</v>
      </c>
      <c r="B23" s="8" t="s">
        <v>0</v>
      </c>
      <c r="C23" s="8" t="s">
        <v>1</v>
      </c>
      <c r="D23" s="8" t="s">
        <v>59</v>
      </c>
      <c r="E23" s="54"/>
      <c r="F23" s="8" t="s">
        <v>67</v>
      </c>
      <c r="G23" s="8" t="s">
        <v>0</v>
      </c>
      <c r="H23" s="8" t="s">
        <v>1</v>
      </c>
      <c r="I23" s="8" t="s">
        <v>59</v>
      </c>
      <c r="J23" s="54"/>
    </row>
    <row r="24" spans="1:10" x14ac:dyDescent="0.2">
      <c r="A24" s="22" t="s">
        <v>53</v>
      </c>
      <c r="B24" s="4">
        <v>922</v>
      </c>
      <c r="C24" s="4">
        <v>400.02263556308139</v>
      </c>
      <c r="D24" s="4">
        <v>1322.0226355630814</v>
      </c>
      <c r="E24" s="54"/>
      <c r="F24" s="22" t="s">
        <v>53</v>
      </c>
      <c r="G24" s="4">
        <v>9868</v>
      </c>
      <c r="H24" s="4">
        <v>3801.2224256580653</v>
      </c>
      <c r="I24" s="4">
        <v>13669.222425658065</v>
      </c>
      <c r="J24" s="54"/>
    </row>
    <row r="25" spans="1:10" x14ac:dyDescent="0.2">
      <c r="A25" s="25" t="s">
        <v>2</v>
      </c>
      <c r="B25" s="5">
        <v>13412</v>
      </c>
      <c r="C25" s="5">
        <v>10369.586770383978</v>
      </c>
      <c r="D25" s="5">
        <v>23781.586770383976</v>
      </c>
      <c r="E25" s="54"/>
      <c r="F25" s="25" t="s">
        <v>2</v>
      </c>
      <c r="G25" s="5">
        <v>194077</v>
      </c>
      <c r="H25" s="5">
        <v>120059.02516314182</v>
      </c>
      <c r="I25" s="5">
        <v>314136.02516314184</v>
      </c>
      <c r="J25" s="54"/>
    </row>
    <row r="26" spans="1:10" x14ac:dyDescent="0.2">
      <c r="A26" s="25" t="s">
        <v>54</v>
      </c>
      <c r="B26" s="5">
        <v>59883</v>
      </c>
      <c r="C26" s="5">
        <v>81097.588964292401</v>
      </c>
      <c r="D26" s="5">
        <v>140980.5889642924</v>
      </c>
      <c r="E26" s="54"/>
      <c r="F26" s="25" t="s">
        <v>54</v>
      </c>
      <c r="G26" s="5">
        <v>1012227</v>
      </c>
      <c r="H26" s="5">
        <v>1175826.8026169101</v>
      </c>
      <c r="I26" s="5">
        <v>2188053.8026169101</v>
      </c>
      <c r="J26" s="54"/>
    </row>
    <row r="27" spans="1:10" x14ac:dyDescent="0.2">
      <c r="A27" s="25" t="s">
        <v>55</v>
      </c>
      <c r="B27" s="5">
        <v>45917</v>
      </c>
      <c r="C27" s="5">
        <v>68799.89309049437</v>
      </c>
      <c r="D27" s="5">
        <v>114716.89309049437</v>
      </c>
      <c r="E27" s="54"/>
      <c r="F27" s="25" t="s">
        <v>55</v>
      </c>
      <c r="G27" s="5">
        <v>853682</v>
      </c>
      <c r="H27" s="5">
        <v>1107108.7816338351</v>
      </c>
      <c r="I27" s="5">
        <v>1960790.7816338351</v>
      </c>
      <c r="J27" s="54"/>
    </row>
    <row r="28" spans="1:10" x14ac:dyDescent="0.2">
      <c r="A28" s="25" t="s">
        <v>56</v>
      </c>
      <c r="B28" s="5">
        <v>34989</v>
      </c>
      <c r="C28" s="5">
        <v>38082.154905605348</v>
      </c>
      <c r="D28" s="5">
        <v>73071.154905605348</v>
      </c>
      <c r="E28" s="54"/>
      <c r="F28" s="25" t="s">
        <v>56</v>
      </c>
      <c r="G28" s="5">
        <v>736228</v>
      </c>
      <c r="H28" s="5">
        <v>648079.92190694658</v>
      </c>
      <c r="I28" s="5">
        <v>1384307.9219069467</v>
      </c>
      <c r="J28" s="54"/>
    </row>
    <row r="29" spans="1:10" x14ac:dyDescent="0.2">
      <c r="A29" s="25" t="s">
        <v>57</v>
      </c>
      <c r="B29" s="5">
        <v>28580</v>
      </c>
      <c r="C29" s="5">
        <v>26082.475895301814</v>
      </c>
      <c r="D29" s="5">
        <v>54662.475895301817</v>
      </c>
      <c r="E29" s="54"/>
      <c r="F29" s="25" t="s">
        <v>57</v>
      </c>
      <c r="G29" s="5">
        <v>684557</v>
      </c>
      <c r="H29" s="5">
        <v>512866.00996705593</v>
      </c>
      <c r="I29" s="5">
        <v>1197423.0099670559</v>
      </c>
      <c r="J29" s="54"/>
    </row>
    <row r="30" spans="1:10" x14ac:dyDescent="0.2">
      <c r="A30" s="25" t="s">
        <v>3</v>
      </c>
      <c r="B30" s="5">
        <v>7824</v>
      </c>
      <c r="C30" s="5">
        <v>4908.2777383590092</v>
      </c>
      <c r="D30" s="5">
        <v>12732.277738359009</v>
      </c>
      <c r="E30" s="54"/>
      <c r="F30" s="25" t="s">
        <v>3</v>
      </c>
      <c r="G30" s="5">
        <v>205040</v>
      </c>
      <c r="H30" s="5">
        <v>106577.23628645242</v>
      </c>
      <c r="I30" s="5">
        <v>311617.23628645239</v>
      </c>
      <c r="J30" s="54"/>
    </row>
    <row r="31" spans="1:10" x14ac:dyDescent="0.2">
      <c r="A31" s="29" t="s">
        <v>60</v>
      </c>
      <c r="B31" s="58">
        <v>191527</v>
      </c>
      <c r="C31" s="58">
        <v>229740.00000000003</v>
      </c>
      <c r="D31" s="58">
        <v>421267.00000000006</v>
      </c>
      <c r="E31" s="54"/>
      <c r="F31" s="29" t="s">
        <v>60</v>
      </c>
      <c r="G31" s="58">
        <v>3695679</v>
      </c>
      <c r="H31" s="58">
        <v>3674319</v>
      </c>
      <c r="I31" s="58">
        <v>7369997.9999999991</v>
      </c>
      <c r="J31" s="54"/>
    </row>
    <row r="32" spans="1:10" x14ac:dyDescent="0.2">
      <c r="E32" s="54"/>
      <c r="F32" s="3"/>
      <c r="J32" s="54"/>
    </row>
    <row r="33" spans="1:10" x14ac:dyDescent="0.2">
      <c r="E33" s="54"/>
      <c r="F33" s="3"/>
      <c r="J33" s="54"/>
    </row>
    <row r="34" spans="1:10" x14ac:dyDescent="0.2">
      <c r="A34" s="2" t="s">
        <v>139</v>
      </c>
      <c r="E34" s="54"/>
      <c r="F34" s="2" t="s">
        <v>140</v>
      </c>
      <c r="J34" s="54"/>
    </row>
    <row r="35" spans="1:10" x14ac:dyDescent="0.2">
      <c r="A35" s="146" t="s">
        <v>393</v>
      </c>
      <c r="B35" s="146"/>
      <c r="C35" s="146"/>
      <c r="D35" s="146"/>
      <c r="E35" s="54"/>
      <c r="F35" s="146" t="s">
        <v>394</v>
      </c>
      <c r="G35" s="146"/>
      <c r="H35" s="146"/>
      <c r="I35" s="146"/>
      <c r="J35" s="54"/>
    </row>
    <row r="36" spans="1:10" x14ac:dyDescent="0.2">
      <c r="A36" s="8" t="s">
        <v>208</v>
      </c>
      <c r="B36" s="8" t="s">
        <v>0</v>
      </c>
      <c r="C36" s="8" t="s">
        <v>1</v>
      </c>
      <c r="D36" s="8" t="s">
        <v>59</v>
      </c>
      <c r="E36" s="54"/>
      <c r="F36" s="8" t="s">
        <v>208</v>
      </c>
      <c r="G36" s="8" t="s">
        <v>0</v>
      </c>
      <c r="H36" s="8" t="s">
        <v>1</v>
      </c>
      <c r="I36" s="8" t="s">
        <v>59</v>
      </c>
      <c r="J36" s="54"/>
    </row>
    <row r="37" spans="1:10" x14ac:dyDescent="0.2">
      <c r="A37" s="30" t="s">
        <v>14</v>
      </c>
      <c r="B37" s="4">
        <v>995</v>
      </c>
      <c r="C37" s="4">
        <v>1171.8546566468924</v>
      </c>
      <c r="D37" s="4">
        <v>2166.8546566468922</v>
      </c>
      <c r="E37" s="54"/>
      <c r="F37" s="30" t="s">
        <v>14</v>
      </c>
      <c r="G37" s="4">
        <v>13719</v>
      </c>
      <c r="H37" s="4">
        <v>15784.906307190928</v>
      </c>
      <c r="I37" s="4">
        <v>29503.906307190926</v>
      </c>
      <c r="J37" s="54"/>
    </row>
    <row r="38" spans="1:10" x14ac:dyDescent="0.2">
      <c r="A38" s="31" t="s">
        <v>15</v>
      </c>
      <c r="B38" s="5">
        <v>5741</v>
      </c>
      <c r="C38" s="5">
        <v>5738.0823546767642</v>
      </c>
      <c r="D38" s="5">
        <v>11479.082354676764</v>
      </c>
      <c r="E38" s="54"/>
      <c r="F38" s="31" t="s">
        <v>15</v>
      </c>
      <c r="G38" s="5">
        <v>99706</v>
      </c>
      <c r="H38" s="5">
        <v>104736.52638622708</v>
      </c>
      <c r="I38" s="5">
        <v>204442.52638622708</v>
      </c>
      <c r="J38" s="54"/>
    </row>
    <row r="39" spans="1:10" x14ac:dyDescent="0.2">
      <c r="A39" s="31" t="s">
        <v>16</v>
      </c>
      <c r="B39" s="5">
        <v>7778</v>
      </c>
      <c r="C39" s="5">
        <v>11422.758537446745</v>
      </c>
      <c r="D39" s="5">
        <v>19200.758537446745</v>
      </c>
      <c r="E39" s="54"/>
      <c r="F39" s="31" t="s">
        <v>16</v>
      </c>
      <c r="G39" s="5">
        <v>141829</v>
      </c>
      <c r="H39" s="5">
        <v>189530.7965122413</v>
      </c>
      <c r="I39" s="5">
        <v>331359.7965122413</v>
      </c>
      <c r="J39" s="54"/>
    </row>
    <row r="40" spans="1:10" x14ac:dyDescent="0.2">
      <c r="A40" s="31" t="s">
        <v>17</v>
      </c>
      <c r="B40" s="5">
        <v>3888</v>
      </c>
      <c r="C40" s="5">
        <v>3641.8901073355655</v>
      </c>
      <c r="D40" s="5">
        <v>7529.8901073355655</v>
      </c>
      <c r="E40" s="54"/>
      <c r="F40" s="31" t="s">
        <v>17</v>
      </c>
      <c r="G40" s="5">
        <v>80341</v>
      </c>
      <c r="H40" s="5">
        <v>69831.473158530032</v>
      </c>
      <c r="I40" s="5">
        <v>150172.47315853002</v>
      </c>
      <c r="J40" s="54"/>
    </row>
    <row r="41" spans="1:10" x14ac:dyDescent="0.2">
      <c r="A41" s="31" t="s">
        <v>18</v>
      </c>
      <c r="B41" s="5">
        <v>6562</v>
      </c>
      <c r="C41" s="5">
        <v>2978.4211255705413</v>
      </c>
      <c r="D41" s="5">
        <v>9540.4211255705413</v>
      </c>
      <c r="E41" s="54"/>
      <c r="F41" s="31" t="s">
        <v>18</v>
      </c>
      <c r="G41" s="5">
        <v>129495</v>
      </c>
      <c r="H41" s="5">
        <v>60938.85480576165</v>
      </c>
      <c r="I41" s="5">
        <v>190433.85480576166</v>
      </c>
      <c r="J41" s="54"/>
    </row>
    <row r="42" spans="1:10" x14ac:dyDescent="0.2">
      <c r="A42" s="31" t="s">
        <v>19</v>
      </c>
      <c r="B42" s="5">
        <v>17853</v>
      </c>
      <c r="C42" s="5">
        <v>13491.220657067115</v>
      </c>
      <c r="D42" s="5">
        <v>31344.220657067115</v>
      </c>
      <c r="E42" s="54"/>
      <c r="F42" s="31" t="s">
        <v>19</v>
      </c>
      <c r="G42" s="5">
        <v>350574</v>
      </c>
      <c r="H42" s="5">
        <v>244918.37835087429</v>
      </c>
      <c r="I42" s="5">
        <v>595492.37835087429</v>
      </c>
      <c r="J42" s="54"/>
    </row>
    <row r="43" spans="1:10" x14ac:dyDescent="0.2">
      <c r="A43" s="31" t="s">
        <v>20</v>
      </c>
      <c r="B43" s="5">
        <v>79315</v>
      </c>
      <c r="C43" s="5">
        <v>142724.91329557291</v>
      </c>
      <c r="D43" s="5">
        <v>222039.91329557291</v>
      </c>
      <c r="E43" s="54"/>
      <c r="F43" s="31" t="s">
        <v>20</v>
      </c>
      <c r="G43" s="5">
        <v>1573081</v>
      </c>
      <c r="H43" s="5">
        <v>2130434.2886647009</v>
      </c>
      <c r="I43" s="5">
        <v>3703515.2886647009</v>
      </c>
      <c r="J43" s="54"/>
    </row>
    <row r="44" spans="1:10" x14ac:dyDescent="0.2">
      <c r="A44" s="31" t="s">
        <v>21</v>
      </c>
      <c r="B44" s="5">
        <v>18636</v>
      </c>
      <c r="C44" s="5">
        <v>10274.52584145093</v>
      </c>
      <c r="D44" s="5">
        <v>28910.52584145093</v>
      </c>
      <c r="E44" s="54"/>
      <c r="F44" s="31" t="s">
        <v>21</v>
      </c>
      <c r="G44" s="5">
        <v>381629</v>
      </c>
      <c r="H44" s="5">
        <v>186351.22759320226</v>
      </c>
      <c r="I44" s="5">
        <v>567980.22759320226</v>
      </c>
      <c r="J44" s="54"/>
    </row>
    <row r="45" spans="1:10" x14ac:dyDescent="0.2">
      <c r="A45" s="31" t="s">
        <v>22</v>
      </c>
      <c r="B45" s="5">
        <v>7191</v>
      </c>
      <c r="C45" s="5">
        <v>4988.3418644469384</v>
      </c>
      <c r="D45" s="5">
        <v>12179.341864446938</v>
      </c>
      <c r="E45" s="54"/>
      <c r="F45" s="31" t="s">
        <v>22</v>
      </c>
      <c r="G45" s="5">
        <v>141854</v>
      </c>
      <c r="H45" s="5">
        <v>82413.408919437788</v>
      </c>
      <c r="I45" s="5">
        <v>224267.40891943779</v>
      </c>
      <c r="J45" s="54"/>
    </row>
    <row r="46" spans="1:10" x14ac:dyDescent="0.2">
      <c r="A46" s="31" t="s">
        <v>23</v>
      </c>
      <c r="B46" s="5">
        <v>20484</v>
      </c>
      <c r="C46" s="5">
        <v>16206.719090173498</v>
      </c>
      <c r="D46" s="5">
        <v>36690.719090173501</v>
      </c>
      <c r="E46" s="54"/>
      <c r="F46" s="31" t="s">
        <v>23</v>
      </c>
      <c r="G46" s="5">
        <v>429748</v>
      </c>
      <c r="H46" s="5">
        <v>296211.69288383913</v>
      </c>
      <c r="I46" s="5">
        <v>725959.69288383913</v>
      </c>
      <c r="J46" s="54"/>
    </row>
    <row r="47" spans="1:10" x14ac:dyDescent="0.2">
      <c r="A47" s="31" t="s">
        <v>24</v>
      </c>
      <c r="B47" s="5">
        <v>10401</v>
      </c>
      <c r="C47" s="5">
        <v>6488.8498866740283</v>
      </c>
      <c r="D47" s="5">
        <v>16889.849886674026</v>
      </c>
      <c r="E47" s="54"/>
      <c r="F47" s="31" t="s">
        <v>24</v>
      </c>
      <c r="G47" s="5">
        <v>177623</v>
      </c>
      <c r="H47" s="5">
        <v>116133.11885411708</v>
      </c>
      <c r="I47" s="5">
        <v>293756.11885411711</v>
      </c>
      <c r="J47" s="54"/>
    </row>
    <row r="48" spans="1:10" x14ac:dyDescent="0.2">
      <c r="A48" s="31" t="s">
        <v>25</v>
      </c>
      <c r="B48" s="5">
        <v>1913</v>
      </c>
      <c r="C48" s="5">
        <v>1529.2651917153573</v>
      </c>
      <c r="D48" s="5">
        <v>3442.2651917153571</v>
      </c>
      <c r="E48" s="54"/>
      <c r="F48" s="31" t="s">
        <v>25</v>
      </c>
      <c r="G48" s="5">
        <v>20608</v>
      </c>
      <c r="H48" s="5">
        <v>23948.004367174992</v>
      </c>
      <c r="I48" s="5">
        <v>44556.004367174988</v>
      </c>
      <c r="J48" s="54"/>
    </row>
    <row r="49" spans="1:10" x14ac:dyDescent="0.2">
      <c r="A49" s="31" t="s">
        <v>26</v>
      </c>
      <c r="B49" s="5">
        <v>8017</v>
      </c>
      <c r="C49" s="5">
        <v>5827.4349884438798</v>
      </c>
      <c r="D49" s="5">
        <v>13844.43498844388</v>
      </c>
      <c r="E49" s="54"/>
      <c r="F49" s="31" t="s">
        <v>26</v>
      </c>
      <c r="G49" s="5">
        <v>111577</v>
      </c>
      <c r="H49" s="5">
        <v>93451.854744287237</v>
      </c>
      <c r="I49" s="5">
        <v>205028.85474428724</v>
      </c>
      <c r="J49" s="54"/>
    </row>
    <row r="50" spans="1:10" x14ac:dyDescent="0.2">
      <c r="A50" s="31" t="s">
        <v>27</v>
      </c>
      <c r="B50" s="5">
        <v>1079</v>
      </c>
      <c r="C50" s="5">
        <v>803.14666213660814</v>
      </c>
      <c r="D50" s="5">
        <v>1882.146662136608</v>
      </c>
      <c r="E50" s="54"/>
      <c r="F50" s="31" t="s">
        <v>27</v>
      </c>
      <c r="G50" s="5">
        <v>12795</v>
      </c>
      <c r="H50" s="5">
        <v>13068.282622763973</v>
      </c>
      <c r="I50" s="5">
        <v>25863.282622763974</v>
      </c>
      <c r="J50" s="54"/>
    </row>
    <row r="51" spans="1:10" x14ac:dyDescent="0.2">
      <c r="A51" s="31" t="s">
        <v>28</v>
      </c>
      <c r="B51" s="5">
        <v>1674</v>
      </c>
      <c r="C51" s="5">
        <v>2452.5757406422254</v>
      </c>
      <c r="D51" s="5">
        <v>4126.5757406422254</v>
      </c>
      <c r="E51" s="54"/>
      <c r="F51" s="31" t="s">
        <v>28</v>
      </c>
      <c r="G51" s="5">
        <v>31100</v>
      </c>
      <c r="H51" s="5">
        <v>46566.185829651098</v>
      </c>
      <c r="I51" s="5">
        <v>77666.185829651105</v>
      </c>
      <c r="J51" s="54"/>
    </row>
    <row r="52" spans="1:10" x14ac:dyDescent="0.2">
      <c r="A52" s="29" t="s">
        <v>60</v>
      </c>
      <c r="B52" s="58">
        <v>191527</v>
      </c>
      <c r="C52" s="58">
        <v>229740</v>
      </c>
      <c r="D52" s="58">
        <v>421267</v>
      </c>
      <c r="E52" s="54"/>
      <c r="F52" s="29" t="s">
        <v>60</v>
      </c>
      <c r="G52" s="58">
        <v>3695679</v>
      </c>
      <c r="H52" s="58">
        <v>3674318.9999999995</v>
      </c>
      <c r="I52" s="58">
        <v>7369997.9999999991</v>
      </c>
      <c r="J52" s="54"/>
    </row>
    <row r="53" spans="1:10" x14ac:dyDescent="0.2">
      <c r="F53" s="3"/>
    </row>
    <row r="54" spans="1:10" x14ac:dyDescent="0.2">
      <c r="F54" s="3"/>
    </row>
  </sheetData>
  <mergeCells count="8">
    <mergeCell ref="F35:I35"/>
    <mergeCell ref="A35:D35"/>
    <mergeCell ref="A4:D4"/>
    <mergeCell ref="F4:I4"/>
    <mergeCell ref="F14:I14"/>
    <mergeCell ref="A14:D14"/>
    <mergeCell ref="A22:D22"/>
    <mergeCell ref="F22:I2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852"/>
  <sheetViews>
    <sheetView showGridLines="0" zoomScale="90" zoomScaleNormal="90" workbookViewId="0"/>
  </sheetViews>
  <sheetFormatPr baseColWidth="10" defaultColWidth="33.140625" defaultRowHeight="12.75" x14ac:dyDescent="0.2"/>
  <cols>
    <col min="1" max="1" width="40.7109375" style="3" customWidth="1"/>
    <col min="2" max="5" width="12.7109375" style="6" customWidth="1"/>
    <col min="6" max="13" width="12.7109375" style="3" customWidth="1"/>
    <col min="14" max="14" width="4.28515625" style="3" customWidth="1"/>
    <col min="15" max="15" width="40.7109375" style="3" customWidth="1"/>
    <col min="16" max="27" width="12.7109375" style="3" customWidth="1"/>
    <col min="28" max="54" width="15.7109375" style="3" customWidth="1"/>
    <col min="55" max="16384" width="33.140625" style="3"/>
  </cols>
  <sheetData>
    <row r="1" spans="1:5" ht="18.75" x14ac:dyDescent="0.3">
      <c r="A1" s="1" t="s">
        <v>202</v>
      </c>
    </row>
    <row r="2" spans="1:5" x14ac:dyDescent="0.2">
      <c r="A2" s="7"/>
    </row>
    <row r="3" spans="1:5" x14ac:dyDescent="0.2">
      <c r="A3" s="7" t="s">
        <v>141</v>
      </c>
    </row>
    <row r="4" spans="1:5" x14ac:dyDescent="0.2">
      <c r="A4" s="148" t="s">
        <v>397</v>
      </c>
      <c r="B4" s="148"/>
      <c r="C4" s="148"/>
      <c r="D4" s="148"/>
    </row>
    <row r="5" spans="1:5" x14ac:dyDescent="0.2">
      <c r="A5" s="8" t="s">
        <v>207</v>
      </c>
      <c r="B5" s="8" t="s">
        <v>0</v>
      </c>
      <c r="C5" s="8" t="s">
        <v>1</v>
      </c>
      <c r="D5" s="8" t="s">
        <v>59</v>
      </c>
    </row>
    <row r="6" spans="1:5" x14ac:dyDescent="0.2">
      <c r="A6" s="31" t="s">
        <v>9</v>
      </c>
      <c r="B6" s="4">
        <v>846402.56069073372</v>
      </c>
      <c r="C6" s="4">
        <v>285994.94223989296</v>
      </c>
      <c r="D6" s="4">
        <v>1132397.5029306267</v>
      </c>
      <c r="E6" s="54"/>
    </row>
    <row r="7" spans="1:5" x14ac:dyDescent="0.2">
      <c r="A7" s="31" t="s">
        <v>10</v>
      </c>
      <c r="B7" s="5">
        <v>809487.04388304357</v>
      </c>
      <c r="C7" s="5">
        <v>225927.93262129513</v>
      </c>
      <c r="D7" s="5">
        <v>1035414.9765043387</v>
      </c>
      <c r="E7" s="54"/>
    </row>
    <row r="8" spans="1:5" x14ac:dyDescent="0.2">
      <c r="A8" s="31" t="s">
        <v>11</v>
      </c>
      <c r="B8" s="5">
        <v>480259.24404498358</v>
      </c>
      <c r="C8" s="5">
        <v>295882.0836472903</v>
      </c>
      <c r="D8" s="5">
        <v>776141.32769227389</v>
      </c>
      <c r="E8" s="54"/>
    </row>
    <row r="9" spans="1:5" x14ac:dyDescent="0.2">
      <c r="A9" s="31" t="s">
        <v>674</v>
      </c>
      <c r="B9" s="5">
        <v>264407.21338516392</v>
      </c>
      <c r="C9" s="5">
        <v>113001.47443434785</v>
      </c>
      <c r="D9" s="5">
        <v>377408.68781951175</v>
      </c>
      <c r="E9" s="54"/>
    </row>
    <row r="10" spans="1:5" x14ac:dyDescent="0.2">
      <c r="A10" s="31" t="s">
        <v>13</v>
      </c>
      <c r="B10" s="5">
        <v>185847.00058028981</v>
      </c>
      <c r="C10" s="5">
        <v>120360.06819602942</v>
      </c>
      <c r="D10" s="5">
        <v>306207.06877631921</v>
      </c>
      <c r="E10" s="54"/>
    </row>
    <row r="11" spans="1:5" x14ac:dyDescent="0.2">
      <c r="A11" s="31" t="s">
        <v>230</v>
      </c>
      <c r="B11" s="5">
        <v>154639.84106992028</v>
      </c>
      <c r="C11" s="5">
        <v>98875.414940501374</v>
      </c>
      <c r="D11" s="5">
        <v>253515.25601042167</v>
      </c>
      <c r="E11" s="54"/>
    </row>
    <row r="12" spans="1:5" x14ac:dyDescent="0.2">
      <c r="A12" s="31" t="s">
        <v>231</v>
      </c>
      <c r="B12" s="5">
        <v>128227.13928956632</v>
      </c>
      <c r="C12" s="5">
        <v>44792.701431206355</v>
      </c>
      <c r="D12" s="5">
        <v>173019.84072077269</v>
      </c>
      <c r="E12" s="54"/>
    </row>
    <row r="13" spans="1:5" x14ac:dyDescent="0.2">
      <c r="A13" s="31" t="s">
        <v>673</v>
      </c>
      <c r="B13" s="5">
        <v>115103.13978897066</v>
      </c>
      <c r="C13" s="5">
        <v>47876.369307686473</v>
      </c>
      <c r="D13" s="5">
        <v>162979.50909665713</v>
      </c>
      <c r="E13" s="54"/>
    </row>
    <row r="14" spans="1:5" x14ac:dyDescent="0.2">
      <c r="A14" s="31" t="s">
        <v>233</v>
      </c>
      <c r="B14" s="5">
        <v>86639.687550993782</v>
      </c>
      <c r="C14" s="5">
        <v>39373.527718987963</v>
      </c>
      <c r="D14" s="5">
        <v>126013.21526998174</v>
      </c>
      <c r="E14" s="54"/>
    </row>
    <row r="15" spans="1:5" x14ac:dyDescent="0.2">
      <c r="A15" s="31" t="s">
        <v>987</v>
      </c>
      <c r="B15" s="5">
        <v>99132.995921625086</v>
      </c>
      <c r="C15" s="5">
        <v>27097.868994355951</v>
      </c>
      <c r="D15" s="5">
        <v>126230.86491598104</v>
      </c>
      <c r="E15" s="54"/>
    </row>
    <row r="16" spans="1:5" x14ac:dyDescent="0.2">
      <c r="A16" s="31" t="s">
        <v>31</v>
      </c>
      <c r="B16" s="5">
        <v>393286.13379470928</v>
      </c>
      <c r="C16" s="5">
        <v>164445.61646840622</v>
      </c>
      <c r="D16" s="5">
        <v>557731.75026311551</v>
      </c>
      <c r="E16" s="54"/>
    </row>
    <row r="17" spans="1:28" x14ac:dyDescent="0.2">
      <c r="A17" s="29" t="s">
        <v>60</v>
      </c>
      <c r="B17" s="58">
        <v>3563432.0000000005</v>
      </c>
      <c r="C17" s="58">
        <v>1463628.0000000002</v>
      </c>
      <c r="D17" s="58">
        <v>5027060</v>
      </c>
      <c r="E17" s="54"/>
    </row>
    <row r="20" spans="1:28" x14ac:dyDescent="0.2">
      <c r="A20" s="7" t="s">
        <v>142</v>
      </c>
      <c r="O20" s="7" t="s">
        <v>143</v>
      </c>
      <c r="P20" s="6"/>
      <c r="Q20" s="6"/>
      <c r="R20" s="6"/>
      <c r="S20" s="6"/>
    </row>
    <row r="21" spans="1:28" x14ac:dyDescent="0.2">
      <c r="A21" s="148" t="s">
        <v>398</v>
      </c>
      <c r="B21" s="148"/>
      <c r="C21" s="148"/>
      <c r="D21" s="148"/>
      <c r="E21" s="148"/>
      <c r="F21" s="148"/>
      <c r="G21" s="148"/>
      <c r="H21" s="148"/>
      <c r="I21" s="148"/>
      <c r="J21" s="148"/>
      <c r="K21" s="148"/>
      <c r="L21" s="148"/>
      <c r="M21" s="148"/>
      <c r="O21" s="148" t="s">
        <v>399</v>
      </c>
      <c r="P21" s="148"/>
      <c r="Q21" s="148"/>
      <c r="R21" s="148"/>
      <c r="S21" s="148"/>
      <c r="T21" s="148"/>
      <c r="U21" s="148"/>
      <c r="V21" s="148"/>
      <c r="W21" s="148"/>
      <c r="X21" s="148"/>
      <c r="Y21" s="148"/>
      <c r="Z21" s="148"/>
      <c r="AA21" s="148"/>
    </row>
    <row r="22" spans="1:28" ht="51" x14ac:dyDescent="0.2">
      <c r="A22" s="44" t="s">
        <v>66</v>
      </c>
      <c r="B22" s="44" t="s">
        <v>9</v>
      </c>
      <c r="C22" s="44" t="s">
        <v>511</v>
      </c>
      <c r="D22" s="44" t="s">
        <v>11</v>
      </c>
      <c r="E22" s="44" t="s">
        <v>672</v>
      </c>
      <c r="F22" s="44" t="s">
        <v>13</v>
      </c>
      <c r="G22" s="44" t="s">
        <v>230</v>
      </c>
      <c r="H22" s="44" t="s">
        <v>231</v>
      </c>
      <c r="I22" s="44" t="s">
        <v>673</v>
      </c>
      <c r="J22" s="44" t="s">
        <v>233</v>
      </c>
      <c r="K22" s="44" t="s">
        <v>512</v>
      </c>
      <c r="L22" s="44" t="s">
        <v>31</v>
      </c>
      <c r="M22" s="44" t="s">
        <v>64</v>
      </c>
      <c r="O22" s="44" t="s">
        <v>66</v>
      </c>
      <c r="P22" s="44" t="s">
        <v>9</v>
      </c>
      <c r="Q22" s="44" t="s">
        <v>511</v>
      </c>
      <c r="R22" s="44" t="s">
        <v>11</v>
      </c>
      <c r="S22" s="44" t="s">
        <v>672</v>
      </c>
      <c r="T22" s="44" t="s">
        <v>13</v>
      </c>
      <c r="U22" s="44" t="s">
        <v>230</v>
      </c>
      <c r="V22" s="44" t="s">
        <v>231</v>
      </c>
      <c r="W22" s="44" t="s">
        <v>673</v>
      </c>
      <c r="X22" s="44" t="s">
        <v>233</v>
      </c>
      <c r="Y22" s="44" t="s">
        <v>512</v>
      </c>
      <c r="Z22" s="44" t="s">
        <v>31</v>
      </c>
      <c r="AA22" s="44" t="s">
        <v>64</v>
      </c>
    </row>
    <row r="23" spans="1:28" x14ac:dyDescent="0.2">
      <c r="A23" s="22" t="s">
        <v>5</v>
      </c>
      <c r="B23" s="4">
        <v>209398.32093831652</v>
      </c>
      <c r="C23" s="4">
        <v>345584.72311269824</v>
      </c>
      <c r="D23" s="23">
        <v>163482.36830591731</v>
      </c>
      <c r="E23" s="23">
        <v>161093.19413273165</v>
      </c>
      <c r="F23" s="23">
        <v>69974.107296968315</v>
      </c>
      <c r="G23" s="23">
        <v>66819.034528230579</v>
      </c>
      <c r="H23" s="23">
        <v>213.9618688432279</v>
      </c>
      <c r="I23" s="23">
        <v>37160.062952003915</v>
      </c>
      <c r="J23" s="23">
        <v>40237.568377389609</v>
      </c>
      <c r="K23" s="23">
        <v>65047.414912856475</v>
      </c>
      <c r="L23" s="23">
        <v>162077.24357404417</v>
      </c>
      <c r="M23" s="23">
        <v>1321088</v>
      </c>
      <c r="N23" s="69"/>
      <c r="O23" s="22" t="s">
        <v>5</v>
      </c>
      <c r="P23" s="4">
        <v>107074.96539149914</v>
      </c>
      <c r="Q23" s="4">
        <v>128607.30189822943</v>
      </c>
      <c r="R23" s="23">
        <v>132794.89761301596</v>
      </c>
      <c r="S23" s="23">
        <v>77852.65448561516</v>
      </c>
      <c r="T23" s="23">
        <v>60789.348299848767</v>
      </c>
      <c r="U23" s="23">
        <v>51398.322592394921</v>
      </c>
      <c r="V23" s="23">
        <v>60.223335982576501</v>
      </c>
      <c r="W23" s="23">
        <v>16294.514083472344</v>
      </c>
      <c r="X23" s="23">
        <v>18158.712382398546</v>
      </c>
      <c r="Y23" s="23">
        <v>17673.554956533506</v>
      </c>
      <c r="Z23" s="23">
        <v>74914.504961009661</v>
      </c>
      <c r="AA23" s="23">
        <v>685619</v>
      </c>
      <c r="AB23" s="69"/>
    </row>
    <row r="24" spans="1:28" x14ac:dyDescent="0.2">
      <c r="A24" s="25" t="s">
        <v>6</v>
      </c>
      <c r="B24" s="5">
        <v>637004.2397524172</v>
      </c>
      <c r="C24" s="5">
        <v>463902.32077034528</v>
      </c>
      <c r="D24" s="14">
        <v>316776.87573906628</v>
      </c>
      <c r="E24" s="14">
        <v>103314.01925243228</v>
      </c>
      <c r="F24" s="14">
        <v>115872.89328332151</v>
      </c>
      <c r="G24" s="14">
        <v>87820.806541689701</v>
      </c>
      <c r="H24" s="14">
        <v>128013.17742072308</v>
      </c>
      <c r="I24" s="14">
        <v>77943.076836966749</v>
      </c>
      <c r="J24" s="14">
        <v>46402.119173604166</v>
      </c>
      <c r="K24" s="14">
        <v>34085.581008768604</v>
      </c>
      <c r="L24" s="14">
        <v>231208.89022066514</v>
      </c>
      <c r="M24" s="14">
        <v>2242344</v>
      </c>
      <c r="N24" s="69"/>
      <c r="O24" s="25" t="s">
        <v>6</v>
      </c>
      <c r="P24" s="5">
        <v>178919.97684839382</v>
      </c>
      <c r="Q24" s="5">
        <v>97320.630723065711</v>
      </c>
      <c r="R24" s="14">
        <v>163087.18603427432</v>
      </c>
      <c r="S24" s="14">
        <v>35148.8199487327</v>
      </c>
      <c r="T24" s="14">
        <v>59570.71989618065</v>
      </c>
      <c r="U24" s="14">
        <v>47477.092348106453</v>
      </c>
      <c r="V24" s="14">
        <v>44732.478095223778</v>
      </c>
      <c r="W24" s="14">
        <v>31581.855224214127</v>
      </c>
      <c r="X24" s="14">
        <v>21214.815336589418</v>
      </c>
      <c r="Y24" s="14">
        <v>9424.3140378224452</v>
      </c>
      <c r="Z24" s="14">
        <v>89531.111507396578</v>
      </c>
      <c r="AA24" s="14">
        <v>778009</v>
      </c>
      <c r="AB24" s="69"/>
    </row>
    <row r="25" spans="1:28" x14ac:dyDescent="0.2">
      <c r="A25" s="29" t="s">
        <v>60</v>
      </c>
      <c r="B25" s="58">
        <v>846402.56069073372</v>
      </c>
      <c r="C25" s="58">
        <v>809487.04388304357</v>
      </c>
      <c r="D25" s="58">
        <v>480259.24404498358</v>
      </c>
      <c r="E25" s="58">
        <v>264407.21338516392</v>
      </c>
      <c r="F25" s="58">
        <v>185847.00058028981</v>
      </c>
      <c r="G25" s="58">
        <v>154639.84106992028</v>
      </c>
      <c r="H25" s="58">
        <v>128227.1392895663</v>
      </c>
      <c r="I25" s="58">
        <v>115103.13978897067</v>
      </c>
      <c r="J25" s="58">
        <v>86639.687550993782</v>
      </c>
      <c r="K25" s="58">
        <v>99132.995921625086</v>
      </c>
      <c r="L25" s="58">
        <v>393286.13379470934</v>
      </c>
      <c r="M25" s="58">
        <v>3563432</v>
      </c>
      <c r="N25" s="69"/>
      <c r="O25" s="29" t="s">
        <v>60</v>
      </c>
      <c r="P25" s="58">
        <v>285994.94223989296</v>
      </c>
      <c r="Q25" s="58">
        <v>225927.93262129516</v>
      </c>
      <c r="R25" s="58">
        <v>295882.08364729024</v>
      </c>
      <c r="S25" s="58">
        <v>113001.47443434785</v>
      </c>
      <c r="T25" s="58">
        <v>120360.06819602942</v>
      </c>
      <c r="U25" s="58">
        <v>98875.414940501374</v>
      </c>
      <c r="V25" s="58">
        <v>44792.701431206355</v>
      </c>
      <c r="W25" s="58">
        <v>47876.369307686473</v>
      </c>
      <c r="X25" s="58">
        <v>39373.527718987963</v>
      </c>
      <c r="Y25" s="58">
        <v>27097.868994355951</v>
      </c>
      <c r="Z25" s="58">
        <v>164445.61646840622</v>
      </c>
      <c r="AA25" s="110">
        <v>1463628</v>
      </c>
      <c r="AB25" s="69"/>
    </row>
    <row r="26" spans="1:28" x14ac:dyDescent="0.2">
      <c r="N26" s="69"/>
      <c r="P26" s="6"/>
      <c r="Q26" s="6"/>
      <c r="R26" s="6"/>
      <c r="S26" s="6"/>
      <c r="AB26" s="69"/>
    </row>
    <row r="27" spans="1:28" x14ac:dyDescent="0.2">
      <c r="N27" s="69"/>
      <c r="P27" s="6"/>
      <c r="Q27" s="6"/>
      <c r="R27" s="6"/>
      <c r="S27" s="6"/>
      <c r="AB27" s="69"/>
    </row>
    <row r="28" spans="1:28" x14ac:dyDescent="0.2">
      <c r="A28" s="7" t="s">
        <v>144</v>
      </c>
      <c r="N28" s="69"/>
      <c r="O28" s="7" t="s">
        <v>146</v>
      </c>
      <c r="P28" s="6"/>
      <c r="Q28" s="6"/>
      <c r="R28" s="6"/>
      <c r="S28" s="6"/>
      <c r="AB28" s="69"/>
    </row>
    <row r="29" spans="1:28" x14ac:dyDescent="0.2">
      <c r="A29" s="148" t="s">
        <v>400</v>
      </c>
      <c r="B29" s="148"/>
      <c r="C29" s="148"/>
      <c r="D29" s="148"/>
      <c r="E29" s="148"/>
      <c r="F29" s="148"/>
      <c r="G29" s="148"/>
      <c r="H29" s="148"/>
      <c r="I29" s="148"/>
      <c r="J29" s="148"/>
      <c r="K29" s="148"/>
      <c r="L29" s="148"/>
      <c r="M29" s="148"/>
      <c r="N29" s="69"/>
      <c r="O29" s="148" t="s">
        <v>401</v>
      </c>
      <c r="P29" s="148"/>
      <c r="Q29" s="148"/>
      <c r="R29" s="148"/>
      <c r="S29" s="148"/>
      <c r="T29" s="148"/>
      <c r="U29" s="148"/>
      <c r="V29" s="148"/>
      <c r="W29" s="148"/>
      <c r="X29" s="148"/>
      <c r="Y29" s="148"/>
      <c r="Z29" s="148"/>
      <c r="AA29" s="148"/>
      <c r="AB29" s="69"/>
    </row>
    <row r="30" spans="1:28" ht="51" x14ac:dyDescent="0.2">
      <c r="A30" s="24" t="s">
        <v>67</v>
      </c>
      <c r="B30" s="44" t="s">
        <v>9</v>
      </c>
      <c r="C30" s="44" t="s">
        <v>511</v>
      </c>
      <c r="D30" s="44" t="s">
        <v>11</v>
      </c>
      <c r="E30" s="44" t="s">
        <v>672</v>
      </c>
      <c r="F30" s="44" t="s">
        <v>13</v>
      </c>
      <c r="G30" s="44" t="s">
        <v>230</v>
      </c>
      <c r="H30" s="44" t="s">
        <v>231</v>
      </c>
      <c r="I30" s="44" t="s">
        <v>673</v>
      </c>
      <c r="J30" s="44" t="s">
        <v>233</v>
      </c>
      <c r="K30" s="44" t="s">
        <v>512</v>
      </c>
      <c r="L30" s="44" t="s">
        <v>31</v>
      </c>
      <c r="M30" s="44" t="s">
        <v>64</v>
      </c>
      <c r="N30" s="69"/>
      <c r="O30" s="24" t="s">
        <v>67</v>
      </c>
      <c r="P30" s="44" t="s">
        <v>9</v>
      </c>
      <c r="Q30" s="44" t="s">
        <v>511</v>
      </c>
      <c r="R30" s="44" t="s">
        <v>11</v>
      </c>
      <c r="S30" s="44" t="s">
        <v>672</v>
      </c>
      <c r="T30" s="44" t="s">
        <v>13</v>
      </c>
      <c r="U30" s="44" t="s">
        <v>230</v>
      </c>
      <c r="V30" s="44" t="s">
        <v>231</v>
      </c>
      <c r="W30" s="44" t="s">
        <v>673</v>
      </c>
      <c r="X30" s="44" t="s">
        <v>233</v>
      </c>
      <c r="Y30" s="44" t="s">
        <v>512</v>
      </c>
      <c r="Z30" s="44" t="s">
        <v>31</v>
      </c>
      <c r="AA30" s="44" t="s">
        <v>64</v>
      </c>
      <c r="AB30" s="69"/>
    </row>
    <row r="31" spans="1:28" x14ac:dyDescent="0.2">
      <c r="A31" s="22" t="s">
        <v>53</v>
      </c>
      <c r="B31" s="4">
        <v>3801.652650746415</v>
      </c>
      <c r="C31" s="4">
        <v>5927.5338204122791</v>
      </c>
      <c r="D31" s="4">
        <v>5592.5556301781144</v>
      </c>
      <c r="E31" s="4">
        <v>4694.0136169416446</v>
      </c>
      <c r="F31" s="4">
        <v>2782.632624970161</v>
      </c>
      <c r="G31" s="4">
        <v>1766.686802732745</v>
      </c>
      <c r="H31" s="4">
        <v>2161.8862902514411</v>
      </c>
      <c r="I31" s="4">
        <v>1063.4885299052175</v>
      </c>
      <c r="J31" s="4">
        <v>128.62586356509885</v>
      </c>
      <c r="K31" s="4">
        <v>148.00450901252935</v>
      </c>
      <c r="L31" s="4">
        <v>3528.9196612843543</v>
      </c>
      <c r="M31" s="4">
        <v>31595.999999999996</v>
      </c>
      <c r="N31" s="69"/>
      <c r="O31" s="22" t="s">
        <v>53</v>
      </c>
      <c r="P31" s="4">
        <v>353.40314875661056</v>
      </c>
      <c r="Q31" s="4">
        <v>432.32019863790168</v>
      </c>
      <c r="R31" s="4">
        <v>506.40944481773477</v>
      </c>
      <c r="S31" s="4">
        <v>385.16122850218528</v>
      </c>
      <c r="T31" s="4">
        <v>305.16446811375027</v>
      </c>
      <c r="U31" s="4">
        <v>156.13826626827023</v>
      </c>
      <c r="V31" s="4">
        <v>78.061207767863422</v>
      </c>
      <c r="W31" s="4">
        <v>81.065421499599196</v>
      </c>
      <c r="X31" s="4">
        <v>9.054031278758492</v>
      </c>
      <c r="Y31" s="4">
        <v>16.037618957603005</v>
      </c>
      <c r="Z31" s="4">
        <v>293.23183827345008</v>
      </c>
      <c r="AA31" s="4">
        <v>2616.0468728737274</v>
      </c>
      <c r="AB31" s="69"/>
    </row>
    <row r="32" spans="1:28" x14ac:dyDescent="0.2">
      <c r="A32" s="25" t="s">
        <v>2</v>
      </c>
      <c r="B32" s="5">
        <v>68508.265013766024</v>
      </c>
      <c r="C32" s="5">
        <v>56181.651969279308</v>
      </c>
      <c r="D32" s="5">
        <v>45722.082050274686</v>
      </c>
      <c r="E32" s="5">
        <v>30074.178375847994</v>
      </c>
      <c r="F32" s="5">
        <v>24418.464561032877</v>
      </c>
      <c r="G32" s="5">
        <v>14071.647276513031</v>
      </c>
      <c r="H32" s="5">
        <v>22724.338253443198</v>
      </c>
      <c r="I32" s="5">
        <v>9116.2096483680434</v>
      </c>
      <c r="J32" s="5">
        <v>1616.2554912636649</v>
      </c>
      <c r="K32" s="5">
        <v>1801.1856907689389</v>
      </c>
      <c r="L32" s="5">
        <v>28322.721669442231</v>
      </c>
      <c r="M32" s="5">
        <v>302557</v>
      </c>
      <c r="N32" s="69"/>
      <c r="O32" s="25" t="s">
        <v>2</v>
      </c>
      <c r="P32" s="5">
        <v>10450.641145609625</v>
      </c>
      <c r="Q32" s="5">
        <v>10570.448433693595</v>
      </c>
      <c r="R32" s="5">
        <v>12913.58913477422</v>
      </c>
      <c r="S32" s="5">
        <v>7637.2197359191332</v>
      </c>
      <c r="T32" s="5">
        <v>7664.2203195356287</v>
      </c>
      <c r="U32" s="5">
        <v>4533.9156780999792</v>
      </c>
      <c r="V32" s="5">
        <v>1867.8263048661563</v>
      </c>
      <c r="W32" s="5">
        <v>1480.8831902445891</v>
      </c>
      <c r="X32" s="5">
        <v>315.73433792221738</v>
      </c>
      <c r="Y32" s="5">
        <v>437.51601361838658</v>
      </c>
      <c r="Z32" s="5">
        <v>6702.1965660802844</v>
      </c>
      <c r="AA32" s="5">
        <v>64574.1908603638</v>
      </c>
      <c r="AB32" s="69"/>
    </row>
    <row r="33" spans="1:28" x14ac:dyDescent="0.2">
      <c r="A33" s="25" t="s">
        <v>54</v>
      </c>
      <c r="B33" s="5">
        <v>305467.55514627445</v>
      </c>
      <c r="C33" s="5">
        <v>187036.17487635373</v>
      </c>
      <c r="D33" s="5">
        <v>151656.37333039852</v>
      </c>
      <c r="E33" s="5">
        <v>68778.87347201856</v>
      </c>
      <c r="F33" s="5">
        <v>72022.427457149723</v>
      </c>
      <c r="G33" s="5">
        <v>43858.909841732224</v>
      </c>
      <c r="H33" s="5">
        <v>75453.156179973827</v>
      </c>
      <c r="I33" s="5">
        <v>31388.378352906959</v>
      </c>
      <c r="J33" s="5">
        <v>8008.1592547489208</v>
      </c>
      <c r="K33" s="5">
        <v>8100.1788574969978</v>
      </c>
      <c r="L33" s="5">
        <v>93717.813230946049</v>
      </c>
      <c r="M33" s="5">
        <v>1045488.0000000001</v>
      </c>
      <c r="N33" s="69"/>
      <c r="O33" s="25" t="s">
        <v>54</v>
      </c>
      <c r="P33" s="5">
        <v>104140.36512414993</v>
      </c>
      <c r="Q33" s="5">
        <v>68662.51442483165</v>
      </c>
      <c r="R33" s="5">
        <v>110421.8365499678</v>
      </c>
      <c r="S33" s="5">
        <v>40637.068529033211</v>
      </c>
      <c r="T33" s="5">
        <v>56745.088406360643</v>
      </c>
      <c r="U33" s="5">
        <v>36503.668923649515</v>
      </c>
      <c r="V33" s="5">
        <v>27293.49877093796</v>
      </c>
      <c r="W33" s="5">
        <v>15146.808480220541</v>
      </c>
      <c r="X33" s="5">
        <v>4792.0761282743906</v>
      </c>
      <c r="Y33" s="5">
        <v>4042.8707111498688</v>
      </c>
      <c r="Z33" s="5">
        <v>54931.852212413687</v>
      </c>
      <c r="AA33" s="5">
        <v>523317.64826098923</v>
      </c>
      <c r="AB33" s="69"/>
    </row>
    <row r="34" spans="1:28" x14ac:dyDescent="0.2">
      <c r="A34" s="25" t="s">
        <v>55</v>
      </c>
      <c r="B34" s="5">
        <v>231198.00053914249</v>
      </c>
      <c r="C34" s="5">
        <v>184291.84086869302</v>
      </c>
      <c r="D34" s="5">
        <v>110735.43560600829</v>
      </c>
      <c r="E34" s="5">
        <v>55857.155962682205</v>
      </c>
      <c r="F34" s="5">
        <v>41508.076164518221</v>
      </c>
      <c r="G34" s="5">
        <v>35451.662605577374</v>
      </c>
      <c r="H34" s="5">
        <v>27011.075214184435</v>
      </c>
      <c r="I34" s="5">
        <v>27650.864414537176</v>
      </c>
      <c r="J34" s="5">
        <v>15448.212709333422</v>
      </c>
      <c r="K34" s="5">
        <v>14096.788646555025</v>
      </c>
      <c r="L34" s="5">
        <v>88295.887268768318</v>
      </c>
      <c r="M34" s="5">
        <v>831545</v>
      </c>
      <c r="N34" s="69"/>
      <c r="O34" s="25" t="s">
        <v>55</v>
      </c>
      <c r="P34" s="5">
        <v>91049.252694150913</v>
      </c>
      <c r="Q34" s="5">
        <v>62127.764031866558</v>
      </c>
      <c r="R34" s="5">
        <v>83995.4069573054</v>
      </c>
      <c r="S34" s="5">
        <v>30189.093192664201</v>
      </c>
      <c r="T34" s="5">
        <v>32522.920852095009</v>
      </c>
      <c r="U34" s="5">
        <v>26693.403919975699</v>
      </c>
      <c r="V34" s="5">
        <v>15196.203479643083</v>
      </c>
      <c r="W34" s="5">
        <v>14819.35517398557</v>
      </c>
      <c r="X34" s="5">
        <v>9350.1743710307328</v>
      </c>
      <c r="Y34" s="5">
        <v>6278.5647213648526</v>
      </c>
      <c r="Z34" s="5">
        <v>45206.189188439923</v>
      </c>
      <c r="AA34" s="5">
        <v>417428.32858252194</v>
      </c>
      <c r="AB34" s="69"/>
    </row>
    <row r="35" spans="1:28" x14ac:dyDescent="0.2">
      <c r="A35" s="25" t="s">
        <v>56</v>
      </c>
      <c r="B35" s="5">
        <v>142578.15044809703</v>
      </c>
      <c r="C35" s="5">
        <v>204763.30522173468</v>
      </c>
      <c r="D35" s="5">
        <v>90496.296362662251</v>
      </c>
      <c r="E35" s="5">
        <v>57060.091282209396</v>
      </c>
      <c r="F35" s="5">
        <v>27160.321195909957</v>
      </c>
      <c r="G35" s="5">
        <v>31745.400292596838</v>
      </c>
      <c r="H35" s="5">
        <v>629.6153354900913</v>
      </c>
      <c r="I35" s="5">
        <v>23764.293897487394</v>
      </c>
      <c r="J35" s="5">
        <v>25648.739857399203</v>
      </c>
      <c r="K35" s="5">
        <v>26406.51722874551</v>
      </c>
      <c r="L35" s="5">
        <v>92472.268877667637</v>
      </c>
      <c r="M35" s="5">
        <v>722724.99999999988</v>
      </c>
      <c r="N35" s="69"/>
      <c r="O35" s="25" t="s">
        <v>56</v>
      </c>
      <c r="P35" s="5">
        <v>46559.811890947931</v>
      </c>
      <c r="Q35" s="5">
        <v>47554.517987245315</v>
      </c>
      <c r="R35" s="5">
        <v>49478.003039368581</v>
      </c>
      <c r="S35" s="5">
        <v>19862.980266127975</v>
      </c>
      <c r="T35" s="5">
        <v>14464.865000673131</v>
      </c>
      <c r="U35" s="5">
        <v>17718.533500415262</v>
      </c>
      <c r="V35" s="5">
        <v>330.43838254479056</v>
      </c>
      <c r="W35" s="5">
        <v>9314.5374052405805</v>
      </c>
      <c r="X35" s="5">
        <v>10734.537022419994</v>
      </c>
      <c r="Y35" s="5">
        <v>6970.1274104588219</v>
      </c>
      <c r="Z35" s="5">
        <v>30920.032813126305</v>
      </c>
      <c r="AA35" s="5">
        <v>253908.38471856868</v>
      </c>
      <c r="AB35" s="69"/>
    </row>
    <row r="36" spans="1:28" x14ac:dyDescent="0.2">
      <c r="A36" s="25" t="s">
        <v>57</v>
      </c>
      <c r="B36" s="5">
        <v>80830.947117250384</v>
      </c>
      <c r="C36" s="5">
        <v>138729.78379427246</v>
      </c>
      <c r="D36" s="5">
        <v>59447.366904654074</v>
      </c>
      <c r="E36" s="5">
        <v>38091.232181030129</v>
      </c>
      <c r="F36" s="5">
        <v>14973.681907893717</v>
      </c>
      <c r="G36" s="5">
        <v>21622.409665165167</v>
      </c>
      <c r="H36" s="5">
        <v>189.40554648842931</v>
      </c>
      <c r="I36" s="5">
        <v>15801.459621664566</v>
      </c>
      <c r="J36" s="5">
        <v>24460.057616663194</v>
      </c>
      <c r="K36" s="5">
        <v>32345.573633254018</v>
      </c>
      <c r="L36" s="5">
        <v>65940.08201166385</v>
      </c>
      <c r="M36" s="5">
        <v>492432</v>
      </c>
      <c r="N36" s="69"/>
      <c r="O36" s="25" t="s">
        <v>57</v>
      </c>
      <c r="P36" s="5">
        <v>29672.359445607592</v>
      </c>
      <c r="Q36" s="5">
        <v>31587.46313162255</v>
      </c>
      <c r="R36" s="5">
        <v>32686.768116253214</v>
      </c>
      <c r="S36" s="5">
        <v>12166.527866477471</v>
      </c>
      <c r="T36" s="5">
        <v>7641.3979789668774</v>
      </c>
      <c r="U36" s="5">
        <v>11238.37578527277</v>
      </c>
      <c r="V36" s="5">
        <v>22.520266026839135</v>
      </c>
      <c r="W36" s="5">
        <v>5698.5560827465933</v>
      </c>
      <c r="X36" s="5">
        <v>10562.725638697413</v>
      </c>
      <c r="Y36" s="5">
        <v>7039.5745690093981</v>
      </c>
      <c r="Z36" s="5">
        <v>22121.448186970494</v>
      </c>
      <c r="AA36" s="5">
        <v>170437.71706765119</v>
      </c>
      <c r="AB36" s="69"/>
    </row>
    <row r="37" spans="1:28" x14ac:dyDescent="0.2">
      <c r="A37" s="25" t="s">
        <v>3</v>
      </c>
      <c r="B37" s="5">
        <v>14017.989775456868</v>
      </c>
      <c r="C37" s="5">
        <v>32556.753332298074</v>
      </c>
      <c r="D37" s="5">
        <v>16609.134160807636</v>
      </c>
      <c r="E37" s="5">
        <v>9851.6684944339813</v>
      </c>
      <c r="F37" s="5">
        <v>2981.3966688151577</v>
      </c>
      <c r="G37" s="5">
        <v>6123.1245856028945</v>
      </c>
      <c r="H37" s="5">
        <v>57.662469734884496</v>
      </c>
      <c r="I37" s="5">
        <v>6318.4453241013043</v>
      </c>
      <c r="J37" s="5">
        <v>11329.636758020273</v>
      </c>
      <c r="K37" s="5">
        <v>16234.747355792062</v>
      </c>
      <c r="L37" s="5">
        <v>21008.441074936862</v>
      </c>
      <c r="M37" s="5">
        <v>137089</v>
      </c>
      <c r="N37" s="69"/>
      <c r="O37" s="25" t="s">
        <v>3</v>
      </c>
      <c r="P37" s="5">
        <v>3769.1087906703588</v>
      </c>
      <c r="Q37" s="5">
        <v>4992.9044133975594</v>
      </c>
      <c r="R37" s="5">
        <v>5880.0704048033249</v>
      </c>
      <c r="S37" s="5">
        <v>2123.4236156236861</v>
      </c>
      <c r="T37" s="5">
        <v>1016.4111702843757</v>
      </c>
      <c r="U37" s="5">
        <v>2031.3788668198683</v>
      </c>
      <c r="V37" s="5">
        <v>4.1530194196585688</v>
      </c>
      <c r="W37" s="5">
        <v>1335.1635537489981</v>
      </c>
      <c r="X37" s="5">
        <v>3609.2261893644604</v>
      </c>
      <c r="Y37" s="5">
        <v>2313.1779497970192</v>
      </c>
      <c r="Z37" s="5">
        <v>4270.6656631020896</v>
      </c>
      <c r="AA37" s="5">
        <v>31345.683637031401</v>
      </c>
      <c r="AB37" s="69"/>
    </row>
    <row r="38" spans="1:28" x14ac:dyDescent="0.2">
      <c r="A38" s="29" t="s">
        <v>60</v>
      </c>
      <c r="B38" s="58">
        <v>846402.56069073372</v>
      </c>
      <c r="C38" s="58">
        <v>809487.04388304357</v>
      </c>
      <c r="D38" s="58">
        <v>480259.24404498358</v>
      </c>
      <c r="E38" s="58">
        <v>264407.21338516392</v>
      </c>
      <c r="F38" s="58">
        <v>185847.00058028981</v>
      </c>
      <c r="G38" s="58">
        <v>154639.84106992028</v>
      </c>
      <c r="H38" s="58">
        <v>128227.13928956632</v>
      </c>
      <c r="I38" s="58">
        <v>115103.13978897067</v>
      </c>
      <c r="J38" s="58">
        <v>86639.687550993782</v>
      </c>
      <c r="K38" s="58">
        <v>99132.995921625086</v>
      </c>
      <c r="L38" s="58">
        <v>393286.13379470934</v>
      </c>
      <c r="M38" s="58">
        <v>3563432</v>
      </c>
      <c r="N38" s="69"/>
      <c r="O38" s="29" t="s">
        <v>60</v>
      </c>
      <c r="P38" s="58">
        <v>285994.94223989296</v>
      </c>
      <c r="Q38" s="58">
        <v>225927.93262129516</v>
      </c>
      <c r="R38" s="58">
        <v>295882.08364729024</v>
      </c>
      <c r="S38" s="58">
        <v>113001.47443434787</v>
      </c>
      <c r="T38" s="58">
        <v>120360.06819602943</v>
      </c>
      <c r="U38" s="58">
        <v>98875.41494050136</v>
      </c>
      <c r="V38" s="58">
        <v>44792.701431206355</v>
      </c>
      <c r="W38" s="58">
        <v>47876.36930768648</v>
      </c>
      <c r="X38" s="58">
        <v>39373.527718987963</v>
      </c>
      <c r="Y38" s="58">
        <v>27097.868994355951</v>
      </c>
      <c r="Z38" s="58">
        <v>164445.61646840622</v>
      </c>
      <c r="AA38" s="58">
        <v>1463628</v>
      </c>
      <c r="AB38" s="69"/>
    </row>
    <row r="39" spans="1:28" x14ac:dyDescent="0.2">
      <c r="N39" s="69"/>
      <c r="P39" s="6"/>
      <c r="Q39" s="6"/>
      <c r="R39" s="6"/>
      <c r="S39" s="6"/>
      <c r="AB39" s="69"/>
    </row>
    <row r="40" spans="1:28" x14ac:dyDescent="0.2">
      <c r="N40" s="69"/>
      <c r="P40" s="6"/>
      <c r="Q40" s="54"/>
      <c r="R40" s="6"/>
      <c r="S40" s="6"/>
      <c r="AB40" s="69"/>
    </row>
    <row r="41" spans="1:28" x14ac:dyDescent="0.2">
      <c r="A41" s="7" t="s">
        <v>145</v>
      </c>
      <c r="N41" s="69"/>
      <c r="O41" s="7" t="s">
        <v>147</v>
      </c>
      <c r="P41" s="6"/>
      <c r="Q41" s="6"/>
      <c r="R41" s="6"/>
      <c r="S41" s="6"/>
      <c r="AB41" s="69"/>
    </row>
    <row r="42" spans="1:28" x14ac:dyDescent="0.2">
      <c r="A42" s="148" t="s">
        <v>402</v>
      </c>
      <c r="B42" s="148"/>
      <c r="C42" s="148"/>
      <c r="D42" s="148"/>
      <c r="E42" s="148"/>
      <c r="F42" s="148"/>
      <c r="G42" s="148"/>
      <c r="H42" s="148"/>
      <c r="I42" s="148"/>
      <c r="J42" s="148"/>
      <c r="K42" s="148"/>
      <c r="L42" s="148"/>
      <c r="M42" s="148"/>
      <c r="N42" s="69"/>
      <c r="O42" s="148" t="s">
        <v>403</v>
      </c>
      <c r="P42" s="148"/>
      <c r="Q42" s="148"/>
      <c r="R42" s="148"/>
      <c r="S42" s="148"/>
      <c r="T42" s="148"/>
      <c r="U42" s="148"/>
      <c r="V42" s="148"/>
      <c r="W42" s="148"/>
      <c r="X42" s="148"/>
      <c r="Y42" s="148"/>
      <c r="Z42" s="148"/>
      <c r="AA42" s="148"/>
      <c r="AB42" s="69"/>
    </row>
    <row r="43" spans="1:28" ht="51" x14ac:dyDescent="0.2">
      <c r="A43" s="24" t="s">
        <v>208</v>
      </c>
      <c r="B43" s="44" t="s">
        <v>9</v>
      </c>
      <c r="C43" s="44" t="s">
        <v>511</v>
      </c>
      <c r="D43" s="44" t="s">
        <v>11</v>
      </c>
      <c r="E43" s="44" t="s">
        <v>672</v>
      </c>
      <c r="F43" s="44" t="s">
        <v>13</v>
      </c>
      <c r="G43" s="44" t="s">
        <v>230</v>
      </c>
      <c r="H43" s="44" t="s">
        <v>231</v>
      </c>
      <c r="I43" s="44" t="s">
        <v>673</v>
      </c>
      <c r="J43" s="44" t="s">
        <v>233</v>
      </c>
      <c r="K43" s="44" t="s">
        <v>512</v>
      </c>
      <c r="L43" s="44" t="s">
        <v>31</v>
      </c>
      <c r="M43" s="44" t="s">
        <v>64</v>
      </c>
      <c r="N43" s="69"/>
      <c r="O43" s="24" t="s">
        <v>208</v>
      </c>
      <c r="P43" s="44" t="s">
        <v>9</v>
      </c>
      <c r="Q43" s="44" t="s">
        <v>511</v>
      </c>
      <c r="R43" s="44" t="s">
        <v>11</v>
      </c>
      <c r="S43" s="44" t="s">
        <v>672</v>
      </c>
      <c r="T43" s="44" t="s">
        <v>13</v>
      </c>
      <c r="U43" s="44" t="s">
        <v>230</v>
      </c>
      <c r="V43" s="44" t="s">
        <v>231</v>
      </c>
      <c r="W43" s="44" t="s">
        <v>673</v>
      </c>
      <c r="X43" s="44" t="s">
        <v>233</v>
      </c>
      <c r="Y43" s="44" t="s">
        <v>512</v>
      </c>
      <c r="Z43" s="44" t="s">
        <v>31</v>
      </c>
      <c r="AA43" s="44" t="s">
        <v>64</v>
      </c>
      <c r="AB43" s="69"/>
    </row>
    <row r="44" spans="1:28" x14ac:dyDescent="0.2">
      <c r="A44" s="30" t="s">
        <v>14</v>
      </c>
      <c r="B44" s="4">
        <v>3931.5628681592243</v>
      </c>
      <c r="C44" s="4">
        <v>5610.4074750572609</v>
      </c>
      <c r="D44" s="4">
        <v>6018.0216153025158</v>
      </c>
      <c r="E44" s="4">
        <v>2570.1130023530063</v>
      </c>
      <c r="F44" s="4">
        <v>2556.7823090236334</v>
      </c>
      <c r="G44" s="4">
        <v>3198.6509448239922</v>
      </c>
      <c r="H44" s="4">
        <v>2316.5397625349224</v>
      </c>
      <c r="I44" s="4">
        <v>1765.4845180423913</v>
      </c>
      <c r="J44" s="4">
        <v>873.36470327293034</v>
      </c>
      <c r="K44" s="4">
        <v>932.41729291840682</v>
      </c>
      <c r="L44" s="4">
        <v>3358.6555085117157</v>
      </c>
      <c r="M44" s="4">
        <v>33132</v>
      </c>
      <c r="N44" s="69"/>
      <c r="O44" s="30" t="s">
        <v>14</v>
      </c>
      <c r="P44" s="4">
        <v>1273.0938888050453</v>
      </c>
      <c r="Q44" s="4">
        <v>1243.388787024581</v>
      </c>
      <c r="R44" s="4">
        <v>2114.0975385852566</v>
      </c>
      <c r="S44" s="4">
        <v>580.79307577070722</v>
      </c>
      <c r="T44" s="4">
        <v>933.40059806535282</v>
      </c>
      <c r="U44" s="4">
        <v>1265.6533332227782</v>
      </c>
      <c r="V44" s="4">
        <v>462.53142446349312</v>
      </c>
      <c r="W44" s="4">
        <v>376.79788941270056</v>
      </c>
      <c r="X44" s="4">
        <v>291.75252427789064</v>
      </c>
      <c r="Y44" s="4">
        <v>238.60979764530504</v>
      </c>
      <c r="Z44" s="4">
        <v>1191.1304143705402</v>
      </c>
      <c r="AA44" s="4">
        <v>9971.24927164365</v>
      </c>
      <c r="AB44" s="69"/>
    </row>
    <row r="45" spans="1:28" x14ac:dyDescent="0.2">
      <c r="A45" s="31" t="s">
        <v>15</v>
      </c>
      <c r="B45" s="5">
        <v>15432.464824544766</v>
      </c>
      <c r="C45" s="5">
        <v>12616.207662305709</v>
      </c>
      <c r="D45" s="5">
        <v>6746.4037095146396</v>
      </c>
      <c r="E45" s="5">
        <v>4164.8168947477152</v>
      </c>
      <c r="F45" s="5">
        <v>3691.5009766849753</v>
      </c>
      <c r="G45" s="5">
        <v>2568.2113782460929</v>
      </c>
      <c r="H45" s="5">
        <v>1965.7344380728741</v>
      </c>
      <c r="I45" s="5">
        <v>2535.5099265069571</v>
      </c>
      <c r="J45" s="5">
        <v>1467.6853851233307</v>
      </c>
      <c r="K45" s="5">
        <v>1580.8029948478493</v>
      </c>
      <c r="L45" s="5">
        <v>5426.6618094050918</v>
      </c>
      <c r="M45" s="5">
        <v>58196.000000000015</v>
      </c>
      <c r="N45" s="69"/>
      <c r="O45" s="31" t="s">
        <v>15</v>
      </c>
      <c r="P45" s="5">
        <v>6619.2485892704008</v>
      </c>
      <c r="Q45" s="5">
        <v>4410.0207706853053</v>
      </c>
      <c r="R45" s="5">
        <v>3476.870668187712</v>
      </c>
      <c r="S45" s="5">
        <v>2095.4837677566229</v>
      </c>
      <c r="T45" s="5">
        <v>1237.4602046150637</v>
      </c>
      <c r="U45" s="5">
        <v>1990.4097434148271</v>
      </c>
      <c r="V45" s="5">
        <v>601.76809148425639</v>
      </c>
      <c r="W45" s="5">
        <v>903.83165589747887</v>
      </c>
      <c r="X45" s="5">
        <v>600.47232277373848</v>
      </c>
      <c r="Y45" s="5">
        <v>664.07775906660163</v>
      </c>
      <c r="Z45" s="5">
        <v>3089.0097413470785</v>
      </c>
      <c r="AA45" s="5">
        <v>25688.65331449909</v>
      </c>
      <c r="AB45" s="69"/>
    </row>
    <row r="46" spans="1:28" x14ac:dyDescent="0.2">
      <c r="A46" s="31" t="s">
        <v>16</v>
      </c>
      <c r="B46" s="5">
        <v>20668.6152726418</v>
      </c>
      <c r="C46" s="5">
        <v>25713.512884040396</v>
      </c>
      <c r="D46" s="5">
        <v>13213.700072176893</v>
      </c>
      <c r="E46" s="5">
        <v>8896.9081769571112</v>
      </c>
      <c r="F46" s="5">
        <v>4649.8221725949325</v>
      </c>
      <c r="G46" s="5">
        <v>4909.6116708429308</v>
      </c>
      <c r="H46" s="5">
        <v>5812.3497735629653</v>
      </c>
      <c r="I46" s="5">
        <v>3916.8038239943498</v>
      </c>
      <c r="J46" s="5">
        <v>2811.4252425225332</v>
      </c>
      <c r="K46" s="5">
        <v>2982.3202235933609</v>
      </c>
      <c r="L46" s="5">
        <v>13165.930687072727</v>
      </c>
      <c r="M46" s="5">
        <v>106741</v>
      </c>
      <c r="N46" s="69"/>
      <c r="O46" s="31" t="s">
        <v>16</v>
      </c>
      <c r="P46" s="5">
        <v>10821.299241745221</v>
      </c>
      <c r="Q46" s="5">
        <v>12901.420582416205</v>
      </c>
      <c r="R46" s="5">
        <v>9423.995191329017</v>
      </c>
      <c r="S46" s="5">
        <v>6098.3501351187697</v>
      </c>
      <c r="T46" s="5">
        <v>3276.0738864415302</v>
      </c>
      <c r="U46" s="5">
        <v>4461.4892819389106</v>
      </c>
      <c r="V46" s="5">
        <v>2150.5965911630224</v>
      </c>
      <c r="W46" s="5">
        <v>2516.5975415320995</v>
      </c>
      <c r="X46" s="5">
        <v>1839.7647431366379</v>
      </c>
      <c r="Y46" s="5">
        <v>1765.8264722453202</v>
      </c>
      <c r="Z46" s="5">
        <v>7029.1958425498942</v>
      </c>
      <c r="AA46" s="5">
        <v>62284.609509616625</v>
      </c>
      <c r="AB46" s="69"/>
    </row>
    <row r="47" spans="1:28" x14ac:dyDescent="0.2">
      <c r="A47" s="31" t="s">
        <v>17</v>
      </c>
      <c r="B47" s="5">
        <v>12054.061682919384</v>
      </c>
      <c r="C47" s="5">
        <v>12868.130541817081</v>
      </c>
      <c r="D47" s="5">
        <v>8051.1525922665041</v>
      </c>
      <c r="E47" s="5">
        <v>4571.3192746687291</v>
      </c>
      <c r="F47" s="5">
        <v>3045.8252730166364</v>
      </c>
      <c r="G47" s="5">
        <v>2906.656649081358</v>
      </c>
      <c r="H47" s="5">
        <v>2945.1284644415364</v>
      </c>
      <c r="I47" s="5">
        <v>2659.3753725452175</v>
      </c>
      <c r="J47" s="5">
        <v>1680.5732505276578</v>
      </c>
      <c r="K47" s="5">
        <v>2260.2420952774442</v>
      </c>
      <c r="L47" s="5">
        <v>6881.5348034384497</v>
      </c>
      <c r="M47" s="5">
        <v>59923.999999999993</v>
      </c>
      <c r="N47" s="69"/>
      <c r="O47" s="31" t="s">
        <v>17</v>
      </c>
      <c r="P47" s="5">
        <v>3095.9598892522408</v>
      </c>
      <c r="Q47" s="5">
        <v>3230.8010036888477</v>
      </c>
      <c r="R47" s="5">
        <v>3025.9143964085852</v>
      </c>
      <c r="S47" s="5">
        <v>1445.1428456339793</v>
      </c>
      <c r="T47" s="5">
        <v>928.03347791864144</v>
      </c>
      <c r="U47" s="5">
        <v>1266.3970419299253</v>
      </c>
      <c r="V47" s="5">
        <v>526.01548832176036</v>
      </c>
      <c r="W47" s="5">
        <v>668.50827004219411</v>
      </c>
      <c r="X47" s="5">
        <v>541.91460726004925</v>
      </c>
      <c r="Y47" s="5">
        <v>439.67392926428892</v>
      </c>
      <c r="Z47" s="5">
        <v>2179.2090200972589</v>
      </c>
      <c r="AA47" s="5">
        <v>17347.56996981777</v>
      </c>
      <c r="AB47" s="69"/>
    </row>
    <row r="48" spans="1:28" x14ac:dyDescent="0.2">
      <c r="A48" s="31" t="s">
        <v>18</v>
      </c>
      <c r="B48" s="5">
        <v>26036.283295854522</v>
      </c>
      <c r="C48" s="5">
        <v>18420.78177129028</v>
      </c>
      <c r="D48" s="5">
        <v>12925.553731483358</v>
      </c>
      <c r="E48" s="5">
        <v>6639.0796530210719</v>
      </c>
      <c r="F48" s="5">
        <v>4247.6280299992077</v>
      </c>
      <c r="G48" s="5">
        <v>5405.6679567006286</v>
      </c>
      <c r="H48" s="5">
        <v>4781.1626491202505</v>
      </c>
      <c r="I48" s="5">
        <v>3429.9178065552178</v>
      </c>
      <c r="J48" s="5">
        <v>3093.2179804166981</v>
      </c>
      <c r="K48" s="5">
        <v>2558.4030004281012</v>
      </c>
      <c r="L48" s="5">
        <v>10662.304125130664</v>
      </c>
      <c r="M48" s="5">
        <v>98200</v>
      </c>
      <c r="N48" s="69"/>
      <c r="O48" s="31" t="s">
        <v>18</v>
      </c>
      <c r="P48" s="5">
        <v>3958.3048812357415</v>
      </c>
      <c r="Q48" s="5">
        <v>2422.8479514361434</v>
      </c>
      <c r="R48" s="5">
        <v>3491.8284033372283</v>
      </c>
      <c r="S48" s="5">
        <v>1103.3245938325203</v>
      </c>
      <c r="T48" s="5">
        <v>1120.4921036324965</v>
      </c>
      <c r="U48" s="5">
        <v>1523.9349511774842</v>
      </c>
      <c r="V48" s="5">
        <v>668.37284696546124</v>
      </c>
      <c r="W48" s="5">
        <v>676.58691983122367</v>
      </c>
      <c r="X48" s="5">
        <v>643.83895611156686</v>
      </c>
      <c r="Y48" s="5">
        <v>363.86807939113567</v>
      </c>
      <c r="Z48" s="5">
        <v>1815.3336735133009</v>
      </c>
      <c r="AA48" s="5">
        <v>17788.733360464299</v>
      </c>
      <c r="AB48" s="69"/>
    </row>
    <row r="49" spans="1:28" x14ac:dyDescent="0.2">
      <c r="A49" s="31" t="s">
        <v>19</v>
      </c>
      <c r="B49" s="5">
        <v>63553.44044842678</v>
      </c>
      <c r="C49" s="5">
        <v>58171.367926291074</v>
      </c>
      <c r="D49" s="5">
        <v>36543.108134569746</v>
      </c>
      <c r="E49" s="5">
        <v>15372.281858516944</v>
      </c>
      <c r="F49" s="5">
        <v>11582.949684729867</v>
      </c>
      <c r="G49" s="5">
        <v>8850.5171379959629</v>
      </c>
      <c r="H49" s="5">
        <v>11290.301910503471</v>
      </c>
      <c r="I49" s="5">
        <v>8510.2323822573926</v>
      </c>
      <c r="J49" s="5">
        <v>6139.068732919286</v>
      </c>
      <c r="K49" s="5">
        <v>7553.8465819689663</v>
      </c>
      <c r="L49" s="5">
        <v>29048.885201820514</v>
      </c>
      <c r="M49" s="5">
        <v>256616</v>
      </c>
      <c r="N49" s="69"/>
      <c r="O49" s="31" t="s">
        <v>19</v>
      </c>
      <c r="P49" s="5">
        <v>16328.170271770106</v>
      </c>
      <c r="Q49" s="5">
        <v>12249.656234490742</v>
      </c>
      <c r="R49" s="5">
        <v>17336.043843904779</v>
      </c>
      <c r="S49" s="5">
        <v>6146.1126947105304</v>
      </c>
      <c r="T49" s="5">
        <v>5601.9462857198905</v>
      </c>
      <c r="U49" s="5">
        <v>5552.6793105751203</v>
      </c>
      <c r="V49" s="5">
        <v>2702.9541842198132</v>
      </c>
      <c r="W49" s="5">
        <v>3029.6899353848735</v>
      </c>
      <c r="X49" s="5">
        <v>2224.3323472248753</v>
      </c>
      <c r="Y49" s="5">
        <v>1640.5496763217106</v>
      </c>
      <c r="Z49" s="5">
        <v>8743.7900952707605</v>
      </c>
      <c r="AA49" s="5">
        <v>81555.924879593193</v>
      </c>
      <c r="AB49" s="69"/>
    </row>
    <row r="50" spans="1:28" x14ac:dyDescent="0.2">
      <c r="A50" s="31" t="s">
        <v>20</v>
      </c>
      <c r="B50" s="5">
        <v>467148.60254544031</v>
      </c>
      <c r="C50" s="5">
        <v>434145.25214734004</v>
      </c>
      <c r="D50" s="5">
        <v>264043.61667869613</v>
      </c>
      <c r="E50" s="5">
        <v>143116.48469615952</v>
      </c>
      <c r="F50" s="5">
        <v>110983.97036209915</v>
      </c>
      <c r="G50" s="5">
        <v>77920.601945140486</v>
      </c>
      <c r="H50" s="5">
        <v>53307.05829559383</v>
      </c>
      <c r="I50" s="5">
        <v>60751.800637332395</v>
      </c>
      <c r="J50" s="5">
        <v>43099.904207087086</v>
      </c>
      <c r="K50" s="5">
        <v>51267.053370598893</v>
      </c>
      <c r="L50" s="5">
        <v>216806.65511451213</v>
      </c>
      <c r="M50" s="5">
        <v>1922591.0000000002</v>
      </c>
      <c r="N50" s="69"/>
      <c r="O50" s="31" t="s">
        <v>20</v>
      </c>
      <c r="P50" s="5">
        <v>178127.51989399816</v>
      </c>
      <c r="Q50" s="5">
        <v>140528.41729794606</v>
      </c>
      <c r="R50" s="5">
        <v>199082.33337750699</v>
      </c>
      <c r="S50" s="5">
        <v>73966.845728196859</v>
      </c>
      <c r="T50" s="5">
        <v>85628.062846191315</v>
      </c>
      <c r="U50" s="5">
        <v>62226.690298515568</v>
      </c>
      <c r="V50" s="5">
        <v>28594.220440139237</v>
      </c>
      <c r="W50" s="5">
        <v>30122.424230800883</v>
      </c>
      <c r="X50" s="5">
        <v>24696.515991399479</v>
      </c>
      <c r="Y50" s="5">
        <v>15905.263837039116</v>
      </c>
      <c r="Z50" s="5">
        <v>106804.95227150148</v>
      </c>
      <c r="AA50" s="5">
        <v>945683.24621323519</v>
      </c>
      <c r="AB50" s="69"/>
    </row>
    <row r="51" spans="1:28" x14ac:dyDescent="0.2">
      <c r="A51" s="31" t="s">
        <v>21</v>
      </c>
      <c r="B51" s="5">
        <v>56211.444782422317</v>
      </c>
      <c r="C51" s="5">
        <v>46220.094993076826</v>
      </c>
      <c r="D51" s="5">
        <v>15680.628128921853</v>
      </c>
      <c r="E51" s="5">
        <v>13865.805326434864</v>
      </c>
      <c r="F51" s="5">
        <v>6247.0360715365732</v>
      </c>
      <c r="G51" s="5">
        <v>6408.9774352091908</v>
      </c>
      <c r="H51" s="5">
        <v>12949.00324020983</v>
      </c>
      <c r="I51" s="5">
        <v>6105.0347694778266</v>
      </c>
      <c r="J51" s="5">
        <v>5076.5967225321265</v>
      </c>
      <c r="K51" s="5">
        <v>6247.4225394823952</v>
      </c>
      <c r="L51" s="5">
        <v>17236.955990696199</v>
      </c>
      <c r="M51" s="5">
        <v>192248.99999999997</v>
      </c>
      <c r="N51" s="69"/>
      <c r="O51" s="31" t="s">
        <v>21</v>
      </c>
      <c r="P51" s="5">
        <v>12212.764580097988</v>
      </c>
      <c r="Q51" s="5">
        <v>8239.7640481421568</v>
      </c>
      <c r="R51" s="5">
        <v>6432.4432162557332</v>
      </c>
      <c r="S51" s="5">
        <v>3673.2608812137441</v>
      </c>
      <c r="T51" s="5">
        <v>2894.1795453653463</v>
      </c>
      <c r="U51" s="5">
        <v>2725.6432164593007</v>
      </c>
      <c r="V51" s="5">
        <v>1926.4594732984719</v>
      </c>
      <c r="W51" s="5">
        <v>1521.9137862578375</v>
      </c>
      <c r="X51" s="5">
        <v>1315.0057193466462</v>
      </c>
      <c r="Y51" s="5">
        <v>964.3059529198465</v>
      </c>
      <c r="Z51" s="5">
        <v>4885.3635922594094</v>
      </c>
      <c r="AA51" s="5">
        <v>46791.104011616473</v>
      </c>
      <c r="AB51" s="69"/>
    </row>
    <row r="52" spans="1:28" x14ac:dyDescent="0.2">
      <c r="A52" s="31" t="s">
        <v>22</v>
      </c>
      <c r="B52" s="5">
        <v>36873.957952239245</v>
      </c>
      <c r="C52" s="5">
        <v>31718.601461236838</v>
      </c>
      <c r="D52" s="5">
        <v>17224.666890534343</v>
      </c>
      <c r="E52" s="5">
        <v>10657.040850824933</v>
      </c>
      <c r="F52" s="5">
        <v>2903.8978749104836</v>
      </c>
      <c r="G52" s="5">
        <v>9251.0604081982347</v>
      </c>
      <c r="H52" s="5">
        <v>7566.6588707543233</v>
      </c>
      <c r="I52" s="5">
        <v>4802.4655897156526</v>
      </c>
      <c r="J52" s="5">
        <v>4626.8775906952969</v>
      </c>
      <c r="K52" s="5">
        <v>4101.0135270375877</v>
      </c>
      <c r="L52" s="5">
        <v>13081.758983853062</v>
      </c>
      <c r="M52" s="5">
        <v>142808</v>
      </c>
      <c r="N52" s="69"/>
      <c r="O52" s="31" t="s">
        <v>22</v>
      </c>
      <c r="P52" s="5">
        <v>7221.072494682774</v>
      </c>
      <c r="Q52" s="5">
        <v>5318.0831498128746</v>
      </c>
      <c r="R52" s="5">
        <v>6920.1874178751023</v>
      </c>
      <c r="S52" s="5">
        <v>2426.1777569254905</v>
      </c>
      <c r="T52" s="5">
        <v>2328.7308415161374</v>
      </c>
      <c r="U52" s="5">
        <v>2791.4134769013294</v>
      </c>
      <c r="V52" s="5">
        <v>1049.0327005563097</v>
      </c>
      <c r="W52" s="5">
        <v>1090.650432268787</v>
      </c>
      <c r="X52" s="5">
        <v>1048.5357969328854</v>
      </c>
      <c r="Y52" s="5">
        <v>680.24967370620766</v>
      </c>
      <c r="Z52" s="5">
        <v>4090.6777093045848</v>
      </c>
      <c r="AA52" s="5">
        <v>34964.811450482484</v>
      </c>
      <c r="AB52" s="69"/>
    </row>
    <row r="53" spans="1:28" x14ac:dyDescent="0.2">
      <c r="A53" s="31" t="s">
        <v>23</v>
      </c>
      <c r="B53" s="5">
        <v>75442.6398522417</v>
      </c>
      <c r="C53" s="5">
        <v>86488.542953142518</v>
      </c>
      <c r="D53" s="5">
        <v>47994.473696017754</v>
      </c>
      <c r="E53" s="5">
        <v>29454.268934597476</v>
      </c>
      <c r="F53" s="5">
        <v>16762.244343160684</v>
      </c>
      <c r="G53" s="5">
        <v>16956.564353971717</v>
      </c>
      <c r="H53" s="5">
        <v>16037.754232465961</v>
      </c>
      <c r="I53" s="5">
        <v>10784.898465628045</v>
      </c>
      <c r="J53" s="5">
        <v>9208.8608054107026</v>
      </c>
      <c r="K53" s="5">
        <v>10495.339052997455</v>
      </c>
      <c r="L53" s="5">
        <v>38487.413310365991</v>
      </c>
      <c r="M53" s="5">
        <v>358113.00000000006</v>
      </c>
      <c r="N53" s="69"/>
      <c r="O53" s="31" t="s">
        <v>23</v>
      </c>
      <c r="P53" s="5">
        <v>21891.230476323726</v>
      </c>
      <c r="Q53" s="5">
        <v>16570.930334257941</v>
      </c>
      <c r="R53" s="5">
        <v>19289.850595748569</v>
      </c>
      <c r="S53" s="5">
        <v>6994.281718926396</v>
      </c>
      <c r="T53" s="5">
        <v>7604.7992757706315</v>
      </c>
      <c r="U53" s="5">
        <v>6375.7192570766392</v>
      </c>
      <c r="V53" s="5">
        <v>3221.7798704065144</v>
      </c>
      <c r="W53" s="5">
        <v>3222.4368560987555</v>
      </c>
      <c r="X53" s="5">
        <v>2738.8922460396839</v>
      </c>
      <c r="Y53" s="5">
        <v>1995.2469970169518</v>
      </c>
      <c r="Z53" s="5">
        <v>11504.750250742651</v>
      </c>
      <c r="AA53" s="5">
        <v>101409.91787840847</v>
      </c>
      <c r="AB53" s="69"/>
    </row>
    <row r="54" spans="1:28" x14ac:dyDescent="0.2">
      <c r="A54" s="31" t="s">
        <v>24</v>
      </c>
      <c r="B54" s="5">
        <v>32085.669711943458</v>
      </c>
      <c r="C54" s="5">
        <v>30252.521623898359</v>
      </c>
      <c r="D54" s="5">
        <v>17054.159018010967</v>
      </c>
      <c r="E54" s="5">
        <v>8797.9605656571584</v>
      </c>
      <c r="F54" s="5">
        <v>5866.5708222726453</v>
      </c>
      <c r="G54" s="5">
        <v>4944.1568256484152</v>
      </c>
      <c r="H54" s="5">
        <v>4350.8790979269361</v>
      </c>
      <c r="I54" s="5">
        <v>3650.2941037876099</v>
      </c>
      <c r="J54" s="5">
        <v>2916.6748886133837</v>
      </c>
      <c r="K54" s="5">
        <v>3185.8473195204251</v>
      </c>
      <c r="L54" s="5">
        <v>15826.266022720643</v>
      </c>
      <c r="M54" s="5">
        <v>128931</v>
      </c>
      <c r="N54" s="69"/>
      <c r="O54" s="31" t="s">
        <v>24</v>
      </c>
      <c r="P54" s="5">
        <v>9347.6188319786052</v>
      </c>
      <c r="Q54" s="5">
        <v>5624.2389649541774</v>
      </c>
      <c r="R54" s="5">
        <v>7642.8090489967171</v>
      </c>
      <c r="S54" s="5">
        <v>2313.2985694811514</v>
      </c>
      <c r="T54" s="5">
        <v>2744.2883667434885</v>
      </c>
      <c r="U54" s="5">
        <v>2754.2358872551895</v>
      </c>
      <c r="V54" s="5">
        <v>1069.3782531169188</v>
      </c>
      <c r="W54" s="5">
        <v>1321.0555050051266</v>
      </c>
      <c r="X54" s="5">
        <v>1229.3085059615446</v>
      </c>
      <c r="Y54" s="5">
        <v>757.15883913323137</v>
      </c>
      <c r="Z54" s="5">
        <v>4156.9391986096462</v>
      </c>
      <c r="AA54" s="5">
        <v>38960.329971235798</v>
      </c>
      <c r="AB54" s="69"/>
    </row>
    <row r="55" spans="1:28" x14ac:dyDescent="0.2">
      <c r="A55" s="31" t="s">
        <v>25</v>
      </c>
      <c r="B55" s="5">
        <v>4888.4848666672115</v>
      </c>
      <c r="C55" s="5">
        <v>6594.3203315345945</v>
      </c>
      <c r="D55" s="5">
        <v>6510.1792901074259</v>
      </c>
      <c r="E55" s="5">
        <v>2559.8284630605654</v>
      </c>
      <c r="F55" s="5">
        <v>2629.9658818333778</v>
      </c>
      <c r="G55" s="5">
        <v>1967.4453212829958</v>
      </c>
      <c r="H55" s="5">
        <v>756.46563593591952</v>
      </c>
      <c r="I55" s="5">
        <v>1099.9850835360871</v>
      </c>
      <c r="J55" s="5">
        <v>1114.7740477145346</v>
      </c>
      <c r="K55" s="5">
        <v>1090.1834502133038</v>
      </c>
      <c r="L55" s="5">
        <v>3837.3676281139847</v>
      </c>
      <c r="M55" s="5">
        <v>33048.999999999993</v>
      </c>
      <c r="N55" s="69"/>
      <c r="O55" s="31" t="s">
        <v>25</v>
      </c>
      <c r="P55" s="5">
        <v>2598.7286683006687</v>
      </c>
      <c r="Q55" s="5">
        <v>2165.453679078335</v>
      </c>
      <c r="R55" s="5">
        <v>3627.8632396245298</v>
      </c>
      <c r="S55" s="5">
        <v>988.26840034725342</v>
      </c>
      <c r="T55" s="5">
        <v>1252.7392244864466</v>
      </c>
      <c r="U55" s="5">
        <v>1102.3432451784274</v>
      </c>
      <c r="V55" s="5">
        <v>239.37332937205846</v>
      </c>
      <c r="W55" s="5">
        <v>439.3747145278798</v>
      </c>
      <c r="X55" s="5">
        <v>389.61336393237201</v>
      </c>
      <c r="Y55" s="5">
        <v>306.31117602087625</v>
      </c>
      <c r="Z55" s="5">
        <v>1819.7137972895644</v>
      </c>
      <c r="AA55" s="5">
        <v>14929.782838158411</v>
      </c>
      <c r="AB55" s="69"/>
    </row>
    <row r="56" spans="1:28" x14ac:dyDescent="0.2">
      <c r="A56" s="31" t="s">
        <v>26</v>
      </c>
      <c r="B56" s="5">
        <v>23495.711963186121</v>
      </c>
      <c r="C56" s="5">
        <v>31372.110495749002</v>
      </c>
      <c r="D56" s="5">
        <v>23205.970176372593</v>
      </c>
      <c r="E56" s="5">
        <v>10483.745436241819</v>
      </c>
      <c r="F56" s="5">
        <v>9155.5438259728035</v>
      </c>
      <c r="G56" s="5">
        <v>6464.3548603288345</v>
      </c>
      <c r="H56" s="5">
        <v>2806.1921585062059</v>
      </c>
      <c r="I56" s="5">
        <v>3738.6456114560879</v>
      </c>
      <c r="J56" s="5">
        <v>3130.6162086022118</v>
      </c>
      <c r="K56" s="5">
        <v>3650.8962090080481</v>
      </c>
      <c r="L56" s="5">
        <v>14485.213054576272</v>
      </c>
      <c r="M56" s="5">
        <v>131989</v>
      </c>
      <c r="N56" s="69"/>
      <c r="O56" s="31" t="s">
        <v>26</v>
      </c>
      <c r="P56" s="5">
        <v>8646.4465017599905</v>
      </c>
      <c r="Q56" s="5">
        <v>7503.7609353305761</v>
      </c>
      <c r="R56" s="5">
        <v>10532.890765734059</v>
      </c>
      <c r="S56" s="5">
        <v>3462.9883942149627</v>
      </c>
      <c r="T56" s="5">
        <v>3558.2944199742137</v>
      </c>
      <c r="U56" s="5">
        <v>3617.9680948540245</v>
      </c>
      <c r="V56" s="5">
        <v>1159.1738178262849</v>
      </c>
      <c r="W56" s="5">
        <v>1428.032193210169</v>
      </c>
      <c r="X56" s="5">
        <v>1077.8819079940513</v>
      </c>
      <c r="Y56" s="5">
        <v>955.22776511284724</v>
      </c>
      <c r="Z56" s="5">
        <v>5019.9076723150747</v>
      </c>
      <c r="AA56" s="5">
        <v>46962.572468326252</v>
      </c>
      <c r="AB56" s="69"/>
    </row>
    <row r="57" spans="1:28" x14ac:dyDescent="0.2">
      <c r="A57" s="31" t="s">
        <v>27</v>
      </c>
      <c r="B57" s="5">
        <v>3095.317286069916</v>
      </c>
      <c r="C57" s="5">
        <v>3122.2971757443929</v>
      </c>
      <c r="D57" s="5">
        <v>2101.2809989327066</v>
      </c>
      <c r="E57" s="5">
        <v>1282.4690305890801</v>
      </c>
      <c r="F57" s="5">
        <v>922.17001730723541</v>
      </c>
      <c r="G57" s="5">
        <v>842.46228271190091</v>
      </c>
      <c r="H57" s="5">
        <v>379.01691295399081</v>
      </c>
      <c r="I57" s="5">
        <v>546.29873455108702</v>
      </c>
      <c r="J57" s="5">
        <v>479.74114254809513</v>
      </c>
      <c r="K57" s="5">
        <v>416.42480793928911</v>
      </c>
      <c r="L57" s="5">
        <v>1907.521610652306</v>
      </c>
      <c r="M57" s="5">
        <v>15094.999999999996</v>
      </c>
      <c r="N57" s="69"/>
      <c r="O57" s="31" t="s">
        <v>27</v>
      </c>
      <c r="P57" s="5">
        <v>1251.1070785334398</v>
      </c>
      <c r="Q57" s="5">
        <v>804.91943628679894</v>
      </c>
      <c r="R57" s="5">
        <v>1082.4162720619888</v>
      </c>
      <c r="S57" s="5">
        <v>419.6880902296021</v>
      </c>
      <c r="T57" s="5">
        <v>340.58123293865452</v>
      </c>
      <c r="U57" s="5">
        <v>395.43222286042504</v>
      </c>
      <c r="V57" s="5">
        <v>115.0974389034178</v>
      </c>
      <c r="W57" s="5">
        <v>142.38620253164558</v>
      </c>
      <c r="X57" s="5">
        <v>171.55583470057425</v>
      </c>
      <c r="Y57" s="5">
        <v>120.27861513206985</v>
      </c>
      <c r="Z57" s="5">
        <v>605.448146121641</v>
      </c>
      <c r="AA57" s="5">
        <v>5448.9105703002579</v>
      </c>
      <c r="AB57" s="69"/>
    </row>
    <row r="58" spans="1:28" x14ac:dyDescent="0.2">
      <c r="A58" s="31" t="s">
        <v>28</v>
      </c>
      <c r="B58" s="5">
        <v>5484.3033379769668</v>
      </c>
      <c r="C58" s="5">
        <v>6172.894440519166</v>
      </c>
      <c r="D58" s="5">
        <v>2946.3293120761441</v>
      </c>
      <c r="E58" s="5">
        <v>1975.0912213339225</v>
      </c>
      <c r="F58" s="5">
        <v>601.09293514761032</v>
      </c>
      <c r="G58" s="5">
        <v>2044.9018997375308</v>
      </c>
      <c r="H58" s="5">
        <v>962.89384698329616</v>
      </c>
      <c r="I58" s="5">
        <v>806.39296358434785</v>
      </c>
      <c r="J58" s="5">
        <v>920.30664300790227</v>
      </c>
      <c r="K58" s="5">
        <v>810.7834557935555</v>
      </c>
      <c r="L58" s="5">
        <v>3073.0099438395569</v>
      </c>
      <c r="M58" s="5">
        <v>25798.000000000004</v>
      </c>
      <c r="N58" s="69"/>
      <c r="O58" s="31" t="s">
        <v>28</v>
      </c>
      <c r="P58" s="5">
        <v>2602.3769521388244</v>
      </c>
      <c r="Q58" s="5">
        <v>2714.2294457443982</v>
      </c>
      <c r="R58" s="5">
        <v>2402.5396717340295</v>
      </c>
      <c r="S58" s="5">
        <v>1287.4577819892686</v>
      </c>
      <c r="T58" s="5">
        <v>910.98588665019963</v>
      </c>
      <c r="U58" s="5">
        <v>825.40557914142107</v>
      </c>
      <c r="V58" s="5">
        <v>305.94748096933165</v>
      </c>
      <c r="W58" s="5">
        <v>416.08317488482072</v>
      </c>
      <c r="X58" s="5">
        <v>564.14285189596978</v>
      </c>
      <c r="Y58" s="5">
        <v>301.2204243404413</v>
      </c>
      <c r="Z58" s="5">
        <v>1510.1950431133503</v>
      </c>
      <c r="AA58" s="5">
        <v>13840.584292602056</v>
      </c>
      <c r="AB58" s="69"/>
    </row>
    <row r="59" spans="1:28" x14ac:dyDescent="0.2">
      <c r="A59" s="29" t="s">
        <v>60</v>
      </c>
      <c r="B59" s="58">
        <v>846402.56069073372</v>
      </c>
      <c r="C59" s="58">
        <v>809487.04388304369</v>
      </c>
      <c r="D59" s="58">
        <v>480259.24404498358</v>
      </c>
      <c r="E59" s="58">
        <v>264407.21338516398</v>
      </c>
      <c r="F59" s="58">
        <v>185847.00058028981</v>
      </c>
      <c r="G59" s="58">
        <v>154639.84106992028</v>
      </c>
      <c r="H59" s="58">
        <v>128227.13928956632</v>
      </c>
      <c r="I59" s="58">
        <v>115103.13978897067</v>
      </c>
      <c r="J59" s="58">
        <v>86639.687550993796</v>
      </c>
      <c r="K59" s="58">
        <v>99132.995921625086</v>
      </c>
      <c r="L59" s="58">
        <v>393286.13379470934</v>
      </c>
      <c r="M59" s="58">
        <v>3563432</v>
      </c>
      <c r="N59" s="69"/>
      <c r="O59" s="29" t="s">
        <v>60</v>
      </c>
      <c r="P59" s="58">
        <v>285994.9422398929</v>
      </c>
      <c r="Q59" s="58">
        <v>225927.93262129516</v>
      </c>
      <c r="R59" s="58">
        <v>295882.0836472903</v>
      </c>
      <c r="S59" s="58">
        <v>113001.47443434787</v>
      </c>
      <c r="T59" s="58">
        <v>120360.06819602943</v>
      </c>
      <c r="U59" s="58">
        <v>98875.41494050136</v>
      </c>
      <c r="V59" s="58">
        <v>44792.701431206347</v>
      </c>
      <c r="W59" s="58">
        <v>47876.36930768648</v>
      </c>
      <c r="X59" s="58">
        <v>39373.527718987971</v>
      </c>
      <c r="Y59" s="58">
        <v>27097.868994355948</v>
      </c>
      <c r="Z59" s="58">
        <v>164445.61646840622</v>
      </c>
      <c r="AA59" s="58">
        <v>1463627.9999999998</v>
      </c>
      <c r="AB59" s="69"/>
    </row>
    <row r="60" spans="1:28" x14ac:dyDescent="0.2">
      <c r="N60" s="69"/>
      <c r="P60" s="6"/>
      <c r="Q60" s="6"/>
      <c r="R60" s="6"/>
      <c r="S60" s="6"/>
      <c r="AB60" s="69"/>
    </row>
    <row r="61" spans="1:28" x14ac:dyDescent="0.2">
      <c r="N61" s="69"/>
      <c r="P61" s="6"/>
      <c r="Q61" s="6"/>
      <c r="R61" s="6"/>
      <c r="S61" s="6"/>
      <c r="AB61" s="69"/>
    </row>
    <row r="62" spans="1:28" x14ac:dyDescent="0.2">
      <c r="A62" s="7" t="s">
        <v>148</v>
      </c>
      <c r="N62" s="69"/>
      <c r="P62" s="6"/>
      <c r="Q62" s="6"/>
      <c r="R62" s="6"/>
      <c r="S62" s="6"/>
      <c r="AB62" s="69"/>
    </row>
    <row r="63" spans="1:28" x14ac:dyDescent="0.2">
      <c r="A63" s="148" t="s">
        <v>404</v>
      </c>
      <c r="B63" s="148"/>
      <c r="C63" s="148"/>
      <c r="D63" s="148"/>
      <c r="N63" s="69"/>
      <c r="O63" s="7"/>
      <c r="P63" s="6"/>
      <c r="Q63" s="6"/>
      <c r="R63" s="6"/>
      <c r="S63" s="6"/>
      <c r="AB63" s="69"/>
    </row>
    <row r="64" spans="1:28" x14ac:dyDescent="0.2">
      <c r="A64" s="8" t="s">
        <v>207</v>
      </c>
      <c r="B64" s="8" t="s">
        <v>0</v>
      </c>
      <c r="C64" s="8" t="s">
        <v>1</v>
      </c>
      <c r="D64" s="8" t="s">
        <v>59</v>
      </c>
      <c r="N64" s="69"/>
      <c r="O64" s="35"/>
      <c r="P64" s="35"/>
      <c r="Q64" s="35"/>
      <c r="R64" s="35"/>
      <c r="S64" s="6"/>
      <c r="AB64" s="69"/>
    </row>
    <row r="65" spans="1:28" x14ac:dyDescent="0.2">
      <c r="A65" s="31" t="s">
        <v>9</v>
      </c>
      <c r="B65" s="4">
        <v>14598635.258621048</v>
      </c>
      <c r="C65" s="4">
        <v>4582889.0948675163</v>
      </c>
      <c r="D65" s="4">
        <v>19181524.353488564</v>
      </c>
      <c r="E65" s="54"/>
      <c r="N65" s="69"/>
      <c r="O65" s="34"/>
      <c r="P65" s="17"/>
      <c r="Q65" s="17"/>
      <c r="R65" s="17"/>
      <c r="S65" s="6"/>
      <c r="AB65" s="69"/>
    </row>
    <row r="66" spans="1:28" x14ac:dyDescent="0.2">
      <c r="A66" s="31" t="s">
        <v>10</v>
      </c>
      <c r="B66" s="5">
        <v>10581283.905906696</v>
      </c>
      <c r="C66" s="5">
        <v>2658456.2965416992</v>
      </c>
      <c r="D66" s="5">
        <v>13239740.202448394</v>
      </c>
      <c r="E66" s="54"/>
      <c r="N66" s="69"/>
      <c r="O66" s="34"/>
      <c r="P66" s="17"/>
      <c r="Q66" s="17"/>
      <c r="R66" s="17"/>
      <c r="S66" s="6"/>
      <c r="AB66" s="69"/>
    </row>
    <row r="67" spans="1:28" x14ac:dyDescent="0.2">
      <c r="A67" s="31" t="s">
        <v>11</v>
      </c>
      <c r="B67" s="5">
        <v>2507599.4261176018</v>
      </c>
      <c r="C67" s="5">
        <v>1160093.5862028955</v>
      </c>
      <c r="D67" s="5">
        <v>3667693.0123204971</v>
      </c>
      <c r="E67" s="54"/>
      <c r="N67" s="69"/>
      <c r="O67" s="34"/>
      <c r="P67" s="17"/>
      <c r="Q67" s="17"/>
      <c r="R67" s="17"/>
      <c r="S67" s="6"/>
      <c r="AB67" s="69"/>
    </row>
    <row r="68" spans="1:28" x14ac:dyDescent="0.2">
      <c r="A68" s="31" t="s">
        <v>674</v>
      </c>
      <c r="B68" s="5">
        <v>4203228.1321037216</v>
      </c>
      <c r="C68" s="5">
        <v>1676433.7776344842</v>
      </c>
      <c r="D68" s="5">
        <v>5879661.9097382054</v>
      </c>
      <c r="E68" s="54"/>
      <c r="N68" s="69"/>
      <c r="O68" s="34"/>
      <c r="P68" s="17"/>
      <c r="Q68" s="17"/>
      <c r="R68" s="17"/>
      <c r="S68" s="6"/>
      <c r="AB68" s="69"/>
    </row>
    <row r="69" spans="1:28" x14ac:dyDescent="0.2">
      <c r="A69" s="31" t="s">
        <v>13</v>
      </c>
      <c r="B69" s="5">
        <v>788404.97784702363</v>
      </c>
      <c r="C69" s="5">
        <v>379051.42977452569</v>
      </c>
      <c r="D69" s="5">
        <v>1167456.4076215494</v>
      </c>
      <c r="E69" s="54"/>
      <c r="N69" s="69"/>
      <c r="O69" s="34"/>
      <c r="P69" s="17"/>
      <c r="Q69" s="17"/>
      <c r="R69" s="17"/>
      <c r="S69" s="6"/>
      <c r="AB69" s="69"/>
    </row>
    <row r="70" spans="1:28" x14ac:dyDescent="0.2">
      <c r="A70" s="31" t="s">
        <v>230</v>
      </c>
      <c r="B70" s="5">
        <v>1522981.622835258</v>
      </c>
      <c r="C70" s="5">
        <v>649668.72919632925</v>
      </c>
      <c r="D70" s="5">
        <v>2172650.3520315872</v>
      </c>
      <c r="E70" s="54"/>
      <c r="N70" s="69"/>
      <c r="O70" s="34"/>
      <c r="P70" s="17"/>
      <c r="Q70" s="17"/>
      <c r="R70" s="17"/>
      <c r="S70" s="6"/>
      <c r="AB70" s="69"/>
    </row>
    <row r="71" spans="1:28" x14ac:dyDescent="0.2">
      <c r="A71" s="31" t="s">
        <v>231</v>
      </c>
      <c r="B71" s="5">
        <v>1947765.6477820016</v>
      </c>
      <c r="C71" s="5">
        <v>607306.33422693657</v>
      </c>
      <c r="D71" s="5">
        <v>2555071.9820089382</v>
      </c>
      <c r="E71" s="54"/>
      <c r="N71" s="69"/>
      <c r="O71" s="34"/>
      <c r="P71" s="17"/>
      <c r="Q71" s="17"/>
      <c r="R71" s="17"/>
      <c r="S71" s="6"/>
      <c r="AB71" s="69"/>
    </row>
    <row r="72" spans="1:28" x14ac:dyDescent="0.2">
      <c r="A72" s="31" t="s">
        <v>673</v>
      </c>
      <c r="B72" s="5">
        <v>1344372.1714503563</v>
      </c>
      <c r="C72" s="5">
        <v>385075.77036224102</v>
      </c>
      <c r="D72" s="5">
        <v>1729447.9418125972</v>
      </c>
      <c r="E72" s="54"/>
      <c r="N72" s="69"/>
      <c r="O72" s="45"/>
      <c r="P72" s="17"/>
      <c r="Q72" s="17"/>
      <c r="R72" s="17"/>
      <c r="S72" s="6"/>
      <c r="AB72" s="69"/>
    </row>
    <row r="73" spans="1:28" x14ac:dyDescent="0.2">
      <c r="A73" s="31" t="s">
        <v>233</v>
      </c>
      <c r="B73" s="5">
        <v>2371231.6331765018</v>
      </c>
      <c r="C73" s="5">
        <v>920013.0131831317</v>
      </c>
      <c r="D73" s="5">
        <v>3291244.6463596337</v>
      </c>
      <c r="E73" s="54"/>
      <c r="N73" s="69"/>
      <c r="P73" s="6"/>
      <c r="Q73" s="6"/>
      <c r="R73" s="6"/>
      <c r="S73" s="6"/>
      <c r="AB73" s="69"/>
    </row>
    <row r="74" spans="1:28" x14ac:dyDescent="0.2">
      <c r="A74" s="31" t="s">
        <v>987</v>
      </c>
      <c r="B74" s="5">
        <v>2047219.2780267256</v>
      </c>
      <c r="C74" s="5">
        <v>435540.62340628006</v>
      </c>
      <c r="D74" s="5">
        <v>2482759.9014330059</v>
      </c>
      <c r="E74" s="54"/>
      <c r="N74" s="69"/>
      <c r="P74" s="6"/>
      <c r="Q74" s="6"/>
      <c r="R74" s="6"/>
      <c r="S74" s="6"/>
      <c r="AB74" s="69"/>
    </row>
    <row r="75" spans="1:28" x14ac:dyDescent="0.2">
      <c r="A75" s="31" t="s">
        <v>31</v>
      </c>
      <c r="B75" s="5">
        <v>4898157.946133066</v>
      </c>
      <c r="C75" s="5">
        <v>1438829.3446039609</v>
      </c>
      <c r="D75" s="5">
        <v>6336987.2907370273</v>
      </c>
      <c r="E75" s="54"/>
      <c r="N75" s="69"/>
      <c r="P75" s="6"/>
      <c r="Q75" s="6"/>
      <c r="R75" s="6"/>
      <c r="S75" s="6"/>
      <c r="AB75" s="69"/>
    </row>
    <row r="76" spans="1:28" x14ac:dyDescent="0.2">
      <c r="A76" s="29" t="s">
        <v>60</v>
      </c>
      <c r="B76" s="58">
        <v>46810880</v>
      </c>
      <c r="C76" s="58">
        <v>14893358.000000002</v>
      </c>
      <c r="D76" s="58">
        <v>61704238.000000007</v>
      </c>
      <c r="E76" s="54"/>
      <c r="N76" s="69"/>
      <c r="P76" s="6"/>
      <c r="Q76" s="6"/>
      <c r="R76" s="6"/>
      <c r="S76" s="6"/>
      <c r="AB76" s="69"/>
    </row>
    <row r="77" spans="1:28" x14ac:dyDescent="0.2">
      <c r="N77" s="69"/>
      <c r="P77" s="6"/>
      <c r="Q77" s="6"/>
      <c r="R77" s="6"/>
      <c r="S77" s="6"/>
      <c r="AB77" s="69"/>
    </row>
    <row r="78" spans="1:28" x14ac:dyDescent="0.2">
      <c r="N78" s="69"/>
      <c r="P78" s="6"/>
      <c r="Q78" s="6"/>
      <c r="R78" s="6"/>
      <c r="S78" s="6"/>
      <c r="AB78" s="69"/>
    </row>
    <row r="79" spans="1:28" x14ac:dyDescent="0.2">
      <c r="A79" s="7" t="s">
        <v>149</v>
      </c>
      <c r="N79" s="69"/>
      <c r="O79" s="7" t="s">
        <v>152</v>
      </c>
      <c r="P79" s="6"/>
      <c r="Q79" s="6"/>
      <c r="R79" s="6"/>
      <c r="S79" s="6"/>
      <c r="AB79" s="69"/>
    </row>
    <row r="80" spans="1:28" x14ac:dyDescent="0.2">
      <c r="A80" s="148" t="s">
        <v>405</v>
      </c>
      <c r="B80" s="148"/>
      <c r="C80" s="148"/>
      <c r="D80" s="148"/>
      <c r="E80" s="148"/>
      <c r="F80" s="148"/>
      <c r="G80" s="148"/>
      <c r="H80" s="148"/>
      <c r="I80" s="148"/>
      <c r="J80" s="148"/>
      <c r="K80" s="148"/>
      <c r="L80" s="148"/>
      <c r="M80" s="148"/>
      <c r="N80" s="69"/>
      <c r="O80" s="148" t="s">
        <v>406</v>
      </c>
      <c r="P80" s="148"/>
      <c r="Q80" s="148"/>
      <c r="R80" s="148"/>
      <c r="S80" s="148"/>
      <c r="T80" s="148"/>
      <c r="U80" s="148"/>
      <c r="V80" s="148"/>
      <c r="W80" s="148"/>
      <c r="X80" s="148"/>
      <c r="Y80" s="148"/>
      <c r="Z80" s="148"/>
      <c r="AA80" s="148"/>
      <c r="AB80" s="69"/>
    </row>
    <row r="81" spans="1:28" ht="51" x14ac:dyDescent="0.2">
      <c r="A81" s="44" t="s">
        <v>66</v>
      </c>
      <c r="B81" s="44" t="s">
        <v>9</v>
      </c>
      <c r="C81" s="44" t="s">
        <v>511</v>
      </c>
      <c r="D81" s="44" t="s">
        <v>11</v>
      </c>
      <c r="E81" s="44" t="s">
        <v>672</v>
      </c>
      <c r="F81" s="44" t="s">
        <v>13</v>
      </c>
      <c r="G81" s="44" t="s">
        <v>230</v>
      </c>
      <c r="H81" s="44" t="s">
        <v>231</v>
      </c>
      <c r="I81" s="44" t="s">
        <v>673</v>
      </c>
      <c r="J81" s="44" t="s">
        <v>233</v>
      </c>
      <c r="K81" s="44" t="s">
        <v>512</v>
      </c>
      <c r="L81" s="44" t="s">
        <v>31</v>
      </c>
      <c r="M81" s="44" t="s">
        <v>64</v>
      </c>
      <c r="N81" s="69"/>
      <c r="O81" s="44" t="s">
        <v>66</v>
      </c>
      <c r="P81" s="44" t="s">
        <v>9</v>
      </c>
      <c r="Q81" s="44" t="s">
        <v>511</v>
      </c>
      <c r="R81" s="44" t="s">
        <v>11</v>
      </c>
      <c r="S81" s="44" t="s">
        <v>672</v>
      </c>
      <c r="T81" s="44" t="s">
        <v>13</v>
      </c>
      <c r="U81" s="44" t="s">
        <v>230</v>
      </c>
      <c r="V81" s="44" t="s">
        <v>231</v>
      </c>
      <c r="W81" s="44" t="s">
        <v>673</v>
      </c>
      <c r="X81" s="44" t="s">
        <v>233</v>
      </c>
      <c r="Y81" s="44" t="s">
        <v>512</v>
      </c>
      <c r="Z81" s="44" t="s">
        <v>31</v>
      </c>
      <c r="AA81" s="44" t="s">
        <v>64</v>
      </c>
      <c r="AB81" s="69"/>
    </row>
    <row r="82" spans="1:28" x14ac:dyDescent="0.2">
      <c r="A82" s="22" t="s">
        <v>5</v>
      </c>
      <c r="B82" s="4">
        <v>3650971.7528830897</v>
      </c>
      <c r="C82" s="4">
        <v>4724067.302113465</v>
      </c>
      <c r="D82" s="23">
        <v>932455.91632585425</v>
      </c>
      <c r="E82" s="23">
        <v>2697818.284872843</v>
      </c>
      <c r="F82" s="23">
        <v>346390.61540055875</v>
      </c>
      <c r="G82" s="23">
        <v>807528.61880216654</v>
      </c>
      <c r="H82" s="23">
        <v>4870.9037306349392</v>
      </c>
      <c r="I82" s="23">
        <v>619152.9585768627</v>
      </c>
      <c r="J82" s="23">
        <v>1135100.892552213</v>
      </c>
      <c r="K82" s="23">
        <v>1466784.6138663413</v>
      </c>
      <c r="L82" s="23">
        <v>2589481.1408759709</v>
      </c>
      <c r="M82" s="23">
        <v>18974623</v>
      </c>
      <c r="N82" s="69"/>
      <c r="O82" s="22" t="s">
        <v>5</v>
      </c>
      <c r="P82" s="4">
        <v>1673557.8540391698</v>
      </c>
      <c r="Q82" s="4">
        <v>1510328.0447986089</v>
      </c>
      <c r="R82" s="23">
        <v>534160.82054046472</v>
      </c>
      <c r="S82" s="23">
        <v>1203884.6481291677</v>
      </c>
      <c r="T82" s="23">
        <v>201134.41688429276</v>
      </c>
      <c r="U82" s="23">
        <v>377386.13990812568</v>
      </c>
      <c r="V82" s="23">
        <v>453.08748689610269</v>
      </c>
      <c r="W82" s="23">
        <v>161211.56654872824</v>
      </c>
      <c r="X82" s="23">
        <v>435727.85614935716</v>
      </c>
      <c r="Y82" s="23">
        <v>300821.82026166702</v>
      </c>
      <c r="Z82" s="23">
        <v>724716.74525352195</v>
      </c>
      <c r="AA82" s="23">
        <v>7123383</v>
      </c>
      <c r="AB82" s="69"/>
    </row>
    <row r="83" spans="1:28" x14ac:dyDescent="0.2">
      <c r="A83" s="25" t="s">
        <v>6</v>
      </c>
      <c r="B83" s="5">
        <v>10947663.505737958</v>
      </c>
      <c r="C83" s="5">
        <v>5857216.6037932308</v>
      </c>
      <c r="D83" s="14">
        <v>1575143.5097917477</v>
      </c>
      <c r="E83" s="14">
        <v>1505409.8472308784</v>
      </c>
      <c r="F83" s="14">
        <v>442014.36244646495</v>
      </c>
      <c r="G83" s="14">
        <v>715453.00403309159</v>
      </c>
      <c r="H83" s="14">
        <v>1942894.7440513668</v>
      </c>
      <c r="I83" s="14">
        <v>725219.21287349344</v>
      </c>
      <c r="J83" s="14">
        <v>1236130.7406242888</v>
      </c>
      <c r="K83" s="14">
        <v>580434.66416038433</v>
      </c>
      <c r="L83" s="14">
        <v>2308676.805257095</v>
      </c>
      <c r="M83" s="14">
        <v>27836257</v>
      </c>
      <c r="N83" s="69"/>
      <c r="O83" s="25" t="s">
        <v>6</v>
      </c>
      <c r="P83" s="5">
        <v>2909331.2408283465</v>
      </c>
      <c r="Q83" s="5">
        <v>1148128.2517430903</v>
      </c>
      <c r="R83" s="14">
        <v>625932.76566243067</v>
      </c>
      <c r="S83" s="14">
        <v>472549.12950531661</v>
      </c>
      <c r="T83" s="14">
        <v>177917.01289023293</v>
      </c>
      <c r="U83" s="14">
        <v>272282.58928820357</v>
      </c>
      <c r="V83" s="14">
        <v>606853.24674004049</v>
      </c>
      <c r="W83" s="14">
        <v>223864.20381351278</v>
      </c>
      <c r="X83" s="14">
        <v>484285.15703377454</v>
      </c>
      <c r="Y83" s="14">
        <v>134718.80314461305</v>
      </c>
      <c r="Z83" s="14">
        <v>714112.5993504388</v>
      </c>
      <c r="AA83" s="14">
        <v>7769975.0000000009</v>
      </c>
      <c r="AB83" s="69"/>
    </row>
    <row r="84" spans="1:28" x14ac:dyDescent="0.2">
      <c r="A84" s="29" t="s">
        <v>60</v>
      </c>
      <c r="B84" s="58">
        <v>14598635.258621048</v>
      </c>
      <c r="C84" s="58">
        <v>10581283.905906696</v>
      </c>
      <c r="D84" s="58">
        <v>2507599.4261176018</v>
      </c>
      <c r="E84" s="58">
        <v>4203228.1321037216</v>
      </c>
      <c r="F84" s="58">
        <v>788404.97784702363</v>
      </c>
      <c r="G84" s="58">
        <v>1522981.622835258</v>
      </c>
      <c r="H84" s="58">
        <v>1947765.6477820016</v>
      </c>
      <c r="I84" s="58">
        <v>1344372.171450356</v>
      </c>
      <c r="J84" s="58">
        <v>2371231.6331765018</v>
      </c>
      <c r="K84" s="58">
        <v>2047219.2780267256</v>
      </c>
      <c r="L84" s="58">
        <v>4898157.946133066</v>
      </c>
      <c r="M84" s="110">
        <v>46810880</v>
      </c>
      <c r="N84" s="69"/>
      <c r="O84" s="29" t="s">
        <v>60</v>
      </c>
      <c r="P84" s="58">
        <v>4582889.0948675163</v>
      </c>
      <c r="Q84" s="58">
        <v>2658456.2965416992</v>
      </c>
      <c r="R84" s="58">
        <v>1160093.5862028953</v>
      </c>
      <c r="S84" s="58">
        <v>1676433.7776344842</v>
      </c>
      <c r="T84" s="58">
        <v>379051.42977452569</v>
      </c>
      <c r="U84" s="58">
        <v>649668.72919632925</v>
      </c>
      <c r="V84" s="58">
        <v>607306.33422693657</v>
      </c>
      <c r="W84" s="58">
        <v>385075.77036224102</v>
      </c>
      <c r="X84" s="58">
        <v>920013.0131831317</v>
      </c>
      <c r="Y84" s="58">
        <v>435540.62340628006</v>
      </c>
      <c r="Z84" s="58">
        <v>1438829.3446039609</v>
      </c>
      <c r="AA84" s="110">
        <v>14893358</v>
      </c>
      <c r="AB84" s="69"/>
    </row>
    <row r="85" spans="1:28" x14ac:dyDescent="0.2">
      <c r="N85" s="69"/>
      <c r="P85" s="6"/>
      <c r="Q85" s="6"/>
      <c r="R85" s="6"/>
      <c r="S85" s="6"/>
      <c r="AB85" s="69"/>
    </row>
    <row r="86" spans="1:28" x14ac:dyDescent="0.2">
      <c r="N86" s="69"/>
      <c r="P86" s="6"/>
      <c r="Q86" s="6"/>
      <c r="R86" s="6"/>
      <c r="S86" s="6"/>
      <c r="AB86" s="69"/>
    </row>
    <row r="87" spans="1:28" x14ac:dyDescent="0.2">
      <c r="A87" s="7" t="s">
        <v>150</v>
      </c>
      <c r="N87" s="69"/>
      <c r="O87" s="7" t="s">
        <v>153</v>
      </c>
      <c r="P87" s="6"/>
      <c r="Q87" s="6"/>
      <c r="R87" s="6"/>
      <c r="S87" s="6"/>
      <c r="AB87" s="69"/>
    </row>
    <row r="88" spans="1:28" x14ac:dyDescent="0.2">
      <c r="A88" s="148" t="s">
        <v>407</v>
      </c>
      <c r="B88" s="148"/>
      <c r="C88" s="148"/>
      <c r="D88" s="148"/>
      <c r="E88" s="148"/>
      <c r="F88" s="148"/>
      <c r="G88" s="148"/>
      <c r="H88" s="148"/>
      <c r="I88" s="148"/>
      <c r="J88" s="148"/>
      <c r="K88" s="148"/>
      <c r="L88" s="148"/>
      <c r="M88" s="148"/>
      <c r="N88" s="69"/>
      <c r="O88" s="148" t="s">
        <v>408</v>
      </c>
      <c r="P88" s="148"/>
      <c r="Q88" s="148"/>
      <c r="R88" s="148"/>
      <c r="S88" s="148"/>
      <c r="T88" s="148"/>
      <c r="U88" s="148"/>
      <c r="V88" s="148"/>
      <c r="W88" s="148"/>
      <c r="X88" s="148"/>
      <c r="Y88" s="148"/>
      <c r="Z88" s="148"/>
      <c r="AA88" s="148"/>
      <c r="AB88" s="69"/>
    </row>
    <row r="89" spans="1:28" ht="51" x14ac:dyDescent="0.2">
      <c r="A89" s="24" t="s">
        <v>67</v>
      </c>
      <c r="B89" s="44" t="s">
        <v>9</v>
      </c>
      <c r="C89" s="44" t="s">
        <v>511</v>
      </c>
      <c r="D89" s="44" t="s">
        <v>11</v>
      </c>
      <c r="E89" s="44" t="s">
        <v>672</v>
      </c>
      <c r="F89" s="44" t="s">
        <v>13</v>
      </c>
      <c r="G89" s="44" t="s">
        <v>230</v>
      </c>
      <c r="H89" s="44" t="s">
        <v>231</v>
      </c>
      <c r="I89" s="44" t="s">
        <v>673</v>
      </c>
      <c r="J89" s="44" t="s">
        <v>233</v>
      </c>
      <c r="K89" s="44" t="s">
        <v>512</v>
      </c>
      <c r="L89" s="44" t="s">
        <v>31</v>
      </c>
      <c r="M89" s="44" t="s">
        <v>64</v>
      </c>
      <c r="N89" s="69"/>
      <c r="O89" s="24" t="s">
        <v>67</v>
      </c>
      <c r="P89" s="44" t="s">
        <v>9</v>
      </c>
      <c r="Q89" s="44" t="s">
        <v>511</v>
      </c>
      <c r="R89" s="44" t="s">
        <v>11</v>
      </c>
      <c r="S89" s="44" t="s">
        <v>672</v>
      </c>
      <c r="T89" s="44" t="s">
        <v>13</v>
      </c>
      <c r="U89" s="44" t="s">
        <v>230</v>
      </c>
      <c r="V89" s="44" t="s">
        <v>231</v>
      </c>
      <c r="W89" s="44" t="s">
        <v>673</v>
      </c>
      <c r="X89" s="44" t="s">
        <v>233</v>
      </c>
      <c r="Y89" s="44" t="s">
        <v>512</v>
      </c>
      <c r="Z89" s="44" t="s">
        <v>31</v>
      </c>
      <c r="AA89" s="44" t="s">
        <v>64</v>
      </c>
      <c r="AB89" s="69"/>
    </row>
    <row r="90" spans="1:28" x14ac:dyDescent="0.2">
      <c r="A90" s="22" t="s">
        <v>53</v>
      </c>
      <c r="B90" s="4">
        <v>49637.14541635591</v>
      </c>
      <c r="C90" s="4">
        <v>48436.802141073582</v>
      </c>
      <c r="D90" s="4">
        <v>25716.996374105809</v>
      </c>
      <c r="E90" s="4">
        <v>58432.680034418227</v>
      </c>
      <c r="F90" s="4">
        <v>12513.636111310585</v>
      </c>
      <c r="G90" s="4">
        <v>13141.726742609637</v>
      </c>
      <c r="H90" s="4">
        <v>30193.922833123816</v>
      </c>
      <c r="I90" s="4">
        <v>8139.5986377190366</v>
      </c>
      <c r="J90" s="4">
        <v>2544.0810810433218</v>
      </c>
      <c r="K90" s="4">
        <v>1612.7782735481137</v>
      </c>
      <c r="L90" s="4">
        <v>28079.632354691963</v>
      </c>
      <c r="M90" s="4">
        <v>278449</v>
      </c>
      <c r="N90" s="69"/>
      <c r="O90" s="22" t="s">
        <v>53</v>
      </c>
      <c r="P90" s="4">
        <v>4359.6764648930593</v>
      </c>
      <c r="Q90" s="4">
        <v>3113.0048856902495</v>
      </c>
      <c r="R90" s="4">
        <v>1902.49604774881</v>
      </c>
      <c r="S90" s="4">
        <v>4847.6032927734614</v>
      </c>
      <c r="T90" s="4">
        <v>940.12725519314529</v>
      </c>
      <c r="U90" s="4">
        <v>879.22622538398696</v>
      </c>
      <c r="V90" s="4">
        <v>912.20388495805548</v>
      </c>
      <c r="W90" s="4">
        <v>495.12927768551668</v>
      </c>
      <c r="X90" s="4">
        <v>166.31428033269194</v>
      </c>
      <c r="Y90" s="4">
        <v>172.1501691811969</v>
      </c>
      <c r="Z90" s="4">
        <v>1754.5464402642717</v>
      </c>
      <c r="AA90" s="4">
        <v>19542.478224104445</v>
      </c>
      <c r="AB90" s="69"/>
    </row>
    <row r="91" spans="1:28" x14ac:dyDescent="0.2">
      <c r="A91" s="25" t="s">
        <v>2</v>
      </c>
      <c r="B91" s="5">
        <v>1057713.8093278008</v>
      </c>
      <c r="C91" s="5">
        <v>500438.63032472337</v>
      </c>
      <c r="D91" s="5">
        <v>210586.59855864386</v>
      </c>
      <c r="E91" s="5">
        <v>402555.37958716316</v>
      </c>
      <c r="F91" s="5">
        <v>95899.551300386753</v>
      </c>
      <c r="G91" s="5">
        <v>96140.221066704049</v>
      </c>
      <c r="H91" s="5">
        <v>333879.22389872995</v>
      </c>
      <c r="I91" s="5">
        <v>74554.569666180483</v>
      </c>
      <c r="J91" s="5">
        <v>37488.764397865583</v>
      </c>
      <c r="K91" s="5">
        <v>22751.109562247042</v>
      </c>
      <c r="L91" s="5">
        <v>240037.14230955506</v>
      </c>
      <c r="M91" s="5">
        <v>3072044.9999999995</v>
      </c>
      <c r="N91" s="69"/>
      <c r="O91" s="25" t="s">
        <v>2</v>
      </c>
      <c r="P91" s="5">
        <v>139967.19882014603</v>
      </c>
      <c r="Q91" s="5">
        <v>89135.427450360221</v>
      </c>
      <c r="R91" s="5">
        <v>47558.428632737276</v>
      </c>
      <c r="S91" s="5">
        <v>97270.141911040773</v>
      </c>
      <c r="T91" s="5">
        <v>24192.88337685855</v>
      </c>
      <c r="U91" s="5">
        <v>22622.436892598522</v>
      </c>
      <c r="V91" s="5">
        <v>24103.01749737922</v>
      </c>
      <c r="W91" s="5">
        <v>10833.913309745647</v>
      </c>
      <c r="X91" s="5">
        <v>5503.7505585384752</v>
      </c>
      <c r="Y91" s="5">
        <v>5179.2829255521383</v>
      </c>
      <c r="Z91" s="5">
        <v>44425.754451706409</v>
      </c>
      <c r="AA91" s="5">
        <v>510792.23582666327</v>
      </c>
      <c r="AB91" s="69"/>
    </row>
    <row r="92" spans="1:28" x14ac:dyDescent="0.2">
      <c r="A92" s="25" t="s">
        <v>54</v>
      </c>
      <c r="B92" s="5">
        <v>5220341.8254802851</v>
      </c>
      <c r="C92" s="5">
        <v>1883891.822194356</v>
      </c>
      <c r="D92" s="5">
        <v>708376.75184161426</v>
      </c>
      <c r="E92" s="5">
        <v>982436.40538875246</v>
      </c>
      <c r="F92" s="5">
        <v>269464.78779798996</v>
      </c>
      <c r="G92" s="5">
        <v>316275.63598527177</v>
      </c>
      <c r="H92" s="5">
        <v>1157018.1504350607</v>
      </c>
      <c r="I92" s="5">
        <v>277446.43150503043</v>
      </c>
      <c r="J92" s="5">
        <v>191575.63402709202</v>
      </c>
      <c r="K92" s="5">
        <v>116714.39027991428</v>
      </c>
      <c r="L92" s="5">
        <v>897402.16506463324</v>
      </c>
      <c r="M92" s="5">
        <v>12020943.999999998</v>
      </c>
      <c r="N92" s="69"/>
      <c r="O92" s="25" t="s">
        <v>54</v>
      </c>
      <c r="P92" s="5">
        <v>1630762.2958166515</v>
      </c>
      <c r="Q92" s="5">
        <v>673879.1289103732</v>
      </c>
      <c r="R92" s="5">
        <v>403754.89735339</v>
      </c>
      <c r="S92" s="5">
        <v>548026.4367110586</v>
      </c>
      <c r="T92" s="5">
        <v>166032.23872702234</v>
      </c>
      <c r="U92" s="5">
        <v>193100.61788922892</v>
      </c>
      <c r="V92" s="5">
        <v>370386.80204795481</v>
      </c>
      <c r="W92" s="5">
        <v>103129.3855599685</v>
      </c>
      <c r="X92" s="5">
        <v>97394.599049956203</v>
      </c>
      <c r="Y92" s="5">
        <v>50043.764378599495</v>
      </c>
      <c r="Z92" s="5">
        <v>396700.40548279113</v>
      </c>
      <c r="AA92" s="5">
        <v>4633210.5719269952</v>
      </c>
      <c r="AB92" s="69"/>
    </row>
    <row r="93" spans="1:28" x14ac:dyDescent="0.2">
      <c r="A93" s="25" t="s">
        <v>55</v>
      </c>
      <c r="B93" s="5">
        <v>4001386.1493426026</v>
      </c>
      <c r="C93" s="5">
        <v>2230417.0452665901</v>
      </c>
      <c r="D93" s="5">
        <v>548560.68169706012</v>
      </c>
      <c r="E93" s="5">
        <v>878672.33333205804</v>
      </c>
      <c r="F93" s="5">
        <v>167611.29136216512</v>
      </c>
      <c r="G93" s="5">
        <v>332894.80173020082</v>
      </c>
      <c r="H93" s="5">
        <v>412332.93280037801</v>
      </c>
      <c r="I93" s="5">
        <v>286525.66860725026</v>
      </c>
      <c r="J93" s="5">
        <v>400412.23278453073</v>
      </c>
      <c r="K93" s="5">
        <v>233367.09872424175</v>
      </c>
      <c r="L93" s="5">
        <v>1022001.7643529223</v>
      </c>
      <c r="M93" s="5">
        <v>10514182</v>
      </c>
      <c r="N93" s="69"/>
      <c r="O93" s="25" t="s">
        <v>55</v>
      </c>
      <c r="P93" s="5">
        <v>1474861.5917876281</v>
      </c>
      <c r="Q93" s="5">
        <v>711648.04152100498</v>
      </c>
      <c r="R93" s="5">
        <v>323560.55213018018</v>
      </c>
      <c r="S93" s="5">
        <v>450803.0520875341</v>
      </c>
      <c r="T93" s="5">
        <v>102090.03930564855</v>
      </c>
      <c r="U93" s="5">
        <v>178952.28975517512</v>
      </c>
      <c r="V93" s="5">
        <v>207338.073844339</v>
      </c>
      <c r="W93" s="5">
        <v>109536.11939634646</v>
      </c>
      <c r="X93" s="5">
        <v>208217.02070301038</v>
      </c>
      <c r="Y93" s="5">
        <v>89245.839366955421</v>
      </c>
      <c r="Z93" s="5">
        <v>384038.00795687822</v>
      </c>
      <c r="AA93" s="5">
        <v>4240290.6278547002</v>
      </c>
      <c r="AB93" s="69"/>
    </row>
    <row r="94" spans="1:28" x14ac:dyDescent="0.2">
      <c r="A94" s="25" t="s">
        <v>56</v>
      </c>
      <c r="B94" s="5">
        <v>2452328.8656217339</v>
      </c>
      <c r="C94" s="5">
        <v>2982578.0712226545</v>
      </c>
      <c r="D94" s="5">
        <v>494366.63885493309</v>
      </c>
      <c r="E94" s="5">
        <v>982932.23177187855</v>
      </c>
      <c r="F94" s="5">
        <v>131494.30935719324</v>
      </c>
      <c r="G94" s="5">
        <v>366805.41091520188</v>
      </c>
      <c r="H94" s="5">
        <v>9453.452809802553</v>
      </c>
      <c r="I94" s="5">
        <v>296491.45225144032</v>
      </c>
      <c r="J94" s="5">
        <v>702562.77559754462</v>
      </c>
      <c r="K94" s="5">
        <v>534632.16926449409</v>
      </c>
      <c r="L94" s="5">
        <v>1282766.6223331233</v>
      </c>
      <c r="M94" s="5">
        <v>10236412</v>
      </c>
      <c r="N94" s="69"/>
      <c r="O94" s="25" t="s">
        <v>56</v>
      </c>
      <c r="P94" s="5">
        <v>744146.1627548238</v>
      </c>
      <c r="Q94" s="5">
        <v>623211.38765881164</v>
      </c>
      <c r="R94" s="5">
        <v>199643.4805524062</v>
      </c>
      <c r="S94" s="5">
        <v>321380.00544345262</v>
      </c>
      <c r="T94" s="5">
        <v>50567.690400601212</v>
      </c>
      <c r="U94" s="5">
        <v>139605.61443791911</v>
      </c>
      <c r="V94" s="5">
        <v>4372.912663783608</v>
      </c>
      <c r="W94" s="5">
        <v>80979.749052879983</v>
      </c>
      <c r="X94" s="5">
        <v>255395.2853077038</v>
      </c>
      <c r="Y94" s="5">
        <v>113435.84490639248</v>
      </c>
      <c r="Z94" s="5">
        <v>301400.90116136486</v>
      </c>
      <c r="AA94" s="5">
        <v>2834139.0343401395</v>
      </c>
      <c r="AB94" s="69"/>
    </row>
    <row r="95" spans="1:28" x14ac:dyDescent="0.2">
      <c r="A95" s="25" t="s">
        <v>57</v>
      </c>
      <c r="B95" s="5">
        <v>1538512.0637307174</v>
      </c>
      <c r="C95" s="5">
        <v>2341285.4036240801</v>
      </c>
      <c r="D95" s="5">
        <v>383422.08311698714</v>
      </c>
      <c r="E95" s="5">
        <v>706657.00328960444</v>
      </c>
      <c r="F95" s="5">
        <v>86872.354280271844</v>
      </c>
      <c r="G95" s="5">
        <v>296678.18864212331</v>
      </c>
      <c r="H95" s="5">
        <v>3653.4534069393694</v>
      </c>
      <c r="I95" s="5">
        <v>268289.42124178709</v>
      </c>
      <c r="J95" s="5">
        <v>705523.16282422026</v>
      </c>
      <c r="K95" s="5">
        <v>738821.8132831282</v>
      </c>
      <c r="L95" s="5">
        <v>1055910.0525601408</v>
      </c>
      <c r="M95" s="5">
        <v>8125625</v>
      </c>
      <c r="N95" s="69"/>
      <c r="O95" s="25" t="s">
        <v>57</v>
      </c>
      <c r="P95" s="5">
        <v>519041.1928825003</v>
      </c>
      <c r="Q95" s="5">
        <v>473414.66419426247</v>
      </c>
      <c r="R95" s="5">
        <v>150356.16359792044</v>
      </c>
      <c r="S95" s="5">
        <v>215128.19960561427</v>
      </c>
      <c r="T95" s="5">
        <v>30143.221649854197</v>
      </c>
      <c r="U95" s="5">
        <v>92903.951867315132</v>
      </c>
      <c r="V95" s="5">
        <v>141.95729559733223</v>
      </c>
      <c r="W95" s="5">
        <v>60877.24106578096</v>
      </c>
      <c r="X95" s="5">
        <v>261621.49652280338</v>
      </c>
      <c r="Y95" s="5">
        <v>129095.36787085021</v>
      </c>
      <c r="Z95" s="5">
        <v>251779.73701244424</v>
      </c>
      <c r="AA95" s="5">
        <v>2184503.1935649426</v>
      </c>
      <c r="AB95" s="69"/>
    </row>
    <row r="96" spans="1:28" x14ac:dyDescent="0.2">
      <c r="A96" s="25" t="s">
        <v>3</v>
      </c>
      <c r="B96" s="5">
        <v>278715.39970155194</v>
      </c>
      <c r="C96" s="5">
        <v>594236.13113321806</v>
      </c>
      <c r="D96" s="5">
        <v>136569.67567425768</v>
      </c>
      <c r="E96" s="5">
        <v>191542.09869984645</v>
      </c>
      <c r="F96" s="5">
        <v>24549.04763770616</v>
      </c>
      <c r="G96" s="5">
        <v>101045.63775314667</v>
      </c>
      <c r="H96" s="5">
        <v>1234.5115979673103</v>
      </c>
      <c r="I96" s="5">
        <v>132925.02954094854</v>
      </c>
      <c r="J96" s="5">
        <v>331124.98246420536</v>
      </c>
      <c r="K96" s="5">
        <v>399319.91863915225</v>
      </c>
      <c r="L96" s="5">
        <v>371960.5671579995</v>
      </c>
      <c r="M96" s="5">
        <v>2563223</v>
      </c>
      <c r="N96" s="69"/>
      <c r="O96" s="25" t="s">
        <v>3</v>
      </c>
      <c r="P96" s="5">
        <v>69750.976340873094</v>
      </c>
      <c r="Q96" s="5">
        <v>84054.641921196293</v>
      </c>
      <c r="R96" s="5">
        <v>33317.567888512596</v>
      </c>
      <c r="S96" s="5">
        <v>38978.338583010605</v>
      </c>
      <c r="T96" s="5">
        <v>5085.2290593476619</v>
      </c>
      <c r="U96" s="5">
        <v>21604.59212870842</v>
      </c>
      <c r="V96" s="5">
        <v>51.366992924499797</v>
      </c>
      <c r="W96" s="5">
        <v>19224.23269983393</v>
      </c>
      <c r="X96" s="5">
        <v>91714.546760786761</v>
      </c>
      <c r="Y96" s="5">
        <v>48368.373788749108</v>
      </c>
      <c r="Z96" s="5">
        <v>58729.992098511706</v>
      </c>
      <c r="AA96" s="5">
        <v>470879.85826245468</v>
      </c>
      <c r="AB96" s="69"/>
    </row>
    <row r="97" spans="1:28" x14ac:dyDescent="0.2">
      <c r="A97" s="29" t="s">
        <v>60</v>
      </c>
      <c r="B97" s="58">
        <v>14598635.258621048</v>
      </c>
      <c r="C97" s="58">
        <v>10581283.905906696</v>
      </c>
      <c r="D97" s="58">
        <v>2507599.4261176023</v>
      </c>
      <c r="E97" s="58">
        <v>4203228.1321037216</v>
      </c>
      <c r="F97" s="58">
        <v>788404.97784702363</v>
      </c>
      <c r="G97" s="58">
        <v>1522981.622835258</v>
      </c>
      <c r="H97" s="58">
        <v>1947765.6477820014</v>
      </c>
      <c r="I97" s="58">
        <v>1344372.1714503563</v>
      </c>
      <c r="J97" s="58">
        <v>2371231.6331765018</v>
      </c>
      <c r="K97" s="58">
        <v>2047219.2780267256</v>
      </c>
      <c r="L97" s="58">
        <v>4898157.9461330669</v>
      </c>
      <c r="M97" s="58">
        <v>46810880</v>
      </c>
      <c r="N97" s="69"/>
      <c r="O97" s="29" t="s">
        <v>60</v>
      </c>
      <c r="P97" s="58">
        <v>4582889.0948675163</v>
      </c>
      <c r="Q97" s="58">
        <v>2658456.2965416992</v>
      </c>
      <c r="R97" s="58">
        <v>1160093.5862028955</v>
      </c>
      <c r="S97" s="58">
        <v>1676433.7776344845</v>
      </c>
      <c r="T97" s="58">
        <v>379051.42977452563</v>
      </c>
      <c r="U97" s="58">
        <v>649668.72919632914</v>
      </c>
      <c r="V97" s="58">
        <v>607306.33422693645</v>
      </c>
      <c r="W97" s="58">
        <v>385075.77036224102</v>
      </c>
      <c r="X97" s="58">
        <v>920013.01318313181</v>
      </c>
      <c r="Y97" s="58">
        <v>435540.62340628006</v>
      </c>
      <c r="Z97" s="58">
        <v>1438829.3446039609</v>
      </c>
      <c r="AA97" s="58">
        <v>14893358</v>
      </c>
      <c r="AB97" s="69"/>
    </row>
    <row r="98" spans="1:28" x14ac:dyDescent="0.2">
      <c r="N98" s="69"/>
      <c r="P98" s="6"/>
      <c r="Q98" s="6"/>
      <c r="R98" s="6"/>
      <c r="S98" s="6"/>
      <c r="AB98" s="69"/>
    </row>
    <row r="99" spans="1:28" x14ac:dyDescent="0.2">
      <c r="N99" s="69"/>
      <c r="P99" s="6"/>
      <c r="Q99" s="6"/>
      <c r="R99" s="6"/>
      <c r="S99" s="6"/>
      <c r="AB99" s="69"/>
    </row>
    <row r="100" spans="1:28" x14ac:dyDescent="0.2">
      <c r="A100" s="7" t="s">
        <v>151</v>
      </c>
      <c r="N100" s="69"/>
      <c r="O100" s="7" t="s">
        <v>154</v>
      </c>
      <c r="P100" s="6"/>
      <c r="Q100" s="6"/>
      <c r="R100" s="6"/>
      <c r="S100" s="6"/>
      <c r="AB100" s="69"/>
    </row>
    <row r="101" spans="1:28" x14ac:dyDescent="0.2">
      <c r="A101" s="148" t="s">
        <v>409</v>
      </c>
      <c r="B101" s="148"/>
      <c r="C101" s="148"/>
      <c r="D101" s="148"/>
      <c r="E101" s="148"/>
      <c r="F101" s="148"/>
      <c r="G101" s="148"/>
      <c r="H101" s="148"/>
      <c r="I101" s="148"/>
      <c r="J101" s="148"/>
      <c r="K101" s="148"/>
      <c r="L101" s="148"/>
      <c r="M101" s="148"/>
      <c r="N101" s="69"/>
      <c r="O101" s="148" t="s">
        <v>410</v>
      </c>
      <c r="P101" s="148"/>
      <c r="Q101" s="148"/>
      <c r="R101" s="148"/>
      <c r="S101" s="148"/>
      <c r="T101" s="148"/>
      <c r="U101" s="148"/>
      <c r="V101" s="148"/>
      <c r="W101" s="148"/>
      <c r="X101" s="148"/>
      <c r="Y101" s="148"/>
      <c r="Z101" s="148"/>
      <c r="AA101" s="148"/>
      <c r="AB101" s="69"/>
    </row>
    <row r="102" spans="1:28" ht="51" x14ac:dyDescent="0.2">
      <c r="A102" s="24" t="s">
        <v>208</v>
      </c>
      <c r="B102" s="44" t="s">
        <v>9</v>
      </c>
      <c r="C102" s="44" t="s">
        <v>511</v>
      </c>
      <c r="D102" s="44" t="s">
        <v>11</v>
      </c>
      <c r="E102" s="44" t="s">
        <v>672</v>
      </c>
      <c r="F102" s="44" t="s">
        <v>13</v>
      </c>
      <c r="G102" s="44" t="s">
        <v>230</v>
      </c>
      <c r="H102" s="44" t="s">
        <v>231</v>
      </c>
      <c r="I102" s="44" t="s">
        <v>673</v>
      </c>
      <c r="J102" s="44" t="s">
        <v>233</v>
      </c>
      <c r="K102" s="44" t="s">
        <v>512</v>
      </c>
      <c r="L102" s="44" t="s">
        <v>31</v>
      </c>
      <c r="M102" s="44" t="s">
        <v>64</v>
      </c>
      <c r="N102" s="69"/>
      <c r="O102" s="24" t="s">
        <v>208</v>
      </c>
      <c r="P102" s="44" t="s">
        <v>9</v>
      </c>
      <c r="Q102" s="44" t="s">
        <v>511</v>
      </c>
      <c r="R102" s="44" t="s">
        <v>11</v>
      </c>
      <c r="S102" s="44" t="s">
        <v>672</v>
      </c>
      <c r="T102" s="44" t="s">
        <v>13</v>
      </c>
      <c r="U102" s="44" t="s">
        <v>230</v>
      </c>
      <c r="V102" s="44" t="s">
        <v>231</v>
      </c>
      <c r="W102" s="44" t="s">
        <v>673</v>
      </c>
      <c r="X102" s="44" t="s">
        <v>233</v>
      </c>
      <c r="Y102" s="44" t="s">
        <v>512</v>
      </c>
      <c r="Z102" s="44" t="s">
        <v>31</v>
      </c>
      <c r="AA102" s="44" t="s">
        <v>64</v>
      </c>
      <c r="AB102" s="69"/>
    </row>
    <row r="103" spans="1:28" x14ac:dyDescent="0.2">
      <c r="A103" s="30" t="s">
        <v>14</v>
      </c>
      <c r="B103" s="4">
        <v>46290.511742512164</v>
      </c>
      <c r="C103" s="4">
        <v>55482.918461851048</v>
      </c>
      <c r="D103" s="4">
        <v>27741.33800963694</v>
      </c>
      <c r="E103" s="4">
        <v>38916.471470446297</v>
      </c>
      <c r="F103" s="4">
        <v>10148.96642905499</v>
      </c>
      <c r="G103" s="4">
        <v>20762.388950338063</v>
      </c>
      <c r="H103" s="4">
        <v>36288.681175645506</v>
      </c>
      <c r="I103" s="4">
        <v>20675.584193185347</v>
      </c>
      <c r="J103" s="4">
        <v>21810.96008283742</v>
      </c>
      <c r="K103" s="4">
        <v>17768.686103711501</v>
      </c>
      <c r="L103" s="4">
        <v>31587.493380780728</v>
      </c>
      <c r="M103" s="4">
        <v>327474</v>
      </c>
      <c r="N103" s="69"/>
      <c r="O103" s="30" t="s">
        <v>14</v>
      </c>
      <c r="P103" s="4">
        <v>16877.457071989804</v>
      </c>
      <c r="Q103" s="4">
        <v>13856.248247850324</v>
      </c>
      <c r="R103" s="4">
        <v>8276.766211380902</v>
      </c>
      <c r="S103" s="4">
        <v>8863.8230009963627</v>
      </c>
      <c r="T103" s="4">
        <v>2853.1745987067566</v>
      </c>
      <c r="U103" s="4">
        <v>5999.611526115471</v>
      </c>
      <c r="V103" s="4">
        <v>6868.5035646040596</v>
      </c>
      <c r="W103" s="4">
        <v>2849.0626359990624</v>
      </c>
      <c r="X103" s="4">
        <v>6224.6478483921755</v>
      </c>
      <c r="Y103" s="4">
        <v>3133.6271151785827</v>
      </c>
      <c r="Z103" s="4">
        <v>10401.763311342944</v>
      </c>
      <c r="AA103" s="4">
        <v>86204.685132556435</v>
      </c>
      <c r="AB103" s="69"/>
    </row>
    <row r="104" spans="1:28" x14ac:dyDescent="0.2">
      <c r="A104" s="31" t="s">
        <v>15</v>
      </c>
      <c r="B104" s="5">
        <v>306792.39365403174</v>
      </c>
      <c r="C104" s="5">
        <v>157243.94223233266</v>
      </c>
      <c r="D104" s="5">
        <v>33129.486910243839</v>
      </c>
      <c r="E104" s="5">
        <v>64947.000502091862</v>
      </c>
      <c r="F104" s="5">
        <v>14895.198536342046</v>
      </c>
      <c r="G104" s="5">
        <v>26902.2064467821</v>
      </c>
      <c r="H104" s="5">
        <v>31870.299716341742</v>
      </c>
      <c r="I104" s="5">
        <v>28568.438224162994</v>
      </c>
      <c r="J104" s="5">
        <v>43505.070000482105</v>
      </c>
      <c r="K104" s="5">
        <v>30892.67081537977</v>
      </c>
      <c r="L104" s="5">
        <v>57204.292961809144</v>
      </c>
      <c r="M104" s="5">
        <v>795951</v>
      </c>
      <c r="N104" s="69"/>
      <c r="O104" s="31" t="s">
        <v>15</v>
      </c>
      <c r="P104" s="5">
        <v>124402.685343659</v>
      </c>
      <c r="Q104" s="5">
        <v>55719.092697504551</v>
      </c>
      <c r="R104" s="5">
        <v>15187.376374242029</v>
      </c>
      <c r="S104" s="5">
        <v>33694.029435446166</v>
      </c>
      <c r="T104" s="5">
        <v>4834.0073292557545</v>
      </c>
      <c r="U104" s="5">
        <v>12440.473872578013</v>
      </c>
      <c r="V104" s="5">
        <v>8528.9823195662375</v>
      </c>
      <c r="W104" s="5">
        <v>7541.0223752311585</v>
      </c>
      <c r="X104" s="5">
        <v>13734.937112726157</v>
      </c>
      <c r="Y104" s="5">
        <v>11831.879938559345</v>
      </c>
      <c r="Z104" s="5">
        <v>32526.879850588488</v>
      </c>
      <c r="AA104" s="5">
        <v>320441.3666493569</v>
      </c>
      <c r="AB104" s="69"/>
    </row>
    <row r="105" spans="1:28" ht="15" customHeight="1" x14ac:dyDescent="0.2">
      <c r="A105" s="31" t="s">
        <v>16</v>
      </c>
      <c r="B105" s="5">
        <v>352077.88528475584</v>
      </c>
      <c r="C105" s="5">
        <v>350275.98269291938</v>
      </c>
      <c r="D105" s="5">
        <v>74550.149635647031</v>
      </c>
      <c r="E105" s="5">
        <v>146344.75538071708</v>
      </c>
      <c r="F105" s="5">
        <v>21792.486827407276</v>
      </c>
      <c r="G105" s="5">
        <v>44722.7496398039</v>
      </c>
      <c r="H105" s="5">
        <v>79872.593874745828</v>
      </c>
      <c r="I105" s="5">
        <v>41203.782777286302</v>
      </c>
      <c r="J105" s="5">
        <v>72264.645147824893</v>
      </c>
      <c r="K105" s="5">
        <v>59261.883112348791</v>
      </c>
      <c r="L105" s="5">
        <v>168470.08562654367</v>
      </c>
      <c r="M105" s="5">
        <v>1410837.0000000002</v>
      </c>
      <c r="N105" s="69"/>
      <c r="O105" s="31" t="s">
        <v>16</v>
      </c>
      <c r="P105" s="5">
        <v>179466.60540830754</v>
      </c>
      <c r="Q105" s="5">
        <v>170563.78661273466</v>
      </c>
      <c r="R105" s="5">
        <v>44527.613734005245</v>
      </c>
      <c r="S105" s="5">
        <v>96700.275749364184</v>
      </c>
      <c r="T105" s="5">
        <v>12327.335508738763</v>
      </c>
      <c r="U105" s="5">
        <v>34718.273458634962</v>
      </c>
      <c r="V105" s="5">
        <v>30165.408806765092</v>
      </c>
      <c r="W105" s="5">
        <v>23010.35165206475</v>
      </c>
      <c r="X105" s="5">
        <v>42777.425267775412</v>
      </c>
      <c r="Y105" s="5">
        <v>29045.286567486059</v>
      </c>
      <c r="Z105" s="5">
        <v>68243.735735504728</v>
      </c>
      <c r="AA105" s="5">
        <v>731546.09850138135</v>
      </c>
      <c r="AB105" s="69"/>
    </row>
    <row r="106" spans="1:28" ht="15" customHeight="1" x14ac:dyDescent="0.2">
      <c r="A106" s="31" t="s">
        <v>17</v>
      </c>
      <c r="B106" s="5">
        <v>247059.18742405617</v>
      </c>
      <c r="C106" s="5">
        <v>192358.79195933416</v>
      </c>
      <c r="D106" s="5">
        <v>45626.224807589308</v>
      </c>
      <c r="E106" s="5">
        <v>77477.474822468299</v>
      </c>
      <c r="F106" s="5">
        <v>13629.273815043331</v>
      </c>
      <c r="G106" s="5">
        <v>31155.809763756537</v>
      </c>
      <c r="H106" s="5">
        <v>45292.547184308183</v>
      </c>
      <c r="I106" s="5">
        <v>34425.18011831872</v>
      </c>
      <c r="J106" s="5">
        <v>48105.02167766558</v>
      </c>
      <c r="K106" s="5">
        <v>51184.386546422829</v>
      </c>
      <c r="L106" s="5">
        <v>88286.101881036855</v>
      </c>
      <c r="M106" s="5">
        <v>874600.00000000012</v>
      </c>
      <c r="N106" s="69"/>
      <c r="O106" s="31" t="s">
        <v>17</v>
      </c>
      <c r="P106" s="5">
        <v>61852.555359520724</v>
      </c>
      <c r="Q106" s="5">
        <v>46023.093063859335</v>
      </c>
      <c r="R106" s="5">
        <v>14526.524714669973</v>
      </c>
      <c r="S106" s="5">
        <v>25094.38070448592</v>
      </c>
      <c r="T106" s="5">
        <v>3291.1870475845903</v>
      </c>
      <c r="U106" s="5">
        <v>9138.501521830558</v>
      </c>
      <c r="V106" s="5">
        <v>7777.4719682821087</v>
      </c>
      <c r="W106" s="5">
        <v>6697.2239302602648</v>
      </c>
      <c r="X106" s="5">
        <v>12195.103571373735</v>
      </c>
      <c r="Y106" s="5">
        <v>7582.8506946618527</v>
      </c>
      <c r="Z106" s="5">
        <v>24052.256536422206</v>
      </c>
      <c r="AA106" s="5">
        <v>218231.14911295124</v>
      </c>
      <c r="AB106" s="69"/>
    </row>
    <row r="107" spans="1:28" ht="15" customHeight="1" x14ac:dyDescent="0.2">
      <c r="A107" s="31" t="s">
        <v>18</v>
      </c>
      <c r="B107" s="5">
        <v>541788.68982920726</v>
      </c>
      <c r="C107" s="5">
        <v>235222.81673552553</v>
      </c>
      <c r="D107" s="5">
        <v>71860.58938568781</v>
      </c>
      <c r="E107" s="5">
        <v>111880.00891855711</v>
      </c>
      <c r="F107" s="5">
        <v>19245.856312980854</v>
      </c>
      <c r="G107" s="5">
        <v>52527.143913583801</v>
      </c>
      <c r="H107" s="5">
        <v>66668.872089003693</v>
      </c>
      <c r="I107" s="5">
        <v>39943.029935615101</v>
      </c>
      <c r="J107" s="5">
        <v>81967.414937073772</v>
      </c>
      <c r="K107" s="5">
        <v>55850.856098581608</v>
      </c>
      <c r="L107" s="5">
        <v>150662.7218441834</v>
      </c>
      <c r="M107" s="5">
        <v>1427618</v>
      </c>
      <c r="N107" s="69"/>
      <c r="O107" s="31" t="s">
        <v>18</v>
      </c>
      <c r="P107" s="5">
        <v>83982.850826944821</v>
      </c>
      <c r="Q107" s="5">
        <v>31218.787284021309</v>
      </c>
      <c r="R107" s="5">
        <v>15521.492160880245</v>
      </c>
      <c r="S107" s="5">
        <v>17927.44579230847</v>
      </c>
      <c r="T107" s="5">
        <v>4030.2924721800273</v>
      </c>
      <c r="U107" s="5">
        <v>9745.6436891540361</v>
      </c>
      <c r="V107" s="5">
        <v>9301.4565417320118</v>
      </c>
      <c r="W107" s="5">
        <v>5846.4299427407805</v>
      </c>
      <c r="X107" s="5">
        <v>15270.364238664804</v>
      </c>
      <c r="Y107" s="5">
        <v>6342.6081995839686</v>
      </c>
      <c r="Z107" s="5">
        <v>17889.47277044458</v>
      </c>
      <c r="AA107" s="5">
        <v>217076.84391865507</v>
      </c>
      <c r="AB107" s="69"/>
    </row>
    <row r="108" spans="1:28" ht="15" customHeight="1" x14ac:dyDescent="0.2">
      <c r="A108" s="31" t="s">
        <v>19</v>
      </c>
      <c r="B108" s="5">
        <v>1192998.58722248</v>
      </c>
      <c r="C108" s="5">
        <v>849831.30386534857</v>
      </c>
      <c r="D108" s="5">
        <v>200812.40172315948</v>
      </c>
      <c r="E108" s="5">
        <v>254855.93176621065</v>
      </c>
      <c r="F108" s="5">
        <v>52314.532933647293</v>
      </c>
      <c r="G108" s="5">
        <v>95070.176919482023</v>
      </c>
      <c r="H108" s="5">
        <v>174510.74178946012</v>
      </c>
      <c r="I108" s="5">
        <v>94458.18390984305</v>
      </c>
      <c r="J108" s="5">
        <v>190141.28096744503</v>
      </c>
      <c r="K108" s="5">
        <v>160444.13612262701</v>
      </c>
      <c r="L108" s="5">
        <v>378083.7227802967</v>
      </c>
      <c r="M108" s="5">
        <v>3643521.0000000005</v>
      </c>
      <c r="N108" s="69"/>
      <c r="O108" s="31" t="s">
        <v>19</v>
      </c>
      <c r="P108" s="5">
        <v>294121.16996179329</v>
      </c>
      <c r="Q108" s="5">
        <v>164389.01611182699</v>
      </c>
      <c r="R108" s="5">
        <v>73698.301860340493</v>
      </c>
      <c r="S108" s="5">
        <v>96910.755709760662</v>
      </c>
      <c r="T108" s="5">
        <v>19359.246343458231</v>
      </c>
      <c r="U108" s="5">
        <v>38918.380003288039</v>
      </c>
      <c r="V108" s="5">
        <v>38372.825573541078</v>
      </c>
      <c r="W108" s="5">
        <v>24569.286010980279</v>
      </c>
      <c r="X108" s="5">
        <v>54238.594291286747</v>
      </c>
      <c r="Y108" s="5">
        <v>28786.529678448584</v>
      </c>
      <c r="Z108" s="5">
        <v>82284.333057630123</v>
      </c>
      <c r="AA108" s="5">
        <v>915648.43860235449</v>
      </c>
      <c r="AB108" s="69"/>
    </row>
    <row r="109" spans="1:28" ht="15" customHeight="1" x14ac:dyDescent="0.2">
      <c r="A109" s="31" t="s">
        <v>20</v>
      </c>
      <c r="B109" s="5">
        <v>7598813.6607736498</v>
      </c>
      <c r="C109" s="5">
        <v>5519923.7578756362</v>
      </c>
      <c r="D109" s="5">
        <v>1328654.2119658808</v>
      </c>
      <c r="E109" s="5">
        <v>2239122.8832776994</v>
      </c>
      <c r="F109" s="5">
        <v>447411.44337593496</v>
      </c>
      <c r="G109" s="5">
        <v>755411.67531049903</v>
      </c>
      <c r="H109" s="5">
        <v>763609.60721828835</v>
      </c>
      <c r="I109" s="5">
        <v>734252.88362690702</v>
      </c>
      <c r="J109" s="5">
        <v>1185445.1421730274</v>
      </c>
      <c r="K109" s="5">
        <v>1053463.5595985723</v>
      </c>
      <c r="L109" s="5">
        <v>2688365.1748039043</v>
      </c>
      <c r="M109" s="5">
        <v>24314474</v>
      </c>
      <c r="N109" s="69"/>
      <c r="O109" s="31" t="s">
        <v>20</v>
      </c>
      <c r="P109" s="5">
        <v>2673672.4507201784</v>
      </c>
      <c r="Q109" s="5">
        <v>1579674.3534081182</v>
      </c>
      <c r="R109" s="5">
        <v>739624.04739447124</v>
      </c>
      <c r="S109" s="5">
        <v>1061843.4116013006</v>
      </c>
      <c r="T109" s="5">
        <v>261389.09071356533</v>
      </c>
      <c r="U109" s="5">
        <v>401809.23696584167</v>
      </c>
      <c r="V109" s="5">
        <v>369317.90334965283</v>
      </c>
      <c r="W109" s="5">
        <v>237624.25128464773</v>
      </c>
      <c r="X109" s="5">
        <v>579486.20693821576</v>
      </c>
      <c r="Y109" s="5">
        <v>249928.55750565472</v>
      </c>
      <c r="Z109" s="5">
        <v>896455.00933079328</v>
      </c>
      <c r="AA109" s="5">
        <v>9050824.5192124397</v>
      </c>
      <c r="AB109" s="69"/>
    </row>
    <row r="110" spans="1:28" ht="15" customHeight="1" x14ac:dyDescent="0.2">
      <c r="A110" s="31" t="s">
        <v>21</v>
      </c>
      <c r="B110" s="5">
        <v>1085371.8012276576</v>
      </c>
      <c r="C110" s="5">
        <v>787812.87598756643</v>
      </c>
      <c r="D110" s="5">
        <v>113298.08473492226</v>
      </c>
      <c r="E110" s="5">
        <v>250210.47221838261</v>
      </c>
      <c r="F110" s="5">
        <v>37232.851474758354</v>
      </c>
      <c r="G110" s="5">
        <v>97651.92927290329</v>
      </c>
      <c r="H110" s="5">
        <v>223427.4297000145</v>
      </c>
      <c r="I110" s="5">
        <v>86390.726972484306</v>
      </c>
      <c r="J110" s="5">
        <v>140922.32351934325</v>
      </c>
      <c r="K110" s="5">
        <v>145078.20173014922</v>
      </c>
      <c r="L110" s="5">
        <v>272046.30316181818</v>
      </c>
      <c r="M110" s="5">
        <v>3239443</v>
      </c>
      <c r="N110" s="69"/>
      <c r="O110" s="31" t="s">
        <v>21</v>
      </c>
      <c r="P110" s="5">
        <v>218317.97862065615</v>
      </c>
      <c r="Q110" s="5">
        <v>114713.00918592502</v>
      </c>
      <c r="R110" s="5">
        <v>31602.979844564637</v>
      </c>
      <c r="S110" s="5">
        <v>61569.486878974392</v>
      </c>
      <c r="T110" s="5">
        <v>9772.8554614400364</v>
      </c>
      <c r="U110" s="5">
        <v>21979.776467588694</v>
      </c>
      <c r="V110" s="5">
        <v>30048.655186386128</v>
      </c>
      <c r="W110" s="5">
        <v>13159.143647597923</v>
      </c>
      <c r="X110" s="5">
        <v>31481.372955077404</v>
      </c>
      <c r="Y110" s="5">
        <v>16006.142198574984</v>
      </c>
      <c r="Z110" s="5">
        <v>51834.835864867317</v>
      </c>
      <c r="AA110" s="5">
        <v>600486.2363116527</v>
      </c>
      <c r="AB110" s="69"/>
    </row>
    <row r="111" spans="1:28" ht="15" customHeight="1" x14ac:dyDescent="0.2">
      <c r="A111" s="31" t="s">
        <v>22</v>
      </c>
      <c r="B111" s="5">
        <v>631870.15406950936</v>
      </c>
      <c r="C111" s="5">
        <v>446137.8406813094</v>
      </c>
      <c r="D111" s="5">
        <v>104670.19478574165</v>
      </c>
      <c r="E111" s="5">
        <v>179059.01435176705</v>
      </c>
      <c r="F111" s="5">
        <v>18163.73646767329</v>
      </c>
      <c r="G111" s="5">
        <v>86440.161380641701</v>
      </c>
      <c r="H111" s="5">
        <v>109687.75166504386</v>
      </c>
      <c r="I111" s="5">
        <v>53656.582554637796</v>
      </c>
      <c r="J111" s="5">
        <v>119245.13843287286</v>
      </c>
      <c r="K111" s="5">
        <v>85208.108155659051</v>
      </c>
      <c r="L111" s="5">
        <v>158329.31745514396</v>
      </c>
      <c r="M111" s="5">
        <v>1992467.9999999998</v>
      </c>
      <c r="N111" s="69"/>
      <c r="O111" s="31" t="s">
        <v>22</v>
      </c>
      <c r="P111" s="5">
        <v>116610.28512386892</v>
      </c>
      <c r="Q111" s="5">
        <v>65775.859619452225</v>
      </c>
      <c r="R111" s="5">
        <v>30565.431603790435</v>
      </c>
      <c r="S111" s="5">
        <v>39559.998870617637</v>
      </c>
      <c r="T111" s="5">
        <v>7347.7724363722937</v>
      </c>
      <c r="U111" s="5">
        <v>18002.908028873284</v>
      </c>
      <c r="V111" s="5">
        <v>14049.260436515984</v>
      </c>
      <c r="W111" s="5">
        <v>8035.1295722585073</v>
      </c>
      <c r="X111" s="5">
        <v>23378.421843030628</v>
      </c>
      <c r="Y111" s="5">
        <v>10529.019337052448</v>
      </c>
      <c r="Z111" s="5">
        <v>34288.108763353928</v>
      </c>
      <c r="AA111" s="5">
        <v>368142.19563518616</v>
      </c>
      <c r="AB111" s="69"/>
    </row>
    <row r="112" spans="1:28" ht="15" customHeight="1" x14ac:dyDescent="0.2">
      <c r="A112" s="31" t="s">
        <v>23</v>
      </c>
      <c r="B112" s="5">
        <v>1509788.3523170627</v>
      </c>
      <c r="C112" s="5">
        <v>1166575.6809243632</v>
      </c>
      <c r="D112" s="5">
        <v>266618.74832286598</v>
      </c>
      <c r="E112" s="5">
        <v>486802.83769962314</v>
      </c>
      <c r="F112" s="5">
        <v>77180.352816833125</v>
      </c>
      <c r="G112" s="5">
        <v>169944.32283474875</v>
      </c>
      <c r="H112" s="5">
        <v>293173.35074172786</v>
      </c>
      <c r="I112" s="5">
        <v>116986.41863916298</v>
      </c>
      <c r="J112" s="5">
        <v>238032.24292035968</v>
      </c>
      <c r="K112" s="5">
        <v>210622.04794779516</v>
      </c>
      <c r="L112" s="5">
        <v>474474.64483545756</v>
      </c>
      <c r="M112" s="5">
        <v>5010199</v>
      </c>
      <c r="N112" s="69"/>
      <c r="O112" s="31" t="s">
        <v>23</v>
      </c>
      <c r="P112" s="5">
        <v>404135.78577986086</v>
      </c>
      <c r="Q112" s="5">
        <v>212034.13147671532</v>
      </c>
      <c r="R112" s="5">
        <v>87094.814724756638</v>
      </c>
      <c r="S112" s="5">
        <v>111727.25180011388</v>
      </c>
      <c r="T112" s="5">
        <v>25584.773647547569</v>
      </c>
      <c r="U112" s="5">
        <v>41368.373133931527</v>
      </c>
      <c r="V112" s="5">
        <v>54060.233465733727</v>
      </c>
      <c r="W112" s="5">
        <v>26366.969603909172</v>
      </c>
      <c r="X112" s="5">
        <v>62684.709838170449</v>
      </c>
      <c r="Y112" s="5">
        <v>33282.020714178456</v>
      </c>
      <c r="Z112" s="5">
        <v>112885.18668536033</v>
      </c>
      <c r="AA112" s="5">
        <v>1171224.2508702779</v>
      </c>
      <c r="AB112" s="69"/>
    </row>
    <row r="113" spans="1:28" ht="15" customHeight="1" x14ac:dyDescent="0.2">
      <c r="A113" s="31" t="s">
        <v>24</v>
      </c>
      <c r="B113" s="5">
        <v>505004.91462355654</v>
      </c>
      <c r="C113" s="5">
        <v>333213.24697191431</v>
      </c>
      <c r="D113" s="5">
        <v>88278.011936309733</v>
      </c>
      <c r="E113" s="5">
        <v>123234.08003157246</v>
      </c>
      <c r="F113" s="5">
        <v>25636.845825085769</v>
      </c>
      <c r="G113" s="5">
        <v>36940.500041686952</v>
      </c>
      <c r="H113" s="5">
        <v>64132.802093293183</v>
      </c>
      <c r="I113" s="5">
        <v>35731.593979290992</v>
      </c>
      <c r="J113" s="5">
        <v>80462.924126074839</v>
      </c>
      <c r="K113" s="5">
        <v>59529.841269440396</v>
      </c>
      <c r="L113" s="5">
        <v>194272.23910177485</v>
      </c>
      <c r="M113" s="5">
        <v>1546437.0000000002</v>
      </c>
      <c r="N113" s="69"/>
      <c r="O113" s="31" t="s">
        <v>24</v>
      </c>
      <c r="P113" s="5">
        <v>159791.97522582349</v>
      </c>
      <c r="Q113" s="5">
        <v>61311.395774279445</v>
      </c>
      <c r="R113" s="5">
        <v>31462.033006167072</v>
      </c>
      <c r="S113" s="5">
        <v>33303.172136640111</v>
      </c>
      <c r="T113" s="5">
        <v>8068.2540748426336</v>
      </c>
      <c r="U113" s="5">
        <v>15984.064467750075</v>
      </c>
      <c r="V113" s="5">
        <v>15414.532365487477</v>
      </c>
      <c r="W113" s="5">
        <v>10057.571314103578</v>
      </c>
      <c r="X113" s="5">
        <v>30239.527901824596</v>
      </c>
      <c r="Y113" s="5">
        <v>12686.9282234373</v>
      </c>
      <c r="Z113" s="5">
        <v>34183.917538914851</v>
      </c>
      <c r="AA113" s="5">
        <v>412503.37202927057</v>
      </c>
      <c r="AB113" s="69"/>
    </row>
    <row r="114" spans="1:28" ht="15" customHeight="1" x14ac:dyDescent="0.2">
      <c r="A114" s="31" t="s">
        <v>25</v>
      </c>
      <c r="B114" s="5">
        <v>70710.568277991071</v>
      </c>
      <c r="C114" s="5">
        <v>55489.437710056183</v>
      </c>
      <c r="D114" s="5">
        <v>23393.255153023994</v>
      </c>
      <c r="E114" s="5">
        <v>30532.829078925166</v>
      </c>
      <c r="F114" s="5">
        <v>8802.3106013106699</v>
      </c>
      <c r="G114" s="5">
        <v>18608.206273027365</v>
      </c>
      <c r="H114" s="5">
        <v>7911.9379621875396</v>
      </c>
      <c r="I114" s="5">
        <v>8788.238828139094</v>
      </c>
      <c r="J114" s="5">
        <v>28064.53706148289</v>
      </c>
      <c r="K114" s="5">
        <v>21115.942626590822</v>
      </c>
      <c r="L114" s="5">
        <v>31474.736427265212</v>
      </c>
      <c r="M114" s="5">
        <v>304892</v>
      </c>
      <c r="N114" s="69"/>
      <c r="O114" s="31" t="s">
        <v>25</v>
      </c>
      <c r="P114" s="5">
        <v>40023.969203778906</v>
      </c>
      <c r="Q114" s="5">
        <v>21410.032198996549</v>
      </c>
      <c r="R114" s="5">
        <v>12544.128017008192</v>
      </c>
      <c r="S114" s="5">
        <v>12686.857765452209</v>
      </c>
      <c r="T114" s="5">
        <v>3992.1286625391867</v>
      </c>
      <c r="U114" s="5">
        <v>6403.5877862781635</v>
      </c>
      <c r="V114" s="5">
        <v>2790.6816244692695</v>
      </c>
      <c r="W114" s="5">
        <v>2962.7774270553136</v>
      </c>
      <c r="X114" s="5">
        <v>8254.5397738255378</v>
      </c>
      <c r="Y114" s="5">
        <v>4647.0449424106437</v>
      </c>
      <c r="Z114" s="5">
        <v>14020.609234618638</v>
      </c>
      <c r="AA114" s="5">
        <v>129736.35663643261</v>
      </c>
      <c r="AB114" s="69"/>
    </row>
    <row r="115" spans="1:28" ht="15" customHeight="1" x14ac:dyDescent="0.2">
      <c r="A115" s="31" t="s">
        <v>26</v>
      </c>
      <c r="B115" s="5">
        <v>371351.1875969512</v>
      </c>
      <c r="C115" s="5">
        <v>311810.48997051094</v>
      </c>
      <c r="D115" s="5">
        <v>105675.92327333543</v>
      </c>
      <c r="E115" s="5">
        <v>147337.34451714292</v>
      </c>
      <c r="F115" s="5">
        <v>34421.516804247214</v>
      </c>
      <c r="G115" s="5">
        <v>59829.941406610771</v>
      </c>
      <c r="H115" s="5">
        <v>34126.955462496131</v>
      </c>
      <c r="I115" s="5">
        <v>33817.682197668968</v>
      </c>
      <c r="J115" s="5">
        <v>84440.355111195182</v>
      </c>
      <c r="K115" s="5">
        <v>70968.316002301624</v>
      </c>
      <c r="L115" s="5">
        <v>144813.28765753965</v>
      </c>
      <c r="M115" s="5">
        <v>1398593.0000000002</v>
      </c>
      <c r="N115" s="69"/>
      <c r="O115" s="31" t="s">
        <v>26</v>
      </c>
      <c r="P115" s="5">
        <v>142523.9704714012</v>
      </c>
      <c r="Q115" s="5">
        <v>75915.077691053899</v>
      </c>
      <c r="R115" s="5">
        <v>41606.115227104667</v>
      </c>
      <c r="S115" s="5">
        <v>49879.332806226004</v>
      </c>
      <c r="T115" s="5">
        <v>11978.377195309069</v>
      </c>
      <c r="U115" s="5">
        <v>23780.476450182556</v>
      </c>
      <c r="V115" s="5">
        <v>15299.114891176227</v>
      </c>
      <c r="W115" s="5">
        <v>11472.012157323996</v>
      </c>
      <c r="X115" s="5">
        <v>22855.644844081795</v>
      </c>
      <c r="Y115" s="5">
        <v>14724.841883102685</v>
      </c>
      <c r="Z115" s="5">
        <v>41382.934655966914</v>
      </c>
      <c r="AA115" s="5">
        <v>451417.89827292901</v>
      </c>
      <c r="AB115" s="69"/>
    </row>
    <row r="116" spans="1:28" ht="15" customHeight="1" x14ac:dyDescent="0.2">
      <c r="A116" s="31" t="s">
        <v>27</v>
      </c>
      <c r="B116" s="5">
        <v>45003.423013681291</v>
      </c>
      <c r="C116" s="5">
        <v>34844.270045743448</v>
      </c>
      <c r="D116" s="5">
        <v>9727.6532277854276</v>
      </c>
      <c r="E116" s="5">
        <v>18705.171946064416</v>
      </c>
      <c r="F116" s="5">
        <v>4087.7375066122554</v>
      </c>
      <c r="G116" s="5">
        <v>8643.2840109685585</v>
      </c>
      <c r="H116" s="5">
        <v>4484.4656710703803</v>
      </c>
      <c r="I116" s="5">
        <v>6691.695847968992</v>
      </c>
      <c r="J116" s="5">
        <v>13353.569196350609</v>
      </c>
      <c r="K116" s="5">
        <v>7906.3613906964401</v>
      </c>
      <c r="L116" s="5">
        <v>22219.368143058178</v>
      </c>
      <c r="M116" s="5">
        <v>175667</v>
      </c>
      <c r="N116" s="69"/>
      <c r="O116" s="31" t="s">
        <v>27</v>
      </c>
      <c r="P116" s="5">
        <v>19160.944722878528</v>
      </c>
      <c r="Q116" s="5">
        <v>8609.531670022021</v>
      </c>
      <c r="R116" s="5">
        <v>4177.8531548484116</v>
      </c>
      <c r="S116" s="5">
        <v>6509.8816409623096</v>
      </c>
      <c r="T116" s="5">
        <v>1116.2206071311709</v>
      </c>
      <c r="U116" s="5">
        <v>2639.0446206327201</v>
      </c>
      <c r="V116" s="5">
        <v>1396.7333764620382</v>
      </c>
      <c r="W116" s="5">
        <v>934.6608532725927</v>
      </c>
      <c r="X116" s="5">
        <v>3317.4071765265858</v>
      </c>
      <c r="Y116" s="5">
        <v>1757.3468578465136</v>
      </c>
      <c r="Z116" s="5">
        <v>4782.9352668322763</v>
      </c>
      <c r="AA116" s="5">
        <v>54402.559947415168</v>
      </c>
      <c r="AB116" s="69"/>
    </row>
    <row r="117" spans="1:28" ht="15" customHeight="1" x14ac:dyDescent="0.2">
      <c r="A117" s="31" t="s">
        <v>28</v>
      </c>
      <c r="B117" s="5">
        <v>93713.941563944347</v>
      </c>
      <c r="C117" s="5">
        <v>85060.549792284204</v>
      </c>
      <c r="D117" s="5">
        <v>13563.152245772417</v>
      </c>
      <c r="E117" s="5">
        <v>33801.856122052683</v>
      </c>
      <c r="F117" s="5">
        <v>3441.8681200922051</v>
      </c>
      <c r="G117" s="5">
        <v>18371.126670425336</v>
      </c>
      <c r="H117" s="5">
        <v>12707.611438374748</v>
      </c>
      <c r="I117" s="5">
        <v>8782.1496456845653</v>
      </c>
      <c r="J117" s="5">
        <v>23471.007822466509</v>
      </c>
      <c r="K117" s="5">
        <v>17924.280506449053</v>
      </c>
      <c r="L117" s="5">
        <v>37868.456072453919</v>
      </c>
      <c r="M117" s="5">
        <v>348705.99999999994</v>
      </c>
      <c r="N117" s="69"/>
      <c r="O117" s="31" t="s">
        <v>28</v>
      </c>
      <c r="P117" s="5">
        <v>47948.41102685417</v>
      </c>
      <c r="Q117" s="5">
        <v>37242.881499339317</v>
      </c>
      <c r="R117" s="5">
        <v>9678.1081746652326</v>
      </c>
      <c r="S117" s="5">
        <v>20163.673741835446</v>
      </c>
      <c r="T117" s="5">
        <v>3106.713675854257</v>
      </c>
      <c r="U117" s="5">
        <v>6740.3772036494438</v>
      </c>
      <c r="V117" s="5">
        <v>3914.5707565622965</v>
      </c>
      <c r="W117" s="5">
        <v>3949.8779547958984</v>
      </c>
      <c r="X117" s="5">
        <v>13874.109582159937</v>
      </c>
      <c r="Y117" s="5">
        <v>5255.9395501039235</v>
      </c>
      <c r="Z117" s="5">
        <v>13597.366001320241</v>
      </c>
      <c r="AA117" s="5">
        <v>165472.02916714016</v>
      </c>
      <c r="AB117" s="69"/>
    </row>
    <row r="118" spans="1:28" ht="15" customHeight="1" x14ac:dyDescent="0.2">
      <c r="A118" s="29" t="s">
        <v>60</v>
      </c>
      <c r="B118" s="58">
        <v>14598635.258621046</v>
      </c>
      <c r="C118" s="58">
        <v>10581283.905906696</v>
      </c>
      <c r="D118" s="58">
        <v>2507599.4261176023</v>
      </c>
      <c r="E118" s="58">
        <v>4203228.1321037216</v>
      </c>
      <c r="F118" s="58">
        <v>788404.97784702363</v>
      </c>
      <c r="G118" s="58">
        <v>1522981.6228352585</v>
      </c>
      <c r="H118" s="58">
        <v>1947765.6477820014</v>
      </c>
      <c r="I118" s="58">
        <v>1344372.1714503563</v>
      </c>
      <c r="J118" s="58">
        <v>2371231.6331765018</v>
      </c>
      <c r="K118" s="58">
        <v>2047219.2780267256</v>
      </c>
      <c r="L118" s="58">
        <v>4898157.9461330669</v>
      </c>
      <c r="M118" s="58">
        <v>46810880</v>
      </c>
      <c r="N118" s="69"/>
      <c r="O118" s="29" t="s">
        <v>60</v>
      </c>
      <c r="P118" s="58">
        <v>4582889.0948675154</v>
      </c>
      <c r="Q118" s="58">
        <v>2658456.2965416992</v>
      </c>
      <c r="R118" s="58">
        <v>1160093.5862028953</v>
      </c>
      <c r="S118" s="58">
        <v>1676433.7776344845</v>
      </c>
      <c r="T118" s="58">
        <v>379051.42977452569</v>
      </c>
      <c r="U118" s="58">
        <v>649668.72919632914</v>
      </c>
      <c r="V118" s="58">
        <v>607306.33422693645</v>
      </c>
      <c r="W118" s="58">
        <v>385075.77036224096</v>
      </c>
      <c r="X118" s="58">
        <v>920013.0131831317</v>
      </c>
      <c r="Y118" s="58">
        <v>435540.62340628001</v>
      </c>
      <c r="Z118" s="58">
        <v>1438829.3446039611</v>
      </c>
      <c r="AA118" s="58">
        <v>14893358</v>
      </c>
      <c r="AB118" s="69"/>
    </row>
    <row r="119" spans="1:28" ht="15" customHeight="1" x14ac:dyDescent="0.2"/>
    <row r="120" spans="1:28" ht="15" customHeight="1" x14ac:dyDescent="0.2"/>
    <row r="121" spans="1:28" ht="15" customHeight="1" x14ac:dyDescent="0.2"/>
    <row r="122" spans="1:28" ht="15" customHeight="1" x14ac:dyDescent="0.2"/>
    <row r="123" spans="1:28" ht="15" customHeight="1" x14ac:dyDescent="0.2"/>
    <row r="124" spans="1:28" ht="15" customHeight="1" x14ac:dyDescent="0.2"/>
    <row r="125" spans="1:28" ht="15" customHeight="1" x14ac:dyDescent="0.2"/>
    <row r="126" spans="1:28" ht="15" customHeight="1" x14ac:dyDescent="0.2"/>
    <row r="127" spans="1:28" ht="15" customHeight="1" x14ac:dyDescent="0.2"/>
    <row r="128" spans="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sheetData>
  <mergeCells count="14">
    <mergeCell ref="A101:M101"/>
    <mergeCell ref="O101:AA101"/>
    <mergeCell ref="A4:D4"/>
    <mergeCell ref="A21:M21"/>
    <mergeCell ref="O21:AA21"/>
    <mergeCell ref="O29:AA29"/>
    <mergeCell ref="A29:M29"/>
    <mergeCell ref="A42:M42"/>
    <mergeCell ref="O42:AA42"/>
    <mergeCell ref="A63:D63"/>
    <mergeCell ref="A80:M80"/>
    <mergeCell ref="O80:AA80"/>
    <mergeCell ref="O88:AA88"/>
    <mergeCell ref="A88:M8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852"/>
  <sheetViews>
    <sheetView showGridLines="0" tabSelected="1" topLeftCell="G30" zoomScale="90" zoomScaleNormal="90" workbookViewId="0">
      <selection activeCell="T66" sqref="T66"/>
    </sheetView>
  </sheetViews>
  <sheetFormatPr baseColWidth="10" defaultColWidth="33.140625" defaultRowHeight="12.75" x14ac:dyDescent="0.2"/>
  <cols>
    <col min="1" max="1" width="40.7109375" style="3" customWidth="1"/>
    <col min="2" max="5" width="12.7109375" style="6" customWidth="1"/>
    <col min="6" max="13" width="12.7109375" style="3" customWidth="1"/>
    <col min="14" max="14" width="4.28515625" style="3" customWidth="1"/>
    <col min="15" max="15" width="40.7109375" style="3" customWidth="1"/>
    <col min="16" max="27" width="12.7109375" style="3" customWidth="1"/>
    <col min="28" max="29" width="15.7109375" style="3" customWidth="1"/>
    <col min="30" max="16384" width="33.140625" style="3"/>
  </cols>
  <sheetData>
    <row r="1" spans="1:5" ht="18.75" x14ac:dyDescent="0.3">
      <c r="A1" s="1" t="s">
        <v>203</v>
      </c>
    </row>
    <row r="2" spans="1:5" x14ac:dyDescent="0.2">
      <c r="A2" s="7"/>
    </row>
    <row r="3" spans="1:5" x14ac:dyDescent="0.2">
      <c r="A3" s="7" t="s">
        <v>155</v>
      </c>
    </row>
    <row r="4" spans="1:5" x14ac:dyDescent="0.2">
      <c r="A4" s="148" t="s">
        <v>998</v>
      </c>
      <c r="B4" s="148"/>
      <c r="C4" s="148"/>
      <c r="D4" s="148"/>
    </row>
    <row r="5" spans="1:5" x14ac:dyDescent="0.2">
      <c r="A5" s="8" t="s">
        <v>207</v>
      </c>
      <c r="B5" s="8" t="s">
        <v>0</v>
      </c>
      <c r="C5" s="8" t="s">
        <v>1</v>
      </c>
      <c r="D5" s="8" t="s">
        <v>59</v>
      </c>
    </row>
    <row r="6" spans="1:5" x14ac:dyDescent="0.2">
      <c r="A6" s="31" t="s">
        <v>9</v>
      </c>
      <c r="B6" s="4">
        <v>738636.76466723531</v>
      </c>
      <c r="C6" s="4">
        <v>228829.08657950058</v>
      </c>
      <c r="D6" s="4">
        <v>967465.8512467359</v>
      </c>
      <c r="E6" s="54"/>
    </row>
    <row r="7" spans="1:5" x14ac:dyDescent="0.2">
      <c r="A7" s="31" t="s">
        <v>10</v>
      </c>
      <c r="B7" s="5">
        <v>760825.81767880567</v>
      </c>
      <c r="C7" s="5">
        <v>255850.96790568615</v>
      </c>
      <c r="D7" s="5">
        <v>1016676.7855844918</v>
      </c>
      <c r="E7" s="54"/>
    </row>
    <row r="8" spans="1:5" x14ac:dyDescent="0.2">
      <c r="A8" s="31" t="s">
        <v>11</v>
      </c>
      <c r="B8" s="5">
        <v>471051.12538195617</v>
      </c>
      <c r="C8" s="5">
        <v>383671.90128592897</v>
      </c>
      <c r="D8" s="5">
        <v>854723.02666788513</v>
      </c>
      <c r="E8" s="54"/>
    </row>
    <row r="9" spans="1:5" x14ac:dyDescent="0.2">
      <c r="A9" s="31" t="s">
        <v>674</v>
      </c>
      <c r="B9" s="5">
        <v>255236.60978237758</v>
      </c>
      <c r="C9" s="5">
        <v>135455.17519129239</v>
      </c>
      <c r="D9" s="5">
        <v>390691.78497366997</v>
      </c>
      <c r="E9" s="54"/>
    </row>
    <row r="10" spans="1:5" x14ac:dyDescent="0.2">
      <c r="A10" s="31" t="s">
        <v>13</v>
      </c>
      <c r="B10" s="5">
        <v>182444.4358755665</v>
      </c>
      <c r="C10" s="5">
        <v>156245.0223860089</v>
      </c>
      <c r="D10" s="5">
        <v>338689.45826157543</v>
      </c>
      <c r="E10" s="54"/>
    </row>
    <row r="11" spans="1:5" x14ac:dyDescent="0.2">
      <c r="A11" s="31" t="s">
        <v>230</v>
      </c>
      <c r="B11" s="5">
        <v>150866.36043280797</v>
      </c>
      <c r="C11" s="5">
        <v>127625.49897655855</v>
      </c>
      <c r="D11" s="5">
        <v>278491.8594093665</v>
      </c>
      <c r="E11" s="54"/>
    </row>
    <row r="12" spans="1:5" x14ac:dyDescent="0.2">
      <c r="A12" s="31" t="s">
        <v>231</v>
      </c>
      <c r="B12" s="5">
        <v>124954.29852664674</v>
      </c>
      <c r="C12" s="5">
        <v>55298.369523574831</v>
      </c>
      <c r="D12" s="5">
        <v>180252.66805022157</v>
      </c>
      <c r="E12" s="54"/>
    </row>
    <row r="13" spans="1:5" x14ac:dyDescent="0.2">
      <c r="A13" s="31" t="s">
        <v>673</v>
      </c>
      <c r="B13" s="5">
        <v>111741.26695956939</v>
      </c>
      <c r="C13" s="5">
        <v>60367.363951999992</v>
      </c>
      <c r="D13" s="5">
        <v>172108.63091156937</v>
      </c>
      <c r="E13" s="54"/>
    </row>
    <row r="14" spans="1:5" x14ac:dyDescent="0.2">
      <c r="A14" s="31" t="s">
        <v>233</v>
      </c>
      <c r="B14" s="5">
        <v>83900.200444849004</v>
      </c>
      <c r="C14" s="5">
        <v>48691.866674556972</v>
      </c>
      <c r="D14" s="5">
        <v>132592.06711940598</v>
      </c>
      <c r="E14" s="54"/>
    </row>
    <row r="15" spans="1:5" x14ac:dyDescent="0.2">
      <c r="A15" s="31" t="s">
        <v>987</v>
      </c>
      <c r="B15" s="5">
        <v>94043.2246774128</v>
      </c>
      <c r="C15" s="5">
        <v>32930.013683716461</v>
      </c>
      <c r="D15" s="5">
        <v>126973.23836112926</v>
      </c>
      <c r="E15" s="54"/>
    </row>
    <row r="16" spans="1:5" x14ac:dyDescent="0.2">
      <c r="A16" s="31" t="s">
        <v>31</v>
      </c>
      <c r="B16" s="5">
        <v>374859.89557277295</v>
      </c>
      <c r="C16" s="5">
        <v>200940.73384117649</v>
      </c>
      <c r="D16" s="5">
        <v>575800.62941394944</v>
      </c>
      <c r="E16" s="54"/>
    </row>
    <row r="17" spans="1:28" x14ac:dyDescent="0.2">
      <c r="A17" s="29" t="s">
        <v>60</v>
      </c>
      <c r="B17" s="58">
        <v>3348560</v>
      </c>
      <c r="C17" s="58">
        <v>1685906</v>
      </c>
      <c r="D17" s="58">
        <v>5034466</v>
      </c>
      <c r="E17" s="54"/>
    </row>
    <row r="18" spans="1:28" ht="39.75" customHeight="1" x14ac:dyDescent="0.2">
      <c r="A18" s="149" t="s">
        <v>1108</v>
      </c>
      <c r="B18" s="149"/>
      <c r="C18" s="149"/>
      <c r="D18" s="149"/>
    </row>
    <row r="20" spans="1:28" x14ac:dyDescent="0.2">
      <c r="A20" s="7" t="s">
        <v>156</v>
      </c>
      <c r="O20" s="7" t="s">
        <v>159</v>
      </c>
      <c r="P20" s="6"/>
      <c r="Q20" s="6"/>
      <c r="R20" s="6"/>
      <c r="S20" s="6"/>
    </row>
    <row r="21" spans="1:28" x14ac:dyDescent="0.2">
      <c r="A21" s="148" t="s">
        <v>1004</v>
      </c>
      <c r="B21" s="148"/>
      <c r="C21" s="148"/>
      <c r="D21" s="148"/>
      <c r="E21" s="148"/>
      <c r="F21" s="148"/>
      <c r="G21" s="148"/>
      <c r="H21" s="148"/>
      <c r="I21" s="148"/>
      <c r="J21" s="148"/>
      <c r="K21" s="148"/>
      <c r="L21" s="148"/>
      <c r="M21" s="148"/>
      <c r="O21" s="148" t="s">
        <v>411</v>
      </c>
      <c r="P21" s="148"/>
      <c r="Q21" s="148"/>
      <c r="R21" s="148"/>
      <c r="S21" s="148"/>
      <c r="T21" s="148"/>
      <c r="U21" s="148"/>
      <c r="V21" s="148"/>
      <c r="W21" s="148"/>
      <c r="X21" s="148"/>
      <c r="Y21" s="148"/>
      <c r="Z21" s="148"/>
      <c r="AA21" s="148"/>
    </row>
    <row r="22" spans="1:28" ht="51" x14ac:dyDescent="0.2">
      <c r="A22" s="44" t="s">
        <v>66</v>
      </c>
      <c r="B22" s="44" t="str" cm="1">
        <f t="array" ref="B22:L22">TRANSPOSE(A6:A16)</f>
        <v>Trastornos mentales</v>
      </c>
      <c r="C22" s="44" t="str">
        <v>Enf. osteomusculares</v>
      </c>
      <c r="D22" s="44" t="str">
        <v>Enf. respiratorias</v>
      </c>
      <c r="E22" s="44" t="str">
        <v>Traumatismos, envenenamientos y otros</v>
      </c>
      <c r="F22" s="44" t="str">
        <v>Enf. infecciosas</v>
      </c>
      <c r="G22" s="44" t="str">
        <v>Enf. del Sistema Digestivo</v>
      </c>
      <c r="H22" s="44" t="str">
        <v>Afecciones del embarazo, Parto y Puerperio</v>
      </c>
      <c r="I22" s="44" t="str">
        <v>Enfermedades del Sist. Genito urinario</v>
      </c>
      <c r="J22" s="44" t="str">
        <v>Tumores y Cánceres</v>
      </c>
      <c r="K22" s="44" t="str">
        <v>Enf. cardiovasculares</v>
      </c>
      <c r="L22" s="44" t="str">
        <v>Otros diagnósticos</v>
      </c>
      <c r="M22" s="44" t="s">
        <v>64</v>
      </c>
      <c r="O22" s="44" t="s">
        <v>66</v>
      </c>
      <c r="P22" s="44" t="s">
        <v>9</v>
      </c>
      <c r="Q22" s="44" t="s">
        <v>10</v>
      </c>
      <c r="R22" s="44" t="s">
        <v>11</v>
      </c>
      <c r="S22" s="44" t="s">
        <v>674</v>
      </c>
      <c r="T22" s="44" t="s">
        <v>13</v>
      </c>
      <c r="U22" s="44" t="s">
        <v>230</v>
      </c>
      <c r="V22" s="44" t="s">
        <v>231</v>
      </c>
      <c r="W22" s="44" t="s">
        <v>673</v>
      </c>
      <c r="X22" s="44" t="s">
        <v>233</v>
      </c>
      <c r="Y22" s="44" t="s">
        <v>987</v>
      </c>
      <c r="Z22" s="44" t="s">
        <v>31</v>
      </c>
      <c r="AA22" s="44" t="s">
        <v>64</v>
      </c>
    </row>
    <row r="23" spans="1:28" x14ac:dyDescent="0.2">
      <c r="A23" s="22" t="s">
        <v>5</v>
      </c>
      <c r="B23" s="4">
        <v>187429.66175021321</v>
      </c>
      <c r="C23" s="4">
        <v>327338.6816295521</v>
      </c>
      <c r="D23" s="23">
        <v>159922.42201823354</v>
      </c>
      <c r="E23" s="23">
        <v>155822.22866839159</v>
      </c>
      <c r="F23" s="23">
        <v>68494.163453337445</v>
      </c>
      <c r="G23" s="23">
        <v>65036.135162302991</v>
      </c>
      <c r="H23" s="14">
        <v>0.11194749252811365</v>
      </c>
      <c r="I23" s="23">
        <v>35962.100109838524</v>
      </c>
      <c r="J23" s="23">
        <v>38954.075166818373</v>
      </c>
      <c r="K23" s="23">
        <v>61652.084254029804</v>
      </c>
      <c r="L23" s="23">
        <v>154497.33583978986</v>
      </c>
      <c r="M23" s="23">
        <v>1255109</v>
      </c>
      <c r="N23" s="69"/>
      <c r="O23" s="22" t="s">
        <v>5</v>
      </c>
      <c r="P23" s="4">
        <v>88606.796752564667</v>
      </c>
      <c r="Q23" s="4">
        <v>145337.23922087223</v>
      </c>
      <c r="R23" s="23">
        <v>171006.61061050094</v>
      </c>
      <c r="S23" s="23">
        <v>92676.687990421546</v>
      </c>
      <c r="T23" s="23">
        <v>78377.469712773731</v>
      </c>
      <c r="U23" s="23">
        <v>65847.836565283826</v>
      </c>
      <c r="V23" s="23">
        <v>74.23257603373392</v>
      </c>
      <c r="W23" s="23">
        <v>20282.889153668457</v>
      </c>
      <c r="X23" s="23">
        <v>22366.669359294399</v>
      </c>
      <c r="Y23" s="23">
        <v>21363.458644387701</v>
      </c>
      <c r="Z23" s="23">
        <v>90358.189132941596</v>
      </c>
      <c r="AA23" s="23">
        <v>796298.07971874252</v>
      </c>
      <c r="AB23" s="69"/>
    </row>
    <row r="24" spans="1:28" x14ac:dyDescent="0.2">
      <c r="A24" s="25" t="s">
        <v>6</v>
      </c>
      <c r="B24" s="5">
        <v>551207.10291702207</v>
      </c>
      <c r="C24" s="5">
        <v>433487.13604925352</v>
      </c>
      <c r="D24" s="14">
        <v>311128.7033637226</v>
      </c>
      <c r="E24" s="14">
        <v>99414.38111398599</v>
      </c>
      <c r="F24" s="14">
        <v>113950.27242222907</v>
      </c>
      <c r="G24" s="14">
        <v>85830.225270504976</v>
      </c>
      <c r="H24" s="14">
        <v>124954.18657915421</v>
      </c>
      <c r="I24" s="14">
        <v>75779.166849730871</v>
      </c>
      <c r="J24" s="14">
        <v>44946.125278030624</v>
      </c>
      <c r="K24" s="14">
        <v>32391.140423383004</v>
      </c>
      <c r="L24" s="14">
        <v>220362.55973298309</v>
      </c>
      <c r="M24" s="14">
        <v>2093451</v>
      </c>
      <c r="N24" s="69"/>
      <c r="O24" s="25" t="s">
        <v>6</v>
      </c>
      <c r="P24" s="5">
        <v>140222.28982693591</v>
      </c>
      <c r="Q24" s="5">
        <v>110513.72868481393</v>
      </c>
      <c r="R24" s="14">
        <v>212665.290675428</v>
      </c>
      <c r="S24" s="14">
        <v>42778.487200870826</v>
      </c>
      <c r="T24" s="14">
        <v>77867.552673235172</v>
      </c>
      <c r="U24" s="14">
        <v>61777.66241127473</v>
      </c>
      <c r="V24" s="14">
        <v>55224.136947541097</v>
      </c>
      <c r="W24" s="14">
        <v>40084.474798331539</v>
      </c>
      <c r="X24" s="14">
        <v>26325.197315262572</v>
      </c>
      <c r="Y24" s="14">
        <v>11566.555039328761</v>
      </c>
      <c r="Z24" s="14">
        <v>110582.5447082349</v>
      </c>
      <c r="AA24" s="14">
        <v>889607.92028125748</v>
      </c>
      <c r="AB24" s="69"/>
    </row>
    <row r="25" spans="1:28" x14ac:dyDescent="0.2">
      <c r="A25" s="29" t="s">
        <v>60</v>
      </c>
      <c r="B25" s="58">
        <v>738636.76466723531</v>
      </c>
      <c r="C25" s="58">
        <v>760825.81767880567</v>
      </c>
      <c r="D25" s="58">
        <v>471051.12538195611</v>
      </c>
      <c r="E25" s="58">
        <v>255236.60978237758</v>
      </c>
      <c r="F25" s="58">
        <v>182444.4358755665</v>
      </c>
      <c r="G25" s="58">
        <v>150866.36043280797</v>
      </c>
      <c r="H25" s="58">
        <v>124954.29852664673</v>
      </c>
      <c r="I25" s="58">
        <v>111741.26695956939</v>
      </c>
      <c r="J25" s="58">
        <v>83900.200444849004</v>
      </c>
      <c r="K25" s="58">
        <v>94043.2246774128</v>
      </c>
      <c r="L25" s="58">
        <v>374859.89557277295</v>
      </c>
      <c r="M25" s="58">
        <v>3348560</v>
      </c>
      <c r="N25" s="69"/>
      <c r="O25" s="29" t="s">
        <v>60</v>
      </c>
      <c r="P25" s="58">
        <v>228829.08657950058</v>
      </c>
      <c r="Q25" s="58">
        <v>255850.96790568618</v>
      </c>
      <c r="R25" s="58">
        <v>383671.90128592891</v>
      </c>
      <c r="S25" s="58">
        <v>135455.17519129236</v>
      </c>
      <c r="T25" s="58">
        <v>156245.0223860089</v>
      </c>
      <c r="U25" s="58">
        <v>127625.49897655856</v>
      </c>
      <c r="V25" s="58">
        <v>55298.369523574831</v>
      </c>
      <c r="W25" s="58">
        <v>60367.363952</v>
      </c>
      <c r="X25" s="58">
        <v>48691.866674556972</v>
      </c>
      <c r="Y25" s="58">
        <v>32930.013683716461</v>
      </c>
      <c r="Z25" s="58">
        <v>200940.73384117649</v>
      </c>
      <c r="AA25" s="110">
        <v>1685906</v>
      </c>
      <c r="AB25" s="69"/>
    </row>
    <row r="26" spans="1:28" ht="12.75" customHeight="1" x14ac:dyDescent="0.2">
      <c r="A26" s="147" t="s">
        <v>1109</v>
      </c>
      <c r="B26" s="147"/>
      <c r="C26" s="147"/>
      <c r="D26" s="147"/>
      <c r="E26" s="147"/>
      <c r="F26" s="147"/>
      <c r="G26" s="147"/>
      <c r="H26" s="147"/>
      <c r="I26" s="147"/>
      <c r="J26" s="147"/>
      <c r="K26" s="147"/>
      <c r="L26" s="147"/>
      <c r="M26" s="147"/>
      <c r="N26" s="69"/>
      <c r="O26" s="147" t="s">
        <v>1109</v>
      </c>
      <c r="P26" s="147"/>
      <c r="Q26" s="147"/>
      <c r="R26" s="147"/>
      <c r="S26" s="147"/>
      <c r="T26" s="147"/>
      <c r="U26" s="147"/>
      <c r="V26" s="147"/>
      <c r="W26" s="147"/>
      <c r="X26" s="147"/>
      <c r="Y26" s="147"/>
      <c r="Z26" s="147"/>
      <c r="AA26" s="147"/>
      <c r="AB26" s="69"/>
    </row>
    <row r="27" spans="1:28" x14ac:dyDescent="0.2">
      <c r="N27" s="69"/>
      <c r="P27" s="6"/>
      <c r="Q27" s="6"/>
      <c r="R27" s="6"/>
      <c r="S27" s="6"/>
      <c r="AB27" s="69"/>
    </row>
    <row r="28" spans="1:28" x14ac:dyDescent="0.2">
      <c r="A28" s="7" t="s">
        <v>157</v>
      </c>
      <c r="N28" s="69"/>
      <c r="O28" s="7" t="s">
        <v>160</v>
      </c>
      <c r="P28" s="6"/>
      <c r="Q28" s="6"/>
      <c r="R28" s="6"/>
      <c r="S28" s="6"/>
      <c r="AB28" s="69"/>
    </row>
    <row r="29" spans="1:28" x14ac:dyDescent="0.2">
      <c r="A29" s="148" t="s">
        <v>1005</v>
      </c>
      <c r="B29" s="148"/>
      <c r="C29" s="148"/>
      <c r="D29" s="148"/>
      <c r="E29" s="148"/>
      <c r="F29" s="148"/>
      <c r="G29" s="148"/>
      <c r="H29" s="148"/>
      <c r="I29" s="148"/>
      <c r="J29" s="148"/>
      <c r="K29" s="148"/>
      <c r="L29" s="148"/>
      <c r="M29" s="148"/>
      <c r="N29" s="69"/>
      <c r="O29" s="148" t="s">
        <v>412</v>
      </c>
      <c r="P29" s="148"/>
      <c r="Q29" s="148"/>
      <c r="R29" s="148"/>
      <c r="S29" s="148"/>
      <c r="T29" s="148"/>
      <c r="U29" s="148"/>
      <c r="V29" s="148"/>
      <c r="W29" s="148"/>
      <c r="X29" s="148"/>
      <c r="Y29" s="148"/>
      <c r="Z29" s="148"/>
      <c r="AA29" s="148"/>
      <c r="AB29" s="69"/>
    </row>
    <row r="30" spans="1:28" ht="51" x14ac:dyDescent="0.2">
      <c r="A30" s="24" t="s">
        <v>67</v>
      </c>
      <c r="B30" s="44" t="s">
        <v>9</v>
      </c>
      <c r="C30" s="44" t="s">
        <v>10</v>
      </c>
      <c r="D30" s="44" t="s">
        <v>11</v>
      </c>
      <c r="E30" s="44" t="s">
        <v>674</v>
      </c>
      <c r="F30" s="44" t="s">
        <v>13</v>
      </c>
      <c r="G30" s="44" t="s">
        <v>230</v>
      </c>
      <c r="H30" s="44" t="s">
        <v>231</v>
      </c>
      <c r="I30" s="44" t="s">
        <v>673</v>
      </c>
      <c r="J30" s="44" t="s">
        <v>233</v>
      </c>
      <c r="K30" s="44" t="s">
        <v>987</v>
      </c>
      <c r="L30" s="44" t="s">
        <v>31</v>
      </c>
      <c r="M30" s="44" t="s">
        <v>64</v>
      </c>
      <c r="N30" s="69"/>
      <c r="O30" s="24" t="s">
        <v>67</v>
      </c>
      <c r="P30" s="44" t="s">
        <v>9</v>
      </c>
      <c r="Q30" s="44" t="s">
        <v>10</v>
      </c>
      <c r="R30" s="44" t="s">
        <v>11</v>
      </c>
      <c r="S30" s="44" t="s">
        <v>674</v>
      </c>
      <c r="T30" s="44" t="s">
        <v>13</v>
      </c>
      <c r="U30" s="44" t="s">
        <v>230</v>
      </c>
      <c r="V30" s="44" t="s">
        <v>231</v>
      </c>
      <c r="W30" s="44" t="s">
        <v>673</v>
      </c>
      <c r="X30" s="44" t="s">
        <v>233</v>
      </c>
      <c r="Y30" s="44" t="s">
        <v>987</v>
      </c>
      <c r="Z30" s="44" t="s">
        <v>31</v>
      </c>
      <c r="AA30" s="44" t="s">
        <v>64</v>
      </c>
      <c r="AB30" s="69"/>
    </row>
    <row r="31" spans="1:28" x14ac:dyDescent="0.2">
      <c r="A31" s="22" t="s">
        <v>53</v>
      </c>
      <c r="B31" s="4">
        <v>3602</v>
      </c>
      <c r="C31" s="4">
        <v>5722</v>
      </c>
      <c r="D31" s="4">
        <v>5460</v>
      </c>
      <c r="E31" s="4">
        <v>5474</v>
      </c>
      <c r="F31" s="4">
        <v>2705</v>
      </c>
      <c r="G31" s="4">
        <v>1730</v>
      </c>
      <c r="H31" s="4">
        <v>2083</v>
      </c>
      <c r="I31" s="4">
        <v>1035</v>
      </c>
      <c r="J31" s="4">
        <v>125</v>
      </c>
      <c r="K31" s="4">
        <v>142</v>
      </c>
      <c r="L31" s="4">
        <v>2473</v>
      </c>
      <c r="M31" s="4">
        <v>30551</v>
      </c>
      <c r="N31" s="69"/>
      <c r="O31" s="22" t="s">
        <v>53</v>
      </c>
      <c r="P31" s="4">
        <v>326.74763779013318</v>
      </c>
      <c r="Q31" s="4">
        <v>479.80165222473681</v>
      </c>
      <c r="R31" s="4">
        <v>628.83237325689822</v>
      </c>
      <c r="S31" s="4">
        <v>444.17356636977439</v>
      </c>
      <c r="T31" s="4">
        <v>375.86911860913312</v>
      </c>
      <c r="U31" s="4">
        <v>196.85797189669066</v>
      </c>
      <c r="V31" s="4">
        <v>92.955686715101848</v>
      </c>
      <c r="W31" s="4">
        <v>103.89048549297183</v>
      </c>
      <c r="X31" s="4">
        <v>12.336489103285354</v>
      </c>
      <c r="Y31" s="4">
        <v>19.15619053111056</v>
      </c>
      <c r="Z31" s="4">
        <v>347.21700007461732</v>
      </c>
      <c r="AA31" s="4">
        <v>3027.8381720644529</v>
      </c>
      <c r="AB31" s="69"/>
    </row>
    <row r="32" spans="1:28" x14ac:dyDescent="0.2">
      <c r="A32" s="25" t="s">
        <v>2</v>
      </c>
      <c r="B32" s="5">
        <v>61061.220583404407</v>
      </c>
      <c r="C32" s="5">
        <v>53551.227209850709</v>
      </c>
      <c r="D32" s="5">
        <v>44799.140672744521</v>
      </c>
      <c r="E32" s="5">
        <v>29224.076222797197</v>
      </c>
      <c r="F32" s="5">
        <v>23966.054484445813</v>
      </c>
      <c r="G32" s="5">
        <v>13757.045054100996</v>
      </c>
      <c r="H32" s="5">
        <v>22226.037315830843</v>
      </c>
      <c r="I32" s="5">
        <v>8827.0333699461735</v>
      </c>
      <c r="J32" s="5">
        <v>1564.0250556061246</v>
      </c>
      <c r="K32" s="5">
        <v>1713.0280846766004</v>
      </c>
      <c r="L32" s="5">
        <v>26943.111946596619</v>
      </c>
      <c r="M32" s="5">
        <v>287632</v>
      </c>
      <c r="N32" s="69"/>
      <c r="O32" s="25" t="s">
        <v>2</v>
      </c>
      <c r="P32" s="5">
        <v>9085.8954317591633</v>
      </c>
      <c r="Q32" s="5">
        <v>11455.741630793002</v>
      </c>
      <c r="R32" s="5">
        <v>16267.971594366816</v>
      </c>
      <c r="S32" s="5">
        <v>8810.4568752575397</v>
      </c>
      <c r="T32" s="5">
        <v>9696.2088776326746</v>
      </c>
      <c r="U32" s="5">
        <v>5731.9022840944326</v>
      </c>
      <c r="V32" s="5">
        <v>2233.8036029016707</v>
      </c>
      <c r="W32" s="5">
        <v>1822.6472879440471</v>
      </c>
      <c r="X32" s="5">
        <v>386.37232260968023</v>
      </c>
      <c r="Y32" s="5">
        <v>529.51468167581788</v>
      </c>
      <c r="Z32" s="5">
        <v>8041.2966050341147</v>
      </c>
      <c r="AA32" s="5">
        <v>74061.811194068956</v>
      </c>
      <c r="AB32" s="69"/>
    </row>
    <row r="33" spans="1:28" x14ac:dyDescent="0.2">
      <c r="A33" s="25" t="s">
        <v>54</v>
      </c>
      <c r="B33" s="5">
        <v>264556.22058340441</v>
      </c>
      <c r="C33" s="5">
        <v>177300.22720985071</v>
      </c>
      <c r="D33" s="5">
        <v>148585.14067274451</v>
      </c>
      <c r="E33" s="5">
        <v>66315.076222797201</v>
      </c>
      <c r="F33" s="5">
        <v>70750.05448444582</v>
      </c>
      <c r="G33" s="5">
        <v>42870.045054101</v>
      </c>
      <c r="H33" s="5">
        <v>73581.037315830836</v>
      </c>
      <c r="I33" s="5">
        <v>30457.033369946173</v>
      </c>
      <c r="J33" s="5">
        <v>7704.0250556061246</v>
      </c>
      <c r="K33" s="5">
        <v>7729.0280846766009</v>
      </c>
      <c r="L33" s="5">
        <v>89630.111946596619</v>
      </c>
      <c r="M33" s="5">
        <v>979478</v>
      </c>
      <c r="N33" s="69"/>
      <c r="O33" s="25" t="s">
        <v>54</v>
      </c>
      <c r="P33" s="5">
        <v>82521.23196300352</v>
      </c>
      <c r="Q33" s="5">
        <v>78023.369347454151</v>
      </c>
      <c r="R33" s="5">
        <v>142746.46727274783</v>
      </c>
      <c r="S33" s="5">
        <v>48914.746096109346</v>
      </c>
      <c r="T33" s="5">
        <v>73615.940809233565</v>
      </c>
      <c r="U33" s="5">
        <v>47080.219618489711</v>
      </c>
      <c r="V33" s="5">
        <v>33600.564870726834</v>
      </c>
      <c r="W33" s="5">
        <v>19034.644843299466</v>
      </c>
      <c r="X33" s="5">
        <v>5990.2356687163965</v>
      </c>
      <c r="Y33" s="5">
        <v>5058.1309182806563</v>
      </c>
      <c r="Z33" s="5">
        <v>67636.157252778663</v>
      </c>
      <c r="AA33" s="5">
        <v>604221.70866084017</v>
      </c>
      <c r="AB33" s="69"/>
    </row>
    <row r="34" spans="1:28" x14ac:dyDescent="0.2">
      <c r="A34" s="25" t="s">
        <v>55</v>
      </c>
      <c r="B34" s="5">
        <v>201515.66175021321</v>
      </c>
      <c r="C34" s="5">
        <v>174363.68162955213</v>
      </c>
      <c r="D34" s="5">
        <v>108755.42201823356</v>
      </c>
      <c r="E34" s="5">
        <v>54029.228668391588</v>
      </c>
      <c r="F34" s="5">
        <v>40832.163453337445</v>
      </c>
      <c r="G34" s="5">
        <v>34631.135162302991</v>
      </c>
      <c r="H34" s="5">
        <v>26417.111947492529</v>
      </c>
      <c r="I34" s="5">
        <v>26932.10010983852</v>
      </c>
      <c r="J34" s="5">
        <v>15008.075166818375</v>
      </c>
      <c r="K34" s="5">
        <v>13508.084254029802</v>
      </c>
      <c r="L34" s="5">
        <v>84280.335839789856</v>
      </c>
      <c r="M34" s="5">
        <v>780273</v>
      </c>
      <c r="N34" s="69"/>
      <c r="O34" s="25" t="s">
        <v>55</v>
      </c>
      <c r="P34" s="5">
        <v>71020.258995834462</v>
      </c>
      <c r="Q34" s="5">
        <v>70458.648319311542</v>
      </c>
      <c r="R34" s="5">
        <v>109203.8253481345</v>
      </c>
      <c r="S34" s="5">
        <v>36338.824306506845</v>
      </c>
      <c r="T34" s="5">
        <v>42350.133837548172</v>
      </c>
      <c r="U34" s="5">
        <v>34463.77543578975</v>
      </c>
      <c r="V34" s="5">
        <v>18926.850481970105</v>
      </c>
      <c r="W34" s="5">
        <v>18778.203284344036</v>
      </c>
      <c r="X34" s="5">
        <v>11663.037117469776</v>
      </c>
      <c r="Y34" s="5">
        <v>7700.0998448319142</v>
      </c>
      <c r="Z34" s="5">
        <v>55440.156600260154</v>
      </c>
      <c r="AA34" s="5">
        <v>476343.81357200129</v>
      </c>
      <c r="AB34" s="69"/>
    </row>
    <row r="35" spans="1:28" x14ac:dyDescent="0.2">
      <c r="A35" s="25" t="s">
        <v>56</v>
      </c>
      <c r="B35" s="5">
        <v>126759.44116680881</v>
      </c>
      <c r="C35" s="5">
        <v>192212.45441970142</v>
      </c>
      <c r="D35" s="5">
        <v>89005.281345489042</v>
      </c>
      <c r="E35" s="5">
        <v>54335.152445594395</v>
      </c>
      <c r="F35" s="5">
        <v>26633.108968891629</v>
      </c>
      <c r="G35" s="5">
        <v>30957.090108201992</v>
      </c>
      <c r="H35" s="5">
        <v>516.07463166168543</v>
      </c>
      <c r="I35" s="5">
        <v>23120.066739892347</v>
      </c>
      <c r="J35" s="5">
        <v>24962.050111212251</v>
      </c>
      <c r="K35" s="5">
        <v>25302.0561693532</v>
      </c>
      <c r="L35" s="5">
        <v>88950.223893193237</v>
      </c>
      <c r="M35" s="5">
        <v>682753</v>
      </c>
      <c r="N35" s="69"/>
      <c r="O35" s="25" t="s">
        <v>56</v>
      </c>
      <c r="P35" s="5">
        <v>38965.886613292918</v>
      </c>
      <c r="Q35" s="5">
        <v>53817.756880329689</v>
      </c>
      <c r="R35" s="5">
        <v>64517.431707404241</v>
      </c>
      <c r="S35" s="5">
        <v>23862.559853130926</v>
      </c>
      <c r="T35" s="5">
        <v>18860.886349460081</v>
      </c>
      <c r="U35" s="5">
        <v>22930.450407986034</v>
      </c>
      <c r="V35" s="5">
        <v>409.09532947035211</v>
      </c>
      <c r="W35" s="5">
        <v>11755.328853712766</v>
      </c>
      <c r="X35" s="5">
        <v>13335.773104420345</v>
      </c>
      <c r="Y35" s="5">
        <v>8576.6302865616854</v>
      </c>
      <c r="Z35" s="5">
        <v>37859.132830801398</v>
      </c>
      <c r="AA35" s="5">
        <v>294890.93221657042</v>
      </c>
      <c r="AB35" s="69"/>
    </row>
    <row r="36" spans="1:28" x14ac:dyDescent="0.2">
      <c r="A36" s="25" t="s">
        <v>57</v>
      </c>
      <c r="B36" s="5">
        <v>69197.220583404414</v>
      </c>
      <c r="C36" s="5">
        <v>127830.22720985071</v>
      </c>
      <c r="D36" s="5">
        <v>58261.140672744521</v>
      </c>
      <c r="E36" s="5">
        <v>36487.076222797194</v>
      </c>
      <c r="F36" s="5">
        <v>14650.054484445815</v>
      </c>
      <c r="G36" s="5">
        <v>20991.045054100996</v>
      </c>
      <c r="H36" s="5">
        <v>97.037315830842701</v>
      </c>
      <c r="I36" s="5">
        <v>15313.033369946173</v>
      </c>
      <c r="J36" s="5">
        <v>23644.025055606126</v>
      </c>
      <c r="K36" s="5">
        <v>30623.0280846766</v>
      </c>
      <c r="L36" s="5">
        <v>62642.111946596619</v>
      </c>
      <c r="M36" s="5">
        <v>459736</v>
      </c>
      <c r="N36" s="69"/>
      <c r="O36" s="25" t="s">
        <v>57</v>
      </c>
      <c r="P36" s="5">
        <v>24019.63466441325</v>
      </c>
      <c r="Q36" s="5">
        <v>35806.193467803845</v>
      </c>
      <c r="R36" s="5">
        <v>42699.342635616216</v>
      </c>
      <c r="S36" s="5">
        <v>14502.830231834741</v>
      </c>
      <c r="T36" s="5">
        <v>10033.667376907935</v>
      </c>
      <c r="U36" s="5">
        <v>14638.006424336798</v>
      </c>
      <c r="V36" s="5">
        <v>29.410124672885384</v>
      </c>
      <c r="W36" s="5">
        <v>7236.8999891588473</v>
      </c>
      <c r="X36" s="5">
        <v>13110.628468602332</v>
      </c>
      <c r="Y36" s="5">
        <v>8502.1244863116826</v>
      </c>
      <c r="Z36" s="5">
        <v>26658.823662428113</v>
      </c>
      <c r="AA36" s="5">
        <v>197237.56153208669</v>
      </c>
      <c r="AB36" s="69"/>
    </row>
    <row r="37" spans="1:28" x14ac:dyDescent="0.2">
      <c r="A37" s="25" t="s">
        <v>3</v>
      </c>
      <c r="B37" s="5">
        <v>11945</v>
      </c>
      <c r="C37" s="5">
        <v>29846</v>
      </c>
      <c r="D37" s="5">
        <v>16185</v>
      </c>
      <c r="E37" s="5">
        <v>9372</v>
      </c>
      <c r="F37" s="5">
        <v>2908</v>
      </c>
      <c r="G37" s="5">
        <v>5930</v>
      </c>
      <c r="H37" s="5">
        <v>34</v>
      </c>
      <c r="I37" s="5">
        <v>6057</v>
      </c>
      <c r="J37" s="5">
        <v>10893</v>
      </c>
      <c r="K37" s="5">
        <v>15026</v>
      </c>
      <c r="L37" s="5">
        <v>19941</v>
      </c>
      <c r="M37" s="5">
        <v>128137</v>
      </c>
      <c r="N37" s="69"/>
      <c r="O37" s="25" t="s">
        <v>3</v>
      </c>
      <c r="P37" s="5">
        <v>2889.4312734071227</v>
      </c>
      <c r="Q37" s="5">
        <v>5809.4566077692025</v>
      </c>
      <c r="R37" s="5">
        <v>7608.0303544024455</v>
      </c>
      <c r="S37" s="5">
        <v>2581.584262083205</v>
      </c>
      <c r="T37" s="5">
        <v>1312.3160166173352</v>
      </c>
      <c r="U37" s="5">
        <v>2584.2868339651368</v>
      </c>
      <c r="V37" s="5">
        <v>5.6894271178728335</v>
      </c>
      <c r="W37" s="5">
        <v>1635.7492080478619</v>
      </c>
      <c r="X37" s="5">
        <v>4193.4835036351542</v>
      </c>
      <c r="Y37" s="5">
        <v>2544.3572755235973</v>
      </c>
      <c r="Z37" s="5">
        <v>4957.949889799459</v>
      </c>
      <c r="AA37" s="5">
        <v>36122.334652368394</v>
      </c>
      <c r="AB37" s="69"/>
    </row>
    <row r="38" spans="1:28" x14ac:dyDescent="0.2">
      <c r="A38" s="29" t="s">
        <v>60</v>
      </c>
      <c r="B38" s="58">
        <v>738636.76466723531</v>
      </c>
      <c r="C38" s="58">
        <v>760825.81767880567</v>
      </c>
      <c r="D38" s="58">
        <v>471051.12538195617</v>
      </c>
      <c r="E38" s="58">
        <v>255236.60978237758</v>
      </c>
      <c r="F38" s="58">
        <v>182444.43587556653</v>
      </c>
      <c r="G38" s="58">
        <v>150866.360432808</v>
      </c>
      <c r="H38" s="58">
        <v>124954.29852664671</v>
      </c>
      <c r="I38" s="58">
        <v>111741.26695956939</v>
      </c>
      <c r="J38" s="58">
        <v>83900.200444849004</v>
      </c>
      <c r="K38" s="58">
        <v>94043.2246774128</v>
      </c>
      <c r="L38" s="58">
        <v>374859.89557277295</v>
      </c>
      <c r="M38" s="58">
        <v>3348560</v>
      </c>
      <c r="N38" s="69"/>
      <c r="O38" s="29" t="s">
        <v>60</v>
      </c>
      <c r="P38" s="58">
        <v>228829.08657950055</v>
      </c>
      <c r="Q38" s="58">
        <v>255850.96790568618</v>
      </c>
      <c r="R38" s="58">
        <v>383671.90128592891</v>
      </c>
      <c r="S38" s="58">
        <v>135455.17519129236</v>
      </c>
      <c r="T38" s="58">
        <v>156245.02238600893</v>
      </c>
      <c r="U38" s="58">
        <v>127625.49897655855</v>
      </c>
      <c r="V38" s="58">
        <v>55298.369523574816</v>
      </c>
      <c r="W38" s="58">
        <v>60367.363951999992</v>
      </c>
      <c r="X38" s="58">
        <v>48691.866674556979</v>
      </c>
      <c r="Y38" s="58">
        <v>32930.013683716461</v>
      </c>
      <c r="Z38" s="58">
        <v>200940.73384117649</v>
      </c>
      <c r="AA38" s="58">
        <v>1685906.0000000005</v>
      </c>
      <c r="AB38" s="69"/>
    </row>
    <row r="39" spans="1:28" ht="12.75" customHeight="1" x14ac:dyDescent="0.2">
      <c r="A39" s="147" t="s">
        <v>1109</v>
      </c>
      <c r="B39" s="147"/>
      <c r="C39" s="147"/>
      <c r="D39" s="147"/>
      <c r="E39" s="147"/>
      <c r="F39" s="147"/>
      <c r="G39" s="147"/>
      <c r="H39" s="147"/>
      <c r="I39" s="147"/>
      <c r="J39" s="147"/>
      <c r="K39" s="147"/>
      <c r="L39" s="147"/>
      <c r="M39" s="147"/>
      <c r="N39" s="69"/>
      <c r="O39" s="147" t="s">
        <v>1109</v>
      </c>
      <c r="P39" s="147"/>
      <c r="Q39" s="147"/>
      <c r="R39" s="147"/>
      <c r="S39" s="147"/>
      <c r="T39" s="147"/>
      <c r="U39" s="147"/>
      <c r="V39" s="147"/>
      <c r="W39" s="147"/>
      <c r="X39" s="147"/>
      <c r="Y39" s="147"/>
      <c r="Z39" s="147"/>
      <c r="AA39" s="147"/>
      <c r="AB39" s="69"/>
    </row>
    <row r="40" spans="1:28" x14ac:dyDescent="0.2">
      <c r="N40" s="69"/>
      <c r="P40" s="6"/>
      <c r="Q40" s="54"/>
      <c r="R40" s="6"/>
      <c r="S40" s="6"/>
      <c r="AB40" s="69"/>
    </row>
    <row r="41" spans="1:28" x14ac:dyDescent="0.2">
      <c r="A41" s="7" t="s">
        <v>158</v>
      </c>
      <c r="N41" s="69"/>
      <c r="O41" s="7" t="s">
        <v>161</v>
      </c>
      <c r="P41" s="6"/>
      <c r="Q41" s="6"/>
      <c r="R41" s="6"/>
      <c r="S41" s="6"/>
      <c r="AB41" s="69"/>
    </row>
    <row r="42" spans="1:28" x14ac:dyDescent="0.2">
      <c r="A42" s="148" t="s">
        <v>1006</v>
      </c>
      <c r="B42" s="148"/>
      <c r="C42" s="148"/>
      <c r="D42" s="148"/>
      <c r="E42" s="148"/>
      <c r="F42" s="148"/>
      <c r="G42" s="148"/>
      <c r="H42" s="148"/>
      <c r="I42" s="148"/>
      <c r="J42" s="148"/>
      <c r="K42" s="148"/>
      <c r="L42" s="148"/>
      <c r="M42" s="148"/>
      <c r="N42" s="69"/>
      <c r="O42" s="148" t="s">
        <v>413</v>
      </c>
      <c r="P42" s="148"/>
      <c r="Q42" s="148"/>
      <c r="R42" s="148"/>
      <c r="S42" s="148"/>
      <c r="T42" s="148"/>
      <c r="U42" s="148"/>
      <c r="V42" s="148"/>
      <c r="W42" s="148"/>
      <c r="X42" s="148"/>
      <c r="Y42" s="148"/>
      <c r="Z42" s="148"/>
      <c r="AA42" s="148"/>
      <c r="AB42" s="69"/>
    </row>
    <row r="43" spans="1:28" ht="51" x14ac:dyDescent="0.2">
      <c r="A43" s="24" t="s">
        <v>208</v>
      </c>
      <c r="B43" s="44" t="s">
        <v>9</v>
      </c>
      <c r="C43" s="44" t="s">
        <v>10</v>
      </c>
      <c r="D43" s="44" t="s">
        <v>11</v>
      </c>
      <c r="E43" s="44" t="s">
        <v>674</v>
      </c>
      <c r="F43" s="44" t="s">
        <v>13</v>
      </c>
      <c r="G43" s="44" t="s">
        <v>230</v>
      </c>
      <c r="H43" s="44" t="s">
        <v>231</v>
      </c>
      <c r="I43" s="44" t="s">
        <v>673</v>
      </c>
      <c r="J43" s="44" t="s">
        <v>233</v>
      </c>
      <c r="K43" s="44" t="s">
        <v>987</v>
      </c>
      <c r="L43" s="44" t="s">
        <v>31</v>
      </c>
      <c r="M43" s="44" t="s">
        <v>64</v>
      </c>
      <c r="N43" s="69"/>
      <c r="O43" s="24" t="s">
        <v>208</v>
      </c>
      <c r="P43" s="44" t="s">
        <v>9</v>
      </c>
      <c r="Q43" s="44" t="s">
        <v>10</v>
      </c>
      <c r="R43" s="44" t="s">
        <v>11</v>
      </c>
      <c r="S43" s="44" t="s">
        <v>674</v>
      </c>
      <c r="T43" s="44" t="s">
        <v>13</v>
      </c>
      <c r="U43" s="44" t="s">
        <v>230</v>
      </c>
      <c r="V43" s="44" t="s">
        <v>231</v>
      </c>
      <c r="W43" s="44" t="s">
        <v>673</v>
      </c>
      <c r="X43" s="44" t="s">
        <v>233</v>
      </c>
      <c r="Y43" s="44" t="s">
        <v>987</v>
      </c>
      <c r="Z43" s="44" t="s">
        <v>31</v>
      </c>
      <c r="AA43" s="44" t="s">
        <v>64</v>
      </c>
      <c r="AB43" s="69"/>
    </row>
    <row r="44" spans="1:28" x14ac:dyDescent="0.2">
      <c r="A44" s="30" t="s">
        <v>14</v>
      </c>
      <c r="B44" s="4">
        <v>3617</v>
      </c>
      <c r="C44" s="4">
        <v>5458</v>
      </c>
      <c r="D44" s="4">
        <v>5929</v>
      </c>
      <c r="E44" s="4">
        <v>2530</v>
      </c>
      <c r="F44" s="4">
        <v>4210</v>
      </c>
      <c r="G44" s="4">
        <v>3167</v>
      </c>
      <c r="H44" s="4">
        <v>2281</v>
      </c>
      <c r="I44" s="4">
        <v>1714</v>
      </c>
      <c r="J44" s="4">
        <v>855</v>
      </c>
      <c r="K44" s="4">
        <v>919</v>
      </c>
      <c r="L44" s="4">
        <v>1442</v>
      </c>
      <c r="M44" s="4">
        <v>32122</v>
      </c>
      <c r="N44" s="69"/>
      <c r="O44" s="30" t="s">
        <v>14</v>
      </c>
      <c r="P44" s="4">
        <v>1085.3892858566328</v>
      </c>
      <c r="Q44" s="4">
        <v>1437.6301489029463</v>
      </c>
      <c r="R44" s="4">
        <v>2755.2489030185407</v>
      </c>
      <c r="S44" s="4">
        <v>703.05530224811343</v>
      </c>
      <c r="T44" s="4">
        <v>1218.0625043908442</v>
      </c>
      <c r="U44" s="4">
        <v>1647.7502426483829</v>
      </c>
      <c r="V44" s="4">
        <v>541.3221623216225</v>
      </c>
      <c r="W44" s="4">
        <v>484.46805090789155</v>
      </c>
      <c r="X44" s="4">
        <v>375.9416400864971</v>
      </c>
      <c r="Y44" s="4">
        <v>290.69513858424193</v>
      </c>
      <c r="Z44" s="4">
        <v>1472.9609857043406</v>
      </c>
      <c r="AA44" s="4">
        <v>12012.524364670055</v>
      </c>
      <c r="AB44" s="69"/>
    </row>
    <row r="45" spans="1:28" x14ac:dyDescent="0.2">
      <c r="A45" s="31" t="s">
        <v>15</v>
      </c>
      <c r="B45" s="5">
        <v>12455</v>
      </c>
      <c r="C45" s="5">
        <v>11284</v>
      </c>
      <c r="D45" s="5">
        <v>6315</v>
      </c>
      <c r="E45" s="5">
        <v>3864</v>
      </c>
      <c r="F45" s="5">
        <v>3429</v>
      </c>
      <c r="G45" s="5">
        <v>2422</v>
      </c>
      <c r="H45" s="5">
        <v>1870</v>
      </c>
      <c r="I45" s="5">
        <v>2381</v>
      </c>
      <c r="J45" s="5">
        <v>1413</v>
      </c>
      <c r="K45" s="5">
        <v>1455</v>
      </c>
      <c r="L45" s="5">
        <v>4963</v>
      </c>
      <c r="M45" s="5">
        <v>51851</v>
      </c>
      <c r="N45" s="69"/>
      <c r="O45" s="31" t="s">
        <v>15</v>
      </c>
      <c r="P45" s="5">
        <v>4676.0071025154621</v>
      </c>
      <c r="Q45" s="5">
        <v>4739.03240465013</v>
      </c>
      <c r="R45" s="5">
        <v>4482.103495178103</v>
      </c>
      <c r="S45" s="5">
        <v>2349.052125293777</v>
      </c>
      <c r="T45" s="5">
        <v>1630.3902250275669</v>
      </c>
      <c r="U45" s="5">
        <v>2542.9718690625427</v>
      </c>
      <c r="V45" s="5">
        <v>753.23861939614767</v>
      </c>
      <c r="W45" s="5">
        <v>1102.043682042502</v>
      </c>
      <c r="X45" s="5">
        <v>717.19461004101402</v>
      </c>
      <c r="Y45" s="5">
        <v>767.1249406533974</v>
      </c>
      <c r="Z45" s="5">
        <v>3548.0295265750829</v>
      </c>
      <c r="AA45" s="5">
        <v>27307.188600435722</v>
      </c>
      <c r="AB45" s="69"/>
    </row>
    <row r="46" spans="1:28" x14ac:dyDescent="0.2">
      <c r="A46" s="31" t="s">
        <v>16</v>
      </c>
      <c r="B46" s="5">
        <v>16601</v>
      </c>
      <c r="C46" s="5">
        <v>22552</v>
      </c>
      <c r="D46" s="5">
        <v>12494</v>
      </c>
      <c r="E46" s="5">
        <v>8050</v>
      </c>
      <c r="F46" s="5">
        <v>4362</v>
      </c>
      <c r="G46" s="5">
        <v>4641</v>
      </c>
      <c r="H46" s="5">
        <v>5616</v>
      </c>
      <c r="I46" s="5">
        <v>3663</v>
      </c>
      <c r="J46" s="5">
        <v>2638</v>
      </c>
      <c r="K46" s="5">
        <v>2694</v>
      </c>
      <c r="L46" s="5">
        <v>11974</v>
      </c>
      <c r="M46" s="5">
        <v>95285</v>
      </c>
      <c r="N46" s="69"/>
      <c r="O46" s="31" t="s">
        <v>16</v>
      </c>
      <c r="P46" s="5">
        <v>7847.7330522587754</v>
      </c>
      <c r="Q46" s="5">
        <v>14161.994597076293</v>
      </c>
      <c r="R46" s="5">
        <v>12047.297894055191</v>
      </c>
      <c r="S46" s="5">
        <v>7146.3492491495945</v>
      </c>
      <c r="T46" s="5">
        <v>4226.1766931995771</v>
      </c>
      <c r="U46" s="5">
        <v>5576.6549405373908</v>
      </c>
      <c r="V46" s="5">
        <v>2623.2316973134702</v>
      </c>
      <c r="W46" s="5">
        <v>3136.9108773676048</v>
      </c>
      <c r="X46" s="5">
        <v>2198.3847418859559</v>
      </c>
      <c r="Y46" s="5">
        <v>2082.4006349395345</v>
      </c>
      <c r="Z46" s="5">
        <v>8494.1585022752897</v>
      </c>
      <c r="AA46" s="5">
        <v>69541.292880058681</v>
      </c>
      <c r="AB46" s="69"/>
    </row>
    <row r="47" spans="1:28" x14ac:dyDescent="0.2">
      <c r="A47" s="31" t="s">
        <v>17</v>
      </c>
      <c r="B47" s="5">
        <v>10114.102917022044</v>
      </c>
      <c r="C47" s="5">
        <v>12185.136049253528</v>
      </c>
      <c r="D47" s="5">
        <v>7839.7033637225877</v>
      </c>
      <c r="E47" s="5">
        <v>4442.3811139859854</v>
      </c>
      <c r="F47" s="5">
        <v>6328.2724222290708</v>
      </c>
      <c r="G47" s="5">
        <v>2838.2252705049823</v>
      </c>
      <c r="H47" s="5">
        <v>2902.1865791542136</v>
      </c>
      <c r="I47" s="5">
        <v>2569.1668497308688</v>
      </c>
      <c r="J47" s="5">
        <v>1648.1252780306233</v>
      </c>
      <c r="K47" s="5">
        <v>2160.1404233830026</v>
      </c>
      <c r="L47" s="5">
        <v>2537.5597329830925</v>
      </c>
      <c r="M47" s="5">
        <v>55565.000000000007</v>
      </c>
      <c r="N47" s="69"/>
      <c r="O47" s="31" t="s">
        <v>17</v>
      </c>
      <c r="P47" s="5">
        <v>1922.9092856652098</v>
      </c>
      <c r="Q47" s="5">
        <v>3430.1379004125943</v>
      </c>
      <c r="R47" s="5">
        <v>3866.887310371485</v>
      </c>
      <c r="S47" s="5">
        <v>1635.3047301309573</v>
      </c>
      <c r="T47" s="5">
        <v>1203.844775450272</v>
      </c>
      <c r="U47" s="5">
        <v>1596.2027407279609</v>
      </c>
      <c r="V47" s="5">
        <v>633.39881059663821</v>
      </c>
      <c r="W47" s="5">
        <v>810.33072682587215</v>
      </c>
      <c r="X47" s="5">
        <v>657.9657594903772</v>
      </c>
      <c r="Y47" s="5">
        <v>488.90463139832343</v>
      </c>
      <c r="Z47" s="5">
        <v>2505.2676559138172</v>
      </c>
      <c r="AA47" s="5">
        <v>18751.154326983506</v>
      </c>
      <c r="AB47" s="69"/>
    </row>
    <row r="48" spans="1:28" x14ac:dyDescent="0.2">
      <c r="A48" s="31" t="s">
        <v>18</v>
      </c>
      <c r="B48" s="5">
        <v>22282</v>
      </c>
      <c r="C48" s="5">
        <v>17504</v>
      </c>
      <c r="D48" s="5">
        <v>12425</v>
      </c>
      <c r="E48" s="5">
        <v>6385</v>
      </c>
      <c r="F48" s="5">
        <v>4107</v>
      </c>
      <c r="G48" s="5">
        <v>5223</v>
      </c>
      <c r="H48" s="5">
        <v>5423</v>
      </c>
      <c r="I48" s="5">
        <v>3289</v>
      </c>
      <c r="J48" s="5">
        <v>3046</v>
      </c>
      <c r="K48" s="5">
        <v>2384</v>
      </c>
      <c r="L48" s="5">
        <v>9231</v>
      </c>
      <c r="M48" s="5">
        <v>91299</v>
      </c>
      <c r="N48" s="69"/>
      <c r="O48" s="31" t="s">
        <v>18</v>
      </c>
      <c r="P48" s="5">
        <v>3051.6033545596069</v>
      </c>
      <c r="Q48" s="5">
        <v>2730.3346661115511</v>
      </c>
      <c r="R48" s="5">
        <v>4536.8176270384765</v>
      </c>
      <c r="S48" s="5">
        <v>1330.8377163492039</v>
      </c>
      <c r="T48" s="5">
        <v>1462.9867601428707</v>
      </c>
      <c r="U48" s="5">
        <v>1991.4529431939322</v>
      </c>
      <c r="V48" s="5">
        <v>827.54931558386863</v>
      </c>
      <c r="W48" s="5">
        <v>846.1008437995099</v>
      </c>
      <c r="X48" s="5">
        <v>802.49798699349356</v>
      </c>
      <c r="Y48" s="5">
        <v>439.32557018609918</v>
      </c>
      <c r="Z48" s="5">
        <v>2222.9257815529963</v>
      </c>
      <c r="AA48" s="5">
        <v>20242.432565511608</v>
      </c>
      <c r="AB48" s="69"/>
    </row>
    <row r="49" spans="1:28" x14ac:dyDescent="0.2">
      <c r="A49" s="31" t="s">
        <v>19</v>
      </c>
      <c r="B49" s="5">
        <v>55508</v>
      </c>
      <c r="C49" s="5">
        <v>53391</v>
      </c>
      <c r="D49" s="5">
        <v>35258</v>
      </c>
      <c r="E49" s="5">
        <v>14656</v>
      </c>
      <c r="F49" s="5">
        <v>11204</v>
      </c>
      <c r="G49" s="5">
        <v>8496</v>
      </c>
      <c r="H49" s="5">
        <v>11035</v>
      </c>
      <c r="I49" s="5">
        <v>8203</v>
      </c>
      <c r="J49" s="5">
        <v>5917</v>
      </c>
      <c r="K49" s="5">
        <v>6986</v>
      </c>
      <c r="L49" s="5">
        <v>26458</v>
      </c>
      <c r="M49" s="5">
        <v>237112</v>
      </c>
      <c r="N49" s="69"/>
      <c r="O49" s="31" t="s">
        <v>19</v>
      </c>
      <c r="P49" s="5">
        <v>12299.563250870126</v>
      </c>
      <c r="Q49" s="5">
        <v>13908.937266410865</v>
      </c>
      <c r="R49" s="5">
        <v>22560.460811653767</v>
      </c>
      <c r="S49" s="5">
        <v>7366.9974147113589</v>
      </c>
      <c r="T49" s="5">
        <v>7293.6289959443593</v>
      </c>
      <c r="U49" s="5">
        <v>7108.1108438985666</v>
      </c>
      <c r="V49" s="5">
        <v>3371.0073173258797</v>
      </c>
      <c r="W49" s="5">
        <v>3841.4048760193314</v>
      </c>
      <c r="X49" s="5">
        <v>2699.5087215192898</v>
      </c>
      <c r="Y49" s="5">
        <v>1987.4274769668459</v>
      </c>
      <c r="Z49" s="5">
        <v>10581.059521033727</v>
      </c>
      <c r="AA49" s="5">
        <v>93018.106496354128</v>
      </c>
      <c r="AB49" s="69"/>
    </row>
    <row r="50" spans="1:28" x14ac:dyDescent="0.2">
      <c r="A50" s="31" t="s">
        <v>20</v>
      </c>
      <c r="B50" s="5">
        <v>416820.44116680883</v>
      </c>
      <c r="C50" s="5">
        <v>413770.45441970142</v>
      </c>
      <c r="D50" s="5">
        <v>262054.28134548903</v>
      </c>
      <c r="E50" s="5">
        <v>140023.1524455944</v>
      </c>
      <c r="F50" s="5">
        <v>105448.10896889163</v>
      </c>
      <c r="G50" s="5">
        <v>76942.090108201999</v>
      </c>
      <c r="H50" s="5">
        <v>51984.074631661686</v>
      </c>
      <c r="I50" s="5">
        <v>59773.066739892347</v>
      </c>
      <c r="J50" s="5">
        <v>42348.050111212251</v>
      </c>
      <c r="K50" s="5">
        <v>49323.0561693532</v>
      </c>
      <c r="L50" s="5">
        <v>216738.22389319324</v>
      </c>
      <c r="M50" s="5">
        <v>1835225</v>
      </c>
      <c r="N50" s="69"/>
      <c r="O50" s="31" t="s">
        <v>20</v>
      </c>
      <c r="P50" s="5">
        <v>145156.00487884021</v>
      </c>
      <c r="Q50" s="5">
        <v>159120.78347836251</v>
      </c>
      <c r="R50" s="5">
        <v>257723.17341365226</v>
      </c>
      <c r="S50" s="5">
        <v>89101.475982920019</v>
      </c>
      <c r="T50" s="5">
        <v>110850.49582670537</v>
      </c>
      <c r="U50" s="5">
        <v>80345.979841717955</v>
      </c>
      <c r="V50" s="5">
        <v>35514.417465822284</v>
      </c>
      <c r="W50" s="5">
        <v>37964.270424156253</v>
      </c>
      <c r="X50" s="5">
        <v>30899.53277757698</v>
      </c>
      <c r="Y50" s="5">
        <v>19441.007377458161</v>
      </c>
      <c r="Z50" s="5">
        <v>130820.35700957298</v>
      </c>
      <c r="AA50" s="5">
        <v>1096937.4984767849</v>
      </c>
      <c r="AB50" s="69"/>
    </row>
    <row r="51" spans="1:28" x14ac:dyDescent="0.2">
      <c r="A51" s="31" t="s">
        <v>21</v>
      </c>
      <c r="B51" s="5">
        <v>45814</v>
      </c>
      <c r="C51" s="5">
        <v>42236</v>
      </c>
      <c r="D51" s="5">
        <v>14970</v>
      </c>
      <c r="E51" s="5">
        <v>13045</v>
      </c>
      <c r="F51" s="5">
        <v>5961</v>
      </c>
      <c r="G51" s="5">
        <v>5991</v>
      </c>
      <c r="H51" s="5">
        <v>12426</v>
      </c>
      <c r="I51" s="5">
        <v>5762</v>
      </c>
      <c r="J51" s="5">
        <v>4806</v>
      </c>
      <c r="K51" s="5">
        <v>5737</v>
      </c>
      <c r="L51" s="5">
        <v>16059</v>
      </c>
      <c r="M51" s="5">
        <v>172807</v>
      </c>
      <c r="N51" s="69"/>
      <c r="O51" s="31" t="s">
        <v>21</v>
      </c>
      <c r="P51" s="5">
        <v>8212.4939403770859</v>
      </c>
      <c r="Q51" s="5">
        <v>9104.9519334559591</v>
      </c>
      <c r="R51" s="5">
        <v>8316.597650110878</v>
      </c>
      <c r="S51" s="5">
        <v>4396.5023735460636</v>
      </c>
      <c r="T51" s="5">
        <v>3765.4798315238463</v>
      </c>
      <c r="U51" s="5">
        <v>3489.8444310142563</v>
      </c>
      <c r="V51" s="5">
        <v>2278.9932132935583</v>
      </c>
      <c r="W51" s="5">
        <v>1926.2299951829402</v>
      </c>
      <c r="X51" s="5">
        <v>1529.4070031572462</v>
      </c>
      <c r="Y51" s="5">
        <v>1148.6616487759759</v>
      </c>
      <c r="Z51" s="5">
        <v>5808.4675022577303</v>
      </c>
      <c r="AA51" s="5">
        <v>49977.629522695541</v>
      </c>
      <c r="AB51" s="69"/>
    </row>
    <row r="52" spans="1:28" x14ac:dyDescent="0.2">
      <c r="A52" s="31" t="s">
        <v>22</v>
      </c>
      <c r="B52" s="5">
        <v>32383</v>
      </c>
      <c r="C52" s="5">
        <v>30571</v>
      </c>
      <c r="D52" s="5">
        <v>17040</v>
      </c>
      <c r="E52" s="5">
        <v>10448</v>
      </c>
      <c r="F52" s="5">
        <v>2842</v>
      </c>
      <c r="G52" s="5">
        <v>9143</v>
      </c>
      <c r="H52" s="5">
        <v>7085</v>
      </c>
      <c r="I52" s="5">
        <v>4713</v>
      </c>
      <c r="J52" s="5">
        <v>4464</v>
      </c>
      <c r="K52" s="5">
        <v>3935</v>
      </c>
      <c r="L52" s="5">
        <v>12669</v>
      </c>
      <c r="M52" s="5">
        <v>135293</v>
      </c>
      <c r="N52" s="69"/>
      <c r="O52" s="31" t="s">
        <v>22</v>
      </c>
      <c r="P52" s="5">
        <v>6001.5344053755889</v>
      </c>
      <c r="Q52" s="5">
        <v>6259.8646303752339</v>
      </c>
      <c r="R52" s="5">
        <v>9042.3067800879107</v>
      </c>
      <c r="S52" s="5">
        <v>2935.9432921310035</v>
      </c>
      <c r="T52" s="5">
        <v>3064.5834313157038</v>
      </c>
      <c r="U52" s="5">
        <v>3669.2967467190692</v>
      </c>
      <c r="V52" s="5">
        <v>1323.297548933122</v>
      </c>
      <c r="W52" s="5">
        <v>1389.5803915613601</v>
      </c>
      <c r="X52" s="5">
        <v>1322.8534681493111</v>
      </c>
      <c r="Y52" s="5">
        <v>841.49353247173394</v>
      </c>
      <c r="Z52" s="5">
        <v>5096.089364533922</v>
      </c>
      <c r="AA52" s="5">
        <v>40946.84359165396</v>
      </c>
      <c r="AB52" s="69"/>
    </row>
    <row r="53" spans="1:28" x14ac:dyDescent="0.2">
      <c r="A53" s="31" t="s">
        <v>23</v>
      </c>
      <c r="B53" s="5">
        <v>66125</v>
      </c>
      <c r="C53" s="5">
        <v>80269</v>
      </c>
      <c r="D53" s="5">
        <v>46857</v>
      </c>
      <c r="E53" s="5">
        <v>28056</v>
      </c>
      <c r="F53" s="5">
        <v>16294</v>
      </c>
      <c r="G53" s="5">
        <v>16485</v>
      </c>
      <c r="H53" s="5">
        <v>15631</v>
      </c>
      <c r="I53" s="5">
        <v>10422</v>
      </c>
      <c r="J53" s="5">
        <v>8721</v>
      </c>
      <c r="K53" s="5">
        <v>9937</v>
      </c>
      <c r="L53" s="5">
        <v>36334</v>
      </c>
      <c r="M53" s="5">
        <v>335131</v>
      </c>
      <c r="N53" s="69"/>
      <c r="O53" s="31" t="s">
        <v>23</v>
      </c>
      <c r="P53" s="5">
        <v>18268.511895603471</v>
      </c>
      <c r="Q53" s="5">
        <v>18857.700413215869</v>
      </c>
      <c r="R53" s="5">
        <v>25094.497468357164</v>
      </c>
      <c r="S53" s="5">
        <v>8266.1825515047822</v>
      </c>
      <c r="T53" s="5">
        <v>9970.9229916152744</v>
      </c>
      <c r="U53" s="5">
        <v>8336.2895219903439</v>
      </c>
      <c r="V53" s="5">
        <v>3778.4064169631342</v>
      </c>
      <c r="W53" s="5">
        <v>4090.2242230710149</v>
      </c>
      <c r="X53" s="5">
        <v>3333.9161765498152</v>
      </c>
      <c r="Y53" s="5">
        <v>2437.663864276401</v>
      </c>
      <c r="Z53" s="5">
        <v>13993.301600489534</v>
      </c>
      <c r="AA53" s="5">
        <v>116427.61712363678</v>
      </c>
      <c r="AB53" s="69"/>
    </row>
    <row r="54" spans="1:28" x14ac:dyDescent="0.2">
      <c r="A54" s="31" t="s">
        <v>24</v>
      </c>
      <c r="B54" s="5">
        <v>25588</v>
      </c>
      <c r="C54" s="5">
        <v>27537</v>
      </c>
      <c r="D54" s="5">
        <v>16412</v>
      </c>
      <c r="E54" s="5">
        <v>8354</v>
      </c>
      <c r="F54" s="5">
        <v>5632</v>
      </c>
      <c r="G54" s="5">
        <v>4696</v>
      </c>
      <c r="H54" s="5">
        <v>4107</v>
      </c>
      <c r="I54" s="5">
        <v>3406</v>
      </c>
      <c r="J54" s="5">
        <v>2660</v>
      </c>
      <c r="K54" s="5">
        <v>2897</v>
      </c>
      <c r="L54" s="5">
        <v>14912</v>
      </c>
      <c r="M54" s="5">
        <v>116201</v>
      </c>
      <c r="N54" s="69"/>
      <c r="O54" s="31" t="s">
        <v>24</v>
      </c>
      <c r="P54" s="5">
        <v>7199.6076444284754</v>
      </c>
      <c r="Q54" s="5">
        <v>6460.2336769769709</v>
      </c>
      <c r="R54" s="5">
        <v>10002.051589264354</v>
      </c>
      <c r="S54" s="5">
        <v>2802.6377864263604</v>
      </c>
      <c r="T54" s="5">
        <v>3638.09214980056</v>
      </c>
      <c r="U54" s="5">
        <v>3618.4732801185751</v>
      </c>
      <c r="V54" s="5">
        <v>1327.5628598231015</v>
      </c>
      <c r="W54" s="5">
        <v>1700.6520280115776</v>
      </c>
      <c r="X54" s="5">
        <v>1508.7990042299707</v>
      </c>
      <c r="Y54" s="5">
        <v>920.07377675053419</v>
      </c>
      <c r="Z54" s="5">
        <v>5201.2510047030773</v>
      </c>
      <c r="AA54" s="5">
        <v>44379.434800533549</v>
      </c>
      <c r="AB54" s="69"/>
    </row>
    <row r="55" spans="1:28" x14ac:dyDescent="0.2">
      <c r="A55" s="31" t="s">
        <v>25</v>
      </c>
      <c r="B55" s="5">
        <v>4308.2205834044089</v>
      </c>
      <c r="C55" s="5">
        <v>6066.2272098507055</v>
      </c>
      <c r="D55" s="5">
        <v>6234.1406727445174</v>
      </c>
      <c r="E55" s="5">
        <v>2428.0762227971973</v>
      </c>
      <c r="F55" s="5">
        <v>2484.0544844458141</v>
      </c>
      <c r="G55" s="5">
        <v>1890.0450541009966</v>
      </c>
      <c r="H55" s="5">
        <v>730.03731583084266</v>
      </c>
      <c r="I55" s="5">
        <v>1044.0333699461737</v>
      </c>
      <c r="J55" s="5">
        <v>1055.0250556061246</v>
      </c>
      <c r="K55" s="5">
        <v>1005.0280846766005</v>
      </c>
      <c r="L55" s="5">
        <v>3490.1119465966185</v>
      </c>
      <c r="M55" s="5">
        <v>30734.999999999996</v>
      </c>
      <c r="N55" s="69"/>
      <c r="O55" s="31" t="s">
        <v>25</v>
      </c>
      <c r="P55" s="5">
        <v>2389.8988386067072</v>
      </c>
      <c r="Q55" s="5">
        <v>2683.91214872399</v>
      </c>
      <c r="R55" s="5">
        <v>4818.067412462342</v>
      </c>
      <c r="S55" s="5">
        <v>1242.885831743037</v>
      </c>
      <c r="T55" s="5">
        <v>1637.372461293035</v>
      </c>
      <c r="U55" s="5">
        <v>1455.4462490407959</v>
      </c>
      <c r="V55" s="5">
        <v>312.65817621124052</v>
      </c>
      <c r="W55" s="5">
        <v>577.92281551423923</v>
      </c>
      <c r="X55" s="5">
        <v>496.99448741895924</v>
      </c>
      <c r="Y55" s="5">
        <v>382.91390426736262</v>
      </c>
      <c r="Z55" s="5">
        <v>2289.3608018366831</v>
      </c>
      <c r="AA55" s="5">
        <v>18287.433127118391</v>
      </c>
      <c r="AB55" s="69"/>
    </row>
    <row r="56" spans="1:28" x14ac:dyDescent="0.2">
      <c r="A56" s="31" t="s">
        <v>26</v>
      </c>
      <c r="B56" s="5">
        <v>19946</v>
      </c>
      <c r="C56" s="5">
        <v>29182</v>
      </c>
      <c r="D56" s="5">
        <v>22371</v>
      </c>
      <c r="E56" s="5">
        <v>9855</v>
      </c>
      <c r="F56" s="5">
        <v>8713</v>
      </c>
      <c r="G56" s="5">
        <v>6123</v>
      </c>
      <c r="H56" s="5">
        <v>2594</v>
      </c>
      <c r="I56" s="5">
        <v>3505</v>
      </c>
      <c r="J56" s="5">
        <v>2981</v>
      </c>
      <c r="K56" s="5">
        <v>3455</v>
      </c>
      <c r="L56" s="5">
        <v>13400</v>
      </c>
      <c r="M56" s="5">
        <v>122125</v>
      </c>
      <c r="N56" s="69"/>
      <c r="O56" s="31" t="s">
        <v>26</v>
      </c>
      <c r="P56" s="5">
        <v>7766.5221375456431</v>
      </c>
      <c r="Q56" s="5">
        <v>8963.0626950051574</v>
      </c>
      <c r="R56" s="5">
        <v>13856.24731174943</v>
      </c>
      <c r="S56" s="5">
        <v>4166.4300147155072</v>
      </c>
      <c r="T56" s="5">
        <v>4637.5131768386227</v>
      </c>
      <c r="U56" s="5">
        <v>4676.9770321270862</v>
      </c>
      <c r="V56" s="5">
        <v>1487.2447000477605</v>
      </c>
      <c r="W56" s="5">
        <v>1802.4103595049633</v>
      </c>
      <c r="X56" s="5">
        <v>1309.1674183905925</v>
      </c>
      <c r="Y56" s="5">
        <v>1195.4863176986323</v>
      </c>
      <c r="Z56" s="5">
        <v>6301.5328243122358</v>
      </c>
      <c r="AA56" s="5">
        <v>56162.593987935623</v>
      </c>
      <c r="AB56" s="69"/>
    </row>
    <row r="57" spans="1:28" x14ac:dyDescent="0.2">
      <c r="A57" s="31" t="s">
        <v>27</v>
      </c>
      <c r="B57" s="5">
        <v>2683</v>
      </c>
      <c r="C57" s="5">
        <v>2861</v>
      </c>
      <c r="D57" s="5">
        <v>1971</v>
      </c>
      <c r="E57" s="5">
        <v>1221</v>
      </c>
      <c r="F57" s="5">
        <v>844</v>
      </c>
      <c r="G57" s="5">
        <v>805</v>
      </c>
      <c r="H57" s="5">
        <v>338</v>
      </c>
      <c r="I57" s="5">
        <v>506</v>
      </c>
      <c r="J57" s="5">
        <v>467</v>
      </c>
      <c r="K57" s="5">
        <v>395</v>
      </c>
      <c r="L57" s="5">
        <v>1730</v>
      </c>
      <c r="M57" s="5">
        <v>13821</v>
      </c>
      <c r="N57" s="69"/>
      <c r="O57" s="31" t="s">
        <v>27</v>
      </c>
      <c r="P57" s="5">
        <v>1057.1183474523129</v>
      </c>
      <c r="Q57" s="5">
        <v>950.52014107818889</v>
      </c>
      <c r="R57" s="5">
        <v>1440.2813994873513</v>
      </c>
      <c r="S57" s="5">
        <v>509.74115429524369</v>
      </c>
      <c r="T57" s="5">
        <v>448.35676716655928</v>
      </c>
      <c r="U57" s="5">
        <v>512.71966823382991</v>
      </c>
      <c r="V57" s="5">
        <v>147.33407116052234</v>
      </c>
      <c r="W57" s="5">
        <v>182.97790605745499</v>
      </c>
      <c r="X57" s="5">
        <v>205.09811331394604</v>
      </c>
      <c r="Y57" s="5">
        <v>143.22839905753702</v>
      </c>
      <c r="Z57" s="5">
        <v>749.2389251331042</v>
      </c>
      <c r="AA57" s="5">
        <v>6346.6148924360505</v>
      </c>
      <c r="AB57" s="69"/>
    </row>
    <row r="58" spans="1:28" x14ac:dyDescent="0.2">
      <c r="A58" s="31" t="s">
        <v>28</v>
      </c>
      <c r="B58" s="5">
        <v>4392</v>
      </c>
      <c r="C58" s="5">
        <v>5959</v>
      </c>
      <c r="D58" s="5">
        <v>2881</v>
      </c>
      <c r="E58" s="5">
        <v>1879</v>
      </c>
      <c r="F58" s="5">
        <v>586</v>
      </c>
      <c r="G58" s="5">
        <v>2004</v>
      </c>
      <c r="H58" s="5">
        <v>932</v>
      </c>
      <c r="I58" s="5">
        <v>791</v>
      </c>
      <c r="J58" s="5">
        <v>881</v>
      </c>
      <c r="K58" s="5">
        <v>761</v>
      </c>
      <c r="L58" s="5">
        <v>2922</v>
      </c>
      <c r="M58" s="5">
        <v>23988</v>
      </c>
      <c r="N58" s="69"/>
      <c r="O58" s="31" t="s">
        <v>28</v>
      </c>
      <c r="P58" s="5">
        <v>1894.189159545248</v>
      </c>
      <c r="Q58" s="5">
        <v>3041.8718049279155</v>
      </c>
      <c r="R58" s="5">
        <v>3129.8622194416503</v>
      </c>
      <c r="S58" s="5">
        <v>1501.7796661273583</v>
      </c>
      <c r="T58" s="5">
        <v>1197.1157955944391</v>
      </c>
      <c r="U58" s="5">
        <v>1057.3286255278599</v>
      </c>
      <c r="V58" s="5">
        <v>378.70714878248339</v>
      </c>
      <c r="W58" s="5">
        <v>511.83675197747829</v>
      </c>
      <c r="X58" s="5">
        <v>634.60476575351902</v>
      </c>
      <c r="Y58" s="5">
        <v>363.60647023168252</v>
      </c>
      <c r="Z58" s="5">
        <v>1856.7328352819716</v>
      </c>
      <c r="AA58" s="5">
        <v>15567.635243191602</v>
      </c>
      <c r="AB58" s="69"/>
    </row>
    <row r="59" spans="1:28" x14ac:dyDescent="0.2">
      <c r="A59" s="29" t="s">
        <v>60</v>
      </c>
      <c r="B59" s="58">
        <v>738636.76466723531</v>
      </c>
      <c r="C59" s="58">
        <v>760825.81767880567</v>
      </c>
      <c r="D59" s="58">
        <v>471051.12538195617</v>
      </c>
      <c r="E59" s="58">
        <v>255236.60978237758</v>
      </c>
      <c r="F59" s="58">
        <v>182444.4358755665</v>
      </c>
      <c r="G59" s="58">
        <v>150866.360432808</v>
      </c>
      <c r="H59" s="58">
        <v>124954.29852664673</v>
      </c>
      <c r="I59" s="58">
        <v>111741.26695956939</v>
      </c>
      <c r="J59" s="58">
        <v>83900.200444849004</v>
      </c>
      <c r="K59" s="58">
        <v>94043.2246774128</v>
      </c>
      <c r="L59" s="58">
        <v>374859.89557277295</v>
      </c>
      <c r="M59" s="58">
        <v>3348560</v>
      </c>
      <c r="N59" s="69"/>
      <c r="O59" s="29" t="s">
        <v>60</v>
      </c>
      <c r="P59" s="58">
        <v>228829.08657950055</v>
      </c>
      <c r="Q59" s="58">
        <v>255850.96790568615</v>
      </c>
      <c r="R59" s="58">
        <v>383671.90128592891</v>
      </c>
      <c r="S59" s="58">
        <v>135455.17519129239</v>
      </c>
      <c r="T59" s="58">
        <v>156245.0223860089</v>
      </c>
      <c r="U59" s="58">
        <v>127625.49897655855</v>
      </c>
      <c r="V59" s="58">
        <v>55298.369523574824</v>
      </c>
      <c r="W59" s="58">
        <v>60367.363952</v>
      </c>
      <c r="X59" s="58">
        <v>48691.866674556964</v>
      </c>
      <c r="Y59" s="58">
        <v>32930.013683716461</v>
      </c>
      <c r="Z59" s="58">
        <v>200940.73384117649</v>
      </c>
      <c r="AA59" s="58">
        <v>1685906</v>
      </c>
      <c r="AB59" s="69"/>
    </row>
    <row r="60" spans="1:28" x14ac:dyDescent="0.2">
      <c r="A60" s="147" t="s">
        <v>1109</v>
      </c>
      <c r="B60" s="147"/>
      <c r="C60" s="147"/>
      <c r="D60" s="147"/>
      <c r="E60" s="147"/>
      <c r="F60" s="147"/>
      <c r="G60" s="147"/>
      <c r="H60" s="147"/>
      <c r="I60" s="147"/>
      <c r="J60" s="147"/>
      <c r="K60" s="147"/>
      <c r="L60" s="147"/>
      <c r="M60" s="147"/>
      <c r="N60" s="69"/>
      <c r="O60" s="147" t="s">
        <v>1109</v>
      </c>
      <c r="P60" s="147"/>
      <c r="Q60" s="147"/>
      <c r="R60" s="147"/>
      <c r="S60" s="147"/>
      <c r="T60" s="147"/>
      <c r="U60" s="147"/>
      <c r="V60" s="147"/>
      <c r="W60" s="147"/>
      <c r="X60" s="147"/>
      <c r="Y60" s="147"/>
      <c r="Z60" s="147"/>
      <c r="AA60" s="147"/>
      <c r="AB60" s="69"/>
    </row>
    <row r="61" spans="1:28" x14ac:dyDescent="0.2">
      <c r="N61" s="69"/>
      <c r="P61" s="6"/>
      <c r="Q61" s="6"/>
      <c r="R61" s="6"/>
      <c r="S61" s="6"/>
      <c r="AB61" s="69"/>
    </row>
    <row r="62" spans="1:28" x14ac:dyDescent="0.2">
      <c r="A62" s="7" t="s">
        <v>162</v>
      </c>
      <c r="N62" s="69"/>
      <c r="P62" s="6"/>
      <c r="Q62" s="6"/>
      <c r="R62" s="6"/>
      <c r="S62" s="6"/>
      <c r="AB62" s="69"/>
    </row>
    <row r="63" spans="1:28" x14ac:dyDescent="0.2">
      <c r="A63" s="148" t="s">
        <v>999</v>
      </c>
      <c r="B63" s="148"/>
      <c r="C63" s="148"/>
      <c r="D63" s="148"/>
      <c r="N63" s="69"/>
      <c r="O63" s="7"/>
      <c r="P63" s="6"/>
      <c r="Q63" s="6"/>
      <c r="R63" s="6"/>
      <c r="S63" s="6"/>
      <c r="AB63" s="69"/>
    </row>
    <row r="64" spans="1:28" x14ac:dyDescent="0.2">
      <c r="A64" s="8" t="s">
        <v>207</v>
      </c>
      <c r="B64" s="8" t="s">
        <v>0</v>
      </c>
      <c r="C64" s="8" t="s">
        <v>1</v>
      </c>
      <c r="D64" s="8" t="s">
        <v>59</v>
      </c>
      <c r="N64" s="69"/>
      <c r="O64" s="35"/>
      <c r="P64" s="35"/>
      <c r="Q64" s="35"/>
      <c r="R64" s="35"/>
      <c r="S64" s="6"/>
      <c r="AB64" s="69"/>
    </row>
    <row r="65" spans="1:28" x14ac:dyDescent="0.2">
      <c r="A65" s="31" t="s">
        <v>9</v>
      </c>
      <c r="B65" s="4">
        <v>12146747.142110145</v>
      </c>
      <c r="C65" s="4">
        <v>2430967.8320320966</v>
      </c>
      <c r="D65" s="4">
        <v>14577714.974142242</v>
      </c>
      <c r="E65" s="54"/>
      <c r="N65" s="69"/>
      <c r="O65" s="34"/>
      <c r="P65" s="17"/>
      <c r="Q65" s="17"/>
      <c r="R65" s="17"/>
      <c r="S65" s="6"/>
      <c r="AB65" s="69"/>
    </row>
    <row r="66" spans="1:28" x14ac:dyDescent="0.2">
      <c r="A66" s="31" t="s">
        <v>10</v>
      </c>
      <c r="B66" s="5">
        <v>8770208.207282979</v>
      </c>
      <c r="C66" s="5">
        <v>2189050.5276836208</v>
      </c>
      <c r="D66" s="5">
        <v>10959258.7349666</v>
      </c>
      <c r="E66" s="54"/>
      <c r="N66" s="69"/>
      <c r="O66" s="34"/>
      <c r="P66" s="17"/>
      <c r="Q66" s="17"/>
      <c r="R66" s="17"/>
      <c r="S66" s="6"/>
      <c r="AB66" s="69"/>
    </row>
    <row r="67" spans="1:28" x14ac:dyDescent="0.2">
      <c r="A67" s="31" t="s">
        <v>11</v>
      </c>
      <c r="B67" s="5">
        <v>1355157.5859497099</v>
      </c>
      <c r="C67" s="5">
        <v>518348.42906115582</v>
      </c>
      <c r="D67" s="5">
        <v>1873506.0150108656</v>
      </c>
      <c r="E67" s="54"/>
      <c r="N67" s="69"/>
      <c r="O67" s="34"/>
      <c r="P67" s="17"/>
      <c r="Q67" s="17"/>
      <c r="R67" s="17"/>
      <c r="S67" s="6"/>
      <c r="AB67" s="69"/>
    </row>
    <row r="68" spans="1:28" x14ac:dyDescent="0.2">
      <c r="A68" s="31" t="s">
        <v>674</v>
      </c>
      <c r="B68" s="5">
        <v>3810162.0822588867</v>
      </c>
      <c r="C68" s="5">
        <v>1875289.6671954885</v>
      </c>
      <c r="D68" s="5">
        <v>5685451.7494543754</v>
      </c>
      <c r="E68" s="54"/>
      <c r="N68" s="69"/>
      <c r="O68" s="34"/>
      <c r="P68" s="17"/>
      <c r="Q68" s="17"/>
      <c r="R68" s="17"/>
      <c r="S68" s="6"/>
      <c r="AB68" s="69"/>
    </row>
    <row r="69" spans="1:28" x14ac:dyDescent="0.2">
      <c r="A69" s="31" t="s">
        <v>13</v>
      </c>
      <c r="B69" s="5">
        <v>357841.94690332626</v>
      </c>
      <c r="C69" s="5">
        <v>133935.11951022394</v>
      </c>
      <c r="D69" s="5">
        <v>491777.06641355017</v>
      </c>
      <c r="E69" s="54"/>
      <c r="N69" s="69"/>
      <c r="O69" s="34"/>
      <c r="P69" s="17"/>
      <c r="Q69" s="17"/>
      <c r="R69" s="17"/>
      <c r="S69" s="6"/>
      <c r="AB69" s="69"/>
    </row>
    <row r="70" spans="1:28" x14ac:dyDescent="0.2">
      <c r="A70" s="31" t="s">
        <v>230</v>
      </c>
      <c r="B70" s="5">
        <v>1257675.3279970717</v>
      </c>
      <c r="C70" s="5">
        <v>615862.07122656459</v>
      </c>
      <c r="D70" s="5">
        <v>1873537.3992236364</v>
      </c>
      <c r="E70" s="54"/>
      <c r="N70" s="69"/>
      <c r="O70" s="34"/>
      <c r="P70" s="17"/>
      <c r="Q70" s="17"/>
      <c r="R70" s="17"/>
      <c r="S70" s="6"/>
      <c r="AB70" s="69"/>
    </row>
    <row r="71" spans="1:28" x14ac:dyDescent="0.2">
      <c r="A71" s="31" t="s">
        <v>231</v>
      </c>
      <c r="B71" s="5">
        <v>1833419.8515032148</v>
      </c>
      <c r="C71" s="5">
        <v>719218.10931776615</v>
      </c>
      <c r="D71" s="5">
        <v>2552637.9608209808</v>
      </c>
      <c r="E71" s="54"/>
      <c r="N71" s="69"/>
      <c r="O71" s="34"/>
      <c r="P71" s="17"/>
      <c r="Q71" s="17"/>
      <c r="R71" s="17"/>
      <c r="S71" s="6"/>
      <c r="AB71" s="69"/>
    </row>
    <row r="72" spans="1:28" x14ac:dyDescent="0.2">
      <c r="A72" s="31" t="s">
        <v>673</v>
      </c>
      <c r="B72" s="5">
        <v>1133026.9981589429</v>
      </c>
      <c r="C72" s="5">
        <v>350689.89401477354</v>
      </c>
      <c r="D72" s="5">
        <v>1483716.8921737163</v>
      </c>
      <c r="E72" s="54"/>
      <c r="N72" s="69"/>
      <c r="O72" s="45"/>
      <c r="P72" s="17"/>
      <c r="Q72" s="17"/>
      <c r="R72" s="17"/>
      <c r="S72" s="6"/>
      <c r="AB72" s="69"/>
    </row>
    <row r="73" spans="1:28" x14ac:dyDescent="0.2">
      <c r="A73" s="31" t="s">
        <v>233</v>
      </c>
      <c r="B73" s="5">
        <v>2267869.00112066</v>
      </c>
      <c r="C73" s="5">
        <v>1171251.1018914818</v>
      </c>
      <c r="D73" s="5">
        <v>3439120.1030121418</v>
      </c>
      <c r="E73" s="54"/>
      <c r="N73" s="69"/>
      <c r="P73" s="6"/>
      <c r="Q73" s="6"/>
      <c r="R73" s="6"/>
      <c r="S73" s="6"/>
      <c r="AB73" s="69"/>
    </row>
    <row r="74" spans="1:28" x14ac:dyDescent="0.2">
      <c r="A74" s="31" t="s">
        <v>987</v>
      </c>
      <c r="B74" s="5">
        <v>1854242.9066041338</v>
      </c>
      <c r="C74" s="5">
        <v>492870.05156228482</v>
      </c>
      <c r="D74" s="5">
        <v>2347112.9581664186</v>
      </c>
      <c r="E74" s="54"/>
      <c r="N74" s="69"/>
      <c r="P74" s="6"/>
      <c r="Q74" s="6"/>
      <c r="R74" s="6"/>
      <c r="S74" s="6"/>
      <c r="AB74" s="69"/>
    </row>
    <row r="75" spans="1:28" x14ac:dyDescent="0.2">
      <c r="A75" s="31" t="s">
        <v>31</v>
      </c>
      <c r="B75" s="5">
        <v>4138129.9501109305</v>
      </c>
      <c r="C75" s="5">
        <v>1277481.1965045433</v>
      </c>
      <c r="D75" s="5">
        <v>5415611.1466154736</v>
      </c>
      <c r="E75" s="54"/>
      <c r="N75" s="69"/>
      <c r="P75" s="6"/>
      <c r="Q75" s="6"/>
      <c r="R75" s="6"/>
      <c r="S75" s="6"/>
      <c r="AB75" s="69"/>
    </row>
    <row r="76" spans="1:28" x14ac:dyDescent="0.2">
      <c r="A76" s="29" t="s">
        <v>60</v>
      </c>
      <c r="B76" s="58">
        <v>38924481</v>
      </c>
      <c r="C76" s="58">
        <v>11774964</v>
      </c>
      <c r="D76" s="58">
        <v>50699445.000000007</v>
      </c>
      <c r="E76" s="54"/>
      <c r="N76" s="69"/>
      <c r="P76" s="6"/>
      <c r="Q76" s="6"/>
      <c r="R76" s="6"/>
      <c r="S76" s="6"/>
      <c r="AB76" s="69"/>
    </row>
    <row r="77" spans="1:28" x14ac:dyDescent="0.2">
      <c r="A77" s="3" t="s">
        <v>1109</v>
      </c>
      <c r="N77" s="69"/>
      <c r="P77" s="6"/>
      <c r="Q77" s="6"/>
      <c r="R77" s="6"/>
      <c r="S77" s="6"/>
      <c r="AB77" s="69"/>
    </row>
    <row r="78" spans="1:28" x14ac:dyDescent="0.2">
      <c r="N78" s="69"/>
      <c r="P78" s="6"/>
      <c r="Q78" s="6"/>
      <c r="R78" s="6"/>
      <c r="S78" s="6"/>
      <c r="AB78" s="69"/>
    </row>
    <row r="79" spans="1:28" x14ac:dyDescent="0.2">
      <c r="A79" s="7" t="s">
        <v>163</v>
      </c>
      <c r="N79" s="69"/>
      <c r="O79" s="7" t="s">
        <v>166</v>
      </c>
      <c r="P79" s="6"/>
      <c r="Q79" s="6"/>
      <c r="R79" s="6"/>
      <c r="S79" s="6"/>
      <c r="AB79" s="69"/>
    </row>
    <row r="80" spans="1:28" x14ac:dyDescent="0.2">
      <c r="A80" s="148" t="s">
        <v>1007</v>
      </c>
      <c r="B80" s="148"/>
      <c r="C80" s="148"/>
      <c r="D80" s="148"/>
      <c r="E80" s="148"/>
      <c r="F80" s="148"/>
      <c r="G80" s="148"/>
      <c r="H80" s="148"/>
      <c r="I80" s="148"/>
      <c r="J80" s="148"/>
      <c r="K80" s="148"/>
      <c r="L80" s="148"/>
      <c r="M80" s="148"/>
      <c r="N80" s="69"/>
      <c r="O80" s="148" t="s">
        <v>414</v>
      </c>
      <c r="P80" s="148"/>
      <c r="Q80" s="148"/>
      <c r="R80" s="148"/>
      <c r="S80" s="148"/>
      <c r="T80" s="148"/>
      <c r="U80" s="148"/>
      <c r="V80" s="148"/>
      <c r="W80" s="148"/>
      <c r="X80" s="148"/>
      <c r="Y80" s="148"/>
      <c r="Z80" s="148"/>
      <c r="AA80" s="148"/>
      <c r="AB80" s="69"/>
    </row>
    <row r="81" spans="1:28" ht="51" x14ac:dyDescent="0.2">
      <c r="A81" s="44" t="s">
        <v>66</v>
      </c>
      <c r="B81" s="44" t="s">
        <v>9</v>
      </c>
      <c r="C81" s="44" t="s">
        <v>511</v>
      </c>
      <c r="D81" s="44" t="s">
        <v>11</v>
      </c>
      <c r="E81" s="44" t="s">
        <v>672</v>
      </c>
      <c r="F81" s="44" t="s">
        <v>13</v>
      </c>
      <c r="G81" s="44" t="s">
        <v>230</v>
      </c>
      <c r="H81" s="44" t="s">
        <v>231</v>
      </c>
      <c r="I81" s="44" t="s">
        <v>673</v>
      </c>
      <c r="J81" s="44" t="s">
        <v>233</v>
      </c>
      <c r="K81" s="44" t="s">
        <v>512</v>
      </c>
      <c r="L81" s="44" t="s">
        <v>31</v>
      </c>
      <c r="M81" s="44" t="s">
        <v>64</v>
      </c>
      <c r="N81" s="69"/>
      <c r="O81" s="44" t="s">
        <v>66</v>
      </c>
      <c r="P81" s="44" t="s">
        <v>9</v>
      </c>
      <c r="Q81" s="44" t="s">
        <v>511</v>
      </c>
      <c r="R81" s="44" t="s">
        <v>11</v>
      </c>
      <c r="S81" s="44" t="s">
        <v>672</v>
      </c>
      <c r="T81" s="44" t="s">
        <v>13</v>
      </c>
      <c r="U81" s="44" t="s">
        <v>230</v>
      </c>
      <c r="V81" s="44" t="s">
        <v>231</v>
      </c>
      <c r="W81" s="44" t="s">
        <v>673</v>
      </c>
      <c r="X81" s="44" t="s">
        <v>233</v>
      </c>
      <c r="Y81" s="44" t="s">
        <v>512</v>
      </c>
      <c r="Z81" s="44" t="s">
        <v>31</v>
      </c>
      <c r="AA81" s="44" t="s">
        <v>64</v>
      </c>
      <c r="AB81" s="69"/>
    </row>
    <row r="82" spans="1:28" x14ac:dyDescent="0.2">
      <c r="A82" s="22" t="s">
        <v>5</v>
      </c>
      <c r="B82" s="4">
        <v>3108607.7944321935</v>
      </c>
      <c r="C82" s="4">
        <v>3989078.2378505059</v>
      </c>
      <c r="D82" s="23">
        <v>543707.42741687479</v>
      </c>
      <c r="E82" s="23">
        <v>2471832.0133263529</v>
      </c>
      <c r="F82" s="23">
        <v>185238.37692268327</v>
      </c>
      <c r="G82" s="23">
        <v>702511.32473669841</v>
      </c>
      <c r="H82" s="23">
        <v>1.9311808913170043</v>
      </c>
      <c r="I82" s="23">
        <v>559115.19344190939</v>
      </c>
      <c r="J82" s="23">
        <v>1085891.3887956026</v>
      </c>
      <c r="K82" s="23">
        <v>1342024.9531142667</v>
      </c>
      <c r="L82" s="23">
        <v>2008766.3587820209</v>
      </c>
      <c r="M82" s="23">
        <v>15996775</v>
      </c>
      <c r="N82" s="69"/>
      <c r="O82" s="22" t="s">
        <v>5</v>
      </c>
      <c r="P82" s="4">
        <v>931444.96611997357</v>
      </c>
      <c r="Q82" s="4">
        <v>1294908.0117515116</v>
      </c>
      <c r="R82" s="23">
        <v>257357.90205021758</v>
      </c>
      <c r="S82" s="23">
        <v>1366096.6410246359</v>
      </c>
      <c r="T82" s="23">
        <v>82407.455488294727</v>
      </c>
      <c r="U82" s="23">
        <v>380793.68468857836</v>
      </c>
      <c r="V82" s="23">
        <v>424.04146573974833</v>
      </c>
      <c r="W82" s="23">
        <v>163647.53994694515</v>
      </c>
      <c r="X82" s="23">
        <v>561615.07820046437</v>
      </c>
      <c r="Y82" s="23">
        <v>347302.90772486723</v>
      </c>
      <c r="Z82" s="23">
        <v>663526.29047503753</v>
      </c>
      <c r="AA82" s="23">
        <v>6049524.5189362671</v>
      </c>
      <c r="AB82" s="69"/>
    </row>
    <row r="83" spans="1:28" x14ac:dyDescent="0.2">
      <c r="A83" s="25" t="s">
        <v>6</v>
      </c>
      <c r="B83" s="5">
        <v>9038139.3476779517</v>
      </c>
      <c r="C83" s="5">
        <v>4781129.9694324723</v>
      </c>
      <c r="D83" s="14">
        <v>811450.15853283508</v>
      </c>
      <c r="E83" s="14">
        <v>1338330.0689325337</v>
      </c>
      <c r="F83" s="14">
        <v>172603.56998064299</v>
      </c>
      <c r="G83" s="14">
        <v>555164.00326037325</v>
      </c>
      <c r="H83" s="14">
        <v>1833417.9203223235</v>
      </c>
      <c r="I83" s="14">
        <v>573911.80471703364</v>
      </c>
      <c r="J83" s="14">
        <v>1181977.6123250576</v>
      </c>
      <c r="K83" s="14">
        <v>512217.95348986692</v>
      </c>
      <c r="L83" s="14">
        <v>2129363.5913289096</v>
      </c>
      <c r="M83" s="14">
        <v>22927706</v>
      </c>
      <c r="N83" s="69"/>
      <c r="O83" s="25" t="s">
        <v>6</v>
      </c>
      <c r="P83" s="5">
        <v>1499522.8659121231</v>
      </c>
      <c r="Q83" s="5">
        <v>894142.51593210909</v>
      </c>
      <c r="R83" s="14">
        <v>260990.52701093824</v>
      </c>
      <c r="S83" s="14">
        <v>509193.02617085265</v>
      </c>
      <c r="T83" s="14">
        <v>51527.664021929224</v>
      </c>
      <c r="U83" s="14">
        <v>235068.38653798625</v>
      </c>
      <c r="V83" s="14">
        <v>718794.06785202643</v>
      </c>
      <c r="W83" s="14">
        <v>187042.35406782836</v>
      </c>
      <c r="X83" s="14">
        <v>609636.02369101741</v>
      </c>
      <c r="Y83" s="14">
        <v>145567.14383741756</v>
      </c>
      <c r="Z83" s="14">
        <v>613954.90602950566</v>
      </c>
      <c r="AA83" s="14">
        <v>5725439.4810637338</v>
      </c>
      <c r="AB83" s="69"/>
    </row>
    <row r="84" spans="1:28" x14ac:dyDescent="0.2">
      <c r="A84" s="29" t="s">
        <v>60</v>
      </c>
      <c r="B84" s="58">
        <v>12146747.142110145</v>
      </c>
      <c r="C84" s="58">
        <v>8770208.207282979</v>
      </c>
      <c r="D84" s="58">
        <v>1355157.5859497099</v>
      </c>
      <c r="E84" s="58">
        <v>3810162.0822588867</v>
      </c>
      <c r="F84" s="58">
        <v>357841.94690332626</v>
      </c>
      <c r="G84" s="58">
        <v>1257675.3279970717</v>
      </c>
      <c r="H84" s="58">
        <v>1833419.8515032148</v>
      </c>
      <c r="I84" s="58">
        <v>1133026.9981589429</v>
      </c>
      <c r="J84" s="58">
        <v>2267869.0011206605</v>
      </c>
      <c r="K84" s="58">
        <v>1854242.9066041335</v>
      </c>
      <c r="L84" s="58">
        <v>4138129.9501109305</v>
      </c>
      <c r="M84" s="110">
        <v>38924481</v>
      </c>
      <c r="N84" s="69"/>
      <c r="O84" s="29" t="s">
        <v>60</v>
      </c>
      <c r="P84" s="58">
        <v>2430967.8320320966</v>
      </c>
      <c r="Q84" s="58">
        <v>2189050.5276836208</v>
      </c>
      <c r="R84" s="58">
        <v>518348.42906115582</v>
      </c>
      <c r="S84" s="58">
        <v>1875289.6671954885</v>
      </c>
      <c r="T84" s="58">
        <v>133935.11951022394</v>
      </c>
      <c r="U84" s="58">
        <v>615862.07122656459</v>
      </c>
      <c r="V84" s="58">
        <v>719218.10931776615</v>
      </c>
      <c r="W84" s="58">
        <v>350689.89401477354</v>
      </c>
      <c r="X84" s="58">
        <v>1171251.1018914818</v>
      </c>
      <c r="Y84" s="58">
        <v>492870.05156228482</v>
      </c>
      <c r="Z84" s="58">
        <v>1277481.1965045431</v>
      </c>
      <c r="AA84" s="110">
        <v>11774964</v>
      </c>
      <c r="AB84" s="69"/>
    </row>
    <row r="85" spans="1:28" x14ac:dyDescent="0.2">
      <c r="A85" s="147" t="s">
        <v>1109</v>
      </c>
      <c r="B85" s="147"/>
      <c r="C85" s="147"/>
      <c r="D85" s="147"/>
      <c r="E85" s="147"/>
      <c r="F85" s="147"/>
      <c r="G85" s="147"/>
      <c r="H85" s="147"/>
      <c r="I85" s="147"/>
      <c r="J85" s="147"/>
      <c r="K85" s="147"/>
      <c r="L85" s="147"/>
      <c r="M85" s="147"/>
      <c r="N85" s="69"/>
      <c r="O85" s="147" t="s">
        <v>1109</v>
      </c>
      <c r="P85" s="147"/>
      <c r="Q85" s="147"/>
      <c r="R85" s="147"/>
      <c r="S85" s="147"/>
      <c r="T85" s="147"/>
      <c r="U85" s="147"/>
      <c r="V85" s="147"/>
      <c r="W85" s="147"/>
      <c r="X85" s="147"/>
      <c r="Y85" s="147"/>
      <c r="Z85" s="147"/>
      <c r="AA85" s="147"/>
      <c r="AB85" s="69"/>
    </row>
    <row r="86" spans="1:28" x14ac:dyDescent="0.2">
      <c r="N86" s="69"/>
      <c r="P86" s="6"/>
      <c r="Q86" s="6"/>
      <c r="R86" s="6"/>
      <c r="S86" s="6"/>
      <c r="AB86" s="69"/>
    </row>
    <row r="87" spans="1:28" x14ac:dyDescent="0.2">
      <c r="A87" s="7" t="s">
        <v>164</v>
      </c>
      <c r="N87" s="69"/>
      <c r="O87" s="7" t="s">
        <v>167</v>
      </c>
      <c r="P87" s="6"/>
      <c r="Q87" s="6"/>
      <c r="R87" s="6"/>
      <c r="S87" s="6"/>
      <c r="AB87" s="69"/>
    </row>
    <row r="88" spans="1:28" x14ac:dyDescent="0.2">
      <c r="A88" s="148" t="s">
        <v>1008</v>
      </c>
      <c r="B88" s="148"/>
      <c r="C88" s="148"/>
      <c r="D88" s="148"/>
      <c r="E88" s="148"/>
      <c r="F88" s="148"/>
      <c r="G88" s="148"/>
      <c r="H88" s="148"/>
      <c r="I88" s="148"/>
      <c r="J88" s="148"/>
      <c r="K88" s="148"/>
      <c r="L88" s="148"/>
      <c r="M88" s="148"/>
      <c r="N88" s="69"/>
      <c r="O88" s="148" t="s">
        <v>415</v>
      </c>
      <c r="P88" s="148"/>
      <c r="Q88" s="148"/>
      <c r="R88" s="148"/>
      <c r="S88" s="148"/>
      <c r="T88" s="148"/>
      <c r="U88" s="148"/>
      <c r="V88" s="148"/>
      <c r="W88" s="148"/>
      <c r="X88" s="148"/>
      <c r="Y88" s="148"/>
      <c r="Z88" s="148"/>
      <c r="AA88" s="148"/>
      <c r="AB88" s="69"/>
    </row>
    <row r="89" spans="1:28" ht="51" x14ac:dyDescent="0.2">
      <c r="A89" s="24" t="s">
        <v>67</v>
      </c>
      <c r="B89" s="44" t="s">
        <v>9</v>
      </c>
      <c r="C89" s="44" t="s">
        <v>511</v>
      </c>
      <c r="D89" s="44" t="s">
        <v>11</v>
      </c>
      <c r="E89" s="44" t="s">
        <v>672</v>
      </c>
      <c r="F89" s="44" t="s">
        <v>13</v>
      </c>
      <c r="G89" s="44" t="s">
        <v>230</v>
      </c>
      <c r="H89" s="44" t="s">
        <v>231</v>
      </c>
      <c r="I89" s="44" t="s">
        <v>673</v>
      </c>
      <c r="J89" s="44" t="s">
        <v>233</v>
      </c>
      <c r="K89" s="44" t="s">
        <v>512</v>
      </c>
      <c r="L89" s="44" t="s">
        <v>31</v>
      </c>
      <c r="M89" s="44" t="s">
        <v>64</v>
      </c>
      <c r="N89" s="69"/>
      <c r="O89" s="24" t="s">
        <v>67</v>
      </c>
      <c r="P89" s="44" t="s">
        <v>9</v>
      </c>
      <c r="Q89" s="44" t="s">
        <v>511</v>
      </c>
      <c r="R89" s="44" t="s">
        <v>11</v>
      </c>
      <c r="S89" s="44" t="s">
        <v>672</v>
      </c>
      <c r="T89" s="44" t="s">
        <v>13</v>
      </c>
      <c r="U89" s="44" t="s">
        <v>230</v>
      </c>
      <c r="V89" s="44" t="s">
        <v>231</v>
      </c>
      <c r="W89" s="44" t="s">
        <v>673</v>
      </c>
      <c r="X89" s="44" t="s">
        <v>233</v>
      </c>
      <c r="Y89" s="44" t="s">
        <v>512</v>
      </c>
      <c r="Z89" s="44" t="s">
        <v>31</v>
      </c>
      <c r="AA89" s="44" t="s">
        <v>64</v>
      </c>
      <c r="AB89" s="69"/>
    </row>
    <row r="90" spans="1:28" x14ac:dyDescent="0.2">
      <c r="A90" s="22" t="s">
        <v>53</v>
      </c>
      <c r="B90" s="4">
        <v>43322</v>
      </c>
      <c r="C90" s="4">
        <v>35180</v>
      </c>
      <c r="D90" s="4">
        <v>10810</v>
      </c>
      <c r="E90" s="4">
        <v>50229</v>
      </c>
      <c r="F90" s="4">
        <v>5324</v>
      </c>
      <c r="G90" s="4">
        <v>8952</v>
      </c>
      <c r="H90" s="4">
        <v>26849</v>
      </c>
      <c r="I90" s="4">
        <v>5670</v>
      </c>
      <c r="J90" s="4">
        <v>2383</v>
      </c>
      <c r="K90" s="4">
        <v>1284</v>
      </c>
      <c r="L90" s="4">
        <v>20055</v>
      </c>
      <c r="M90" s="4">
        <v>210058</v>
      </c>
      <c r="N90" s="69"/>
      <c r="O90" s="22" t="s">
        <v>53</v>
      </c>
      <c r="P90" s="4">
        <v>2357.0826584243796</v>
      </c>
      <c r="Q90" s="4">
        <v>1429.9933406006262</v>
      </c>
      <c r="R90" s="4">
        <v>586.14125413127783</v>
      </c>
      <c r="S90" s="4">
        <v>5116.3884533588453</v>
      </c>
      <c r="T90" s="4">
        <v>219.9913951540625</v>
      </c>
      <c r="U90" s="4">
        <v>652.11734992097104</v>
      </c>
      <c r="V90" s="4">
        <v>1070.1010007136897</v>
      </c>
      <c r="W90" s="4">
        <v>301.70248478271429</v>
      </c>
      <c r="X90" s="4">
        <v>111.56706468527456</v>
      </c>
      <c r="Y90" s="4">
        <v>175.99536057555193</v>
      </c>
      <c r="Z90" s="4">
        <v>1195.8265497249358</v>
      </c>
      <c r="AA90" s="4">
        <v>13216.906912072329</v>
      </c>
      <c r="AB90" s="69"/>
    </row>
    <row r="91" spans="1:28" x14ac:dyDescent="0.2">
      <c r="A91" s="25" t="s">
        <v>2</v>
      </c>
      <c r="B91" s="5">
        <v>896736.24823728716</v>
      </c>
      <c r="C91" s="5">
        <v>381670.90125370788</v>
      </c>
      <c r="D91" s="5">
        <v>93895.139260182914</v>
      </c>
      <c r="E91" s="5">
        <v>357240.39154403441</v>
      </c>
      <c r="F91" s="5">
        <v>37059.03677294471</v>
      </c>
      <c r="G91" s="5">
        <v>67003.129242604729</v>
      </c>
      <c r="H91" s="5">
        <v>313277.18840789184</v>
      </c>
      <c r="I91" s="5">
        <v>55338.116433357005</v>
      </c>
      <c r="J91" s="5">
        <v>35287.233053229524</v>
      </c>
      <c r="K91" s="5">
        <v>19245.190547733349</v>
      </c>
      <c r="L91" s="5">
        <v>180072.42524702643</v>
      </c>
      <c r="M91" s="5">
        <v>2436825.0000000005</v>
      </c>
      <c r="N91" s="69"/>
      <c r="O91" s="25" t="s">
        <v>2</v>
      </c>
      <c r="P91" s="5">
        <v>69712.904312132028</v>
      </c>
      <c r="Q91" s="5">
        <v>54196.123143321769</v>
      </c>
      <c r="R91" s="5">
        <v>17528.634779318694</v>
      </c>
      <c r="S91" s="5">
        <v>102376.84246564325</v>
      </c>
      <c r="T91" s="5">
        <v>7371.5333354604982</v>
      </c>
      <c r="U91" s="5">
        <v>16865.062419429276</v>
      </c>
      <c r="V91" s="5">
        <v>27933.965429755266</v>
      </c>
      <c r="W91" s="5">
        <v>8886.736190278687</v>
      </c>
      <c r="X91" s="5">
        <v>6685.2125572334999</v>
      </c>
      <c r="Y91" s="5">
        <v>5522.7752660984579</v>
      </c>
      <c r="Z91" s="5">
        <v>33180.680763807119</v>
      </c>
      <c r="AA91" s="5">
        <v>350260.47066247859</v>
      </c>
      <c r="AB91" s="69"/>
    </row>
    <row r="92" spans="1:28" x14ac:dyDescent="0.2">
      <c r="A92" s="25" t="s">
        <v>54</v>
      </c>
      <c r="B92" s="5">
        <v>4341360.3617796535</v>
      </c>
      <c r="C92" s="5">
        <v>1492095.7594028092</v>
      </c>
      <c r="D92" s="5">
        <v>333206.04445137182</v>
      </c>
      <c r="E92" s="5">
        <v>883188.93658025831</v>
      </c>
      <c r="F92" s="5">
        <v>101728.27579708531</v>
      </c>
      <c r="G92" s="5">
        <v>232571.96931953542</v>
      </c>
      <c r="H92" s="5">
        <v>1094403.4130591888</v>
      </c>
      <c r="I92" s="5">
        <v>215317.87325017757</v>
      </c>
      <c r="J92" s="5">
        <v>179816.7478992214</v>
      </c>
      <c r="K92" s="5">
        <v>100894.42910800013</v>
      </c>
      <c r="L92" s="5">
        <v>710813.18935269816</v>
      </c>
      <c r="M92" s="5">
        <v>9685396.9999999981</v>
      </c>
      <c r="N92" s="69"/>
      <c r="O92" s="25" t="s">
        <v>54</v>
      </c>
      <c r="P92" s="5">
        <v>813657.48212950223</v>
      </c>
      <c r="Q92" s="5">
        <v>497830.08111121197</v>
      </c>
      <c r="R92" s="5">
        <v>161323.61146578012</v>
      </c>
      <c r="S92" s="5">
        <v>604974.2323505925</v>
      </c>
      <c r="T92" s="5">
        <v>49270.930623800668</v>
      </c>
      <c r="U92" s="5">
        <v>159676.18480492692</v>
      </c>
      <c r="V92" s="5">
        <v>438294.26711432496</v>
      </c>
      <c r="W92" s="5">
        <v>84888.69453487666</v>
      </c>
      <c r="X92" s="5">
        <v>122748.87969017158</v>
      </c>
      <c r="Y92" s="5">
        <v>55546.452457473206</v>
      </c>
      <c r="Z92" s="5">
        <v>334663.829000542</v>
      </c>
      <c r="AA92" s="5">
        <v>3322874.6452832031</v>
      </c>
      <c r="AB92" s="69"/>
    </row>
    <row r="93" spans="1:28" x14ac:dyDescent="0.2">
      <c r="A93" s="25" t="s">
        <v>55</v>
      </c>
      <c r="B93" s="5">
        <v>3339120.4256016887</v>
      </c>
      <c r="C93" s="5">
        <v>1849091.0834625282</v>
      </c>
      <c r="D93" s="5">
        <v>280997.94000623462</v>
      </c>
      <c r="E93" s="5">
        <v>800123.64292223239</v>
      </c>
      <c r="F93" s="5">
        <v>72106.248217376778</v>
      </c>
      <c r="G93" s="5">
        <v>274597.87238758191</v>
      </c>
      <c r="H93" s="5">
        <v>390690.27175326989</v>
      </c>
      <c r="I93" s="5">
        <v>235528.78592515981</v>
      </c>
      <c r="J93" s="5">
        <v>383811.57310929929</v>
      </c>
      <c r="K93" s="5">
        <v>208970.28619720013</v>
      </c>
      <c r="L93" s="5">
        <v>852828.87041742844</v>
      </c>
      <c r="M93" s="5">
        <v>8687867</v>
      </c>
      <c r="N93" s="69"/>
      <c r="O93" s="25" t="s">
        <v>55</v>
      </c>
      <c r="P93" s="5">
        <v>784102.23059270997</v>
      </c>
      <c r="Q93" s="5">
        <v>582831.66131705174</v>
      </c>
      <c r="R93" s="5">
        <v>141517.1528315066</v>
      </c>
      <c r="S93" s="5">
        <v>507597.63644193893</v>
      </c>
      <c r="T93" s="5">
        <v>35414.150749170498</v>
      </c>
      <c r="U93" s="5">
        <v>173700.07075897692</v>
      </c>
      <c r="V93" s="5">
        <v>246193.71403053368</v>
      </c>
      <c r="W93" s="5">
        <v>96220.177332225023</v>
      </c>
      <c r="X93" s="5">
        <v>269640.92718488444</v>
      </c>
      <c r="Y93" s="5">
        <v>102004.37476590481</v>
      </c>
      <c r="Z93" s="5">
        <v>343126.03706787474</v>
      </c>
      <c r="AA93" s="5">
        <v>3282348.1330727772</v>
      </c>
      <c r="AB93" s="69"/>
    </row>
    <row r="94" spans="1:28" x14ac:dyDescent="0.2">
      <c r="A94" s="25" t="s">
        <v>56</v>
      </c>
      <c r="B94" s="5">
        <v>2065744.7376610104</v>
      </c>
      <c r="C94" s="5">
        <v>2530830.3087759553</v>
      </c>
      <c r="D94" s="5">
        <v>283326.9748212804</v>
      </c>
      <c r="E94" s="5">
        <v>899401.74080824107</v>
      </c>
      <c r="F94" s="5">
        <v>69333.257410612961</v>
      </c>
      <c r="G94" s="5">
        <v>318023.90469823306</v>
      </c>
      <c r="H94" s="5">
        <v>6494.318855242851</v>
      </c>
      <c r="I94" s="5">
        <v>255137.81503349906</v>
      </c>
      <c r="J94" s="5">
        <v>676632.63137260661</v>
      </c>
      <c r="K94" s="5">
        <v>489943.33383413346</v>
      </c>
      <c r="L94" s="5">
        <v>1113659.9767291851</v>
      </c>
      <c r="M94" s="5">
        <v>8708529</v>
      </c>
      <c r="N94" s="69"/>
      <c r="O94" s="25" t="s">
        <v>56</v>
      </c>
      <c r="P94" s="5">
        <v>438678.22494780034</v>
      </c>
      <c r="Q94" s="5">
        <v>548554.87398192077</v>
      </c>
      <c r="R94" s="5">
        <v>93919.314572825955</v>
      </c>
      <c r="S94" s="5">
        <v>370058.19433845463</v>
      </c>
      <c r="T94" s="5">
        <v>22173.56126442126</v>
      </c>
      <c r="U94" s="5">
        <v>145764.72706197356</v>
      </c>
      <c r="V94" s="5">
        <v>5524.9267525834557</v>
      </c>
      <c r="W94" s="5">
        <v>77520.253550966896</v>
      </c>
      <c r="X94" s="5">
        <v>331258.32872166258</v>
      </c>
      <c r="Y94" s="5">
        <v>134402.31415524581</v>
      </c>
      <c r="Z94" s="5">
        <v>279788.84209149051</v>
      </c>
      <c r="AA94" s="5">
        <v>2447643.5614393461</v>
      </c>
      <c r="AB94" s="69"/>
    </row>
    <row r="95" spans="1:28" x14ac:dyDescent="0.2">
      <c r="A95" s="25" t="s">
        <v>57</v>
      </c>
      <c r="B95" s="5">
        <v>1236215.3688305051</v>
      </c>
      <c r="C95" s="5">
        <v>1977653.1543879777</v>
      </c>
      <c r="D95" s="5">
        <v>250199.4874106402</v>
      </c>
      <c r="E95" s="5">
        <v>646279.37040412053</v>
      </c>
      <c r="F95" s="5">
        <v>53669.128705306481</v>
      </c>
      <c r="G95" s="5">
        <v>263818.45234911656</v>
      </c>
      <c r="H95" s="5">
        <v>1148.6594276214253</v>
      </c>
      <c r="I95" s="5">
        <v>243400.40751674952</v>
      </c>
      <c r="J95" s="5">
        <v>674871.81568630331</v>
      </c>
      <c r="K95" s="5">
        <v>676028.66691706667</v>
      </c>
      <c r="L95" s="5">
        <v>928650.48836459254</v>
      </c>
      <c r="M95" s="5">
        <v>6951935</v>
      </c>
      <c r="N95" s="69"/>
      <c r="O95" s="25" t="s">
        <v>57</v>
      </c>
      <c r="P95" s="5">
        <v>288145.49805018562</v>
      </c>
      <c r="Q95" s="5">
        <v>422454.60408099997</v>
      </c>
      <c r="R95" s="5">
        <v>81577.348326319101</v>
      </c>
      <c r="S95" s="5">
        <v>242187.7673138612</v>
      </c>
      <c r="T95" s="5">
        <v>15974.518022401426</v>
      </c>
      <c r="U95" s="5">
        <v>97019.347997158053</v>
      </c>
      <c r="V95" s="5">
        <v>155.56534371608706</v>
      </c>
      <c r="W95" s="5">
        <v>62216.709283785363</v>
      </c>
      <c r="X95" s="5">
        <v>333758.3737908777</v>
      </c>
      <c r="Y95" s="5">
        <v>146355.85619005139</v>
      </c>
      <c r="Z95" s="5">
        <v>233016.46725238048</v>
      </c>
      <c r="AA95" s="5">
        <v>1922862.0556517364</v>
      </c>
      <c r="AB95" s="69"/>
    </row>
    <row r="96" spans="1:28" x14ac:dyDescent="0.2">
      <c r="A96" s="25" t="s">
        <v>3</v>
      </c>
      <c r="B96" s="5">
        <v>224248</v>
      </c>
      <c r="C96" s="5">
        <v>503687</v>
      </c>
      <c r="D96" s="5">
        <v>102722</v>
      </c>
      <c r="E96" s="5">
        <v>173699</v>
      </c>
      <c r="F96" s="5">
        <v>18622</v>
      </c>
      <c r="G96" s="5">
        <v>92708</v>
      </c>
      <c r="H96" s="5">
        <v>557</v>
      </c>
      <c r="I96" s="5">
        <v>122634</v>
      </c>
      <c r="J96" s="5">
        <v>315066</v>
      </c>
      <c r="K96" s="5">
        <v>357877</v>
      </c>
      <c r="L96" s="5">
        <v>332050</v>
      </c>
      <c r="M96" s="5">
        <v>2243870</v>
      </c>
      <c r="N96" s="69"/>
      <c r="O96" s="25" t="s">
        <v>3</v>
      </c>
      <c r="P96" s="5">
        <v>34314.409341342121</v>
      </c>
      <c r="Q96" s="5">
        <v>81753.190708513823</v>
      </c>
      <c r="R96" s="5">
        <v>21896.22583127406</v>
      </c>
      <c r="S96" s="5">
        <v>42978.605831639368</v>
      </c>
      <c r="T96" s="5">
        <v>3510.4341198155407</v>
      </c>
      <c r="U96" s="5">
        <v>22184.560834178963</v>
      </c>
      <c r="V96" s="5">
        <v>45.569646139055806</v>
      </c>
      <c r="W96" s="5">
        <v>20655.620637858225</v>
      </c>
      <c r="X96" s="5">
        <v>107047.81288196682</v>
      </c>
      <c r="Y96" s="5">
        <v>48862.283366935604</v>
      </c>
      <c r="Z96" s="5">
        <v>52509.51377872334</v>
      </c>
      <c r="AA96" s="5">
        <v>435758.22697838699</v>
      </c>
      <c r="AB96" s="69"/>
    </row>
    <row r="97" spans="1:28" x14ac:dyDescent="0.2">
      <c r="A97" s="29" t="s">
        <v>60</v>
      </c>
      <c r="B97" s="58">
        <v>12146747.142110145</v>
      </c>
      <c r="C97" s="58">
        <v>8770208.207282979</v>
      </c>
      <c r="D97" s="58">
        <v>1355157.5859497099</v>
      </c>
      <c r="E97" s="58">
        <v>3810162.0822588867</v>
      </c>
      <c r="F97" s="58">
        <v>357841.94690332626</v>
      </c>
      <c r="G97" s="58">
        <v>1257675.3279970717</v>
      </c>
      <c r="H97" s="58">
        <v>1833419.8515032148</v>
      </c>
      <c r="I97" s="58">
        <v>1133026.9981589429</v>
      </c>
      <c r="J97" s="58">
        <v>2267869.00112066</v>
      </c>
      <c r="K97" s="58">
        <v>1854242.9066041335</v>
      </c>
      <c r="L97" s="58">
        <v>4138129.9501109305</v>
      </c>
      <c r="M97" s="58">
        <v>38924481</v>
      </c>
      <c r="N97" s="69"/>
      <c r="O97" s="29" t="s">
        <v>60</v>
      </c>
      <c r="P97" s="58">
        <v>2430967.832032097</v>
      </c>
      <c r="Q97" s="58">
        <v>2189050.5276836208</v>
      </c>
      <c r="R97" s="58">
        <v>518348.42906115577</v>
      </c>
      <c r="S97" s="58">
        <v>1875289.6671954889</v>
      </c>
      <c r="T97" s="58">
        <v>133935.11951022394</v>
      </c>
      <c r="U97" s="58">
        <v>615862.07122656459</v>
      </c>
      <c r="V97" s="58">
        <v>719218.10931776615</v>
      </c>
      <c r="W97" s="58">
        <v>350689.8940147736</v>
      </c>
      <c r="X97" s="58">
        <v>1171251.1018914818</v>
      </c>
      <c r="Y97" s="58">
        <v>492870.05156228488</v>
      </c>
      <c r="Z97" s="58">
        <v>1277481.1965045431</v>
      </c>
      <c r="AA97" s="58">
        <v>11774964</v>
      </c>
      <c r="AB97" s="69"/>
    </row>
    <row r="98" spans="1:28" x14ac:dyDescent="0.2">
      <c r="A98" s="147" t="s">
        <v>1109</v>
      </c>
      <c r="B98" s="147"/>
      <c r="C98" s="147"/>
      <c r="D98" s="147"/>
      <c r="E98" s="147"/>
      <c r="F98" s="147"/>
      <c r="G98" s="147"/>
      <c r="H98" s="147"/>
      <c r="I98" s="147"/>
      <c r="J98" s="147"/>
      <c r="K98" s="147"/>
      <c r="L98" s="147"/>
      <c r="M98" s="147"/>
      <c r="N98" s="69"/>
      <c r="O98" s="147" t="s">
        <v>1109</v>
      </c>
      <c r="P98" s="147"/>
      <c r="Q98" s="147"/>
      <c r="R98" s="147"/>
      <c r="S98" s="147"/>
      <c r="T98" s="147"/>
      <c r="U98" s="147"/>
      <c r="V98" s="147"/>
      <c r="W98" s="147"/>
      <c r="X98" s="147"/>
      <c r="Y98" s="147"/>
      <c r="Z98" s="147"/>
      <c r="AA98" s="147"/>
      <c r="AB98" s="69"/>
    </row>
    <row r="99" spans="1:28" x14ac:dyDescent="0.2">
      <c r="N99" s="69"/>
      <c r="P99" s="6"/>
      <c r="Q99" s="6"/>
      <c r="R99" s="6"/>
      <c r="S99" s="6"/>
      <c r="AB99" s="69"/>
    </row>
    <row r="100" spans="1:28" x14ac:dyDescent="0.2">
      <c r="A100" s="7" t="s">
        <v>165</v>
      </c>
      <c r="N100" s="69"/>
      <c r="O100" s="7" t="s">
        <v>168</v>
      </c>
      <c r="P100" s="6"/>
      <c r="Q100" s="6"/>
      <c r="R100" s="6"/>
      <c r="S100" s="6"/>
      <c r="AB100" s="69"/>
    </row>
    <row r="101" spans="1:28" x14ac:dyDescent="0.2">
      <c r="A101" s="148" t="s">
        <v>1009</v>
      </c>
      <c r="B101" s="148"/>
      <c r="C101" s="148"/>
      <c r="D101" s="148"/>
      <c r="E101" s="148"/>
      <c r="F101" s="148"/>
      <c r="G101" s="148"/>
      <c r="H101" s="148"/>
      <c r="I101" s="148"/>
      <c r="J101" s="148"/>
      <c r="K101" s="148"/>
      <c r="L101" s="148"/>
      <c r="M101" s="148"/>
      <c r="N101" s="69"/>
      <c r="O101" s="148" t="s">
        <v>416</v>
      </c>
      <c r="P101" s="148"/>
      <c r="Q101" s="148"/>
      <c r="R101" s="148"/>
      <c r="S101" s="148"/>
      <c r="T101" s="148"/>
      <c r="U101" s="148"/>
      <c r="V101" s="148"/>
      <c r="W101" s="148"/>
      <c r="X101" s="148"/>
      <c r="Y101" s="148"/>
      <c r="Z101" s="148"/>
      <c r="AA101" s="148"/>
      <c r="AB101" s="69"/>
    </row>
    <row r="102" spans="1:28" ht="51" x14ac:dyDescent="0.2">
      <c r="A102" s="24" t="s">
        <v>208</v>
      </c>
      <c r="B102" s="44" t="s">
        <v>9</v>
      </c>
      <c r="C102" s="44" t="s">
        <v>511</v>
      </c>
      <c r="D102" s="44" t="s">
        <v>11</v>
      </c>
      <c r="E102" s="44" t="s">
        <v>672</v>
      </c>
      <c r="F102" s="44" t="s">
        <v>13</v>
      </c>
      <c r="G102" s="44" t="s">
        <v>230</v>
      </c>
      <c r="H102" s="44" t="s">
        <v>231</v>
      </c>
      <c r="I102" s="44" t="s">
        <v>673</v>
      </c>
      <c r="J102" s="44" t="s">
        <v>233</v>
      </c>
      <c r="K102" s="44" t="s">
        <v>512</v>
      </c>
      <c r="L102" s="44" t="s">
        <v>31</v>
      </c>
      <c r="M102" s="44" t="s">
        <v>64</v>
      </c>
      <c r="N102" s="69"/>
      <c r="O102" s="24" t="s">
        <v>208</v>
      </c>
      <c r="P102" s="44" t="s">
        <v>9</v>
      </c>
      <c r="Q102" s="44" t="s">
        <v>511</v>
      </c>
      <c r="R102" s="44" t="s">
        <v>11</v>
      </c>
      <c r="S102" s="44" t="s">
        <v>672</v>
      </c>
      <c r="T102" s="44" t="s">
        <v>13</v>
      </c>
      <c r="U102" s="44" t="s">
        <v>230</v>
      </c>
      <c r="V102" s="44" t="s">
        <v>231</v>
      </c>
      <c r="W102" s="44" t="s">
        <v>673</v>
      </c>
      <c r="X102" s="44" t="s">
        <v>233</v>
      </c>
      <c r="Y102" s="44" t="s">
        <v>512</v>
      </c>
      <c r="Z102" s="44" t="s">
        <v>31</v>
      </c>
      <c r="AA102" s="44" t="s">
        <v>64</v>
      </c>
      <c r="AB102" s="69"/>
    </row>
    <row r="103" spans="1:28" x14ac:dyDescent="0.2">
      <c r="A103" s="30" t="s">
        <v>14</v>
      </c>
      <c r="B103" s="4">
        <v>37798</v>
      </c>
      <c r="C103" s="4">
        <v>45217</v>
      </c>
      <c r="D103" s="4">
        <v>13077</v>
      </c>
      <c r="E103" s="4">
        <v>35870</v>
      </c>
      <c r="F103" s="4">
        <v>4210</v>
      </c>
      <c r="G103" s="4">
        <v>15001</v>
      </c>
      <c r="H103" s="4">
        <v>34792</v>
      </c>
      <c r="I103" s="4">
        <v>17199</v>
      </c>
      <c r="J103" s="4">
        <v>20563</v>
      </c>
      <c r="K103" s="4">
        <v>16899</v>
      </c>
      <c r="L103" s="4">
        <v>24468</v>
      </c>
      <c r="M103" s="4">
        <v>265094</v>
      </c>
      <c r="N103" s="69"/>
      <c r="O103" s="30" t="s">
        <v>14</v>
      </c>
      <c r="P103" s="4">
        <v>7391.3077900273511</v>
      </c>
      <c r="Q103" s="4">
        <v>10291.405310143455</v>
      </c>
      <c r="R103" s="4">
        <v>3357.1448646497893</v>
      </c>
      <c r="S103" s="4">
        <v>9702.9235393807703</v>
      </c>
      <c r="T103" s="4">
        <v>970.03431364733399</v>
      </c>
      <c r="U103" s="4">
        <v>4123.8070399821781</v>
      </c>
      <c r="V103" s="4">
        <v>7611.3146935312179</v>
      </c>
      <c r="W103" s="4">
        <v>2161.4870703577535</v>
      </c>
      <c r="X103" s="4">
        <v>6897.3413726112203</v>
      </c>
      <c r="Y103" s="4">
        <v>3285.5224590309454</v>
      </c>
      <c r="Z103" s="4">
        <v>8654.0338018782659</v>
      </c>
      <c r="AA103" s="4">
        <v>64446.322255240273</v>
      </c>
      <c r="AB103" s="69"/>
    </row>
    <row r="104" spans="1:28" x14ac:dyDescent="0.2">
      <c r="A104" s="31" t="s">
        <v>15</v>
      </c>
      <c r="B104" s="5">
        <v>237732</v>
      </c>
      <c r="C104" s="5">
        <v>122981</v>
      </c>
      <c r="D104" s="5">
        <v>15801</v>
      </c>
      <c r="E104" s="5">
        <v>56378</v>
      </c>
      <c r="F104" s="5">
        <v>6121</v>
      </c>
      <c r="G104" s="5">
        <v>22198</v>
      </c>
      <c r="H104" s="5">
        <v>29103</v>
      </c>
      <c r="I104" s="5">
        <v>23562</v>
      </c>
      <c r="J104" s="5">
        <v>41528</v>
      </c>
      <c r="K104" s="5">
        <v>26773</v>
      </c>
      <c r="L104" s="5">
        <v>43738</v>
      </c>
      <c r="M104" s="5">
        <v>625915</v>
      </c>
      <c r="N104" s="69"/>
      <c r="O104" s="31" t="s">
        <v>15</v>
      </c>
      <c r="P104" s="5">
        <v>54530.946764392975</v>
      </c>
      <c r="Q104" s="5">
        <v>44027.635088218507</v>
      </c>
      <c r="R104" s="5">
        <v>7440.0831425891793</v>
      </c>
      <c r="S104" s="5">
        <v>35134.132793352233</v>
      </c>
      <c r="T104" s="5">
        <v>2506.8139594257586</v>
      </c>
      <c r="U104" s="5">
        <v>10816.011768744003</v>
      </c>
      <c r="V104" s="5">
        <v>10180.286472912134</v>
      </c>
      <c r="W104" s="5">
        <v>6773.6258955362073</v>
      </c>
      <c r="X104" s="5">
        <v>16993.617572932086</v>
      </c>
      <c r="Y104" s="5">
        <v>12269.12647322386</v>
      </c>
      <c r="Z104" s="5">
        <v>26602.337760373201</v>
      </c>
      <c r="AA104" s="5">
        <v>227274.61769170011</v>
      </c>
      <c r="AB104" s="69"/>
    </row>
    <row r="105" spans="1:28" ht="15" customHeight="1" x14ac:dyDescent="0.2">
      <c r="A105" s="31" t="s">
        <v>16</v>
      </c>
      <c r="B105" s="5">
        <v>267054</v>
      </c>
      <c r="C105" s="5">
        <v>267166</v>
      </c>
      <c r="D105" s="5">
        <v>39526</v>
      </c>
      <c r="E105" s="5">
        <v>124651</v>
      </c>
      <c r="F105" s="5">
        <v>9941</v>
      </c>
      <c r="G105" s="5">
        <v>33774</v>
      </c>
      <c r="H105" s="5">
        <v>71737</v>
      </c>
      <c r="I105" s="5">
        <v>30978</v>
      </c>
      <c r="J105" s="5">
        <v>65783</v>
      </c>
      <c r="K105" s="5">
        <v>48909</v>
      </c>
      <c r="L105" s="5">
        <v>132954</v>
      </c>
      <c r="M105" s="5">
        <v>1092473</v>
      </c>
      <c r="N105" s="69"/>
      <c r="O105" s="31" t="s">
        <v>16</v>
      </c>
      <c r="P105" s="5">
        <v>84465.237016587882</v>
      </c>
      <c r="Q105" s="5">
        <v>146289.1423405945</v>
      </c>
      <c r="R105" s="5">
        <v>25052.584194652038</v>
      </c>
      <c r="S105" s="5">
        <v>109879.29791733398</v>
      </c>
      <c r="T105" s="5">
        <v>6169.1123345577107</v>
      </c>
      <c r="U105" s="5">
        <v>34516.34927206501</v>
      </c>
      <c r="V105" s="5">
        <v>35738.840926956029</v>
      </c>
      <c r="W105" s="5">
        <v>21812.899230329072</v>
      </c>
      <c r="X105" s="5">
        <v>51495.169157561577</v>
      </c>
      <c r="Y105" s="5">
        <v>31493.155433157001</v>
      </c>
      <c r="Z105" s="5">
        <v>65440.182536315682</v>
      </c>
      <c r="AA105" s="5">
        <v>612351.9703601104</v>
      </c>
      <c r="AB105" s="69"/>
    </row>
    <row r="106" spans="1:28" ht="15" customHeight="1" x14ac:dyDescent="0.2">
      <c r="A106" s="31" t="s">
        <v>17</v>
      </c>
      <c r="B106" s="5">
        <v>196988.90797456031</v>
      </c>
      <c r="C106" s="5">
        <v>164465.09599960723</v>
      </c>
      <c r="D106" s="5">
        <v>24918.332608063771</v>
      </c>
      <c r="E106" s="5">
        <v>70527.55836257679</v>
      </c>
      <c r="F106" s="5">
        <v>6328.6159468238648</v>
      </c>
      <c r="G106" s="5">
        <v>26199.164813629133</v>
      </c>
      <c r="H106" s="5">
        <v>43235.155832188248</v>
      </c>
      <c r="I106" s="5">
        <v>29702.950258729888</v>
      </c>
      <c r="J106" s="5">
        <v>46278.903641594479</v>
      </c>
      <c r="K106" s="5">
        <v>47118.191674533628</v>
      </c>
      <c r="L106" s="5">
        <v>64708.12288769264</v>
      </c>
      <c r="M106" s="5">
        <v>720470.99999999988</v>
      </c>
      <c r="N106" s="69"/>
      <c r="O106" s="31" t="s">
        <v>17</v>
      </c>
      <c r="P106" s="5">
        <v>22456.616836827066</v>
      </c>
      <c r="Q106" s="5">
        <v>36777.219162552457</v>
      </c>
      <c r="R106" s="5">
        <v>7348.3084036971823</v>
      </c>
      <c r="S106" s="5">
        <v>26639.435162770427</v>
      </c>
      <c r="T106" s="5">
        <v>1354.8204395126572</v>
      </c>
      <c r="U106" s="5">
        <v>8230.8835162789583</v>
      </c>
      <c r="V106" s="5">
        <v>8781.843262647446</v>
      </c>
      <c r="W106" s="5">
        <v>6048.615224782392</v>
      </c>
      <c r="X106" s="5">
        <v>14904.848438769619</v>
      </c>
      <c r="Y106" s="5">
        <v>7156.3308973609956</v>
      </c>
      <c r="Z106" s="5">
        <v>20053.385938275595</v>
      </c>
      <c r="AA106" s="5">
        <v>159752.3072834748</v>
      </c>
      <c r="AB106" s="69"/>
    </row>
    <row r="107" spans="1:28" ht="15" customHeight="1" x14ac:dyDescent="0.2">
      <c r="A107" s="31" t="s">
        <v>18</v>
      </c>
      <c r="B107" s="5">
        <v>440947</v>
      </c>
      <c r="C107" s="5">
        <v>200809</v>
      </c>
      <c r="D107" s="5">
        <v>38211</v>
      </c>
      <c r="E107" s="5">
        <v>101789</v>
      </c>
      <c r="F107" s="5">
        <v>9417</v>
      </c>
      <c r="G107" s="5">
        <v>42688</v>
      </c>
      <c r="H107" s="5">
        <v>61239</v>
      </c>
      <c r="I107" s="5">
        <v>32830</v>
      </c>
      <c r="J107" s="5">
        <v>80113</v>
      </c>
      <c r="K107" s="5">
        <v>49564</v>
      </c>
      <c r="L107" s="5">
        <v>131995</v>
      </c>
      <c r="M107" s="5">
        <v>1189602</v>
      </c>
      <c r="N107" s="69"/>
      <c r="O107" s="31" t="s">
        <v>18</v>
      </c>
      <c r="P107" s="5">
        <v>33919.754323635003</v>
      </c>
      <c r="Q107" s="5">
        <v>24111.995894589199</v>
      </c>
      <c r="R107" s="5">
        <v>7457.4886965169735</v>
      </c>
      <c r="S107" s="5">
        <v>19349.209584286047</v>
      </c>
      <c r="T107" s="5">
        <v>1811.1810086116573</v>
      </c>
      <c r="U107" s="5">
        <v>8563.7326474976326</v>
      </c>
      <c r="V107" s="5">
        <v>10866.046280437173</v>
      </c>
      <c r="W107" s="5">
        <v>4880.366589375586</v>
      </c>
      <c r="X107" s="5">
        <v>18981.03627147181</v>
      </c>
      <c r="Y107" s="5">
        <v>6982.2109241891958</v>
      </c>
      <c r="Z107" s="5">
        <v>15583.138756121192</v>
      </c>
      <c r="AA107" s="5">
        <v>152506.16097673145</v>
      </c>
      <c r="AB107" s="69"/>
    </row>
    <row r="108" spans="1:28" ht="15" customHeight="1" x14ac:dyDescent="0.2">
      <c r="A108" s="31" t="s">
        <v>19</v>
      </c>
      <c r="B108" s="5">
        <v>997265</v>
      </c>
      <c r="C108" s="5">
        <v>694184</v>
      </c>
      <c r="D108" s="5">
        <v>107490</v>
      </c>
      <c r="E108" s="5">
        <v>228219</v>
      </c>
      <c r="F108" s="5">
        <v>23769</v>
      </c>
      <c r="G108" s="5">
        <v>77059</v>
      </c>
      <c r="H108" s="5">
        <v>166619</v>
      </c>
      <c r="I108" s="5">
        <v>76716</v>
      </c>
      <c r="J108" s="5">
        <v>180837</v>
      </c>
      <c r="K108" s="5">
        <v>139888</v>
      </c>
      <c r="L108" s="5">
        <v>312814</v>
      </c>
      <c r="M108" s="5">
        <v>3004860</v>
      </c>
      <c r="N108" s="69"/>
      <c r="O108" s="31" t="s">
        <v>19</v>
      </c>
      <c r="P108" s="5">
        <v>144281.50976636165</v>
      </c>
      <c r="Q108" s="5">
        <v>138011.7464712669</v>
      </c>
      <c r="R108" s="5">
        <v>35678.220905806214</v>
      </c>
      <c r="S108" s="5">
        <v>108180.60825811824</v>
      </c>
      <c r="T108" s="5">
        <v>8417.31716338156</v>
      </c>
      <c r="U108" s="5">
        <v>36521.474674003417</v>
      </c>
      <c r="V108" s="5">
        <v>48158.393134460508</v>
      </c>
      <c r="W108" s="5">
        <v>22559.229408106221</v>
      </c>
      <c r="X108" s="5">
        <v>68310.193609728682</v>
      </c>
      <c r="Y108" s="5">
        <v>32630.08297239539</v>
      </c>
      <c r="Z108" s="5">
        <v>70869.694936123167</v>
      </c>
      <c r="AA108" s="5">
        <v>713618.47129975189</v>
      </c>
      <c r="AB108" s="69"/>
    </row>
    <row r="109" spans="1:28" ht="15" customHeight="1" x14ac:dyDescent="0.2">
      <c r="A109" s="31" t="s">
        <v>20</v>
      </c>
      <c r="B109" s="5">
        <v>6469678.2341355849</v>
      </c>
      <c r="C109" s="5">
        <v>4634500.1112833712</v>
      </c>
      <c r="D109" s="5">
        <v>720573.25334164617</v>
      </c>
      <c r="E109" s="5">
        <v>2050791.52389631</v>
      </c>
      <c r="F109" s="5">
        <v>174418.33095650238</v>
      </c>
      <c r="G109" s="5">
        <v>632444.16318344255</v>
      </c>
      <c r="H109" s="5">
        <v>732086.69567102648</v>
      </c>
      <c r="I109" s="5">
        <v>634060.04790021305</v>
      </c>
      <c r="J109" s="5">
        <v>1174511.0974790656</v>
      </c>
      <c r="K109" s="5">
        <v>970203.71492960013</v>
      </c>
      <c r="L109" s="5">
        <v>2311926.8272232381</v>
      </c>
      <c r="M109" s="5">
        <v>20505194</v>
      </c>
      <c r="N109" s="69"/>
      <c r="O109" s="31" t="s">
        <v>20</v>
      </c>
      <c r="P109" s="5">
        <v>1440637.8768027148</v>
      </c>
      <c r="Q109" s="5">
        <v>1278518.7421714226</v>
      </c>
      <c r="R109" s="5">
        <v>310435.22234452853</v>
      </c>
      <c r="S109" s="5">
        <v>1191554.9241794075</v>
      </c>
      <c r="T109" s="5">
        <v>83565.316451744846</v>
      </c>
      <c r="U109" s="5">
        <v>385397.79060146894</v>
      </c>
      <c r="V109" s="5">
        <v>441531.3159129027</v>
      </c>
      <c r="W109" s="5">
        <v>216189.37224967132</v>
      </c>
      <c r="X109" s="5">
        <v>757166.07034217985</v>
      </c>
      <c r="Y109" s="5">
        <v>287259.10217354953</v>
      </c>
      <c r="Z109" s="5">
        <v>796000.57097888622</v>
      </c>
      <c r="AA109" s="5">
        <v>7188256.3042084761</v>
      </c>
      <c r="AB109" s="69"/>
    </row>
    <row r="110" spans="1:28" ht="15" customHeight="1" x14ac:dyDescent="0.2">
      <c r="A110" s="31" t="s">
        <v>21</v>
      </c>
      <c r="B110" s="5">
        <v>859429</v>
      </c>
      <c r="C110" s="5">
        <v>675877</v>
      </c>
      <c r="D110" s="5">
        <v>77001</v>
      </c>
      <c r="E110" s="5">
        <v>227977</v>
      </c>
      <c r="F110" s="5">
        <v>23200</v>
      </c>
      <c r="G110" s="5">
        <v>85095</v>
      </c>
      <c r="H110" s="5">
        <v>212389</v>
      </c>
      <c r="I110" s="5">
        <v>74216</v>
      </c>
      <c r="J110" s="5">
        <v>132105</v>
      </c>
      <c r="K110" s="5">
        <v>129014</v>
      </c>
      <c r="L110" s="5">
        <v>236794</v>
      </c>
      <c r="M110" s="5">
        <v>2733097</v>
      </c>
      <c r="N110" s="69"/>
      <c r="O110" s="31" t="s">
        <v>21</v>
      </c>
      <c r="P110" s="5">
        <v>103634.73283700434</v>
      </c>
      <c r="Q110" s="5">
        <v>101069.5287843667</v>
      </c>
      <c r="R110" s="5">
        <v>18593.878564135572</v>
      </c>
      <c r="S110" s="5">
        <v>71675.596089681436</v>
      </c>
      <c r="T110" s="5">
        <v>4516.0681317088574</v>
      </c>
      <c r="U110" s="5">
        <v>22251.756919899923</v>
      </c>
      <c r="V110" s="5">
        <v>34048.845501110452</v>
      </c>
      <c r="W110" s="5">
        <v>12788.998272969626</v>
      </c>
      <c r="X110" s="5">
        <v>36076.004280026638</v>
      </c>
      <c r="Y110" s="5">
        <v>17673.177276937738</v>
      </c>
      <c r="Z110" s="5">
        <v>47448.140517083986</v>
      </c>
      <c r="AA110" s="5">
        <v>469776.72717492521</v>
      </c>
      <c r="AB110" s="69"/>
    </row>
    <row r="111" spans="1:28" ht="15" customHeight="1" x14ac:dyDescent="0.2">
      <c r="A111" s="31" t="s">
        <v>22</v>
      </c>
      <c r="B111" s="5">
        <v>530564</v>
      </c>
      <c r="C111" s="5">
        <v>389211</v>
      </c>
      <c r="D111" s="5">
        <v>63998</v>
      </c>
      <c r="E111" s="5">
        <v>168243</v>
      </c>
      <c r="F111" s="5">
        <v>12027</v>
      </c>
      <c r="G111" s="5">
        <v>70409</v>
      </c>
      <c r="H111" s="5">
        <v>93693</v>
      </c>
      <c r="I111" s="5">
        <v>45717</v>
      </c>
      <c r="J111" s="5">
        <v>113722</v>
      </c>
      <c r="K111" s="5">
        <v>79017</v>
      </c>
      <c r="L111" s="5">
        <v>136268</v>
      </c>
      <c r="M111" s="5">
        <v>1702869</v>
      </c>
      <c r="N111" s="69"/>
      <c r="O111" s="31" t="s">
        <v>22</v>
      </c>
      <c r="P111" s="5">
        <v>55240.968661423838</v>
      </c>
      <c r="Q111" s="5">
        <v>51917.420295732139</v>
      </c>
      <c r="R111" s="5">
        <v>12737.700828975521</v>
      </c>
      <c r="S111" s="5">
        <v>42666.83761390359</v>
      </c>
      <c r="T111" s="5">
        <v>2484.6297650945576</v>
      </c>
      <c r="U111" s="5">
        <v>14421.877356946319</v>
      </c>
      <c r="V111" s="5">
        <v>16068.635120436606</v>
      </c>
      <c r="W111" s="5">
        <v>6142.0117959056997</v>
      </c>
      <c r="X111" s="5">
        <v>25901.370703837223</v>
      </c>
      <c r="Y111" s="5">
        <v>10570.6652803753</v>
      </c>
      <c r="Z111" s="5">
        <v>27432.866810556774</v>
      </c>
      <c r="AA111" s="5">
        <v>265584.98423318757</v>
      </c>
      <c r="AB111" s="69"/>
    </row>
    <row r="112" spans="1:28" ht="15" customHeight="1" x14ac:dyDescent="0.2">
      <c r="A112" s="31" t="s">
        <v>23</v>
      </c>
      <c r="B112" s="5">
        <v>1273310</v>
      </c>
      <c r="C112" s="5">
        <v>957769</v>
      </c>
      <c r="D112" s="5">
        <v>150693</v>
      </c>
      <c r="E112" s="5">
        <v>439305</v>
      </c>
      <c r="F112" s="5">
        <v>39335</v>
      </c>
      <c r="G112" s="5">
        <v>142313</v>
      </c>
      <c r="H112" s="5">
        <v>281131</v>
      </c>
      <c r="I112" s="5">
        <v>97462</v>
      </c>
      <c r="J112" s="5">
        <v>220571</v>
      </c>
      <c r="K112" s="5">
        <v>191704</v>
      </c>
      <c r="L112" s="5">
        <v>396652</v>
      </c>
      <c r="M112" s="5">
        <v>4190245</v>
      </c>
      <c r="N112" s="69"/>
      <c r="O112" s="31" t="s">
        <v>23</v>
      </c>
      <c r="P112" s="5">
        <v>261721.34541200622</v>
      </c>
      <c r="Q112" s="5">
        <v>192556.45096238266</v>
      </c>
      <c r="R112" s="5">
        <v>47903.249055454027</v>
      </c>
      <c r="S112" s="5">
        <v>127222.36050278995</v>
      </c>
      <c r="T112" s="5">
        <v>11846.35977286155</v>
      </c>
      <c r="U112" s="5">
        <v>40604.424016952507</v>
      </c>
      <c r="V112" s="5">
        <v>62391.472557618778</v>
      </c>
      <c r="W112" s="5">
        <v>25319.968730801978</v>
      </c>
      <c r="X112" s="5">
        <v>79094.513400211159</v>
      </c>
      <c r="Y112" s="5">
        <v>39753.172783969043</v>
      </c>
      <c r="Z112" s="5">
        <v>105389.8488422235</v>
      </c>
      <c r="AA112" s="5">
        <v>993803.16603727138</v>
      </c>
      <c r="AB112" s="69"/>
    </row>
    <row r="113" spans="1:28" ht="15" customHeight="1" x14ac:dyDescent="0.2">
      <c r="A113" s="31" t="s">
        <v>24</v>
      </c>
      <c r="B113" s="5">
        <v>376853</v>
      </c>
      <c r="C113" s="5">
        <v>248483</v>
      </c>
      <c r="D113" s="5">
        <v>43033</v>
      </c>
      <c r="E113" s="5">
        <v>106940</v>
      </c>
      <c r="F113" s="5">
        <v>11313</v>
      </c>
      <c r="G113" s="5">
        <v>26006</v>
      </c>
      <c r="H113" s="5">
        <v>57374</v>
      </c>
      <c r="I113" s="5">
        <v>25976</v>
      </c>
      <c r="J113" s="5">
        <v>71951</v>
      </c>
      <c r="K113" s="5">
        <v>49688</v>
      </c>
      <c r="L113" s="5">
        <v>162625</v>
      </c>
      <c r="M113" s="5">
        <v>1180242</v>
      </c>
      <c r="N113" s="69"/>
      <c r="O113" s="31" t="s">
        <v>24</v>
      </c>
      <c r="P113" s="5">
        <v>76046.665987114538</v>
      </c>
      <c r="Q113" s="5">
        <v>43161.392835392762</v>
      </c>
      <c r="R113" s="5">
        <v>13938.684049993211</v>
      </c>
      <c r="S113" s="5">
        <v>35297.370453044379</v>
      </c>
      <c r="T113" s="5">
        <v>2757.1784383064601</v>
      </c>
      <c r="U113" s="5">
        <v>13524.769698518841</v>
      </c>
      <c r="V113" s="5">
        <v>17571.605229769775</v>
      </c>
      <c r="W113" s="5">
        <v>8834.6824311726068</v>
      </c>
      <c r="X113" s="5">
        <v>37787.87648171703</v>
      </c>
      <c r="Y113" s="5">
        <v>13601.935722411643</v>
      </c>
      <c r="Z113" s="5">
        <v>29200.321557888157</v>
      </c>
      <c r="AA113" s="5">
        <v>291722.48288532946</v>
      </c>
      <c r="AB113" s="69"/>
    </row>
    <row r="114" spans="1:28" ht="15" customHeight="1" x14ac:dyDescent="0.2">
      <c r="A114" s="31" t="s">
        <v>25</v>
      </c>
      <c r="B114" s="5">
        <v>58132</v>
      </c>
      <c r="C114" s="5">
        <v>38152</v>
      </c>
      <c r="D114" s="5">
        <v>7054</v>
      </c>
      <c r="E114" s="5">
        <v>26091</v>
      </c>
      <c r="F114" s="5">
        <v>2700</v>
      </c>
      <c r="G114" s="5">
        <v>15640</v>
      </c>
      <c r="H114" s="5">
        <v>6569</v>
      </c>
      <c r="I114" s="5">
        <v>6628</v>
      </c>
      <c r="J114" s="5">
        <v>25988</v>
      </c>
      <c r="K114" s="5">
        <v>18398</v>
      </c>
      <c r="L114" s="5">
        <v>23387</v>
      </c>
      <c r="M114" s="5">
        <v>228739</v>
      </c>
      <c r="N114" s="69"/>
      <c r="O114" s="31" t="s">
        <v>25</v>
      </c>
      <c r="P114" s="5">
        <v>25986.168895118593</v>
      </c>
      <c r="Q114" s="5">
        <v>19933.090960627629</v>
      </c>
      <c r="R114" s="5">
        <v>4560.25512908167</v>
      </c>
      <c r="S114" s="5">
        <v>14750.028143250902</v>
      </c>
      <c r="T114" s="5">
        <v>1441.9726315280914</v>
      </c>
      <c r="U114" s="5">
        <v>5885.0896391187698</v>
      </c>
      <c r="V114" s="5">
        <v>2709.7806713056407</v>
      </c>
      <c r="W114" s="5">
        <v>2863.6338502044873</v>
      </c>
      <c r="X114" s="5">
        <v>10594.287723689838</v>
      </c>
      <c r="Y114" s="5">
        <v>5612.9947715200369</v>
      </c>
      <c r="Z114" s="5">
        <v>12726.30938464845</v>
      </c>
      <c r="AA114" s="5">
        <v>107063.61180009409</v>
      </c>
      <c r="AB114" s="69"/>
    </row>
    <row r="115" spans="1:28" ht="15" customHeight="1" x14ac:dyDescent="0.2">
      <c r="A115" s="31" t="s">
        <v>26</v>
      </c>
      <c r="B115" s="5">
        <v>294848</v>
      </c>
      <c r="C115" s="5">
        <v>229903</v>
      </c>
      <c r="D115" s="5">
        <v>43750</v>
      </c>
      <c r="E115" s="5">
        <v>126554</v>
      </c>
      <c r="F115" s="5">
        <v>11235</v>
      </c>
      <c r="G115" s="5">
        <v>47206</v>
      </c>
      <c r="H115" s="5">
        <v>28624</v>
      </c>
      <c r="I115" s="5">
        <v>25006</v>
      </c>
      <c r="J115" s="5">
        <v>79104</v>
      </c>
      <c r="K115" s="5">
        <v>63881</v>
      </c>
      <c r="L115" s="5">
        <v>110231</v>
      </c>
      <c r="M115" s="5">
        <v>1060342</v>
      </c>
      <c r="N115" s="69"/>
      <c r="O115" s="31" t="s">
        <v>26</v>
      </c>
      <c r="P115" s="5">
        <v>88234.057435704512</v>
      </c>
      <c r="Q115" s="5">
        <v>63394.336883536991</v>
      </c>
      <c r="R115" s="5">
        <v>17679.295821384283</v>
      </c>
      <c r="S115" s="5">
        <v>55752.792527283054</v>
      </c>
      <c r="T115" s="5">
        <v>4462.1922311902254</v>
      </c>
      <c r="U115" s="5">
        <v>21898.302842462945</v>
      </c>
      <c r="V115" s="5">
        <v>18365.059418153251</v>
      </c>
      <c r="W115" s="5">
        <v>10264.124867178492</v>
      </c>
      <c r="X115" s="5">
        <v>27505.558067678448</v>
      </c>
      <c r="Y115" s="5">
        <v>17334.434783676235</v>
      </c>
      <c r="Z115" s="5">
        <v>35823.90983382635</v>
      </c>
      <c r="AA115" s="5">
        <v>360714.06471207482</v>
      </c>
      <c r="AB115" s="69"/>
    </row>
    <row r="116" spans="1:28" ht="15" customHeight="1" x14ac:dyDescent="0.2">
      <c r="A116" s="31" t="s">
        <v>27</v>
      </c>
      <c r="B116" s="5">
        <v>36669</v>
      </c>
      <c r="C116" s="5">
        <v>27661</v>
      </c>
      <c r="D116" s="5">
        <v>4129</v>
      </c>
      <c r="E116" s="5">
        <v>16599</v>
      </c>
      <c r="F116" s="5">
        <v>1840</v>
      </c>
      <c r="G116" s="5">
        <v>7169</v>
      </c>
      <c r="H116" s="5">
        <v>3455</v>
      </c>
      <c r="I116" s="5">
        <v>5577</v>
      </c>
      <c r="J116" s="5">
        <v>12797</v>
      </c>
      <c r="K116" s="5">
        <v>7254</v>
      </c>
      <c r="L116" s="5">
        <v>17742</v>
      </c>
      <c r="M116" s="5">
        <v>140892</v>
      </c>
      <c r="N116" s="69"/>
      <c r="O116" s="31" t="s">
        <v>27</v>
      </c>
      <c r="P116" s="5">
        <v>9805.8926135599359</v>
      </c>
      <c r="Q116" s="5">
        <v>7393.2031101977673</v>
      </c>
      <c r="R116" s="5">
        <v>1742.1377158636083</v>
      </c>
      <c r="S116" s="5">
        <v>6564.3726839309365</v>
      </c>
      <c r="T116" s="5">
        <v>361.28545053670859</v>
      </c>
      <c r="U116" s="5">
        <v>2466.2535627440898</v>
      </c>
      <c r="V116" s="5">
        <v>1419.0318418993888</v>
      </c>
      <c r="W116" s="5">
        <v>693.35081613574641</v>
      </c>
      <c r="X116" s="5">
        <v>3181.4535182201621</v>
      </c>
      <c r="Y116" s="5">
        <v>1817.1793563747892</v>
      </c>
      <c r="Z116" s="5">
        <v>3858.8634645240495</v>
      </c>
      <c r="AA116" s="5">
        <v>39303.024133987186</v>
      </c>
      <c r="AB116" s="69"/>
    </row>
    <row r="117" spans="1:28" ht="15" customHeight="1" x14ac:dyDescent="0.2">
      <c r="A117" s="31" t="s">
        <v>28</v>
      </c>
      <c r="B117" s="5">
        <v>69479</v>
      </c>
      <c r="C117" s="5">
        <v>73830</v>
      </c>
      <c r="D117" s="5">
        <v>5903</v>
      </c>
      <c r="E117" s="5">
        <v>30227</v>
      </c>
      <c r="F117" s="5">
        <v>21987</v>
      </c>
      <c r="G117" s="5">
        <v>14474</v>
      </c>
      <c r="H117" s="5">
        <v>11373</v>
      </c>
      <c r="I117" s="5">
        <v>7397</v>
      </c>
      <c r="J117" s="5">
        <v>2017</v>
      </c>
      <c r="K117" s="5">
        <v>15932</v>
      </c>
      <c r="L117" s="5">
        <v>31827</v>
      </c>
      <c r="M117" s="5">
        <v>284446</v>
      </c>
      <c r="N117" s="69"/>
      <c r="O117" s="31" t="s">
        <v>28</v>
      </c>
      <c r="P117" s="5">
        <v>22614.750889617906</v>
      </c>
      <c r="Q117" s="5">
        <v>31597.217412596299</v>
      </c>
      <c r="R117" s="5">
        <v>4424.1753438280193</v>
      </c>
      <c r="S117" s="5">
        <v>20919.777746955184</v>
      </c>
      <c r="T117" s="5">
        <v>1270.8374181159663</v>
      </c>
      <c r="U117" s="5">
        <v>6639.5476698811017</v>
      </c>
      <c r="V117" s="5">
        <v>3775.6382936251598</v>
      </c>
      <c r="W117" s="5">
        <v>3357.5275822463886</v>
      </c>
      <c r="X117" s="5">
        <v>16361.76095084655</v>
      </c>
      <c r="Y117" s="5">
        <v>5430.9602541131553</v>
      </c>
      <c r="Z117" s="5">
        <v>12397.591385818623</v>
      </c>
      <c r="AA117" s="5">
        <v>128789.78494764435</v>
      </c>
      <c r="AB117" s="69"/>
    </row>
    <row r="118" spans="1:28" ht="15" customHeight="1" x14ac:dyDescent="0.2">
      <c r="A118" s="29" t="s">
        <v>60</v>
      </c>
      <c r="B118" s="58">
        <v>12146747.142110145</v>
      </c>
      <c r="C118" s="58">
        <v>8770208.207282979</v>
      </c>
      <c r="D118" s="58">
        <v>1355157.5859497099</v>
      </c>
      <c r="E118" s="58">
        <v>3810162.0822588867</v>
      </c>
      <c r="F118" s="58">
        <v>357841.94690332626</v>
      </c>
      <c r="G118" s="58">
        <v>1257675.3279970717</v>
      </c>
      <c r="H118" s="58">
        <v>1833419.8515032148</v>
      </c>
      <c r="I118" s="58">
        <v>1133026.9981589429</v>
      </c>
      <c r="J118" s="58">
        <v>2267869.00112066</v>
      </c>
      <c r="K118" s="58">
        <v>1854242.9066041338</v>
      </c>
      <c r="L118" s="58">
        <v>4138129.9501109309</v>
      </c>
      <c r="M118" s="58">
        <v>38924481</v>
      </c>
      <c r="N118" s="69"/>
      <c r="O118" s="29" t="s">
        <v>60</v>
      </c>
      <c r="P118" s="58">
        <v>2430967.8320320961</v>
      </c>
      <c r="Q118" s="58">
        <v>2189050.5276836199</v>
      </c>
      <c r="R118" s="58">
        <v>518348.42906115588</v>
      </c>
      <c r="S118" s="58">
        <v>1875289.6671954885</v>
      </c>
      <c r="T118" s="58">
        <v>133935.11951022394</v>
      </c>
      <c r="U118" s="58">
        <v>615862.07122656459</v>
      </c>
      <c r="V118" s="58">
        <v>719218.10931776615</v>
      </c>
      <c r="W118" s="58">
        <v>350689.89401477354</v>
      </c>
      <c r="X118" s="58">
        <v>1171251.101891482</v>
      </c>
      <c r="Y118" s="58">
        <v>492870.05156228482</v>
      </c>
      <c r="Z118" s="58">
        <v>1277481.1965045428</v>
      </c>
      <c r="AA118" s="58">
        <v>11774963.999999998</v>
      </c>
      <c r="AB118" s="69"/>
    </row>
    <row r="119" spans="1:28" ht="15" customHeight="1" x14ac:dyDescent="0.2">
      <c r="A119" s="147" t="s">
        <v>1109</v>
      </c>
      <c r="B119" s="147"/>
      <c r="C119" s="147"/>
      <c r="D119" s="147"/>
      <c r="E119" s="147"/>
      <c r="F119" s="147"/>
      <c r="G119" s="147"/>
      <c r="H119" s="147"/>
      <c r="I119" s="147"/>
      <c r="J119" s="147"/>
      <c r="K119" s="147"/>
      <c r="L119" s="147"/>
      <c r="M119" s="147"/>
      <c r="O119" s="147" t="s">
        <v>1109</v>
      </c>
      <c r="P119" s="147"/>
      <c r="Q119" s="147"/>
      <c r="R119" s="147"/>
      <c r="S119" s="147"/>
      <c r="T119" s="147"/>
      <c r="U119" s="147"/>
      <c r="V119" s="147"/>
      <c r="W119" s="147"/>
      <c r="X119" s="147"/>
      <c r="Y119" s="147"/>
      <c r="Z119" s="147"/>
      <c r="AA119" s="147"/>
    </row>
    <row r="120" spans="1:28" ht="15" customHeight="1" x14ac:dyDescent="0.2"/>
    <row r="121" spans="1:28" ht="15" customHeight="1" x14ac:dyDescent="0.2"/>
    <row r="122" spans="1:28" ht="15" customHeight="1" x14ac:dyDescent="0.2"/>
    <row r="123" spans="1:28" ht="15" customHeight="1" x14ac:dyDescent="0.2"/>
    <row r="124" spans="1:28" ht="15" customHeight="1" x14ac:dyDescent="0.2"/>
    <row r="125" spans="1:28" ht="15" customHeight="1" x14ac:dyDescent="0.2"/>
    <row r="126" spans="1:28" ht="15" customHeight="1" x14ac:dyDescent="0.2"/>
    <row r="127" spans="1:28" ht="15" customHeight="1" x14ac:dyDescent="0.2"/>
    <row r="128" spans="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sheetData>
  <mergeCells count="27">
    <mergeCell ref="A4:D4"/>
    <mergeCell ref="A63:D63"/>
    <mergeCell ref="A21:M21"/>
    <mergeCell ref="O21:AA21"/>
    <mergeCell ref="O29:AA29"/>
    <mergeCell ref="A29:M29"/>
    <mergeCell ref="A42:M42"/>
    <mergeCell ref="O42:AA42"/>
    <mergeCell ref="A18:D18"/>
    <mergeCell ref="O26:AA26"/>
    <mergeCell ref="O39:AA39"/>
    <mergeCell ref="O60:AA60"/>
    <mergeCell ref="A26:M26"/>
    <mergeCell ref="A39:M39"/>
    <mergeCell ref="A60:M60"/>
    <mergeCell ref="O119:AA119"/>
    <mergeCell ref="O80:AA80"/>
    <mergeCell ref="A80:M80"/>
    <mergeCell ref="A88:M88"/>
    <mergeCell ref="O88:AA88"/>
    <mergeCell ref="O101:AA101"/>
    <mergeCell ref="A101:M101"/>
    <mergeCell ref="O85:AA85"/>
    <mergeCell ref="O98:AA98"/>
    <mergeCell ref="A85:M85"/>
    <mergeCell ref="A98:M98"/>
    <mergeCell ref="A119:M11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852"/>
  <sheetViews>
    <sheetView showGridLines="0" zoomScale="90" zoomScaleNormal="90" workbookViewId="0"/>
  </sheetViews>
  <sheetFormatPr baseColWidth="10" defaultColWidth="33.140625" defaultRowHeight="12.75" x14ac:dyDescent="0.2"/>
  <cols>
    <col min="1" max="1" width="40.7109375" style="3" customWidth="1"/>
    <col min="2" max="5" width="12.7109375" style="6" customWidth="1"/>
    <col min="6" max="13" width="12.7109375" style="3" customWidth="1"/>
    <col min="14" max="14" width="4.28515625" style="3" customWidth="1"/>
    <col min="15" max="15" width="40.7109375" style="3" customWidth="1"/>
    <col min="16" max="27" width="12.7109375" style="3" customWidth="1"/>
    <col min="28" max="39" width="15.7109375" style="3" customWidth="1"/>
    <col min="40" max="16384" width="33.140625" style="3"/>
  </cols>
  <sheetData>
    <row r="1" spans="1:5" ht="18.75" x14ac:dyDescent="0.3">
      <c r="A1" s="1" t="s">
        <v>204</v>
      </c>
    </row>
    <row r="2" spans="1:5" x14ac:dyDescent="0.2">
      <c r="A2" s="7"/>
    </row>
    <row r="3" spans="1:5" x14ac:dyDescent="0.2">
      <c r="A3" s="7" t="s">
        <v>169</v>
      </c>
    </row>
    <row r="4" spans="1:5" x14ac:dyDescent="0.2">
      <c r="A4" s="148" t="s">
        <v>417</v>
      </c>
      <c r="B4" s="148"/>
      <c r="C4" s="148"/>
      <c r="D4" s="148"/>
    </row>
    <row r="5" spans="1:5" x14ac:dyDescent="0.2">
      <c r="A5" s="8" t="s">
        <v>207</v>
      </c>
      <c r="B5" s="8" t="s">
        <v>0</v>
      </c>
      <c r="C5" s="8" t="s">
        <v>1</v>
      </c>
      <c r="D5" s="8" t="s">
        <v>59</v>
      </c>
    </row>
    <row r="6" spans="1:5" x14ac:dyDescent="0.2">
      <c r="A6" s="31" t="s">
        <v>9</v>
      </c>
      <c r="B6" s="4">
        <v>101725.06225296958</v>
      </c>
      <c r="C6" s="4">
        <v>118504.18982448809</v>
      </c>
      <c r="D6" s="4">
        <v>220229.25207745767</v>
      </c>
      <c r="E6" s="54"/>
    </row>
    <row r="7" spans="1:5" x14ac:dyDescent="0.2">
      <c r="A7" s="31" t="s">
        <v>10</v>
      </c>
      <c r="B7" s="5">
        <v>42602.444871426706</v>
      </c>
      <c r="C7" s="5">
        <v>38674.020058503971</v>
      </c>
      <c r="D7" s="5">
        <v>81276.464929930677</v>
      </c>
      <c r="E7" s="54"/>
    </row>
    <row r="8" spans="1:5" x14ac:dyDescent="0.2">
      <c r="A8" s="31" t="s">
        <v>11</v>
      </c>
      <c r="B8" s="5">
        <v>6974.0728260018277</v>
      </c>
      <c r="C8" s="5">
        <v>15084.787923109068</v>
      </c>
      <c r="D8" s="5">
        <v>22058.860749110896</v>
      </c>
      <c r="E8" s="54"/>
    </row>
    <row r="9" spans="1:5" x14ac:dyDescent="0.2">
      <c r="A9" s="31" t="s">
        <v>674</v>
      </c>
      <c r="B9" s="5">
        <v>7258.0757916721059</v>
      </c>
      <c r="C9" s="5">
        <v>13864.724195570414</v>
      </c>
      <c r="D9" s="5">
        <v>21122.799987242521</v>
      </c>
      <c r="E9" s="54"/>
    </row>
    <row r="10" spans="1:5" x14ac:dyDescent="0.2">
      <c r="A10" s="31" t="s">
        <v>13</v>
      </c>
      <c r="B10" s="5">
        <v>2570.0268372275159</v>
      </c>
      <c r="C10" s="5">
        <v>6009.3138842457165</v>
      </c>
      <c r="D10" s="5">
        <v>8579.3407214732324</v>
      </c>
      <c r="E10" s="54"/>
    </row>
    <row r="11" spans="1:5" x14ac:dyDescent="0.2">
      <c r="A11" s="31" t="s">
        <v>230</v>
      </c>
      <c r="B11" s="5">
        <v>2941.0307113953791</v>
      </c>
      <c r="C11" s="5">
        <v>5470.2857292101962</v>
      </c>
      <c r="D11" s="5">
        <v>8411.3164406055748</v>
      </c>
      <c r="E11" s="54"/>
    </row>
    <row r="12" spans="1:5" x14ac:dyDescent="0.2">
      <c r="A12" s="31" t="s">
        <v>231</v>
      </c>
      <c r="B12" s="5">
        <v>2581.0269520950269</v>
      </c>
      <c r="C12" s="5">
        <v>4321.2257104053488</v>
      </c>
      <c r="D12" s="5">
        <v>6902.2526625003757</v>
      </c>
      <c r="E12" s="54"/>
    </row>
    <row r="13" spans="1:5" x14ac:dyDescent="0.2">
      <c r="A13" s="31" t="s">
        <v>673</v>
      </c>
      <c r="B13" s="5">
        <v>2686.0280485576295</v>
      </c>
      <c r="C13" s="5">
        <v>3695.1930108650231</v>
      </c>
      <c r="D13" s="5">
        <v>6381.2210594226526</v>
      </c>
      <c r="E13" s="54"/>
    </row>
    <row r="14" spans="1:5" x14ac:dyDescent="0.2">
      <c r="A14" s="31" t="s">
        <v>233</v>
      </c>
      <c r="B14" s="5">
        <v>2124.0221798720795</v>
      </c>
      <c r="C14" s="5">
        <v>3737.1952047638947</v>
      </c>
      <c r="D14" s="5">
        <v>5861.2173846359747</v>
      </c>
      <c r="E14" s="54"/>
    </row>
    <row r="15" spans="1:5" x14ac:dyDescent="0.2">
      <c r="A15" s="31" t="s">
        <v>987</v>
      </c>
      <c r="B15" s="5">
        <v>4330.0452160292389</v>
      </c>
      <c r="C15" s="5">
        <v>2997.1565503552029</v>
      </c>
      <c r="D15" s="5">
        <v>7327.2017663844417</v>
      </c>
      <c r="E15" s="54"/>
    </row>
    <row r="16" spans="1:5" x14ac:dyDescent="0.2">
      <c r="A16" s="31" t="s">
        <v>31</v>
      </c>
      <c r="B16" s="5">
        <v>15735.164312752904</v>
      </c>
      <c r="C16" s="5">
        <v>17381.907908483077</v>
      </c>
      <c r="D16" s="5">
        <v>33117.072221235983</v>
      </c>
      <c r="E16" s="54"/>
    </row>
    <row r="17" spans="1:28" x14ac:dyDescent="0.2">
      <c r="A17" s="29" t="s">
        <v>60</v>
      </c>
      <c r="B17" s="58">
        <v>191527</v>
      </c>
      <c r="C17" s="58">
        <v>229740.00000000003</v>
      </c>
      <c r="D17" s="58">
        <v>421266.99999999988</v>
      </c>
      <c r="E17" s="54"/>
    </row>
    <row r="20" spans="1:28" x14ac:dyDescent="0.2">
      <c r="A20" s="7" t="s">
        <v>170</v>
      </c>
      <c r="O20" s="7" t="s">
        <v>173</v>
      </c>
      <c r="P20" s="6"/>
      <c r="Q20" s="6"/>
      <c r="R20" s="6"/>
      <c r="S20" s="6"/>
    </row>
    <row r="21" spans="1:28" x14ac:dyDescent="0.2">
      <c r="A21" s="148" t="s">
        <v>418</v>
      </c>
      <c r="B21" s="148"/>
      <c r="C21" s="148"/>
      <c r="D21" s="148"/>
      <c r="E21" s="148"/>
      <c r="F21" s="148"/>
      <c r="G21" s="148"/>
      <c r="H21" s="148"/>
      <c r="I21" s="148"/>
      <c r="J21" s="148"/>
      <c r="K21" s="148"/>
      <c r="L21" s="148"/>
      <c r="M21" s="148"/>
      <c r="O21" s="148" t="s">
        <v>419</v>
      </c>
      <c r="P21" s="148"/>
      <c r="Q21" s="148"/>
      <c r="R21" s="148"/>
      <c r="S21" s="148"/>
      <c r="T21" s="148"/>
      <c r="U21" s="148"/>
      <c r="V21" s="148"/>
      <c r="W21" s="148"/>
      <c r="X21" s="148"/>
      <c r="Y21" s="148"/>
      <c r="Z21" s="148"/>
      <c r="AA21" s="148"/>
    </row>
    <row r="22" spans="1:28" ht="51" x14ac:dyDescent="0.2">
      <c r="A22" s="44" t="s">
        <v>66</v>
      </c>
      <c r="B22" s="44" t="s">
        <v>9</v>
      </c>
      <c r="C22" s="44" t="s">
        <v>511</v>
      </c>
      <c r="D22" s="44" t="s">
        <v>11</v>
      </c>
      <c r="E22" s="44" t="s">
        <v>672</v>
      </c>
      <c r="F22" s="44" t="s">
        <v>13</v>
      </c>
      <c r="G22" s="44" t="s">
        <v>230</v>
      </c>
      <c r="H22" s="44" t="s">
        <v>231</v>
      </c>
      <c r="I22" s="44" t="s">
        <v>673</v>
      </c>
      <c r="J22" s="44" t="s">
        <v>233</v>
      </c>
      <c r="K22" s="44" t="s">
        <v>512</v>
      </c>
      <c r="L22" s="44" t="s">
        <v>31</v>
      </c>
      <c r="M22" s="44" t="s">
        <v>64</v>
      </c>
      <c r="O22" s="44" t="s">
        <v>66</v>
      </c>
      <c r="P22" s="44" t="s">
        <v>9</v>
      </c>
      <c r="Q22" s="44" t="s">
        <v>511</v>
      </c>
      <c r="R22" s="44" t="s">
        <v>11</v>
      </c>
      <c r="S22" s="44" t="s">
        <v>672</v>
      </c>
      <c r="T22" s="44" t="s">
        <v>13</v>
      </c>
      <c r="U22" s="44" t="s">
        <v>230</v>
      </c>
      <c r="V22" s="44" t="s">
        <v>231</v>
      </c>
      <c r="W22" s="44" t="s">
        <v>673</v>
      </c>
      <c r="X22" s="44" t="s">
        <v>233</v>
      </c>
      <c r="Y22" s="44" t="s">
        <v>512</v>
      </c>
      <c r="Z22" s="44" t="s">
        <v>31</v>
      </c>
      <c r="AA22" s="44" t="s">
        <v>64</v>
      </c>
    </row>
    <row r="23" spans="1:28" x14ac:dyDescent="0.2">
      <c r="A23" s="22" t="s">
        <v>5</v>
      </c>
      <c r="B23" s="4">
        <v>20122.062252969587</v>
      </c>
      <c r="C23" s="4">
        <v>16012.559312561129</v>
      </c>
      <c r="D23" s="23">
        <v>2696.0941735363981</v>
      </c>
      <c r="E23" s="23">
        <v>4403.1538004750591</v>
      </c>
      <c r="F23" s="23">
        <v>1155.040345116669</v>
      </c>
      <c r="G23" s="23">
        <v>1436.05016068185</v>
      </c>
      <c r="H23" s="23">
        <v>0</v>
      </c>
      <c r="I23" s="23">
        <v>942.03290484840022</v>
      </c>
      <c r="J23" s="23">
        <v>1025.0358041078664</v>
      </c>
      <c r="K23" s="23">
        <v>2991.1044781332962</v>
      </c>
      <c r="L23" s="23">
        <v>6475.2261771692047</v>
      </c>
      <c r="M23" s="23">
        <v>57258.359409599463</v>
      </c>
      <c r="N23" s="69"/>
      <c r="O23" s="22" t="s">
        <v>5</v>
      </c>
      <c r="P23" s="4">
        <v>42219.094912244043</v>
      </c>
      <c r="Q23" s="4">
        <v>22237.010029251986</v>
      </c>
      <c r="R23" s="23">
        <v>7640.3939615545341</v>
      </c>
      <c r="S23" s="23">
        <v>10024.362097785206</v>
      </c>
      <c r="T23" s="23">
        <v>3427.1569421228583</v>
      </c>
      <c r="U23" s="23">
        <v>3206.1428646050981</v>
      </c>
      <c r="V23" s="23">
        <v>6.1128552026744671</v>
      </c>
      <c r="W23" s="23">
        <v>1450.0965054325115</v>
      </c>
      <c r="X23" s="23">
        <v>1789.0976023819474</v>
      </c>
      <c r="Y23" s="23">
        <v>2038.0782751776014</v>
      </c>
      <c r="Z23" s="23">
        <v>8783.4539542415387</v>
      </c>
      <c r="AA23" s="23">
        <v>102821.00000000001</v>
      </c>
      <c r="AB23" s="69"/>
    </row>
    <row r="24" spans="1:28" x14ac:dyDescent="0.2">
      <c r="A24" s="25" t="s">
        <v>6</v>
      </c>
      <c r="B24" s="5">
        <v>81603</v>
      </c>
      <c r="C24" s="5">
        <v>26590</v>
      </c>
      <c r="D24" s="14">
        <v>4278</v>
      </c>
      <c r="E24" s="14">
        <v>2855</v>
      </c>
      <c r="F24" s="14">
        <v>1415</v>
      </c>
      <c r="G24" s="14">
        <v>1505</v>
      </c>
      <c r="H24" s="14">
        <v>2581</v>
      </c>
      <c r="I24" s="14">
        <v>1744</v>
      </c>
      <c r="J24" s="14">
        <v>1099</v>
      </c>
      <c r="K24" s="14">
        <v>1339</v>
      </c>
      <c r="L24" s="14">
        <v>9260</v>
      </c>
      <c r="M24" s="14">
        <v>134269</v>
      </c>
      <c r="N24" s="69"/>
      <c r="O24" s="25" t="s">
        <v>6</v>
      </c>
      <c r="P24" s="5">
        <v>76285.094912244051</v>
      </c>
      <c r="Q24" s="5">
        <v>16437.010029251986</v>
      </c>
      <c r="R24" s="14">
        <v>7444.3939615545341</v>
      </c>
      <c r="S24" s="14">
        <v>3840.362097785207</v>
      </c>
      <c r="T24" s="14">
        <v>2582.1569421228583</v>
      </c>
      <c r="U24" s="14">
        <v>2264.1428646050981</v>
      </c>
      <c r="V24" s="14">
        <v>4315.1128552026748</v>
      </c>
      <c r="W24" s="14">
        <v>2245.0965054325115</v>
      </c>
      <c r="X24" s="14">
        <v>1948.0976023819474</v>
      </c>
      <c r="Y24" s="14">
        <v>959.07827517760131</v>
      </c>
      <c r="Z24" s="14">
        <v>8598.4539542415387</v>
      </c>
      <c r="AA24" s="14">
        <v>126919.00000000003</v>
      </c>
      <c r="AB24" s="69"/>
    </row>
    <row r="25" spans="1:28" x14ac:dyDescent="0.2">
      <c r="A25" s="29" t="s">
        <v>60</v>
      </c>
      <c r="B25" s="58">
        <v>101725.06225296958</v>
      </c>
      <c r="C25" s="58">
        <v>42602.559312561127</v>
      </c>
      <c r="D25" s="58">
        <v>6974.0941735363976</v>
      </c>
      <c r="E25" s="58">
        <v>7258.1538004750591</v>
      </c>
      <c r="F25" s="58">
        <v>2570.040345116669</v>
      </c>
      <c r="G25" s="58">
        <v>2941.0501606818498</v>
      </c>
      <c r="H25" s="58">
        <v>2581</v>
      </c>
      <c r="I25" s="58">
        <v>2686.0329048484</v>
      </c>
      <c r="J25" s="58">
        <v>2124.0358041078662</v>
      </c>
      <c r="K25" s="58">
        <v>4330.1044781332967</v>
      </c>
      <c r="L25" s="58">
        <v>15735.226177169205</v>
      </c>
      <c r="M25" s="58">
        <v>191527.35940959945</v>
      </c>
      <c r="N25" s="69"/>
      <c r="O25" s="29" t="s">
        <v>60</v>
      </c>
      <c r="P25" s="58">
        <v>118504.1898244881</v>
      </c>
      <c r="Q25" s="58">
        <v>38674.020058503971</v>
      </c>
      <c r="R25" s="58">
        <v>15084.787923109068</v>
      </c>
      <c r="S25" s="58">
        <v>13864.724195570412</v>
      </c>
      <c r="T25" s="58">
        <v>6009.3138842457165</v>
      </c>
      <c r="U25" s="58">
        <v>5470.2857292101962</v>
      </c>
      <c r="V25" s="58">
        <v>4321.2257104053497</v>
      </c>
      <c r="W25" s="58">
        <v>3695.1930108650231</v>
      </c>
      <c r="X25" s="58">
        <v>3737.1952047638947</v>
      </c>
      <c r="Y25" s="58">
        <v>2997.1565503552029</v>
      </c>
      <c r="Z25" s="58">
        <v>17381.907908483077</v>
      </c>
      <c r="AA25" s="110">
        <v>229740.00000000006</v>
      </c>
      <c r="AB25" s="69"/>
    </row>
    <row r="26" spans="1:28" x14ac:dyDescent="0.2">
      <c r="N26" s="69"/>
      <c r="P26" s="6"/>
      <c r="Q26" s="6"/>
      <c r="R26" s="6"/>
      <c r="S26" s="6"/>
      <c r="AB26" s="69"/>
    </row>
    <row r="27" spans="1:28" x14ac:dyDescent="0.2">
      <c r="N27" s="69"/>
      <c r="P27" s="6"/>
      <c r="Q27" s="6"/>
      <c r="R27" s="6"/>
      <c r="S27" s="6"/>
      <c r="AB27" s="69"/>
    </row>
    <row r="28" spans="1:28" x14ac:dyDescent="0.2">
      <c r="A28" s="7" t="s">
        <v>171</v>
      </c>
      <c r="N28" s="69"/>
      <c r="O28" s="7" t="s">
        <v>174</v>
      </c>
      <c r="P28" s="6"/>
      <c r="Q28" s="6"/>
      <c r="R28" s="6"/>
      <c r="S28" s="6"/>
      <c r="AB28" s="69"/>
    </row>
    <row r="29" spans="1:28" x14ac:dyDescent="0.2">
      <c r="A29" s="148" t="s">
        <v>420</v>
      </c>
      <c r="B29" s="148"/>
      <c r="C29" s="148"/>
      <c r="D29" s="148"/>
      <c r="E29" s="148"/>
      <c r="F29" s="148"/>
      <c r="G29" s="148"/>
      <c r="H29" s="148"/>
      <c r="I29" s="148"/>
      <c r="J29" s="148"/>
      <c r="K29" s="148"/>
      <c r="L29" s="148"/>
      <c r="M29" s="148"/>
      <c r="N29" s="69"/>
      <c r="O29" s="148" t="s">
        <v>421</v>
      </c>
      <c r="P29" s="148"/>
      <c r="Q29" s="148"/>
      <c r="R29" s="148"/>
      <c r="S29" s="148"/>
      <c r="T29" s="148"/>
      <c r="U29" s="148"/>
      <c r="V29" s="148"/>
      <c r="W29" s="148"/>
      <c r="X29" s="148"/>
      <c r="Y29" s="148"/>
      <c r="Z29" s="148"/>
      <c r="AA29" s="148"/>
      <c r="AB29" s="69"/>
    </row>
    <row r="30" spans="1:28" ht="51" x14ac:dyDescent="0.2">
      <c r="A30" s="24" t="s">
        <v>67</v>
      </c>
      <c r="B30" s="44" t="s">
        <v>9</v>
      </c>
      <c r="C30" s="44" t="s">
        <v>511</v>
      </c>
      <c r="D30" s="44" t="s">
        <v>11</v>
      </c>
      <c r="E30" s="44" t="s">
        <v>672</v>
      </c>
      <c r="F30" s="44" t="s">
        <v>13</v>
      </c>
      <c r="G30" s="44" t="s">
        <v>230</v>
      </c>
      <c r="H30" s="44" t="s">
        <v>231</v>
      </c>
      <c r="I30" s="44" t="s">
        <v>673</v>
      </c>
      <c r="J30" s="44" t="s">
        <v>233</v>
      </c>
      <c r="K30" s="44" t="s">
        <v>512</v>
      </c>
      <c r="L30" s="44" t="s">
        <v>31</v>
      </c>
      <c r="M30" s="44" t="s">
        <v>64</v>
      </c>
      <c r="N30" s="69"/>
      <c r="O30" s="24" t="s">
        <v>67</v>
      </c>
      <c r="P30" s="44" t="s">
        <v>9</v>
      </c>
      <c r="Q30" s="44" t="s">
        <v>511</v>
      </c>
      <c r="R30" s="44" t="s">
        <v>11</v>
      </c>
      <c r="S30" s="44" t="s">
        <v>672</v>
      </c>
      <c r="T30" s="44" t="s">
        <v>13</v>
      </c>
      <c r="U30" s="44" t="s">
        <v>230</v>
      </c>
      <c r="V30" s="44" t="s">
        <v>231</v>
      </c>
      <c r="W30" s="44" t="s">
        <v>673</v>
      </c>
      <c r="X30" s="44" t="s">
        <v>233</v>
      </c>
      <c r="Y30" s="44" t="s">
        <v>512</v>
      </c>
      <c r="Z30" s="44" t="s">
        <v>31</v>
      </c>
      <c r="AA30" s="44" t="s">
        <v>64</v>
      </c>
      <c r="AB30" s="69"/>
    </row>
    <row r="31" spans="1:28" x14ac:dyDescent="0.2">
      <c r="A31" s="22" t="s">
        <v>53</v>
      </c>
      <c r="B31" s="4">
        <v>173</v>
      </c>
      <c r="C31" s="4">
        <v>177</v>
      </c>
      <c r="D31" s="4">
        <v>118</v>
      </c>
      <c r="E31" s="4">
        <v>106</v>
      </c>
      <c r="F31" s="4">
        <v>71</v>
      </c>
      <c r="G31" s="4">
        <v>32</v>
      </c>
      <c r="H31" s="4">
        <v>73</v>
      </c>
      <c r="I31" s="4">
        <v>25</v>
      </c>
      <c r="J31" s="4">
        <v>1</v>
      </c>
      <c r="K31" s="4">
        <v>3</v>
      </c>
      <c r="L31" s="4">
        <v>143</v>
      </c>
      <c r="M31" s="4">
        <v>922</v>
      </c>
      <c r="N31" s="69"/>
      <c r="O31" s="22" t="s">
        <v>53</v>
      </c>
      <c r="P31" s="4">
        <v>114.52159124894705</v>
      </c>
      <c r="Q31" s="4">
        <v>81.172527502690528</v>
      </c>
      <c r="R31" s="4">
        <v>46.065660259089007</v>
      </c>
      <c r="S31" s="4">
        <v>60.064677698385665</v>
      </c>
      <c r="T31" s="4">
        <v>30.02615702047639</v>
      </c>
      <c r="U31" s="4">
        <v>12.026004952925035</v>
      </c>
      <c r="V31" s="4">
        <v>10.018809200445745</v>
      </c>
      <c r="W31" s="4">
        <v>5.0160842387519153</v>
      </c>
      <c r="X31" s="4">
        <v>1.626706365789107E-2</v>
      </c>
      <c r="Y31" s="4">
        <v>2.0130458629335561</v>
      </c>
      <c r="Z31" s="4">
        <v>39.080147215640388</v>
      </c>
      <c r="AA31" s="4">
        <v>400.02097226394318</v>
      </c>
      <c r="AB31" s="69"/>
    </row>
    <row r="32" spans="1:28" x14ac:dyDescent="0.2">
      <c r="A32" s="25" t="s">
        <v>2</v>
      </c>
      <c r="B32" s="5">
        <v>7028</v>
      </c>
      <c r="C32" s="5">
        <v>2285</v>
      </c>
      <c r="D32" s="5">
        <v>760</v>
      </c>
      <c r="E32" s="5">
        <v>725</v>
      </c>
      <c r="F32" s="5">
        <v>388</v>
      </c>
      <c r="G32" s="5">
        <v>263</v>
      </c>
      <c r="H32" s="5">
        <v>432</v>
      </c>
      <c r="I32" s="5">
        <v>242</v>
      </c>
      <c r="J32" s="5">
        <v>24</v>
      </c>
      <c r="K32" s="5">
        <v>53</v>
      </c>
      <c r="L32" s="5">
        <v>1212</v>
      </c>
      <c r="M32" s="5">
        <v>13412</v>
      </c>
      <c r="N32" s="69"/>
      <c r="O32" s="25" t="s">
        <v>2</v>
      </c>
      <c r="P32" s="5">
        <v>3799.1923674172094</v>
      </c>
      <c r="Q32" s="5">
        <v>2186.1130592190329</v>
      </c>
      <c r="R32" s="5">
        <v>1008</v>
      </c>
      <c r="S32" s="5">
        <v>1189.0857678713121</v>
      </c>
      <c r="T32" s="5">
        <v>568</v>
      </c>
      <c r="U32" s="5">
        <v>339.06198573779483</v>
      </c>
      <c r="V32" s="5">
        <v>233</v>
      </c>
      <c r="W32" s="5">
        <v>147</v>
      </c>
      <c r="X32" s="5">
        <v>33.008832976445397</v>
      </c>
      <c r="Y32" s="5">
        <v>50</v>
      </c>
      <c r="Z32" s="5">
        <v>817.09402152022551</v>
      </c>
      <c r="AA32" s="5">
        <v>10369.556034742021</v>
      </c>
      <c r="AB32" s="69"/>
    </row>
    <row r="33" spans="1:28" x14ac:dyDescent="0.2">
      <c r="A33" s="25" t="s">
        <v>54</v>
      </c>
      <c r="B33" s="5">
        <v>39015</v>
      </c>
      <c r="C33" s="5">
        <v>8392</v>
      </c>
      <c r="D33" s="5">
        <v>2454</v>
      </c>
      <c r="E33" s="5">
        <v>1695</v>
      </c>
      <c r="F33" s="5">
        <v>1043</v>
      </c>
      <c r="G33" s="5">
        <v>768</v>
      </c>
      <c r="H33" s="5">
        <v>1623</v>
      </c>
      <c r="I33" s="5">
        <v>751</v>
      </c>
      <c r="J33" s="5">
        <v>173</v>
      </c>
      <c r="K33" s="5">
        <v>247</v>
      </c>
      <c r="L33" s="5">
        <v>3722</v>
      </c>
      <c r="M33" s="5">
        <v>59883</v>
      </c>
      <c r="N33" s="69"/>
      <c r="O33" s="25" t="s">
        <v>54</v>
      </c>
      <c r="P33" s="5">
        <v>43736.76193473662</v>
      </c>
      <c r="Q33" s="5">
        <v>11558.1027389601</v>
      </c>
      <c r="R33" s="5">
        <v>5951.1969807772666</v>
      </c>
      <c r="S33" s="5">
        <v>4837.5299632690012</v>
      </c>
      <c r="T33" s="5">
        <v>2868.0784710614294</v>
      </c>
      <c r="U33" s="5">
        <v>2047.4457237635108</v>
      </c>
      <c r="V33" s="5">
        <v>2702.0564276013374</v>
      </c>
      <c r="W33" s="5">
        <v>1216.0482527162558</v>
      </c>
      <c r="X33" s="5">
        <v>408.1580088997531</v>
      </c>
      <c r="Y33" s="5">
        <v>341.03913758880066</v>
      </c>
      <c r="Z33" s="5">
        <v>5430.8518692319376</v>
      </c>
      <c r="AA33" s="5">
        <v>81097.269508605998</v>
      </c>
      <c r="AB33" s="69"/>
    </row>
    <row r="34" spans="1:28" x14ac:dyDescent="0.2">
      <c r="A34" s="25" t="s">
        <v>55</v>
      </c>
      <c r="B34" s="5">
        <v>28175</v>
      </c>
      <c r="C34" s="5">
        <v>8580</v>
      </c>
      <c r="D34" s="5">
        <v>1455</v>
      </c>
      <c r="E34" s="5">
        <v>1421</v>
      </c>
      <c r="F34" s="5">
        <v>479</v>
      </c>
      <c r="G34" s="5">
        <v>629</v>
      </c>
      <c r="H34" s="5">
        <v>443</v>
      </c>
      <c r="I34" s="5">
        <v>553</v>
      </c>
      <c r="J34" s="5">
        <v>308</v>
      </c>
      <c r="K34" s="5">
        <v>464</v>
      </c>
      <c r="L34" s="5">
        <v>3410</v>
      </c>
      <c r="M34" s="5">
        <v>45917</v>
      </c>
      <c r="N34" s="69"/>
      <c r="O34" s="25" t="s">
        <v>55</v>
      </c>
      <c r="P34" s="5">
        <v>39067.525513712411</v>
      </c>
      <c r="Q34" s="5">
        <v>10560.051122720122</v>
      </c>
      <c r="R34" s="5">
        <v>4072.1969807772671</v>
      </c>
      <c r="S34" s="5">
        <v>3593.4402280024647</v>
      </c>
      <c r="T34" s="5">
        <v>1528.0784710614291</v>
      </c>
      <c r="U34" s="5">
        <v>1470.3402200151108</v>
      </c>
      <c r="V34" s="5">
        <v>1344.0564276013372</v>
      </c>
      <c r="W34" s="5">
        <v>1076.0482527162558</v>
      </c>
      <c r="X34" s="5">
        <v>814.26668127662674</v>
      </c>
      <c r="Y34" s="5">
        <v>643.03913758880071</v>
      </c>
      <c r="Z34" s="5">
        <v>4630.7598040958546</v>
      </c>
      <c r="AA34" s="5">
        <v>68799.802839567681</v>
      </c>
      <c r="AB34" s="69"/>
    </row>
    <row r="35" spans="1:28" x14ac:dyDescent="0.2">
      <c r="A35" s="25" t="s">
        <v>56</v>
      </c>
      <c r="B35" s="5">
        <v>14664.531126484793</v>
      </c>
      <c r="C35" s="5">
        <v>11119.317794672459</v>
      </c>
      <c r="D35" s="5">
        <v>1040.0297244769636</v>
      </c>
      <c r="E35" s="5">
        <v>1672.0477878129645</v>
      </c>
      <c r="F35" s="5">
        <v>361.01031782325367</v>
      </c>
      <c r="G35" s="5">
        <v>618.01766319881096</v>
      </c>
      <c r="H35" s="5">
        <v>3.0000857436835489</v>
      </c>
      <c r="I35" s="5">
        <v>504.01440493883615</v>
      </c>
      <c r="J35" s="5">
        <v>559.01597690636788</v>
      </c>
      <c r="K35" s="5">
        <v>927.0264947982165</v>
      </c>
      <c r="L35" s="5">
        <v>3521.0821563764521</v>
      </c>
      <c r="M35" s="5">
        <v>34989.093533232801</v>
      </c>
      <c r="N35" s="69"/>
      <c r="O35" s="25" t="s">
        <v>56</v>
      </c>
      <c r="P35" s="5">
        <v>18039.976602311392</v>
      </c>
      <c r="Q35" s="5">
        <v>8166.0956440164518</v>
      </c>
      <c r="R35" s="5">
        <v>2259.2626410363559</v>
      </c>
      <c r="S35" s="5">
        <v>2398.4143769552679</v>
      </c>
      <c r="T35" s="5">
        <v>661.1046280819055</v>
      </c>
      <c r="U35" s="5">
        <v>936.26638953194151</v>
      </c>
      <c r="V35" s="5">
        <v>31.075236801782978</v>
      </c>
      <c r="W35" s="5">
        <v>711.06433695500766</v>
      </c>
      <c r="X35" s="5">
        <v>974.32577489274718</v>
      </c>
      <c r="Y35" s="5">
        <v>693.05218345173421</v>
      </c>
      <c r="Z35" s="5">
        <v>3211.6721626009812</v>
      </c>
      <c r="AA35" s="5">
        <v>38082.309976635574</v>
      </c>
      <c r="AB35" s="69"/>
    </row>
    <row r="36" spans="1:28" x14ac:dyDescent="0.2">
      <c r="A36" s="25" t="s">
        <v>57</v>
      </c>
      <c r="B36" s="5">
        <v>10798.531126484793</v>
      </c>
      <c r="C36" s="5">
        <v>9660.3380104272364</v>
      </c>
      <c r="D36" s="5">
        <v>822.02876237796988</v>
      </c>
      <c r="E36" s="5">
        <v>1252.0438083907763</v>
      </c>
      <c r="F36" s="5">
        <v>189.00661324748941</v>
      </c>
      <c r="G36" s="5">
        <v>485.01697050281678</v>
      </c>
      <c r="H36" s="5">
        <v>5.0001749536372859</v>
      </c>
      <c r="I36" s="5">
        <v>381.01333146716121</v>
      </c>
      <c r="J36" s="5">
        <v>669.02340879666883</v>
      </c>
      <c r="K36" s="5">
        <v>1515.0530109520978</v>
      </c>
      <c r="L36" s="5">
        <v>2803.0821563764521</v>
      </c>
      <c r="M36" s="5">
        <v>28580.137373977097</v>
      </c>
      <c r="N36" s="69"/>
      <c r="O36" s="25" t="s">
        <v>57</v>
      </c>
      <c r="P36" s="5">
        <v>12092.128062571906</v>
      </c>
      <c r="Q36" s="5">
        <v>5381.4466418031816</v>
      </c>
      <c r="R36" s="5">
        <v>1436.0656602590891</v>
      </c>
      <c r="S36" s="5">
        <v>1552.1723023106631</v>
      </c>
      <c r="T36" s="5">
        <v>298.02615702047638</v>
      </c>
      <c r="U36" s="5">
        <v>525.11980637914553</v>
      </c>
      <c r="V36" s="5">
        <v>1.0188092004457445</v>
      </c>
      <c r="W36" s="5">
        <v>402.01608423875189</v>
      </c>
      <c r="X36" s="5">
        <v>967.27510004010333</v>
      </c>
      <c r="Y36" s="5">
        <v>817.01304586293361</v>
      </c>
      <c r="Z36" s="5">
        <v>2610.3760215467296</v>
      </c>
      <c r="AA36" s="5">
        <v>26082.657691233428</v>
      </c>
      <c r="AB36" s="69"/>
    </row>
    <row r="37" spans="1:28" x14ac:dyDescent="0.2">
      <c r="A37" s="25" t="s">
        <v>3</v>
      </c>
      <c r="B37" s="5">
        <v>1871</v>
      </c>
      <c r="C37" s="5">
        <v>2389</v>
      </c>
      <c r="D37" s="5">
        <v>325</v>
      </c>
      <c r="E37" s="5">
        <v>387</v>
      </c>
      <c r="F37" s="5">
        <v>39</v>
      </c>
      <c r="G37" s="5">
        <v>146</v>
      </c>
      <c r="H37" s="5">
        <v>2</v>
      </c>
      <c r="I37" s="5">
        <v>230</v>
      </c>
      <c r="J37" s="5">
        <v>390</v>
      </c>
      <c r="K37" s="5">
        <v>1121</v>
      </c>
      <c r="L37" s="5">
        <v>924</v>
      </c>
      <c r="M37" s="5">
        <v>7824</v>
      </c>
      <c r="N37" s="69"/>
      <c r="O37" s="25" t="s">
        <v>3</v>
      </c>
      <c r="P37" s="5">
        <v>1654.0837524896197</v>
      </c>
      <c r="Q37" s="5">
        <v>741.03832428238945</v>
      </c>
      <c r="R37" s="5">
        <v>312</v>
      </c>
      <c r="S37" s="5">
        <v>234.01687946331964</v>
      </c>
      <c r="T37" s="5">
        <v>56</v>
      </c>
      <c r="U37" s="5">
        <v>140.02559882976777</v>
      </c>
      <c r="V37" s="118">
        <v>0</v>
      </c>
      <c r="W37" s="5">
        <v>138</v>
      </c>
      <c r="X37" s="5">
        <v>540.14453961456104</v>
      </c>
      <c r="Y37" s="5">
        <v>451</v>
      </c>
      <c r="Z37" s="5">
        <v>642.07388227170725</v>
      </c>
      <c r="AA37" s="5">
        <v>4908.382976951365</v>
      </c>
      <c r="AB37" s="69"/>
    </row>
    <row r="38" spans="1:28" x14ac:dyDescent="0.2">
      <c r="A38" s="29" t="s">
        <v>60</v>
      </c>
      <c r="B38" s="58">
        <v>101725.0622529696</v>
      </c>
      <c r="C38" s="58">
        <v>42602.655805099697</v>
      </c>
      <c r="D38" s="58">
        <v>6974.0584868549331</v>
      </c>
      <c r="E38" s="58">
        <v>7258.0915962037407</v>
      </c>
      <c r="F38" s="58">
        <v>2570.0169310707433</v>
      </c>
      <c r="G38" s="58">
        <v>2941.0346337016281</v>
      </c>
      <c r="H38" s="58">
        <v>2581.0002606973208</v>
      </c>
      <c r="I38" s="58">
        <v>2686.0277364059975</v>
      </c>
      <c r="J38" s="58">
        <v>2124.0393857030367</v>
      </c>
      <c r="K38" s="58">
        <v>4330.0795057503146</v>
      </c>
      <c r="L38" s="58">
        <v>15735.164312752902</v>
      </c>
      <c r="M38" s="58">
        <v>191527.23090720992</v>
      </c>
      <c r="N38" s="69"/>
      <c r="O38" s="29" t="s">
        <v>60</v>
      </c>
      <c r="P38" s="58">
        <v>118504.18982448812</v>
      </c>
      <c r="Q38" s="58">
        <v>38674.020058503971</v>
      </c>
      <c r="R38" s="58">
        <v>15084.787923109068</v>
      </c>
      <c r="S38" s="58">
        <v>13864.724195570414</v>
      </c>
      <c r="T38" s="58">
        <v>6009.3138842457165</v>
      </c>
      <c r="U38" s="58">
        <v>5470.2857292101962</v>
      </c>
      <c r="V38" s="58">
        <v>4321.2257104053488</v>
      </c>
      <c r="W38" s="58">
        <v>3695.1930108650231</v>
      </c>
      <c r="X38" s="58">
        <v>3737.1952047638943</v>
      </c>
      <c r="Y38" s="58">
        <v>2997.1565503552029</v>
      </c>
      <c r="Z38" s="58">
        <v>17381.907908483077</v>
      </c>
      <c r="AA38" s="58">
        <v>229740</v>
      </c>
      <c r="AB38" s="69"/>
    </row>
    <row r="39" spans="1:28" x14ac:dyDescent="0.2">
      <c r="N39" s="69"/>
      <c r="P39" s="6"/>
      <c r="Q39" s="6"/>
      <c r="R39" s="6"/>
      <c r="S39" s="6"/>
      <c r="AB39" s="69"/>
    </row>
    <row r="40" spans="1:28" x14ac:dyDescent="0.2">
      <c r="N40" s="69"/>
      <c r="P40" s="6"/>
      <c r="Q40" s="54"/>
      <c r="R40" s="6"/>
      <c r="S40" s="6"/>
      <c r="AB40" s="69"/>
    </row>
    <row r="41" spans="1:28" x14ac:dyDescent="0.2">
      <c r="A41" s="7" t="s">
        <v>172</v>
      </c>
      <c r="N41" s="69"/>
      <c r="O41" s="7" t="s">
        <v>175</v>
      </c>
      <c r="P41" s="6"/>
      <c r="Q41" s="6"/>
      <c r="R41" s="6"/>
      <c r="S41" s="6"/>
      <c r="AB41" s="69"/>
    </row>
    <row r="42" spans="1:28" x14ac:dyDescent="0.2">
      <c r="A42" s="148" t="s">
        <v>422</v>
      </c>
      <c r="B42" s="148"/>
      <c r="C42" s="148"/>
      <c r="D42" s="148"/>
      <c r="E42" s="148"/>
      <c r="F42" s="148"/>
      <c r="G42" s="148"/>
      <c r="H42" s="148"/>
      <c r="I42" s="148"/>
      <c r="J42" s="148"/>
      <c r="K42" s="148"/>
      <c r="L42" s="148"/>
      <c r="M42" s="148"/>
      <c r="N42" s="69"/>
      <c r="O42" s="148" t="s">
        <v>423</v>
      </c>
      <c r="P42" s="148"/>
      <c r="Q42" s="148"/>
      <c r="R42" s="148"/>
      <c r="S42" s="148"/>
      <c r="T42" s="148"/>
      <c r="U42" s="148"/>
      <c r="V42" s="148"/>
      <c r="W42" s="148"/>
      <c r="X42" s="148"/>
      <c r="Y42" s="148"/>
      <c r="Z42" s="148"/>
      <c r="AA42" s="148"/>
      <c r="AB42" s="69"/>
    </row>
    <row r="43" spans="1:28" ht="51" x14ac:dyDescent="0.2">
      <c r="A43" s="24" t="s">
        <v>208</v>
      </c>
      <c r="B43" s="44" t="s">
        <v>9</v>
      </c>
      <c r="C43" s="44" t="s">
        <v>511</v>
      </c>
      <c r="D43" s="44" t="s">
        <v>11</v>
      </c>
      <c r="E43" s="44" t="s">
        <v>672</v>
      </c>
      <c r="F43" s="44" t="s">
        <v>13</v>
      </c>
      <c r="G43" s="44" t="s">
        <v>230</v>
      </c>
      <c r="H43" s="44" t="s">
        <v>231</v>
      </c>
      <c r="I43" s="44" t="s">
        <v>673</v>
      </c>
      <c r="J43" s="44" t="s">
        <v>233</v>
      </c>
      <c r="K43" s="44" t="s">
        <v>512</v>
      </c>
      <c r="L43" s="44" t="s">
        <v>31</v>
      </c>
      <c r="M43" s="44" t="s">
        <v>64</v>
      </c>
      <c r="N43" s="69"/>
      <c r="O43" s="24" t="s">
        <v>208</v>
      </c>
      <c r="P43" s="44" t="s">
        <v>9</v>
      </c>
      <c r="Q43" s="44" t="s">
        <v>511</v>
      </c>
      <c r="R43" s="44" t="s">
        <v>11</v>
      </c>
      <c r="S43" s="44" t="s">
        <v>672</v>
      </c>
      <c r="T43" s="44" t="s">
        <v>13</v>
      </c>
      <c r="U43" s="44" t="s">
        <v>230</v>
      </c>
      <c r="V43" s="44" t="s">
        <v>231</v>
      </c>
      <c r="W43" s="44" t="s">
        <v>673</v>
      </c>
      <c r="X43" s="44" t="s">
        <v>233</v>
      </c>
      <c r="Y43" s="44" t="s">
        <v>512</v>
      </c>
      <c r="Z43" s="44" t="s">
        <v>31</v>
      </c>
      <c r="AA43" s="44" t="s">
        <v>64</v>
      </c>
      <c r="AB43" s="69"/>
    </row>
    <row r="44" spans="1:28" x14ac:dyDescent="0.2">
      <c r="A44" s="30" t="s">
        <v>14</v>
      </c>
      <c r="B44" s="4">
        <v>311</v>
      </c>
      <c r="C44" s="4">
        <v>149</v>
      </c>
      <c r="D44" s="4">
        <v>87</v>
      </c>
      <c r="E44" s="4">
        <v>39</v>
      </c>
      <c r="F44" s="4">
        <v>57</v>
      </c>
      <c r="G44" s="4">
        <v>31</v>
      </c>
      <c r="H44" s="4">
        <v>35</v>
      </c>
      <c r="I44" s="4">
        <v>51</v>
      </c>
      <c r="J44" s="4">
        <v>18</v>
      </c>
      <c r="K44" s="4">
        <v>13</v>
      </c>
      <c r="L44" s="4">
        <v>204</v>
      </c>
      <c r="M44" s="4">
        <v>995</v>
      </c>
      <c r="N44" s="69"/>
      <c r="O44" s="30" t="s">
        <v>14</v>
      </c>
      <c r="P44" s="4">
        <v>478.19852601699699</v>
      </c>
      <c r="Q44" s="4">
        <v>190.82085157182649</v>
      </c>
      <c r="R44" s="4">
        <v>96.859740259740263</v>
      </c>
      <c r="S44" s="4">
        <v>66.127291697719485</v>
      </c>
      <c r="T44" s="4">
        <v>41.546943231441048</v>
      </c>
      <c r="U44" s="4">
        <v>59.249516441005802</v>
      </c>
      <c r="V44" s="4">
        <v>66.777223014740841</v>
      </c>
      <c r="W44" s="4">
        <v>21.969139297848244</v>
      </c>
      <c r="X44" s="4">
        <v>16.412846555037056</v>
      </c>
      <c r="Y44" s="4">
        <v>25.845119006553983</v>
      </c>
      <c r="Z44" s="4">
        <v>112.78300988212882</v>
      </c>
      <c r="AA44" s="4">
        <v>1176.5902069750389</v>
      </c>
      <c r="AB44" s="69"/>
    </row>
    <row r="45" spans="1:28" x14ac:dyDescent="0.2">
      <c r="A45" s="31" t="s">
        <v>15</v>
      </c>
      <c r="B45" s="5">
        <v>2834</v>
      </c>
      <c r="C45" s="5">
        <v>1195</v>
      </c>
      <c r="D45" s="5">
        <v>350</v>
      </c>
      <c r="E45" s="5">
        <v>256</v>
      </c>
      <c r="F45" s="5">
        <v>231</v>
      </c>
      <c r="G45" s="5">
        <v>120</v>
      </c>
      <c r="H45" s="5">
        <v>74</v>
      </c>
      <c r="I45" s="5">
        <v>135</v>
      </c>
      <c r="J45" s="5">
        <v>40</v>
      </c>
      <c r="K45" s="5">
        <v>109</v>
      </c>
      <c r="L45" s="5">
        <v>397</v>
      </c>
      <c r="M45" s="5">
        <v>5741</v>
      </c>
      <c r="N45" s="69"/>
      <c r="O45" s="31" t="s">
        <v>15</v>
      </c>
      <c r="P45" s="5">
        <v>3199.4723414442296</v>
      </c>
      <c r="Q45" s="5">
        <v>944.87099084759257</v>
      </c>
      <c r="R45" s="5">
        <v>198.07272727272726</v>
      </c>
      <c r="S45" s="5">
        <v>379.19868832911015</v>
      </c>
      <c r="T45" s="5">
        <v>42.640283842794759</v>
      </c>
      <c r="U45" s="5">
        <v>130.13733075435204</v>
      </c>
      <c r="V45" s="5">
        <v>50.339752734189254</v>
      </c>
      <c r="W45" s="5">
        <v>98.338052095130237</v>
      </c>
      <c r="X45" s="5">
        <v>75.909415317046395</v>
      </c>
      <c r="Y45" s="5">
        <v>103.38047602621593</v>
      </c>
      <c r="Z45" s="5">
        <v>496.65912608643885</v>
      </c>
      <c r="AA45" s="5">
        <v>5719.0191847498272</v>
      </c>
      <c r="AB45" s="69"/>
    </row>
    <row r="46" spans="1:28" x14ac:dyDescent="0.2">
      <c r="A46" s="31" t="s">
        <v>16</v>
      </c>
      <c r="B46" s="5">
        <v>3194</v>
      </c>
      <c r="C46" s="5">
        <v>2326</v>
      </c>
      <c r="D46" s="5">
        <v>224</v>
      </c>
      <c r="E46" s="5">
        <v>574</v>
      </c>
      <c r="F46" s="5">
        <v>96</v>
      </c>
      <c r="G46" s="5">
        <v>109</v>
      </c>
      <c r="H46" s="5">
        <v>64</v>
      </c>
      <c r="I46" s="5">
        <v>135</v>
      </c>
      <c r="J46" s="5">
        <v>84</v>
      </c>
      <c r="K46" s="5">
        <v>186</v>
      </c>
      <c r="L46" s="5">
        <v>786</v>
      </c>
      <c r="M46" s="5">
        <v>7778</v>
      </c>
      <c r="N46" s="69"/>
      <c r="O46" s="31" t="s">
        <v>16</v>
      </c>
      <c r="P46" s="5">
        <v>5080.8593389305925</v>
      </c>
      <c r="Q46" s="5">
        <v>2542.2261838440113</v>
      </c>
      <c r="R46" s="5">
        <v>617.07272727272732</v>
      </c>
      <c r="S46" s="5">
        <v>871.02042033089879</v>
      </c>
      <c r="T46" s="5">
        <v>184.7745633187773</v>
      </c>
      <c r="U46" s="5">
        <v>386.17988394584137</v>
      </c>
      <c r="V46" s="5">
        <v>231.15192582025676</v>
      </c>
      <c r="W46" s="5">
        <v>221.78369195922988</v>
      </c>
      <c r="X46" s="5">
        <v>231.83145758989843</v>
      </c>
      <c r="Y46" s="5">
        <v>242.94411866160746</v>
      </c>
      <c r="Z46" s="5">
        <v>814.31402547922369</v>
      </c>
      <c r="AA46" s="5">
        <v>11424.158337153063</v>
      </c>
      <c r="AB46" s="69"/>
    </row>
    <row r="47" spans="1:28" x14ac:dyDescent="0.2">
      <c r="A47" s="31" t="s">
        <v>17</v>
      </c>
      <c r="B47" s="5">
        <v>1828</v>
      </c>
      <c r="C47" s="5">
        <v>576</v>
      </c>
      <c r="D47" s="5">
        <v>148</v>
      </c>
      <c r="E47" s="5">
        <v>94</v>
      </c>
      <c r="F47" s="5">
        <v>45</v>
      </c>
      <c r="G47" s="5">
        <v>48</v>
      </c>
      <c r="H47" s="5">
        <v>26</v>
      </c>
      <c r="I47" s="5">
        <v>75</v>
      </c>
      <c r="J47" s="5">
        <v>21</v>
      </c>
      <c r="K47" s="5">
        <v>87</v>
      </c>
      <c r="L47" s="5">
        <v>940</v>
      </c>
      <c r="M47" s="5">
        <v>3888</v>
      </c>
      <c r="N47" s="69"/>
      <c r="O47" s="31" t="s">
        <v>17</v>
      </c>
      <c r="P47" s="5">
        <v>1690.9180930558643</v>
      </c>
      <c r="Q47" s="5">
        <v>723.27258257063272</v>
      </c>
      <c r="R47" s="5">
        <v>199.16103896103897</v>
      </c>
      <c r="S47" s="5">
        <v>250.04382173200179</v>
      </c>
      <c r="T47" s="5">
        <v>47.013646288209607</v>
      </c>
      <c r="U47" s="5">
        <v>99.454545454545453</v>
      </c>
      <c r="V47" s="5">
        <v>62.667855444602949</v>
      </c>
      <c r="W47" s="5">
        <v>76.368912797281993</v>
      </c>
      <c r="X47" s="5">
        <v>60.522371671699148</v>
      </c>
      <c r="Y47" s="5">
        <v>82.704380820972744</v>
      </c>
      <c r="Z47" s="5">
        <v>348.69609477318727</v>
      </c>
      <c r="AA47" s="5">
        <v>3640.8233435700377</v>
      </c>
      <c r="AB47" s="69"/>
    </row>
    <row r="48" spans="1:28" x14ac:dyDescent="0.2">
      <c r="A48" s="31" t="s">
        <v>18</v>
      </c>
      <c r="B48" s="5">
        <v>3674</v>
      </c>
      <c r="C48" s="5">
        <v>839</v>
      </c>
      <c r="D48" s="5">
        <v>455</v>
      </c>
      <c r="E48" s="5">
        <v>229</v>
      </c>
      <c r="F48" s="5">
        <v>123</v>
      </c>
      <c r="G48" s="5">
        <v>168</v>
      </c>
      <c r="H48" s="5">
        <v>246</v>
      </c>
      <c r="I48" s="5">
        <v>130</v>
      </c>
      <c r="J48" s="5">
        <v>39</v>
      </c>
      <c r="K48" s="5">
        <v>165</v>
      </c>
      <c r="L48" s="5">
        <v>494</v>
      </c>
      <c r="M48" s="5">
        <v>6562</v>
      </c>
      <c r="N48" s="69"/>
      <c r="O48" s="31" t="s">
        <v>18</v>
      </c>
      <c r="P48" s="5">
        <v>1725.3645970486141</v>
      </c>
      <c r="Q48" s="5">
        <v>424.73028253083965</v>
      </c>
      <c r="R48" s="5">
        <v>170.86493506493505</v>
      </c>
      <c r="S48" s="5">
        <v>129.15486659710837</v>
      </c>
      <c r="T48" s="5">
        <v>49.200327510917027</v>
      </c>
      <c r="U48" s="5">
        <v>65.597678916827846</v>
      </c>
      <c r="V48" s="5">
        <v>62.667855444602949</v>
      </c>
      <c r="W48" s="5">
        <v>57.538221970554929</v>
      </c>
      <c r="X48" s="5">
        <v>56.419160032939885</v>
      </c>
      <c r="Y48" s="5">
        <v>42.385995170748537</v>
      </c>
      <c r="Z48" s="5">
        <v>188.31658530777474</v>
      </c>
      <c r="AA48" s="5">
        <v>2972.2405055958634</v>
      </c>
      <c r="AB48" s="69"/>
    </row>
    <row r="49" spans="1:28" x14ac:dyDescent="0.2">
      <c r="A49" s="31" t="s">
        <v>19</v>
      </c>
      <c r="B49" s="5">
        <v>7654</v>
      </c>
      <c r="C49" s="5">
        <v>4406</v>
      </c>
      <c r="D49" s="5">
        <v>1062</v>
      </c>
      <c r="E49" s="5">
        <v>594</v>
      </c>
      <c r="F49" s="5">
        <v>293</v>
      </c>
      <c r="G49" s="5">
        <v>283</v>
      </c>
      <c r="H49" s="5">
        <v>196</v>
      </c>
      <c r="I49" s="5">
        <v>254</v>
      </c>
      <c r="J49" s="5">
        <v>181</v>
      </c>
      <c r="K49" s="5">
        <v>521</v>
      </c>
      <c r="L49" s="5">
        <v>2409</v>
      </c>
      <c r="M49" s="5">
        <v>17853</v>
      </c>
      <c r="N49" s="69"/>
      <c r="O49" s="31" t="s">
        <v>19</v>
      </c>
      <c r="P49" s="5">
        <v>7329.516109400045</v>
      </c>
      <c r="Q49" s="5">
        <v>2069.44606735046</v>
      </c>
      <c r="R49" s="5">
        <v>819.56436155779033</v>
      </c>
      <c r="S49" s="5">
        <v>754.32477055798063</v>
      </c>
      <c r="T49" s="5">
        <v>262.42790374536719</v>
      </c>
      <c r="U49" s="5">
        <v>352.34682817564016</v>
      </c>
      <c r="V49" s="5">
        <v>235.28010259084044</v>
      </c>
      <c r="W49" s="5">
        <v>217.61517823648691</v>
      </c>
      <c r="X49" s="5">
        <v>249.28637411828319</v>
      </c>
      <c r="Y49" s="5">
        <v>186.09790271012224</v>
      </c>
      <c r="Z49" s="5">
        <v>1001.6715633145747</v>
      </c>
      <c r="AA49" s="5">
        <v>13477.57716175759</v>
      </c>
      <c r="AB49" s="69"/>
    </row>
    <row r="50" spans="1:28" x14ac:dyDescent="0.2">
      <c r="A50" s="31" t="s">
        <v>20</v>
      </c>
      <c r="B50" s="5">
        <v>47882</v>
      </c>
      <c r="C50" s="5">
        <v>17837</v>
      </c>
      <c r="D50" s="5">
        <v>1743</v>
      </c>
      <c r="E50" s="5">
        <v>2402</v>
      </c>
      <c r="F50" s="5">
        <v>411</v>
      </c>
      <c r="G50" s="5">
        <v>802</v>
      </c>
      <c r="H50" s="5">
        <v>272</v>
      </c>
      <c r="I50" s="5">
        <v>791</v>
      </c>
      <c r="J50" s="5">
        <v>532</v>
      </c>
      <c r="K50" s="5">
        <v>1611</v>
      </c>
      <c r="L50" s="5">
        <v>5032</v>
      </c>
      <c r="M50" s="5">
        <v>79315</v>
      </c>
      <c r="N50" s="69"/>
      <c r="O50" s="31" t="s">
        <v>20</v>
      </c>
      <c r="P50" s="5">
        <v>71864.581035942349</v>
      </c>
      <c r="Q50" s="5">
        <v>24070.085291223069</v>
      </c>
      <c r="R50" s="5">
        <v>10490.630325190898</v>
      </c>
      <c r="S50" s="5">
        <v>8747.7629026741615</v>
      </c>
      <c r="T50" s="5">
        <v>4521.1203700704573</v>
      </c>
      <c r="U50" s="5">
        <v>3423.9184932317908</v>
      </c>
      <c r="V50" s="5">
        <v>2599.2878433148949</v>
      </c>
      <c r="W50" s="5">
        <v>2338.2406164177892</v>
      </c>
      <c r="X50" s="5">
        <v>2077.3484945038249</v>
      </c>
      <c r="Y50" s="5">
        <v>1674.8419868022995</v>
      </c>
      <c r="Z50" s="5">
        <v>11055.258335715524</v>
      </c>
      <c r="AA50" s="5">
        <v>142863.07569508709</v>
      </c>
      <c r="AB50" s="69"/>
    </row>
    <row r="51" spans="1:28" x14ac:dyDescent="0.2">
      <c r="A51" s="31" t="s">
        <v>21</v>
      </c>
      <c r="B51" s="5">
        <v>10206</v>
      </c>
      <c r="C51" s="5">
        <v>3801</v>
      </c>
      <c r="D51" s="5">
        <v>602</v>
      </c>
      <c r="E51" s="5">
        <v>761</v>
      </c>
      <c r="F51" s="5">
        <v>244</v>
      </c>
      <c r="G51" s="5">
        <v>383</v>
      </c>
      <c r="H51" s="5">
        <v>494</v>
      </c>
      <c r="I51" s="5">
        <v>317</v>
      </c>
      <c r="J51" s="5">
        <v>251</v>
      </c>
      <c r="K51" s="5">
        <v>488</v>
      </c>
      <c r="L51" s="5">
        <v>1089</v>
      </c>
      <c r="M51" s="5">
        <v>18636</v>
      </c>
      <c r="N51" s="69"/>
      <c r="O51" s="31" t="s">
        <v>21</v>
      </c>
      <c r="P51" s="5">
        <v>6208.4757784579606</v>
      </c>
      <c r="Q51" s="5">
        <v>1578.8886589733386</v>
      </c>
      <c r="R51" s="5">
        <v>347.17142857142858</v>
      </c>
      <c r="S51" s="5">
        <v>455.65836935459828</v>
      </c>
      <c r="T51" s="5">
        <v>137.7609170305677</v>
      </c>
      <c r="U51" s="5">
        <v>172.45841392649902</v>
      </c>
      <c r="V51" s="5">
        <v>259.91749881122206</v>
      </c>
      <c r="W51" s="5">
        <v>111.93799546998868</v>
      </c>
      <c r="X51" s="5">
        <v>196.95415866044468</v>
      </c>
      <c r="Y51" s="5">
        <v>124.05657123145912</v>
      </c>
      <c r="Z51" s="5">
        <v>637.37921181092986</v>
      </c>
      <c r="AA51" s="5">
        <v>10230.659002298438</v>
      </c>
      <c r="AB51" s="69"/>
    </row>
    <row r="52" spans="1:28" x14ac:dyDescent="0.2">
      <c r="A52" s="31" t="s">
        <v>22</v>
      </c>
      <c r="B52" s="5">
        <v>4414</v>
      </c>
      <c r="C52" s="5">
        <v>1074</v>
      </c>
      <c r="D52" s="5">
        <v>141</v>
      </c>
      <c r="E52" s="5">
        <v>185</v>
      </c>
      <c r="F52" s="5">
        <v>45</v>
      </c>
      <c r="G52" s="5">
        <v>94</v>
      </c>
      <c r="H52" s="5">
        <v>470</v>
      </c>
      <c r="I52" s="5">
        <v>79</v>
      </c>
      <c r="J52" s="5">
        <v>155</v>
      </c>
      <c r="K52" s="5">
        <v>157</v>
      </c>
      <c r="L52" s="5">
        <v>377</v>
      </c>
      <c r="M52" s="5">
        <v>7191</v>
      </c>
      <c r="N52" s="69"/>
      <c r="O52" s="31" t="s">
        <v>22</v>
      </c>
      <c r="P52" s="5">
        <v>2827.6527248166071</v>
      </c>
      <c r="Q52" s="5">
        <v>733.53176813901052</v>
      </c>
      <c r="R52" s="5">
        <v>298.19740259740257</v>
      </c>
      <c r="S52" s="5">
        <v>276.9080339842003</v>
      </c>
      <c r="T52" s="5">
        <v>83.093886462882097</v>
      </c>
      <c r="U52" s="5">
        <v>103.68665377176015</v>
      </c>
      <c r="V52" s="5">
        <v>80.132667617689009</v>
      </c>
      <c r="W52" s="5">
        <v>73.230464326160813</v>
      </c>
      <c r="X52" s="5">
        <v>80.012626955805658</v>
      </c>
      <c r="Y52" s="5">
        <v>64.095895136253887</v>
      </c>
      <c r="Z52" s="5">
        <v>359.0431598999881</v>
      </c>
      <c r="AA52" s="5">
        <v>4979.5852837077609</v>
      </c>
      <c r="AB52" s="69"/>
    </row>
    <row r="53" spans="1:28" x14ac:dyDescent="0.2">
      <c r="A53" s="31" t="s">
        <v>23</v>
      </c>
      <c r="B53" s="5">
        <v>8751</v>
      </c>
      <c r="C53" s="5">
        <v>5607</v>
      </c>
      <c r="D53" s="5">
        <v>848</v>
      </c>
      <c r="E53" s="5">
        <v>1178</v>
      </c>
      <c r="F53" s="5">
        <v>353</v>
      </c>
      <c r="G53" s="5">
        <v>375</v>
      </c>
      <c r="H53" s="5">
        <v>318</v>
      </c>
      <c r="I53" s="5">
        <v>287</v>
      </c>
      <c r="J53" s="5">
        <v>406</v>
      </c>
      <c r="K53" s="5">
        <v>489</v>
      </c>
      <c r="L53" s="5">
        <v>1872</v>
      </c>
      <c r="M53" s="5">
        <v>20484</v>
      </c>
      <c r="N53" s="69"/>
      <c r="O53" s="31" t="s">
        <v>23</v>
      </c>
      <c r="P53" s="5">
        <v>8517.920497149913</v>
      </c>
      <c r="Q53" s="5">
        <v>2768.0966045569862</v>
      </c>
      <c r="R53" s="5">
        <v>918.60072519415394</v>
      </c>
      <c r="S53" s="5">
        <v>946.50721205447792</v>
      </c>
      <c r="T53" s="5">
        <v>300.69482514274711</v>
      </c>
      <c r="U53" s="5">
        <v>270.87874306925715</v>
      </c>
      <c r="V53" s="5">
        <v>459.24063516335588</v>
      </c>
      <c r="W53" s="5">
        <v>228.07667314022416</v>
      </c>
      <c r="X53" s="5">
        <v>299.55071669308421</v>
      </c>
      <c r="Y53" s="5">
        <v>210.90921695641407</v>
      </c>
      <c r="Z53" s="5">
        <v>1264.4870175353153</v>
      </c>
      <c r="AA53" s="5">
        <v>16184.962866655927</v>
      </c>
      <c r="AB53" s="69"/>
    </row>
    <row r="54" spans="1:28" x14ac:dyDescent="0.2">
      <c r="A54" s="31" t="s">
        <v>24</v>
      </c>
      <c r="B54" s="5">
        <v>5945.0622529695866</v>
      </c>
      <c r="C54" s="5">
        <v>2186.4204250408693</v>
      </c>
      <c r="D54" s="5">
        <v>328.06308298874893</v>
      </c>
      <c r="E54" s="5">
        <v>271.05212039619192</v>
      </c>
      <c r="F54" s="5">
        <v>113.02173285892874</v>
      </c>
      <c r="G54" s="5">
        <v>147.02827194922588</v>
      </c>
      <c r="H54" s="5">
        <v>160.03077218963361</v>
      </c>
      <c r="I54" s="5">
        <v>169.03250312530051</v>
      </c>
      <c r="J54" s="5">
        <v>200.03846523704203</v>
      </c>
      <c r="K54" s="5">
        <v>224.04308106548706</v>
      </c>
      <c r="L54" s="5">
        <v>657.16431275290427</v>
      </c>
      <c r="M54" s="5">
        <v>10400.957020573916</v>
      </c>
      <c r="N54" s="69"/>
      <c r="O54" s="31" t="s">
        <v>24</v>
      </c>
      <c r="P54" s="5">
        <v>4079.9029631444059</v>
      </c>
      <c r="Q54" s="5">
        <v>894.93765797986975</v>
      </c>
      <c r="R54" s="5">
        <v>316.83002181687931</v>
      </c>
      <c r="S54" s="5">
        <v>261.53014925428295</v>
      </c>
      <c r="T54" s="5">
        <v>76.5861568357126</v>
      </c>
      <c r="U54" s="5">
        <v>103.73427530679288</v>
      </c>
      <c r="V54" s="5">
        <v>97.635098191666572</v>
      </c>
      <c r="W54" s="5">
        <v>75.354931784412102</v>
      </c>
      <c r="X54" s="5">
        <v>125.18048910947334</v>
      </c>
      <c r="Y54" s="5">
        <v>83.764277307102034</v>
      </c>
      <c r="Z54" s="5">
        <v>347.8127063410198</v>
      </c>
      <c r="AA54" s="5">
        <v>6463.2687270716178</v>
      </c>
      <c r="AB54" s="69"/>
    </row>
    <row r="55" spans="1:28" x14ac:dyDescent="0.2">
      <c r="A55" s="31" t="s">
        <v>25</v>
      </c>
      <c r="B55" s="5">
        <v>485</v>
      </c>
      <c r="C55" s="5">
        <v>437</v>
      </c>
      <c r="D55" s="5">
        <v>222</v>
      </c>
      <c r="E55" s="5">
        <v>102</v>
      </c>
      <c r="F55" s="5">
        <v>125</v>
      </c>
      <c r="G55" s="5">
        <v>60</v>
      </c>
      <c r="H55" s="5">
        <v>12</v>
      </c>
      <c r="I55" s="5">
        <v>43</v>
      </c>
      <c r="J55" s="5">
        <v>50</v>
      </c>
      <c r="K55" s="5">
        <v>74</v>
      </c>
      <c r="L55" s="5">
        <v>303</v>
      </c>
      <c r="M55" s="5">
        <v>1913</v>
      </c>
      <c r="N55" s="69"/>
      <c r="O55" s="31" t="s">
        <v>25</v>
      </c>
      <c r="P55" s="5">
        <v>848.50769641121042</v>
      </c>
      <c r="Q55" s="5">
        <v>198.17061967835508</v>
      </c>
      <c r="R55" s="5">
        <v>94.748777142205896</v>
      </c>
      <c r="S55" s="5">
        <v>77.553269589132825</v>
      </c>
      <c r="T55" s="5">
        <v>53.599846976808266</v>
      </c>
      <c r="U55" s="5">
        <v>35.996731463841314</v>
      </c>
      <c r="V55" s="5">
        <v>10.292228125790491</v>
      </c>
      <c r="W55" s="5">
        <v>15.708326594357803</v>
      </c>
      <c r="X55" s="5">
        <v>25.661339805903296</v>
      </c>
      <c r="Y55" s="5">
        <v>25.858164869487538</v>
      </c>
      <c r="Z55" s="5">
        <v>142.86515779010747</v>
      </c>
      <c r="AA55" s="5">
        <v>1528.9621584472006</v>
      </c>
      <c r="AB55" s="69"/>
    </row>
    <row r="56" spans="1:28" x14ac:dyDescent="0.2">
      <c r="A56" s="31" t="s">
        <v>26</v>
      </c>
      <c r="B56" s="5">
        <v>3121</v>
      </c>
      <c r="C56" s="5">
        <v>1769</v>
      </c>
      <c r="D56" s="5">
        <v>613</v>
      </c>
      <c r="E56" s="5">
        <v>440</v>
      </c>
      <c r="F56" s="5">
        <v>358</v>
      </c>
      <c r="G56" s="5">
        <v>257</v>
      </c>
      <c r="H56" s="5">
        <v>154</v>
      </c>
      <c r="I56" s="5">
        <v>175</v>
      </c>
      <c r="J56" s="5">
        <v>103</v>
      </c>
      <c r="K56" s="5">
        <v>144</v>
      </c>
      <c r="L56" s="5">
        <v>883</v>
      </c>
      <c r="M56" s="5">
        <v>8017</v>
      </c>
      <c r="N56" s="69"/>
      <c r="O56" s="31" t="s">
        <v>26</v>
      </c>
      <c r="P56" s="5">
        <v>2958.8626322023219</v>
      </c>
      <c r="Q56" s="5">
        <v>937.85789915839223</v>
      </c>
      <c r="R56" s="5">
        <v>379.88643947986822</v>
      </c>
      <c r="S56" s="5">
        <v>413.35592274161456</v>
      </c>
      <c r="T56" s="5">
        <v>162.93390811217944</v>
      </c>
      <c r="U56" s="5">
        <v>194.70079335939258</v>
      </c>
      <c r="V56" s="5">
        <v>69.878057892790011</v>
      </c>
      <c r="W56" s="5">
        <v>108.81563123761941</v>
      </c>
      <c r="X56" s="5">
        <v>120.03520749736637</v>
      </c>
      <c r="Y56" s="5">
        <v>79.616012403119825</v>
      </c>
      <c r="Z56" s="5">
        <v>404.64590549816796</v>
      </c>
      <c r="AA56" s="5">
        <v>5830.5884095828314</v>
      </c>
      <c r="AB56" s="69"/>
    </row>
    <row r="57" spans="1:28" x14ac:dyDescent="0.2">
      <c r="A57" s="31" t="s">
        <v>27</v>
      </c>
      <c r="B57" s="5">
        <v>366</v>
      </c>
      <c r="C57" s="5">
        <v>217</v>
      </c>
      <c r="D57" s="5">
        <v>104</v>
      </c>
      <c r="E57" s="5">
        <v>47</v>
      </c>
      <c r="F57" s="5">
        <v>68</v>
      </c>
      <c r="G57" s="5">
        <v>29</v>
      </c>
      <c r="H57" s="5">
        <v>34</v>
      </c>
      <c r="I57" s="5">
        <v>34</v>
      </c>
      <c r="J57" s="5">
        <v>8</v>
      </c>
      <c r="K57" s="5">
        <v>16</v>
      </c>
      <c r="L57" s="5">
        <v>156</v>
      </c>
      <c r="M57" s="5">
        <v>1079</v>
      </c>
      <c r="N57" s="69"/>
      <c r="O57" s="31" t="s">
        <v>27</v>
      </c>
      <c r="P57" s="5">
        <v>477.18539354662198</v>
      </c>
      <c r="Q57" s="5">
        <v>108.74736702480435</v>
      </c>
      <c r="R57" s="5">
        <v>26.119480519480518</v>
      </c>
      <c r="S57" s="5">
        <v>46.495751974959013</v>
      </c>
      <c r="T57" s="5">
        <v>12.026746724890829</v>
      </c>
      <c r="U57" s="5">
        <v>20.102514506769825</v>
      </c>
      <c r="V57" s="5">
        <v>7.1913932477413223</v>
      </c>
      <c r="W57" s="5">
        <v>8.3691959229898067</v>
      </c>
      <c r="X57" s="5">
        <v>21.541861103486138</v>
      </c>
      <c r="Y57" s="5">
        <v>15.50707140393239</v>
      </c>
      <c r="Z57" s="5">
        <v>56.908858197404456</v>
      </c>
      <c r="AA57" s="5">
        <v>800.19563417308052</v>
      </c>
      <c r="AB57" s="69"/>
    </row>
    <row r="58" spans="1:28" x14ac:dyDescent="0.2">
      <c r="A58" s="31" t="s">
        <v>28</v>
      </c>
      <c r="B58" s="5">
        <v>1060</v>
      </c>
      <c r="C58" s="5">
        <v>183</v>
      </c>
      <c r="D58" s="5">
        <v>47</v>
      </c>
      <c r="E58" s="5">
        <v>86</v>
      </c>
      <c r="F58" s="5">
        <v>8</v>
      </c>
      <c r="G58" s="5">
        <v>35</v>
      </c>
      <c r="H58" s="5">
        <v>26</v>
      </c>
      <c r="I58" s="5">
        <v>11</v>
      </c>
      <c r="J58" s="5">
        <v>36</v>
      </c>
      <c r="K58" s="5">
        <v>46</v>
      </c>
      <c r="L58" s="5">
        <v>136</v>
      </c>
      <c r="M58" s="5">
        <v>1674</v>
      </c>
      <c r="N58" s="69"/>
      <c r="O58" s="31" t="s">
        <v>28</v>
      </c>
      <c r="P58" s="5">
        <v>1216.7720969203674</v>
      </c>
      <c r="Q58" s="5">
        <v>488.33723305478179</v>
      </c>
      <c r="R58" s="5">
        <v>111.00779220779221</v>
      </c>
      <c r="S58" s="5">
        <v>189.08272469816663</v>
      </c>
      <c r="T58" s="5">
        <v>33.893558951965062</v>
      </c>
      <c r="U58" s="5">
        <v>51.843326885880074</v>
      </c>
      <c r="V58" s="5">
        <v>28.765572990965289</v>
      </c>
      <c r="W58" s="5">
        <v>41.845979614949037</v>
      </c>
      <c r="X58" s="5">
        <v>100.52868514960198</v>
      </c>
      <c r="Y58" s="5">
        <v>35.149361848913415</v>
      </c>
      <c r="Z58" s="5">
        <v>151.06715085129181</v>
      </c>
      <c r="AA58" s="5">
        <v>2448.2934831746752</v>
      </c>
      <c r="AB58" s="69"/>
    </row>
    <row r="59" spans="1:28" x14ac:dyDescent="0.2">
      <c r="A59" s="29" t="s">
        <v>60</v>
      </c>
      <c r="B59" s="58">
        <v>101725.06225296958</v>
      </c>
      <c r="C59" s="58">
        <v>42602.420425040866</v>
      </c>
      <c r="D59" s="58">
        <v>6974.0630829887486</v>
      </c>
      <c r="E59" s="58">
        <v>7258.0521203961916</v>
      </c>
      <c r="F59" s="58">
        <v>2570.0217328589288</v>
      </c>
      <c r="G59" s="58">
        <v>2941.0282719492261</v>
      </c>
      <c r="H59" s="58">
        <v>2581.0307721896338</v>
      </c>
      <c r="I59" s="58">
        <v>2686.0325031253005</v>
      </c>
      <c r="J59" s="58">
        <v>2124.0384652370421</v>
      </c>
      <c r="K59" s="58">
        <v>4330.0430810654871</v>
      </c>
      <c r="L59" s="58">
        <v>15735.164312752904</v>
      </c>
      <c r="M59" s="58">
        <v>191526.95702057393</v>
      </c>
      <c r="N59" s="69"/>
      <c r="O59" s="29" t="s">
        <v>60</v>
      </c>
      <c r="P59" s="58">
        <v>118504.18982448809</v>
      </c>
      <c r="Q59" s="58">
        <v>38674.020058503971</v>
      </c>
      <c r="R59" s="58">
        <v>15084.787923109066</v>
      </c>
      <c r="S59" s="58">
        <v>13864.72419557041</v>
      </c>
      <c r="T59" s="58">
        <v>6009.3138842457174</v>
      </c>
      <c r="U59" s="58">
        <v>5470.2857292101971</v>
      </c>
      <c r="V59" s="58">
        <v>4321.2257104053497</v>
      </c>
      <c r="W59" s="58">
        <v>3695.193010865024</v>
      </c>
      <c r="X59" s="58">
        <v>3737.1952047638947</v>
      </c>
      <c r="Y59" s="58">
        <v>2997.1565503552033</v>
      </c>
      <c r="Z59" s="58">
        <v>17381.907908483077</v>
      </c>
      <c r="AA59" s="58">
        <v>229740.00000000003</v>
      </c>
      <c r="AB59" s="69"/>
    </row>
    <row r="60" spans="1:28" x14ac:dyDescent="0.2">
      <c r="N60" s="69"/>
      <c r="P60" s="6"/>
      <c r="Q60" s="6"/>
      <c r="R60" s="6"/>
      <c r="S60" s="6"/>
      <c r="AB60" s="69"/>
    </row>
    <row r="61" spans="1:28" x14ac:dyDescent="0.2">
      <c r="N61" s="69"/>
      <c r="P61" s="6"/>
      <c r="Q61" s="6"/>
      <c r="R61" s="6"/>
      <c r="S61" s="6"/>
      <c r="AB61" s="69"/>
    </row>
    <row r="62" spans="1:28" x14ac:dyDescent="0.2">
      <c r="A62" s="7" t="s">
        <v>176</v>
      </c>
      <c r="N62" s="69"/>
      <c r="P62" s="6"/>
      <c r="Q62" s="6"/>
      <c r="R62" s="6"/>
      <c r="S62" s="6"/>
      <c r="AB62" s="69"/>
    </row>
    <row r="63" spans="1:28" x14ac:dyDescent="0.2">
      <c r="A63" s="148" t="s">
        <v>424</v>
      </c>
      <c r="B63" s="148"/>
      <c r="C63" s="148"/>
      <c r="D63" s="148"/>
      <c r="N63" s="69"/>
      <c r="O63" s="7"/>
      <c r="P63" s="6"/>
      <c r="Q63" s="6"/>
      <c r="R63" s="6"/>
      <c r="S63" s="6"/>
      <c r="AB63" s="69"/>
    </row>
    <row r="64" spans="1:28" x14ac:dyDescent="0.2">
      <c r="A64" s="8" t="s">
        <v>207</v>
      </c>
      <c r="B64" s="8" t="s">
        <v>0</v>
      </c>
      <c r="C64" s="8" t="s">
        <v>1</v>
      </c>
      <c r="D64" s="8" t="s">
        <v>59</v>
      </c>
      <c r="N64" s="69"/>
      <c r="O64" s="35"/>
      <c r="P64" s="35"/>
      <c r="Q64" s="35"/>
      <c r="R64" s="35"/>
      <c r="S64" s="6"/>
      <c r="AB64" s="69"/>
    </row>
    <row r="65" spans="1:28" x14ac:dyDescent="0.2">
      <c r="A65" s="31" t="s">
        <v>9</v>
      </c>
      <c r="B65" s="4">
        <v>2043650.1790208893</v>
      </c>
      <c r="C65" s="4">
        <v>2180582.5897566676</v>
      </c>
      <c r="D65" s="4">
        <v>4224232.7687775567</v>
      </c>
      <c r="E65" s="54"/>
      <c r="N65" s="69"/>
      <c r="O65" s="34"/>
      <c r="P65" s="17"/>
      <c r="Q65" s="17"/>
      <c r="R65" s="17"/>
      <c r="S65" s="6"/>
      <c r="AB65" s="69"/>
    </row>
    <row r="66" spans="1:28" x14ac:dyDescent="0.2">
      <c r="A66" s="31" t="s">
        <v>10</v>
      </c>
      <c r="B66" s="5">
        <v>855155.88360650814</v>
      </c>
      <c r="C66" s="5">
        <v>599311.225405565</v>
      </c>
      <c r="D66" s="5">
        <v>1454467.1090120731</v>
      </c>
      <c r="E66" s="54"/>
      <c r="N66" s="69"/>
      <c r="O66" s="34"/>
      <c r="P66" s="17"/>
      <c r="Q66" s="17"/>
      <c r="R66" s="17"/>
      <c r="S66" s="6"/>
      <c r="AB66" s="69"/>
    </row>
    <row r="67" spans="1:28" x14ac:dyDescent="0.2">
      <c r="A67" s="31" t="s">
        <v>11</v>
      </c>
      <c r="B67" s="5">
        <v>56946.924543357956</v>
      </c>
      <c r="C67" s="5">
        <v>78746.657522532143</v>
      </c>
      <c r="D67" s="5">
        <v>135693.58206589011</v>
      </c>
      <c r="E67" s="54"/>
      <c r="N67" s="69"/>
      <c r="O67" s="34"/>
      <c r="P67" s="17"/>
      <c r="Q67" s="17"/>
      <c r="R67" s="17"/>
      <c r="S67" s="6"/>
      <c r="AB67" s="69"/>
    </row>
    <row r="68" spans="1:28" x14ac:dyDescent="0.2">
      <c r="A68" s="31" t="s">
        <v>674</v>
      </c>
      <c r="B68" s="5">
        <v>143210.3250448707</v>
      </c>
      <c r="C68" s="5">
        <v>228938.7261669563</v>
      </c>
      <c r="D68" s="5">
        <v>372149.05121182697</v>
      </c>
      <c r="E68" s="54"/>
      <c r="N68" s="69"/>
      <c r="O68" s="34"/>
      <c r="P68" s="17"/>
      <c r="Q68" s="17"/>
      <c r="R68" s="17"/>
      <c r="S68" s="6"/>
      <c r="AB68" s="69"/>
    </row>
    <row r="69" spans="1:28" x14ac:dyDescent="0.2">
      <c r="A69" s="31" t="s">
        <v>13</v>
      </c>
      <c r="B69" s="5">
        <v>15805.256601126903</v>
      </c>
      <c r="C69" s="5">
        <v>26371.889991957421</v>
      </c>
      <c r="D69" s="5">
        <v>42177.146593084326</v>
      </c>
      <c r="E69" s="54"/>
      <c r="N69" s="69"/>
      <c r="O69" s="34"/>
      <c r="P69" s="17"/>
      <c r="Q69" s="17"/>
      <c r="R69" s="17"/>
      <c r="S69" s="6"/>
      <c r="AB69" s="69"/>
    </row>
    <row r="70" spans="1:28" x14ac:dyDescent="0.2">
      <c r="A70" s="31" t="s">
        <v>230</v>
      </c>
      <c r="B70" s="5">
        <v>41017.665929036513</v>
      </c>
      <c r="C70" s="5">
        <v>46647.574250686208</v>
      </c>
      <c r="D70" s="5">
        <v>87665.240179722721</v>
      </c>
      <c r="E70" s="54"/>
      <c r="N70" s="69"/>
      <c r="O70" s="34"/>
      <c r="P70" s="17"/>
      <c r="Q70" s="17"/>
      <c r="R70" s="17"/>
      <c r="S70" s="6"/>
      <c r="AB70" s="69"/>
    </row>
    <row r="71" spans="1:28" x14ac:dyDescent="0.2">
      <c r="A71" s="31" t="s">
        <v>231</v>
      </c>
      <c r="B71" s="5">
        <v>39724.644936612785</v>
      </c>
      <c r="C71" s="5">
        <v>66101.230767828049</v>
      </c>
      <c r="D71" s="5">
        <v>105825.87570444084</v>
      </c>
      <c r="E71" s="54"/>
      <c r="N71" s="69"/>
      <c r="O71" s="34"/>
      <c r="P71" s="17"/>
      <c r="Q71" s="17"/>
      <c r="R71" s="17"/>
      <c r="S71" s="6"/>
      <c r="AB71" s="69"/>
    </row>
    <row r="72" spans="1:28" x14ac:dyDescent="0.2">
      <c r="A72" s="31" t="s">
        <v>673</v>
      </c>
      <c r="B72" s="5">
        <v>46629.757042324978</v>
      </c>
      <c r="C72" s="5">
        <v>41283.393221644466</v>
      </c>
      <c r="D72" s="5">
        <v>87913.150263969437</v>
      </c>
      <c r="E72" s="54"/>
      <c r="N72" s="69"/>
      <c r="O72" s="45"/>
      <c r="P72" s="17"/>
      <c r="Q72" s="17"/>
      <c r="R72" s="17"/>
      <c r="S72" s="6"/>
      <c r="AB72" s="69"/>
    </row>
    <row r="73" spans="1:28" x14ac:dyDescent="0.2">
      <c r="A73" s="31" t="s">
        <v>233</v>
      </c>
      <c r="B73" s="5">
        <v>62061.007571397378</v>
      </c>
      <c r="C73" s="5">
        <v>96913.270604853577</v>
      </c>
      <c r="D73" s="5">
        <v>158974.27817625095</v>
      </c>
      <c r="E73" s="54"/>
      <c r="N73" s="69"/>
      <c r="P73" s="6"/>
      <c r="Q73" s="6"/>
      <c r="R73" s="6"/>
      <c r="S73" s="6"/>
      <c r="AB73" s="69"/>
    </row>
    <row r="74" spans="1:28" x14ac:dyDescent="0.2">
      <c r="A74" s="31" t="s">
        <v>987</v>
      </c>
      <c r="B74" s="5">
        <v>117082.90086153362</v>
      </c>
      <c r="C74" s="5">
        <v>64393.173124725283</v>
      </c>
      <c r="D74" s="5">
        <v>181476.07398625891</v>
      </c>
      <c r="E74" s="54"/>
      <c r="N74" s="69"/>
      <c r="P74" s="6"/>
      <c r="Q74" s="6"/>
      <c r="R74" s="6"/>
      <c r="S74" s="6"/>
      <c r="AB74" s="69"/>
    </row>
    <row r="75" spans="1:28" x14ac:dyDescent="0.2">
      <c r="A75" s="31" t="s">
        <v>31</v>
      </c>
      <c r="B75" s="5">
        <v>274394.45484234171</v>
      </c>
      <c r="C75" s="5">
        <v>245029.26918658373</v>
      </c>
      <c r="D75" s="5">
        <v>519423.72402892541</v>
      </c>
      <c r="E75" s="54"/>
      <c r="N75" s="69"/>
      <c r="P75" s="6"/>
      <c r="Q75" s="6"/>
      <c r="R75" s="6"/>
      <c r="S75" s="6"/>
      <c r="AB75" s="69"/>
    </row>
    <row r="76" spans="1:28" x14ac:dyDescent="0.2">
      <c r="A76" s="29" t="s">
        <v>60</v>
      </c>
      <c r="B76" s="58">
        <v>3695679.0000000005</v>
      </c>
      <c r="C76" s="58">
        <v>3674318.9999999995</v>
      </c>
      <c r="D76" s="58">
        <v>7369998.0000000019</v>
      </c>
      <c r="E76" s="54"/>
      <c r="N76" s="69"/>
      <c r="P76" s="6"/>
      <c r="Q76" s="6"/>
      <c r="R76" s="6"/>
      <c r="S76" s="6"/>
      <c r="AB76" s="69"/>
    </row>
    <row r="77" spans="1:28" x14ac:dyDescent="0.2">
      <c r="N77" s="69"/>
      <c r="P77" s="6"/>
      <c r="Q77" s="6"/>
      <c r="R77" s="6"/>
      <c r="S77" s="6"/>
      <c r="AB77" s="69"/>
    </row>
    <row r="78" spans="1:28" x14ac:dyDescent="0.2">
      <c r="N78" s="69"/>
      <c r="P78" s="6"/>
      <c r="Q78" s="6"/>
      <c r="R78" s="6"/>
      <c r="S78" s="6"/>
      <c r="AB78" s="69"/>
    </row>
    <row r="79" spans="1:28" x14ac:dyDescent="0.2">
      <c r="A79" s="7" t="s">
        <v>177</v>
      </c>
      <c r="N79" s="69"/>
      <c r="O79" s="7" t="s">
        <v>180</v>
      </c>
      <c r="P79" s="6"/>
      <c r="Q79" s="6"/>
      <c r="R79" s="6"/>
      <c r="S79" s="6"/>
      <c r="AB79" s="69"/>
    </row>
    <row r="80" spans="1:28" x14ac:dyDescent="0.2">
      <c r="A80" s="148" t="s">
        <v>425</v>
      </c>
      <c r="B80" s="148"/>
      <c r="C80" s="148"/>
      <c r="D80" s="148"/>
      <c r="E80" s="148"/>
      <c r="F80" s="148"/>
      <c r="G80" s="148"/>
      <c r="H80" s="148"/>
      <c r="I80" s="148"/>
      <c r="J80" s="148"/>
      <c r="K80" s="148"/>
      <c r="L80" s="148"/>
      <c r="M80" s="148"/>
      <c r="N80" s="69"/>
      <c r="O80" s="148" t="s">
        <v>426</v>
      </c>
      <c r="P80" s="148"/>
      <c r="Q80" s="148"/>
      <c r="R80" s="148"/>
      <c r="S80" s="148"/>
      <c r="T80" s="148"/>
      <c r="U80" s="148"/>
      <c r="V80" s="148"/>
      <c r="W80" s="148"/>
      <c r="X80" s="148"/>
      <c r="Y80" s="148"/>
      <c r="Z80" s="148"/>
      <c r="AA80" s="148"/>
      <c r="AB80" s="69"/>
    </row>
    <row r="81" spans="1:28" ht="51" x14ac:dyDescent="0.2">
      <c r="A81" s="44" t="s">
        <v>66</v>
      </c>
      <c r="B81" s="44" t="s">
        <v>9</v>
      </c>
      <c r="C81" s="44" t="s">
        <v>511</v>
      </c>
      <c r="D81" s="44" t="s">
        <v>11</v>
      </c>
      <c r="E81" s="44" t="s">
        <v>672</v>
      </c>
      <c r="F81" s="44" t="s">
        <v>13</v>
      </c>
      <c r="G81" s="44" t="s">
        <v>230</v>
      </c>
      <c r="H81" s="44" t="s">
        <v>231</v>
      </c>
      <c r="I81" s="44" t="s">
        <v>673</v>
      </c>
      <c r="J81" s="44" t="s">
        <v>233</v>
      </c>
      <c r="K81" s="44" t="s">
        <v>512</v>
      </c>
      <c r="L81" s="44" t="s">
        <v>31</v>
      </c>
      <c r="M81" s="44" t="s">
        <v>64</v>
      </c>
      <c r="N81" s="69"/>
      <c r="O81" s="44" t="s">
        <v>66</v>
      </c>
      <c r="P81" s="44" t="s">
        <v>9</v>
      </c>
      <c r="Q81" s="44" t="s">
        <v>511</v>
      </c>
      <c r="R81" s="44" t="s">
        <v>11</v>
      </c>
      <c r="S81" s="44" t="s">
        <v>672</v>
      </c>
      <c r="T81" s="44" t="s">
        <v>13</v>
      </c>
      <c r="U81" s="44" t="s">
        <v>230</v>
      </c>
      <c r="V81" s="44" t="s">
        <v>231</v>
      </c>
      <c r="W81" s="44" t="s">
        <v>673</v>
      </c>
      <c r="X81" s="44" t="s">
        <v>233</v>
      </c>
      <c r="Y81" s="44" t="s">
        <v>512</v>
      </c>
      <c r="Z81" s="44" t="s">
        <v>31</v>
      </c>
      <c r="AA81" s="44" t="s">
        <v>64</v>
      </c>
      <c r="AB81" s="69"/>
    </row>
    <row r="82" spans="1:28" x14ac:dyDescent="0.2">
      <c r="A82" s="22" t="s">
        <v>5</v>
      </c>
      <c r="B82" s="4">
        <v>424000.17902088934</v>
      </c>
      <c r="C82" s="4">
        <v>335411.88360650814</v>
      </c>
      <c r="D82" s="23">
        <v>23241.92454335796</v>
      </c>
      <c r="E82" s="23">
        <v>89167.325044870697</v>
      </c>
      <c r="F82" s="23">
        <v>8559.2566011269028</v>
      </c>
      <c r="G82" s="23">
        <v>23080.665929036517</v>
      </c>
      <c r="H82" s="23">
        <v>0.64493661278394765</v>
      </c>
      <c r="I82" s="23">
        <v>21879.757042324982</v>
      </c>
      <c r="J82" s="23">
        <v>31077.007571397375</v>
      </c>
      <c r="K82" s="23">
        <v>85125.900861533621</v>
      </c>
      <c r="L82" s="23">
        <v>117358.4548423417</v>
      </c>
      <c r="M82" s="23">
        <v>1158903</v>
      </c>
      <c r="N82" s="69"/>
      <c r="O82" s="22" t="s">
        <v>5</v>
      </c>
      <c r="P82" s="4">
        <v>759028.79487833392</v>
      </c>
      <c r="Q82" s="4">
        <v>328329.1127027825</v>
      </c>
      <c r="R82" s="23">
        <v>41099.328761266072</v>
      </c>
      <c r="S82" s="23">
        <v>167135.86308347815</v>
      </c>
      <c r="T82" s="23">
        <v>15771.444995978711</v>
      </c>
      <c r="U82" s="23">
        <v>28434.787125343104</v>
      </c>
      <c r="V82" s="23">
        <v>55.115383914027426</v>
      </c>
      <c r="W82" s="23">
        <v>19050.696610822233</v>
      </c>
      <c r="X82" s="23">
        <v>47646.635302426788</v>
      </c>
      <c r="Y82" s="23">
        <v>44557.086562362638</v>
      </c>
      <c r="Z82" s="23">
        <v>131317.13459329188</v>
      </c>
      <c r="AA82" s="23">
        <v>1582426</v>
      </c>
      <c r="AB82" s="69"/>
    </row>
    <row r="83" spans="1:28" x14ac:dyDescent="0.2">
      <c r="A83" s="25" t="s">
        <v>6</v>
      </c>
      <c r="B83" s="5">
        <v>1619650</v>
      </c>
      <c r="C83" s="5">
        <v>519744</v>
      </c>
      <c r="D83" s="14">
        <v>33705</v>
      </c>
      <c r="E83" s="14">
        <v>54043</v>
      </c>
      <c r="F83" s="14">
        <v>7246</v>
      </c>
      <c r="G83" s="14">
        <v>17937</v>
      </c>
      <c r="H83" s="14">
        <v>39724</v>
      </c>
      <c r="I83" s="14">
        <v>24750</v>
      </c>
      <c r="J83" s="14">
        <v>30984</v>
      </c>
      <c r="K83" s="14">
        <v>31957</v>
      </c>
      <c r="L83" s="14">
        <v>157036</v>
      </c>
      <c r="M83" s="14">
        <v>2536776</v>
      </c>
      <c r="N83" s="69"/>
      <c r="O83" s="25" t="s">
        <v>6</v>
      </c>
      <c r="P83" s="5">
        <v>1421553.7948783338</v>
      </c>
      <c r="Q83" s="5">
        <v>270982.1127027825</v>
      </c>
      <c r="R83" s="14">
        <v>37647.328761266072</v>
      </c>
      <c r="S83" s="14">
        <v>61802.863083478151</v>
      </c>
      <c r="T83" s="14">
        <v>10600.444995978711</v>
      </c>
      <c r="U83" s="14">
        <v>18212.787125343104</v>
      </c>
      <c r="V83" s="14">
        <v>66046.115383914032</v>
      </c>
      <c r="W83" s="14">
        <v>22232.696610822233</v>
      </c>
      <c r="X83" s="14">
        <v>49266.635302426788</v>
      </c>
      <c r="Y83" s="14">
        <v>19836.086562362641</v>
      </c>
      <c r="Z83" s="14">
        <v>113712.13459329186</v>
      </c>
      <c r="AA83" s="14">
        <v>2091892.9999999998</v>
      </c>
      <c r="AB83" s="69"/>
    </row>
    <row r="84" spans="1:28" x14ac:dyDescent="0.2">
      <c r="A84" s="29" t="s">
        <v>60</v>
      </c>
      <c r="B84" s="58">
        <v>2043650.1790208893</v>
      </c>
      <c r="C84" s="58">
        <v>855155.88360650814</v>
      </c>
      <c r="D84" s="58">
        <v>56946.924543357964</v>
      </c>
      <c r="E84" s="58">
        <v>143210.3250448707</v>
      </c>
      <c r="F84" s="58">
        <v>15805.256601126903</v>
      </c>
      <c r="G84" s="58">
        <v>41017.665929036521</v>
      </c>
      <c r="H84" s="58">
        <v>39724.644936612785</v>
      </c>
      <c r="I84" s="58">
        <v>46629.757042324985</v>
      </c>
      <c r="J84" s="58">
        <v>62061.007571397378</v>
      </c>
      <c r="K84" s="58">
        <v>117082.90086153362</v>
      </c>
      <c r="L84" s="58">
        <v>274394.45484234171</v>
      </c>
      <c r="M84" s="110">
        <v>3695679</v>
      </c>
      <c r="N84" s="69"/>
      <c r="O84" s="29" t="s">
        <v>60</v>
      </c>
      <c r="P84" s="58">
        <v>2180582.5897566676</v>
      </c>
      <c r="Q84" s="58">
        <v>599311.225405565</v>
      </c>
      <c r="R84" s="58">
        <v>78746.657522532143</v>
      </c>
      <c r="S84" s="58">
        <v>228938.7261669563</v>
      </c>
      <c r="T84" s="58">
        <v>26371.889991957421</v>
      </c>
      <c r="U84" s="58">
        <v>46647.574250686208</v>
      </c>
      <c r="V84" s="58">
        <v>66101.230767828063</v>
      </c>
      <c r="W84" s="58">
        <v>41283.393221644466</v>
      </c>
      <c r="X84" s="58">
        <v>96913.270604853577</v>
      </c>
      <c r="Y84" s="58">
        <v>64393.173124725276</v>
      </c>
      <c r="Z84" s="58">
        <v>245029.26918658376</v>
      </c>
      <c r="AA84" s="110">
        <v>3674319</v>
      </c>
      <c r="AB84" s="69"/>
    </row>
    <row r="85" spans="1:28" x14ac:dyDescent="0.2">
      <c r="N85" s="69"/>
      <c r="P85" s="6"/>
      <c r="Q85" s="6"/>
      <c r="R85" s="6"/>
      <c r="S85" s="6"/>
      <c r="AB85" s="69"/>
    </row>
    <row r="86" spans="1:28" x14ac:dyDescent="0.2">
      <c r="N86" s="69"/>
      <c r="P86" s="6"/>
      <c r="Q86" s="6"/>
      <c r="R86" s="6"/>
      <c r="S86" s="6"/>
      <c r="AB86" s="69"/>
    </row>
    <row r="87" spans="1:28" x14ac:dyDescent="0.2">
      <c r="A87" s="7" t="s">
        <v>178</v>
      </c>
      <c r="N87" s="69"/>
      <c r="O87" s="7" t="s">
        <v>181</v>
      </c>
      <c r="P87" s="6"/>
      <c r="Q87" s="6"/>
      <c r="R87" s="6"/>
      <c r="S87" s="6"/>
      <c r="AB87" s="69"/>
    </row>
    <row r="88" spans="1:28" x14ac:dyDescent="0.2">
      <c r="A88" s="148" t="s">
        <v>427</v>
      </c>
      <c r="B88" s="148"/>
      <c r="C88" s="148"/>
      <c r="D88" s="148"/>
      <c r="E88" s="148"/>
      <c r="F88" s="148"/>
      <c r="G88" s="148"/>
      <c r="H88" s="148"/>
      <c r="I88" s="148"/>
      <c r="J88" s="148"/>
      <c r="K88" s="148"/>
      <c r="L88" s="148"/>
      <c r="M88" s="148"/>
      <c r="N88" s="69"/>
      <c r="O88" s="148" t="s">
        <v>428</v>
      </c>
      <c r="P88" s="148"/>
      <c r="Q88" s="148"/>
      <c r="R88" s="148"/>
      <c r="S88" s="148"/>
      <c r="T88" s="148"/>
      <c r="U88" s="148"/>
      <c r="V88" s="148"/>
      <c r="W88" s="148"/>
      <c r="X88" s="148"/>
      <c r="Y88" s="148"/>
      <c r="Z88" s="148"/>
      <c r="AA88" s="148"/>
      <c r="AB88" s="69"/>
    </row>
    <row r="89" spans="1:28" ht="51" x14ac:dyDescent="0.2">
      <c r="A89" s="24" t="s">
        <v>67</v>
      </c>
      <c r="B89" s="44" t="s">
        <v>9</v>
      </c>
      <c r="C89" s="44" t="s">
        <v>511</v>
      </c>
      <c r="D89" s="44" t="s">
        <v>11</v>
      </c>
      <c r="E89" s="44" t="s">
        <v>672</v>
      </c>
      <c r="F89" s="44" t="s">
        <v>13</v>
      </c>
      <c r="G89" s="44" t="s">
        <v>230</v>
      </c>
      <c r="H89" s="44" t="s">
        <v>231</v>
      </c>
      <c r="I89" s="44" t="s">
        <v>673</v>
      </c>
      <c r="J89" s="44" t="s">
        <v>233</v>
      </c>
      <c r="K89" s="44" t="s">
        <v>512</v>
      </c>
      <c r="L89" s="44" t="s">
        <v>31</v>
      </c>
      <c r="M89" s="44" t="s">
        <v>64</v>
      </c>
      <c r="N89" s="69"/>
      <c r="O89" s="24" t="s">
        <v>67</v>
      </c>
      <c r="P89" s="44" t="s">
        <v>9</v>
      </c>
      <c r="Q89" s="44" t="s">
        <v>511</v>
      </c>
      <c r="R89" s="44" t="s">
        <v>11</v>
      </c>
      <c r="S89" s="44" t="s">
        <v>672</v>
      </c>
      <c r="T89" s="44" t="s">
        <v>13</v>
      </c>
      <c r="U89" s="44" t="s">
        <v>230</v>
      </c>
      <c r="V89" s="44" t="s">
        <v>231</v>
      </c>
      <c r="W89" s="44" t="s">
        <v>673</v>
      </c>
      <c r="X89" s="44" t="s">
        <v>233</v>
      </c>
      <c r="Y89" s="44" t="s">
        <v>512</v>
      </c>
      <c r="Z89" s="44" t="s">
        <v>31</v>
      </c>
      <c r="AA89" s="44" t="s">
        <v>64</v>
      </c>
      <c r="AB89" s="69"/>
    </row>
    <row r="90" spans="1:28" x14ac:dyDescent="0.2">
      <c r="A90" s="22" t="s">
        <v>53</v>
      </c>
      <c r="B90" s="4">
        <v>2710</v>
      </c>
      <c r="C90" s="4">
        <v>1890</v>
      </c>
      <c r="D90" s="4">
        <v>611</v>
      </c>
      <c r="E90" s="4">
        <v>1479</v>
      </c>
      <c r="F90" s="4">
        <v>395</v>
      </c>
      <c r="G90" s="4">
        <v>324</v>
      </c>
      <c r="H90" s="4">
        <v>1034</v>
      </c>
      <c r="I90" s="4">
        <v>245</v>
      </c>
      <c r="J90" s="4">
        <v>7</v>
      </c>
      <c r="K90" s="4">
        <v>18</v>
      </c>
      <c r="L90" s="4">
        <v>1155</v>
      </c>
      <c r="M90" s="4">
        <v>9868</v>
      </c>
      <c r="N90" s="69"/>
      <c r="O90" s="22" t="s">
        <v>53</v>
      </c>
      <c r="P90" s="4">
        <v>1606.8510628502706</v>
      </c>
      <c r="Q90" s="4">
        <v>688.53639650173648</v>
      </c>
      <c r="R90" s="4">
        <v>202.06429489997129</v>
      </c>
      <c r="S90" s="4">
        <v>690.20802209935118</v>
      </c>
      <c r="T90" s="4">
        <v>111.02153206348602</v>
      </c>
      <c r="U90" s="4">
        <v>82.043360813445361</v>
      </c>
      <c r="V90" s="4">
        <v>126.05397018938842</v>
      </c>
      <c r="W90" s="4">
        <v>25.033706975269414</v>
      </c>
      <c r="X90" s="5">
        <v>7.9127536780165444E-2</v>
      </c>
      <c r="Y90" s="4">
        <v>21.052575598192256</v>
      </c>
      <c r="Z90" s="4">
        <v>248.23852894106426</v>
      </c>
      <c r="AA90" s="4">
        <v>3801.1825784689554</v>
      </c>
      <c r="AB90" s="69"/>
    </row>
    <row r="91" spans="1:28" x14ac:dyDescent="0.2">
      <c r="A91" s="25" t="s">
        <v>2</v>
      </c>
      <c r="B91" s="5">
        <v>124013</v>
      </c>
      <c r="C91" s="5">
        <v>27214</v>
      </c>
      <c r="D91" s="5">
        <v>4854</v>
      </c>
      <c r="E91" s="5">
        <v>10415</v>
      </c>
      <c r="F91" s="5">
        <v>1979</v>
      </c>
      <c r="G91" s="5">
        <v>2159</v>
      </c>
      <c r="H91" s="5">
        <v>6434</v>
      </c>
      <c r="I91" s="5">
        <v>2762</v>
      </c>
      <c r="J91" s="5">
        <v>583</v>
      </c>
      <c r="K91" s="5">
        <v>670</v>
      </c>
      <c r="L91" s="5">
        <v>12994</v>
      </c>
      <c r="M91" s="5">
        <v>194077</v>
      </c>
      <c r="N91" s="69"/>
      <c r="O91" s="25" t="s">
        <v>2</v>
      </c>
      <c r="P91" s="5">
        <v>59119.602824327318</v>
      </c>
      <c r="Q91" s="5">
        <v>23169.585128076764</v>
      </c>
      <c r="R91" s="5">
        <v>4693</v>
      </c>
      <c r="S91" s="5">
        <v>15488.473589488214</v>
      </c>
      <c r="T91" s="5">
        <v>2207</v>
      </c>
      <c r="U91" s="5">
        <v>1771.1139077675107</v>
      </c>
      <c r="V91" s="5">
        <v>3120</v>
      </c>
      <c r="W91" s="5">
        <v>1498</v>
      </c>
      <c r="X91" s="5">
        <v>657.20344756399675</v>
      </c>
      <c r="Y91" s="5">
        <v>663</v>
      </c>
      <c r="Z91" s="5">
        <v>7671.1897152047286</v>
      </c>
      <c r="AA91" s="5">
        <v>120058.16861242855</v>
      </c>
      <c r="AB91" s="69"/>
    </row>
    <row r="92" spans="1:28" x14ac:dyDescent="0.2">
      <c r="A92" s="25" t="s">
        <v>54</v>
      </c>
      <c r="B92" s="5">
        <v>745440</v>
      </c>
      <c r="C92" s="5">
        <v>119357</v>
      </c>
      <c r="D92" s="5">
        <v>16794</v>
      </c>
      <c r="E92" s="5">
        <v>26928</v>
      </c>
      <c r="F92" s="5">
        <v>5222</v>
      </c>
      <c r="G92" s="5">
        <v>7435</v>
      </c>
      <c r="H92" s="5">
        <v>25321</v>
      </c>
      <c r="I92" s="5">
        <v>9792</v>
      </c>
      <c r="J92" s="5">
        <v>4360</v>
      </c>
      <c r="K92" s="5">
        <v>4339</v>
      </c>
      <c r="L92" s="5">
        <v>47239</v>
      </c>
      <c r="M92" s="5">
        <v>1012227</v>
      </c>
      <c r="N92" s="69"/>
      <c r="O92" s="25" t="s">
        <v>54</v>
      </c>
      <c r="P92" s="5">
        <v>777694.0750754656</v>
      </c>
      <c r="Q92" s="5">
        <v>147733.18446785797</v>
      </c>
      <c r="R92" s="5">
        <v>27161.535790833095</v>
      </c>
      <c r="S92" s="5">
        <v>71788.752724742415</v>
      </c>
      <c r="T92" s="5">
        <v>10974.179433862384</v>
      </c>
      <c r="U92" s="5">
        <v>13495.185300834983</v>
      </c>
      <c r="V92" s="5">
        <v>41611.449751578235</v>
      </c>
      <c r="W92" s="5">
        <v>10601.280891460578</v>
      </c>
      <c r="X92" s="5">
        <v>9341.5510146369434</v>
      </c>
      <c r="Y92" s="5">
        <v>5232.4381299849356</v>
      </c>
      <c r="Z92" s="5">
        <v>60184.000777454246</v>
      </c>
      <c r="AA92" s="5">
        <v>1175817.6333587114</v>
      </c>
      <c r="AB92" s="69"/>
    </row>
    <row r="93" spans="1:28" x14ac:dyDescent="0.2">
      <c r="A93" s="25" t="s">
        <v>55</v>
      </c>
      <c r="B93" s="5">
        <v>560449.58951044467</v>
      </c>
      <c r="C93" s="5">
        <v>156165.94180325407</v>
      </c>
      <c r="D93" s="5">
        <v>10231.46227167898</v>
      </c>
      <c r="E93" s="5">
        <v>27167.162522435348</v>
      </c>
      <c r="F93" s="5">
        <v>2442.1283005634509</v>
      </c>
      <c r="G93" s="5">
        <v>7736.3329645182575</v>
      </c>
      <c r="H93" s="5">
        <v>6748.3224683063918</v>
      </c>
      <c r="I93" s="5">
        <v>8517.3785211624909</v>
      </c>
      <c r="J93" s="5">
        <v>8403.5037856986874</v>
      </c>
      <c r="K93" s="5">
        <v>9769.9504307668085</v>
      </c>
      <c r="L93" s="5">
        <v>56050.22742117085</v>
      </c>
      <c r="M93" s="5">
        <v>853681.99999999977</v>
      </c>
      <c r="N93" s="69"/>
      <c r="O93" s="25" t="s">
        <v>55</v>
      </c>
      <c r="P93" s="5">
        <v>720700.53305223619</v>
      </c>
      <c r="Q93" s="5">
        <v>162088.98209267695</v>
      </c>
      <c r="R93" s="5">
        <v>19781.642948999714</v>
      </c>
      <c r="S93" s="5">
        <v>60913.731729791194</v>
      </c>
      <c r="T93" s="5">
        <v>6560.2153206348603</v>
      </c>
      <c r="U93" s="5">
        <v>13060.220800210434</v>
      </c>
      <c r="V93" s="5">
        <v>20781.539701893886</v>
      </c>
      <c r="W93" s="5">
        <v>11125.337069752693</v>
      </c>
      <c r="X93" s="5">
        <v>20015.987291057314</v>
      </c>
      <c r="Y93" s="5">
        <v>10599.525755981922</v>
      </c>
      <c r="Z93" s="5">
        <v>61477.534773252381</v>
      </c>
      <c r="AA93" s="5">
        <v>1107105.2505364877</v>
      </c>
      <c r="AB93" s="69"/>
    </row>
    <row r="94" spans="1:28" x14ac:dyDescent="0.2">
      <c r="A94" s="25" t="s">
        <v>56</v>
      </c>
      <c r="B94" s="5">
        <v>309743.58951044467</v>
      </c>
      <c r="C94" s="5">
        <v>247860.94180325407</v>
      </c>
      <c r="D94" s="5">
        <v>8463.46227167898</v>
      </c>
      <c r="E94" s="5">
        <v>36621.162522435348</v>
      </c>
      <c r="F94" s="5">
        <v>3143.1283005634509</v>
      </c>
      <c r="G94" s="5">
        <v>10234.332964518258</v>
      </c>
      <c r="H94" s="5">
        <v>55.322468306391976</v>
      </c>
      <c r="I94" s="5">
        <v>9653.3785211624909</v>
      </c>
      <c r="J94" s="5">
        <v>16231.503785698687</v>
      </c>
      <c r="K94" s="5">
        <v>24403.950430766807</v>
      </c>
      <c r="L94" s="5">
        <v>69817.227421170857</v>
      </c>
      <c r="M94" s="5">
        <v>736227.99999999977</v>
      </c>
      <c r="N94" s="69"/>
      <c r="O94" s="25" t="s">
        <v>56</v>
      </c>
      <c r="P94" s="5">
        <v>336733.09057391575</v>
      </c>
      <c r="Q94" s="5">
        <v>141260.98219818494</v>
      </c>
      <c r="R94" s="5">
        <v>12154.093013299513</v>
      </c>
      <c r="S94" s="5">
        <v>43223.499241094083</v>
      </c>
      <c r="T94" s="5">
        <v>3905.3660450792622</v>
      </c>
      <c r="U94" s="5">
        <v>9857.2813955613074</v>
      </c>
      <c r="V94" s="5">
        <v>456.91749321960322</v>
      </c>
      <c r="W94" s="5">
        <v>8994.5730185795801</v>
      </c>
      <c r="X94" s="5">
        <v>24992.081439801565</v>
      </c>
      <c r="Y94" s="5">
        <v>14578.893785169268</v>
      </c>
      <c r="Z94" s="5">
        <v>51927.453872736754</v>
      </c>
      <c r="AA94" s="5">
        <v>648084.23207664175</v>
      </c>
      <c r="AB94" s="69"/>
    </row>
    <row r="95" spans="1:28" x14ac:dyDescent="0.2">
      <c r="A95" s="25" t="s">
        <v>57</v>
      </c>
      <c r="B95" s="5">
        <v>255787</v>
      </c>
      <c r="C95" s="5">
        <v>238733</v>
      </c>
      <c r="D95" s="5">
        <v>10186</v>
      </c>
      <c r="E95" s="5">
        <v>30542</v>
      </c>
      <c r="F95" s="5">
        <v>2252</v>
      </c>
      <c r="G95" s="5">
        <v>9878</v>
      </c>
      <c r="H95" s="5">
        <v>97</v>
      </c>
      <c r="I95" s="5">
        <v>9147</v>
      </c>
      <c r="J95" s="5">
        <v>20507</v>
      </c>
      <c r="K95" s="5">
        <v>43232</v>
      </c>
      <c r="L95" s="5">
        <v>64196</v>
      </c>
      <c r="M95" s="5">
        <v>684557</v>
      </c>
      <c r="N95" s="69"/>
      <c r="O95" s="25" t="s">
        <v>57</v>
      </c>
      <c r="P95" s="5">
        <v>248805.85562529333</v>
      </c>
      <c r="Q95" s="5">
        <v>108781.88867754415</v>
      </c>
      <c r="R95" s="5">
        <v>11609.321474499857</v>
      </c>
      <c r="S95" s="5">
        <v>32191.918917437051</v>
      </c>
      <c r="T95" s="5">
        <v>2229.1076603174301</v>
      </c>
      <c r="U95" s="5">
        <v>6095.582453789586</v>
      </c>
      <c r="V95" s="5">
        <v>5.2698509469421193</v>
      </c>
      <c r="W95" s="5">
        <v>6452.1685348763467</v>
      </c>
      <c r="X95" s="5">
        <v>26615.634799533611</v>
      </c>
      <c r="Y95" s="5">
        <v>20662.262877990961</v>
      </c>
      <c r="Z95" s="5">
        <v>49422.665048912961</v>
      </c>
      <c r="AA95" s="5">
        <v>512871.67592114233</v>
      </c>
      <c r="AB95" s="69"/>
    </row>
    <row r="96" spans="1:28" x14ac:dyDescent="0.2">
      <c r="A96" s="25" t="s">
        <v>3</v>
      </c>
      <c r="B96" s="5">
        <v>45507</v>
      </c>
      <c r="C96" s="5">
        <v>63935</v>
      </c>
      <c r="D96" s="5">
        <v>5807</v>
      </c>
      <c r="E96" s="5">
        <v>10058</v>
      </c>
      <c r="F96" s="5">
        <v>372</v>
      </c>
      <c r="G96" s="5">
        <v>3251</v>
      </c>
      <c r="H96" s="5">
        <v>35</v>
      </c>
      <c r="I96" s="5">
        <v>6513</v>
      </c>
      <c r="J96" s="5">
        <v>11969</v>
      </c>
      <c r="K96" s="5">
        <v>34650</v>
      </c>
      <c r="L96" s="5">
        <v>22943</v>
      </c>
      <c r="M96" s="5">
        <v>205040</v>
      </c>
      <c r="N96" s="69"/>
      <c r="O96" s="25" t="s">
        <v>3</v>
      </c>
      <c r="P96" s="5">
        <v>35922.581542579319</v>
      </c>
      <c r="Q96" s="5">
        <v>15588.06644472257</v>
      </c>
      <c r="R96" s="5">
        <v>3145</v>
      </c>
      <c r="S96" s="5">
        <v>4642.1419423039961</v>
      </c>
      <c r="T96" s="5">
        <v>385</v>
      </c>
      <c r="U96" s="5">
        <v>2286.1470317089379</v>
      </c>
      <c r="V96" s="118">
        <v>0</v>
      </c>
      <c r="W96" s="5">
        <v>2587</v>
      </c>
      <c r="X96" s="5">
        <v>15290.733484723369</v>
      </c>
      <c r="Y96" s="5">
        <v>12636</v>
      </c>
      <c r="Z96" s="5">
        <v>14098.186470081597</v>
      </c>
      <c r="AA96" s="5">
        <v>106580.8569161198</v>
      </c>
      <c r="AB96" s="69"/>
    </row>
    <row r="97" spans="1:28" x14ac:dyDescent="0.2">
      <c r="A97" s="29" t="s">
        <v>60</v>
      </c>
      <c r="B97" s="58">
        <v>2043650.1790208891</v>
      </c>
      <c r="C97" s="58">
        <v>855155.88360650814</v>
      </c>
      <c r="D97" s="58">
        <v>56946.924543357964</v>
      </c>
      <c r="E97" s="58">
        <v>143210.3250448707</v>
      </c>
      <c r="F97" s="58">
        <v>15805.256601126901</v>
      </c>
      <c r="G97" s="58">
        <v>41017.665929036513</v>
      </c>
      <c r="H97" s="58">
        <v>39724.644936612778</v>
      </c>
      <c r="I97" s="58">
        <v>46629.757042324985</v>
      </c>
      <c r="J97" s="58">
        <v>62061.007571397378</v>
      </c>
      <c r="K97" s="58">
        <v>117082.90086153362</v>
      </c>
      <c r="L97" s="58">
        <v>274394.45484234171</v>
      </c>
      <c r="M97" s="58">
        <v>3695678.9999999995</v>
      </c>
      <c r="N97" s="69"/>
      <c r="O97" s="29" t="s">
        <v>60</v>
      </c>
      <c r="P97" s="58">
        <v>2180582.5897566681</v>
      </c>
      <c r="Q97" s="58">
        <v>599311.22540556511</v>
      </c>
      <c r="R97" s="58">
        <v>78746.657522532143</v>
      </c>
      <c r="S97" s="58">
        <v>228938.72616695633</v>
      </c>
      <c r="T97" s="58">
        <v>26371.889991957421</v>
      </c>
      <c r="U97" s="58">
        <v>46647.574250686201</v>
      </c>
      <c r="V97" s="58">
        <v>66101.230767828063</v>
      </c>
      <c r="W97" s="58">
        <v>41283.393221644466</v>
      </c>
      <c r="X97" s="58">
        <v>96913.270604853577</v>
      </c>
      <c r="Y97" s="58">
        <v>64393.173124725276</v>
      </c>
      <c r="Z97" s="58">
        <v>245029.26918658373</v>
      </c>
      <c r="AA97" s="58">
        <v>3674319.0000000005</v>
      </c>
      <c r="AB97" s="69"/>
    </row>
    <row r="98" spans="1:28" x14ac:dyDescent="0.2">
      <c r="N98" s="69"/>
      <c r="P98" s="6"/>
      <c r="Q98" s="6"/>
      <c r="R98" s="6"/>
      <c r="S98" s="6"/>
      <c r="AB98" s="69"/>
    </row>
    <row r="99" spans="1:28" x14ac:dyDescent="0.2">
      <c r="N99" s="69"/>
      <c r="P99" s="6"/>
      <c r="Q99" s="6"/>
      <c r="R99" s="6"/>
      <c r="S99" s="6"/>
      <c r="AB99" s="69"/>
    </row>
    <row r="100" spans="1:28" x14ac:dyDescent="0.2">
      <c r="A100" s="7" t="s">
        <v>179</v>
      </c>
      <c r="N100" s="69"/>
      <c r="O100" s="7" t="s">
        <v>182</v>
      </c>
      <c r="P100" s="6"/>
      <c r="Q100" s="6"/>
      <c r="R100" s="6"/>
      <c r="S100" s="6"/>
      <c r="AB100" s="69"/>
    </row>
    <row r="101" spans="1:28" x14ac:dyDescent="0.2">
      <c r="A101" s="148" t="s">
        <v>429</v>
      </c>
      <c r="B101" s="148"/>
      <c r="C101" s="148"/>
      <c r="D101" s="148"/>
      <c r="E101" s="148"/>
      <c r="F101" s="148"/>
      <c r="G101" s="148"/>
      <c r="H101" s="148"/>
      <c r="I101" s="148"/>
      <c r="J101" s="148"/>
      <c r="K101" s="148"/>
      <c r="L101" s="148"/>
      <c r="M101" s="148"/>
      <c r="N101" s="69"/>
      <c r="O101" s="148" t="s">
        <v>430</v>
      </c>
      <c r="P101" s="148"/>
      <c r="Q101" s="148"/>
      <c r="R101" s="148"/>
      <c r="S101" s="148"/>
      <c r="T101" s="148"/>
      <c r="U101" s="148"/>
      <c r="V101" s="148"/>
      <c r="W101" s="148"/>
      <c r="X101" s="148"/>
      <c r="Y101" s="148"/>
      <c r="Z101" s="148"/>
      <c r="AA101" s="148"/>
      <c r="AB101" s="69"/>
    </row>
    <row r="102" spans="1:28" ht="51" x14ac:dyDescent="0.2">
      <c r="A102" s="24" t="s">
        <v>208</v>
      </c>
      <c r="B102" s="44" t="s">
        <v>9</v>
      </c>
      <c r="C102" s="44" t="s">
        <v>511</v>
      </c>
      <c r="D102" s="44" t="s">
        <v>11</v>
      </c>
      <c r="E102" s="44" t="s">
        <v>672</v>
      </c>
      <c r="F102" s="44" t="s">
        <v>13</v>
      </c>
      <c r="G102" s="44" t="s">
        <v>230</v>
      </c>
      <c r="H102" s="44" t="s">
        <v>231</v>
      </c>
      <c r="I102" s="44" t="s">
        <v>673</v>
      </c>
      <c r="J102" s="44" t="s">
        <v>233</v>
      </c>
      <c r="K102" s="44" t="s">
        <v>512</v>
      </c>
      <c r="L102" s="44" t="s">
        <v>31</v>
      </c>
      <c r="M102" s="44" t="s">
        <v>64</v>
      </c>
      <c r="N102" s="69"/>
      <c r="O102" s="24" t="s">
        <v>208</v>
      </c>
      <c r="P102" s="44" t="s">
        <v>9</v>
      </c>
      <c r="Q102" s="44" t="s">
        <v>511</v>
      </c>
      <c r="R102" s="44" t="s">
        <v>11</v>
      </c>
      <c r="S102" s="44" t="s">
        <v>672</v>
      </c>
      <c r="T102" s="44" t="s">
        <v>13</v>
      </c>
      <c r="U102" s="44" t="s">
        <v>230</v>
      </c>
      <c r="V102" s="44" t="s">
        <v>231</v>
      </c>
      <c r="W102" s="44" t="s">
        <v>673</v>
      </c>
      <c r="X102" s="44" t="s">
        <v>233</v>
      </c>
      <c r="Y102" s="44" t="s">
        <v>512</v>
      </c>
      <c r="Z102" s="44" t="s">
        <v>31</v>
      </c>
      <c r="AA102" s="44" t="s">
        <v>64</v>
      </c>
      <c r="AB102" s="69"/>
    </row>
    <row r="103" spans="1:28" x14ac:dyDescent="0.2">
      <c r="A103" s="30" t="s">
        <v>14</v>
      </c>
      <c r="B103" s="4">
        <v>5105</v>
      </c>
      <c r="C103" s="4">
        <v>1973</v>
      </c>
      <c r="D103" s="4">
        <v>612</v>
      </c>
      <c r="E103" s="4">
        <v>525</v>
      </c>
      <c r="F103" s="4">
        <v>494</v>
      </c>
      <c r="G103" s="4">
        <v>238</v>
      </c>
      <c r="H103" s="4">
        <v>503</v>
      </c>
      <c r="I103" s="4">
        <v>1009</v>
      </c>
      <c r="J103" s="4">
        <v>567</v>
      </c>
      <c r="K103" s="4">
        <v>427</v>
      </c>
      <c r="L103" s="4">
        <v>2266</v>
      </c>
      <c r="M103" s="4">
        <v>13719</v>
      </c>
      <c r="N103" s="69"/>
      <c r="O103" s="30" t="s">
        <v>14</v>
      </c>
      <c r="P103" s="4">
        <v>7585.7429109048726</v>
      </c>
      <c r="Q103" s="4">
        <v>2621.4479786572115</v>
      </c>
      <c r="R103" s="4">
        <v>554.83977441695356</v>
      </c>
      <c r="S103" s="4">
        <v>1026.987474119155</v>
      </c>
      <c r="T103" s="4">
        <v>145.87133237133236</v>
      </c>
      <c r="U103" s="4">
        <v>473.86478822925272</v>
      </c>
      <c r="V103" s="4">
        <v>1075.5314173925194</v>
      </c>
      <c r="W103" s="4">
        <v>108.89338290709944</v>
      </c>
      <c r="X103" s="4">
        <v>374.44563764041987</v>
      </c>
      <c r="Y103" s="4">
        <v>395.47680117107944</v>
      </c>
      <c r="Z103" s="4">
        <v>1455.1153365284433</v>
      </c>
      <c r="AA103" s="4">
        <v>15818.21683433834</v>
      </c>
      <c r="AB103" s="69"/>
    </row>
    <row r="104" spans="1:28" x14ac:dyDescent="0.2">
      <c r="A104" s="31" t="s">
        <v>15</v>
      </c>
      <c r="B104" s="5">
        <v>62353</v>
      </c>
      <c r="C104" s="5">
        <v>17993</v>
      </c>
      <c r="D104" s="5">
        <v>1889</v>
      </c>
      <c r="E104" s="5">
        <v>4190</v>
      </c>
      <c r="F104" s="5">
        <v>1076</v>
      </c>
      <c r="G104" s="5">
        <v>1076</v>
      </c>
      <c r="H104" s="5">
        <v>1183</v>
      </c>
      <c r="I104" s="5">
        <v>1411</v>
      </c>
      <c r="J104" s="5">
        <v>1017</v>
      </c>
      <c r="K104" s="5">
        <v>2558</v>
      </c>
      <c r="L104" s="5">
        <v>4960</v>
      </c>
      <c r="M104" s="5">
        <v>99706</v>
      </c>
      <c r="N104" s="69"/>
      <c r="O104" s="31" t="s">
        <v>15</v>
      </c>
      <c r="P104" s="5">
        <v>65749.176250580043</v>
      </c>
      <c r="Q104" s="5">
        <v>14807.196805400476</v>
      </c>
      <c r="R104" s="5">
        <v>1128.6664612664265</v>
      </c>
      <c r="S104" s="5">
        <v>7159.1594349684947</v>
      </c>
      <c r="T104" s="5">
        <v>436.55695847362512</v>
      </c>
      <c r="U104" s="5">
        <v>965.43441470003791</v>
      </c>
      <c r="V104" s="5">
        <v>771.75536820531931</v>
      </c>
      <c r="W104" s="5">
        <v>1069.2293121639955</v>
      </c>
      <c r="X104" s="5">
        <v>2048.7379846919976</v>
      </c>
      <c r="Y104" s="5">
        <v>2567.5255537169041</v>
      </c>
      <c r="Z104" s="5">
        <v>7944.4191706605543</v>
      </c>
      <c r="AA104" s="5">
        <v>104647.85771482786</v>
      </c>
      <c r="AB104" s="69"/>
    </row>
    <row r="105" spans="1:28" ht="15" customHeight="1" x14ac:dyDescent="0.2">
      <c r="A105" s="31" t="s">
        <v>16</v>
      </c>
      <c r="B105" s="5">
        <v>58014</v>
      </c>
      <c r="C105" s="5">
        <v>43607</v>
      </c>
      <c r="D105" s="5">
        <v>1785</v>
      </c>
      <c r="E105" s="5">
        <v>10878</v>
      </c>
      <c r="F105" s="5">
        <v>774</v>
      </c>
      <c r="G105" s="5">
        <v>1068</v>
      </c>
      <c r="H105" s="5">
        <v>1024</v>
      </c>
      <c r="I105" s="5">
        <v>2504</v>
      </c>
      <c r="J105" s="5">
        <v>2278</v>
      </c>
      <c r="K105" s="5">
        <v>5160</v>
      </c>
      <c r="L105" s="5">
        <v>14737</v>
      </c>
      <c r="M105" s="5">
        <v>141829</v>
      </c>
      <c r="N105" s="69"/>
      <c r="O105" s="31" t="s">
        <v>16</v>
      </c>
      <c r="P105" s="5">
        <v>94622.960391647328</v>
      </c>
      <c r="Q105" s="5">
        <v>42900.415030300966</v>
      </c>
      <c r="R105" s="5">
        <v>4007.2933517300507</v>
      </c>
      <c r="S105" s="5">
        <v>14796.416934811641</v>
      </c>
      <c r="T105" s="5">
        <v>1026.3845198011866</v>
      </c>
      <c r="U105" s="5">
        <v>3632.6162227332602</v>
      </c>
      <c r="V105" s="5">
        <v>3565.2634962038287</v>
      </c>
      <c r="W105" s="5">
        <v>2875.8223885846355</v>
      </c>
      <c r="X105" s="5">
        <v>6125.8081972563514</v>
      </c>
      <c r="Y105" s="5">
        <v>5405.532650203666</v>
      </c>
      <c r="Z105" s="5">
        <v>10785.212760991873</v>
      </c>
      <c r="AA105" s="5">
        <v>189743.72594426482</v>
      </c>
      <c r="AB105" s="69"/>
    </row>
    <row r="106" spans="1:28" ht="15" customHeight="1" x14ac:dyDescent="0.2">
      <c r="A106" s="31" t="s">
        <v>17</v>
      </c>
      <c r="B106" s="5">
        <v>43509</v>
      </c>
      <c r="C106" s="5">
        <v>12929</v>
      </c>
      <c r="D106" s="5">
        <v>1261</v>
      </c>
      <c r="E106" s="5">
        <v>2184</v>
      </c>
      <c r="F106" s="5">
        <v>228</v>
      </c>
      <c r="G106" s="5">
        <v>611</v>
      </c>
      <c r="H106" s="5">
        <v>352</v>
      </c>
      <c r="I106" s="5">
        <v>1317</v>
      </c>
      <c r="J106" s="5">
        <v>629</v>
      </c>
      <c r="K106" s="5">
        <v>2198</v>
      </c>
      <c r="L106" s="5">
        <v>15123</v>
      </c>
      <c r="M106" s="5">
        <v>80341</v>
      </c>
      <c r="N106" s="69"/>
      <c r="O106" s="31" t="s">
        <v>17</v>
      </c>
      <c r="P106" s="5">
        <v>37480.470709048721</v>
      </c>
      <c r="Q106" s="5">
        <v>13072.505196764489</v>
      </c>
      <c r="R106" s="5">
        <v>1513.6788522591794</v>
      </c>
      <c r="S106" s="5">
        <v>4725.578727065762</v>
      </c>
      <c r="T106" s="5">
        <v>256.86038961038963</v>
      </c>
      <c r="U106" s="5">
        <v>1103.9487374132041</v>
      </c>
      <c r="V106" s="5">
        <v>1051.9271973543248</v>
      </c>
      <c r="W106" s="5">
        <v>1200.9384514897251</v>
      </c>
      <c r="X106" s="5">
        <v>1581.4461535222092</v>
      </c>
      <c r="Y106" s="5">
        <v>2198.6870863034624</v>
      </c>
      <c r="Z106" s="5">
        <v>5689.7562492185871</v>
      </c>
      <c r="AA106" s="5">
        <v>69875.797750050056</v>
      </c>
      <c r="AB106" s="69"/>
    </row>
    <row r="107" spans="1:28" ht="15" customHeight="1" x14ac:dyDescent="0.2">
      <c r="A107" s="31" t="s">
        <v>18</v>
      </c>
      <c r="B107" s="5">
        <v>89679</v>
      </c>
      <c r="C107" s="5">
        <v>11750</v>
      </c>
      <c r="D107" s="5">
        <v>3337</v>
      </c>
      <c r="E107" s="5">
        <v>4182</v>
      </c>
      <c r="F107" s="5">
        <v>692</v>
      </c>
      <c r="G107" s="5">
        <v>1724</v>
      </c>
      <c r="H107" s="5">
        <v>3022</v>
      </c>
      <c r="I107" s="5">
        <v>1993</v>
      </c>
      <c r="J107" s="5">
        <v>975</v>
      </c>
      <c r="K107" s="5">
        <v>4621</v>
      </c>
      <c r="L107" s="5">
        <v>7520</v>
      </c>
      <c r="M107" s="5">
        <v>129495</v>
      </c>
      <c r="N107" s="69"/>
      <c r="O107" s="31" t="s">
        <v>18</v>
      </c>
      <c r="P107" s="5">
        <v>41920.41200464037</v>
      </c>
      <c r="Q107" s="5">
        <v>7148.1962223945857</v>
      </c>
      <c r="R107" s="5">
        <v>931.41353766192015</v>
      </c>
      <c r="S107" s="5">
        <v>2438.7105154657656</v>
      </c>
      <c r="T107" s="5">
        <v>266.37373737373736</v>
      </c>
      <c r="U107" s="5">
        <v>542.60121904932009</v>
      </c>
      <c r="V107" s="5">
        <v>1000.6136755321627</v>
      </c>
      <c r="W107" s="5">
        <v>896.03697934984677</v>
      </c>
      <c r="X107" s="5">
        <v>1497.7825505616795</v>
      </c>
      <c r="Y107" s="5">
        <v>958.9800152749491</v>
      </c>
      <c r="Z107" s="5">
        <v>3257.416086684726</v>
      </c>
      <c r="AA107" s="5">
        <v>60858.536543989067</v>
      </c>
      <c r="AB107" s="69"/>
    </row>
    <row r="108" spans="1:28" ht="15" customHeight="1" x14ac:dyDescent="0.2">
      <c r="A108" s="31" t="s">
        <v>19</v>
      </c>
      <c r="B108" s="5">
        <v>167892</v>
      </c>
      <c r="C108" s="5">
        <v>96272</v>
      </c>
      <c r="D108" s="5">
        <v>9103</v>
      </c>
      <c r="E108" s="5">
        <v>11317</v>
      </c>
      <c r="F108" s="5">
        <v>1684</v>
      </c>
      <c r="G108" s="5">
        <v>4345</v>
      </c>
      <c r="H108" s="5">
        <v>3062</v>
      </c>
      <c r="I108" s="5">
        <v>4789</v>
      </c>
      <c r="J108" s="5">
        <v>6007</v>
      </c>
      <c r="K108" s="5">
        <v>14265</v>
      </c>
      <c r="L108" s="5">
        <v>31838</v>
      </c>
      <c r="M108" s="5">
        <v>350574</v>
      </c>
      <c r="N108" s="69"/>
      <c r="O108" s="31" t="s">
        <v>19</v>
      </c>
      <c r="P108" s="5">
        <v>152657.64713979812</v>
      </c>
      <c r="Q108" s="5">
        <v>36302.333624252322</v>
      </c>
      <c r="R108" s="5">
        <v>4919.7842718594229</v>
      </c>
      <c r="S108" s="5">
        <v>13461.827930304626</v>
      </c>
      <c r="T108" s="5">
        <v>1682.8270475356683</v>
      </c>
      <c r="U108" s="5">
        <v>3422.2791726910832</v>
      </c>
      <c r="V108" s="5">
        <v>3429.8497687827094</v>
      </c>
      <c r="W108" s="5">
        <v>2394.6510510942467</v>
      </c>
      <c r="X108" s="5">
        <v>6440.1359798156091</v>
      </c>
      <c r="Y108" s="5">
        <v>4233.49854046581</v>
      </c>
      <c r="Z108" s="5">
        <v>15878.827066591908</v>
      </c>
      <c r="AA108" s="5">
        <v>244823.66159319153</v>
      </c>
      <c r="AB108" s="69"/>
    </row>
    <row r="109" spans="1:28" ht="15" customHeight="1" x14ac:dyDescent="0.2">
      <c r="A109" s="31" t="s">
        <v>20</v>
      </c>
      <c r="B109" s="5">
        <v>924779</v>
      </c>
      <c r="C109" s="5">
        <v>371224</v>
      </c>
      <c r="D109" s="5">
        <v>17842</v>
      </c>
      <c r="E109" s="5">
        <v>53781</v>
      </c>
      <c r="F109" s="5">
        <v>3164</v>
      </c>
      <c r="G109" s="5">
        <v>13412</v>
      </c>
      <c r="H109" s="5">
        <v>3761</v>
      </c>
      <c r="I109" s="5">
        <v>15409</v>
      </c>
      <c r="J109" s="5">
        <v>16035</v>
      </c>
      <c r="K109" s="5">
        <v>45576</v>
      </c>
      <c r="L109" s="5">
        <v>108098</v>
      </c>
      <c r="M109" s="5">
        <v>1573081</v>
      </c>
      <c r="N109" s="69"/>
      <c r="O109" s="31" t="s">
        <v>20</v>
      </c>
      <c r="P109" s="5">
        <v>1241804.2427726749</v>
      </c>
      <c r="Q109" s="5">
        <v>356475.70833586302</v>
      </c>
      <c r="R109" s="5">
        <v>50398.104247481286</v>
      </c>
      <c r="S109" s="5">
        <v>138870.49112357807</v>
      </c>
      <c r="T109" s="5">
        <v>18047.344653948865</v>
      </c>
      <c r="U109" s="5">
        <v>26684.200928749222</v>
      </c>
      <c r="V109" s="5">
        <v>37617.203581562666</v>
      </c>
      <c r="W109" s="5">
        <v>24766.286715650931</v>
      </c>
      <c r="X109" s="5">
        <v>53355.837505203723</v>
      </c>
      <c r="Y109" s="5">
        <v>34810.409701699602</v>
      </c>
      <c r="Z109" s="5">
        <v>148085.57386385658</v>
      </c>
      <c r="AA109" s="5">
        <v>2130915.4034302691</v>
      </c>
      <c r="AB109" s="69"/>
    </row>
    <row r="110" spans="1:28" ht="15" customHeight="1" x14ac:dyDescent="0.2">
      <c r="A110" s="31" t="s">
        <v>21</v>
      </c>
      <c r="B110" s="5">
        <v>211564</v>
      </c>
      <c r="C110" s="5">
        <v>85184</v>
      </c>
      <c r="D110" s="5">
        <v>5736</v>
      </c>
      <c r="E110" s="5">
        <v>14409</v>
      </c>
      <c r="F110" s="5">
        <v>1898</v>
      </c>
      <c r="G110" s="5">
        <v>7035</v>
      </c>
      <c r="H110" s="5">
        <v>8323</v>
      </c>
      <c r="I110" s="5">
        <v>6178</v>
      </c>
      <c r="J110" s="5">
        <v>7104</v>
      </c>
      <c r="K110" s="5">
        <v>13109</v>
      </c>
      <c r="L110" s="5">
        <v>21089</v>
      </c>
      <c r="M110" s="5">
        <v>381629</v>
      </c>
      <c r="N110" s="69"/>
      <c r="O110" s="31" t="s">
        <v>21</v>
      </c>
      <c r="P110" s="5">
        <v>121663.29566589327</v>
      </c>
      <c r="Q110" s="5">
        <v>26658.879580303947</v>
      </c>
      <c r="R110" s="5">
        <v>2518.9303827142303</v>
      </c>
      <c r="S110" s="5">
        <v>8420.0661339619437</v>
      </c>
      <c r="T110" s="5">
        <v>723.01443001442999</v>
      </c>
      <c r="U110" s="5">
        <v>1860.0494764339458</v>
      </c>
      <c r="V110" s="5">
        <v>4592.5602030835162</v>
      </c>
      <c r="W110" s="5">
        <v>1323.3138722805606</v>
      </c>
      <c r="X110" s="5">
        <v>5347.3285745870317</v>
      </c>
      <c r="Y110" s="5">
        <v>2700.7172225050917</v>
      </c>
      <c r="Z110" s="5">
        <v>10338.977391123151</v>
      </c>
      <c r="AA110" s="5">
        <v>186147.13293290115</v>
      </c>
      <c r="AB110" s="69"/>
    </row>
    <row r="111" spans="1:28" ht="15" customHeight="1" x14ac:dyDescent="0.2">
      <c r="A111" s="31" t="s">
        <v>22</v>
      </c>
      <c r="B111" s="5">
        <v>85809</v>
      </c>
      <c r="C111" s="5">
        <v>24651</v>
      </c>
      <c r="D111" s="5">
        <v>1236</v>
      </c>
      <c r="E111" s="5">
        <v>3608</v>
      </c>
      <c r="F111" s="5">
        <v>384</v>
      </c>
      <c r="G111" s="5">
        <v>1350</v>
      </c>
      <c r="H111" s="5">
        <v>6678</v>
      </c>
      <c r="I111" s="5">
        <v>1702</v>
      </c>
      <c r="J111" s="5">
        <v>4453</v>
      </c>
      <c r="K111" s="5">
        <v>4558</v>
      </c>
      <c r="L111" s="5">
        <v>7425</v>
      </c>
      <c r="M111" s="5">
        <v>141854</v>
      </c>
      <c r="N111" s="69"/>
      <c r="O111" s="31" t="s">
        <v>22</v>
      </c>
      <c r="P111" s="5">
        <v>52510.299333642688</v>
      </c>
      <c r="Q111" s="5">
        <v>11584.021289943148</v>
      </c>
      <c r="R111" s="5">
        <v>1665.5741517193339</v>
      </c>
      <c r="S111" s="5">
        <v>4731.734496141401</v>
      </c>
      <c r="T111" s="5">
        <v>289.6285874619208</v>
      </c>
      <c r="U111" s="5">
        <v>1157.0632521378018</v>
      </c>
      <c r="V111" s="5">
        <v>1196.6313288928222</v>
      </c>
      <c r="W111" s="5">
        <v>807.88519318695671</v>
      </c>
      <c r="X111" s="5">
        <v>1998.743880483876</v>
      </c>
      <c r="Y111" s="5">
        <v>1235.6088658350307</v>
      </c>
      <c r="Z111" s="5">
        <v>5185.3162658887268</v>
      </c>
      <c r="AA111" s="5">
        <v>82362.50664533372</v>
      </c>
      <c r="AB111" s="69"/>
    </row>
    <row r="112" spans="1:28" ht="15" customHeight="1" x14ac:dyDescent="0.2">
      <c r="A112" s="31" t="s">
        <v>23</v>
      </c>
      <c r="B112" s="5">
        <v>203347</v>
      </c>
      <c r="C112" s="5">
        <v>119739</v>
      </c>
      <c r="D112" s="5">
        <v>6759</v>
      </c>
      <c r="E112" s="5">
        <v>23914</v>
      </c>
      <c r="F112" s="5">
        <v>1959</v>
      </c>
      <c r="G112" s="5">
        <v>5024</v>
      </c>
      <c r="H112" s="5">
        <v>6171</v>
      </c>
      <c r="I112" s="5">
        <v>4590</v>
      </c>
      <c r="J112" s="5">
        <v>11975</v>
      </c>
      <c r="K112" s="5">
        <v>12090</v>
      </c>
      <c r="L112" s="5">
        <v>34180</v>
      </c>
      <c r="M112" s="5">
        <v>429748</v>
      </c>
      <c r="N112" s="69"/>
      <c r="O112" s="31" t="s">
        <v>23</v>
      </c>
      <c r="P112" s="5">
        <v>176930.6466122157</v>
      </c>
      <c r="Q112" s="5">
        <v>46557.156047755161</v>
      </c>
      <c r="R112" s="5">
        <v>5894.7029563286333</v>
      </c>
      <c r="S112" s="5">
        <v>17310.957257668204</v>
      </c>
      <c r="T112" s="5">
        <v>1668.1146348244047</v>
      </c>
      <c r="U112" s="5">
        <v>2873.5815340441754</v>
      </c>
      <c r="V112" s="5">
        <v>8597.3372970319961</v>
      </c>
      <c r="W112" s="5">
        <v>2763.9863010422519</v>
      </c>
      <c r="X112" s="5">
        <v>7744.3803507378152</v>
      </c>
      <c r="Y112" s="5">
        <v>4717.2970556895352</v>
      </c>
      <c r="Z112" s="5">
        <v>21095.577583428385</v>
      </c>
      <c r="AA112" s="5">
        <v>296153.73763076623</v>
      </c>
      <c r="AB112" s="69"/>
    </row>
    <row r="113" spans="1:28" ht="15" customHeight="1" x14ac:dyDescent="0.2">
      <c r="A113" s="31" t="s">
        <v>24</v>
      </c>
      <c r="B113" s="5">
        <v>103349.17902088932</v>
      </c>
      <c r="C113" s="5">
        <v>37105.883606508141</v>
      </c>
      <c r="D113" s="5">
        <v>2475.9245433579599</v>
      </c>
      <c r="E113" s="5">
        <v>4436.3250448706967</v>
      </c>
      <c r="F113" s="5">
        <v>1191.2566011269018</v>
      </c>
      <c r="G113" s="5">
        <v>1503.665929036516</v>
      </c>
      <c r="H113" s="5">
        <v>2788.644936612784</v>
      </c>
      <c r="I113" s="5">
        <v>2936.7570423249799</v>
      </c>
      <c r="J113" s="5">
        <v>5586.0075713973765</v>
      </c>
      <c r="K113" s="5">
        <v>6001.9008615336161</v>
      </c>
      <c r="L113" s="5">
        <v>10247.454842341702</v>
      </c>
      <c r="M113" s="5">
        <v>177623</v>
      </c>
      <c r="N113" s="69"/>
      <c r="O113" s="31" t="s">
        <v>24</v>
      </c>
      <c r="P113" s="5">
        <v>80879.740763150752</v>
      </c>
      <c r="Q113" s="5">
        <v>14886.753405461288</v>
      </c>
      <c r="R113" s="5">
        <v>1895.9125272463402</v>
      </c>
      <c r="S113" s="5">
        <v>4260.9137407070129</v>
      </c>
      <c r="T113" s="5">
        <v>364.80752330924702</v>
      </c>
      <c r="U113" s="5">
        <v>1003.1555335900664</v>
      </c>
      <c r="V113" s="5">
        <v>1540.7557462376394</v>
      </c>
      <c r="W113" s="5">
        <v>854.75602771304443</v>
      </c>
      <c r="X113" s="5">
        <v>3365.3840647795496</v>
      </c>
      <c r="Y113" s="5">
        <v>1933.6437536146118</v>
      </c>
      <c r="Z113" s="5">
        <v>4966.9729142420056</v>
      </c>
      <c r="AA113" s="5">
        <v>115952.79600005156</v>
      </c>
      <c r="AB113" s="69"/>
    </row>
    <row r="114" spans="1:28" ht="15" customHeight="1" x14ac:dyDescent="0.2">
      <c r="A114" s="31" t="s">
        <v>25</v>
      </c>
      <c r="B114" s="5">
        <v>7624</v>
      </c>
      <c r="C114" s="5">
        <v>4489</v>
      </c>
      <c r="D114" s="5">
        <v>832</v>
      </c>
      <c r="E114" s="5">
        <v>1203</v>
      </c>
      <c r="F114" s="5">
        <v>433</v>
      </c>
      <c r="G114" s="5">
        <v>326</v>
      </c>
      <c r="H114" s="5">
        <v>106</v>
      </c>
      <c r="I114" s="5">
        <v>294</v>
      </c>
      <c r="J114" s="5">
        <v>1378</v>
      </c>
      <c r="K114" s="5">
        <v>1774</v>
      </c>
      <c r="L114" s="5">
        <v>2149</v>
      </c>
      <c r="M114" s="5">
        <v>20608</v>
      </c>
      <c r="N114" s="69"/>
      <c r="O114" s="31" t="s">
        <v>25</v>
      </c>
      <c r="P114" s="5">
        <v>15559.788000122959</v>
      </c>
      <c r="Q114" s="5">
        <v>2887.5555705032757</v>
      </c>
      <c r="R114" s="5">
        <v>445.20190859570209</v>
      </c>
      <c r="S114" s="5">
        <v>989.21382154681669</v>
      </c>
      <c r="T114" s="5">
        <v>387.95471308000037</v>
      </c>
      <c r="U114" s="5">
        <v>236.44975028826082</v>
      </c>
      <c r="V114" s="5">
        <v>172.46740351185338</v>
      </c>
      <c r="W114" s="5">
        <v>123.44620760331543</v>
      </c>
      <c r="X114" s="5">
        <v>607.15039292111214</v>
      </c>
      <c r="Y114" s="5">
        <v>507.20546829167495</v>
      </c>
      <c r="Z114" s="5">
        <v>2016.9388607156832</v>
      </c>
      <c r="AA114" s="5">
        <v>23933.372097180662</v>
      </c>
      <c r="AB114" s="69"/>
    </row>
    <row r="115" spans="1:28" ht="15" customHeight="1" x14ac:dyDescent="0.2">
      <c r="A115" s="31" t="s">
        <v>26</v>
      </c>
      <c r="B115" s="5">
        <v>54261</v>
      </c>
      <c r="C115" s="5">
        <v>22463</v>
      </c>
      <c r="D115" s="5">
        <v>3200</v>
      </c>
      <c r="E115" s="5">
        <v>6469</v>
      </c>
      <c r="F115" s="5">
        <v>1541</v>
      </c>
      <c r="G115" s="5">
        <v>2565</v>
      </c>
      <c r="H115" s="5">
        <v>1872</v>
      </c>
      <c r="I115" s="5">
        <v>1991</v>
      </c>
      <c r="J115" s="5">
        <v>3070</v>
      </c>
      <c r="K115" s="5">
        <v>3275</v>
      </c>
      <c r="L115" s="5">
        <v>10870</v>
      </c>
      <c r="M115" s="5">
        <v>111577</v>
      </c>
      <c r="N115" s="69"/>
      <c r="O115" s="31" t="s">
        <v>26</v>
      </c>
      <c r="P115" s="5">
        <v>57177.94271139671</v>
      </c>
      <c r="Q115" s="5">
        <v>12974.344839397418</v>
      </c>
      <c r="R115" s="5">
        <v>2006.5409266360937</v>
      </c>
      <c r="S115" s="5">
        <v>6513.5513756027858</v>
      </c>
      <c r="T115" s="5">
        <v>809.77772677887583</v>
      </c>
      <c r="U115" s="5">
        <v>1759.1800991905079</v>
      </c>
      <c r="V115" s="5">
        <v>992.61939279817045</v>
      </c>
      <c r="W115" s="5">
        <v>1350.4127759491107</v>
      </c>
      <c r="X115" s="5">
        <v>3032.6119735458342</v>
      </c>
      <c r="Y115" s="5">
        <v>1545.2336603357426</v>
      </c>
      <c r="Z115" s="5">
        <v>5292.3144009790067</v>
      </c>
      <c r="AA115" s="5">
        <v>93454.529882610252</v>
      </c>
      <c r="AB115" s="69"/>
    </row>
    <row r="116" spans="1:28" ht="15" customHeight="1" x14ac:dyDescent="0.2">
      <c r="A116" s="31" t="s">
        <v>27</v>
      </c>
      <c r="B116" s="5">
        <v>5760</v>
      </c>
      <c r="C116" s="5">
        <v>2358</v>
      </c>
      <c r="D116" s="5">
        <v>548</v>
      </c>
      <c r="E116" s="5">
        <v>538</v>
      </c>
      <c r="F116" s="5">
        <v>238</v>
      </c>
      <c r="G116" s="5">
        <v>281</v>
      </c>
      <c r="H116" s="5">
        <v>492</v>
      </c>
      <c r="I116" s="5">
        <v>339</v>
      </c>
      <c r="J116" s="5">
        <v>90</v>
      </c>
      <c r="K116" s="5">
        <v>287</v>
      </c>
      <c r="L116" s="5">
        <v>1864</v>
      </c>
      <c r="M116" s="5">
        <v>12795</v>
      </c>
      <c r="N116" s="69"/>
      <c r="O116" s="31" t="s">
        <v>27</v>
      </c>
      <c r="P116" s="5">
        <v>8594.5445225058011</v>
      </c>
      <c r="Q116" s="5">
        <v>1337.2858160803935</v>
      </c>
      <c r="R116" s="5">
        <v>159.27909873946766</v>
      </c>
      <c r="S116" s="5">
        <v>840.26247882476309</v>
      </c>
      <c r="T116" s="5">
        <v>50.73785473785474</v>
      </c>
      <c r="U116" s="5">
        <v>188.50445421866976</v>
      </c>
      <c r="V116" s="5">
        <v>105.70585495365411</v>
      </c>
      <c r="W116" s="5">
        <v>86.077626488469079</v>
      </c>
      <c r="X116" s="5">
        <v>642.7813398187044</v>
      </c>
      <c r="Y116" s="5">
        <v>319.66000509164968</v>
      </c>
      <c r="Z116" s="5">
        <v>729.08936861846223</v>
      </c>
      <c r="AA116" s="5">
        <v>13053.928420077889</v>
      </c>
      <c r="AB116" s="69"/>
    </row>
    <row r="117" spans="1:28" ht="15" customHeight="1" x14ac:dyDescent="0.2">
      <c r="A117" s="31" t="s">
        <v>28</v>
      </c>
      <c r="B117" s="5">
        <v>20605</v>
      </c>
      <c r="C117" s="5">
        <v>3418</v>
      </c>
      <c r="D117" s="5">
        <v>331</v>
      </c>
      <c r="E117" s="5">
        <v>1576</v>
      </c>
      <c r="F117" s="5">
        <v>49</v>
      </c>
      <c r="G117" s="5">
        <v>459</v>
      </c>
      <c r="H117" s="5">
        <v>387</v>
      </c>
      <c r="I117" s="5">
        <v>167</v>
      </c>
      <c r="J117" s="5">
        <v>897</v>
      </c>
      <c r="K117" s="5">
        <v>1183</v>
      </c>
      <c r="L117" s="5">
        <v>2028</v>
      </c>
      <c r="M117" s="5">
        <v>31100</v>
      </c>
      <c r="N117" s="69"/>
      <c r="O117" s="31" t="s">
        <v>28</v>
      </c>
      <c r="P117" s="5">
        <v>25445.679968445475</v>
      </c>
      <c r="Q117" s="5">
        <v>9097.4256624873215</v>
      </c>
      <c r="R117" s="5">
        <v>706.73507387710811</v>
      </c>
      <c r="S117" s="5">
        <v>3392.8547221898557</v>
      </c>
      <c r="T117" s="5">
        <v>215.63588263588264</v>
      </c>
      <c r="U117" s="5">
        <v>744.64466721739711</v>
      </c>
      <c r="V117" s="5">
        <v>391.00903628487589</v>
      </c>
      <c r="W117" s="5">
        <v>661.65693614028032</v>
      </c>
      <c r="X117" s="5">
        <v>2750.6960192876618</v>
      </c>
      <c r="Y117" s="5">
        <v>863.69674452647655</v>
      </c>
      <c r="Z117" s="5">
        <v>2307.7618670556367</v>
      </c>
      <c r="AA117" s="5">
        <v>46577.796580147973</v>
      </c>
      <c r="AB117" s="69"/>
    </row>
    <row r="118" spans="1:28" ht="15" customHeight="1" x14ac:dyDescent="0.2">
      <c r="A118" s="29" t="s">
        <v>60</v>
      </c>
      <c r="B118" s="58">
        <v>2043650.1790208893</v>
      </c>
      <c r="C118" s="58">
        <v>855155.88360650814</v>
      </c>
      <c r="D118" s="58">
        <v>56946.924543357964</v>
      </c>
      <c r="E118" s="58">
        <v>143210.3250448707</v>
      </c>
      <c r="F118" s="58">
        <v>15805.256601126901</v>
      </c>
      <c r="G118" s="58">
        <v>41017.665929036513</v>
      </c>
      <c r="H118" s="58">
        <v>39724.644936612785</v>
      </c>
      <c r="I118" s="58">
        <v>46629.757042324978</v>
      </c>
      <c r="J118" s="58">
        <v>62061.007571397378</v>
      </c>
      <c r="K118" s="58">
        <v>117082.90086153362</v>
      </c>
      <c r="L118" s="58">
        <v>274394.45484234171</v>
      </c>
      <c r="M118" s="58">
        <v>3695679</v>
      </c>
      <c r="N118" s="69"/>
      <c r="O118" s="29" t="s">
        <v>60</v>
      </c>
      <c r="P118" s="58">
        <v>2180582.5897566676</v>
      </c>
      <c r="Q118" s="58">
        <v>599311.22540556511</v>
      </c>
      <c r="R118" s="58">
        <v>78746.657522532158</v>
      </c>
      <c r="S118" s="58">
        <v>228938.7261669563</v>
      </c>
      <c r="T118" s="58">
        <v>26371.889991957421</v>
      </c>
      <c r="U118" s="58">
        <v>46647.574250686208</v>
      </c>
      <c r="V118" s="58">
        <v>66101.230767828063</v>
      </c>
      <c r="W118" s="58">
        <v>41283.393221644466</v>
      </c>
      <c r="X118" s="58">
        <v>96913.270604853577</v>
      </c>
      <c r="Y118" s="58">
        <v>64393.173124725276</v>
      </c>
      <c r="Z118" s="58">
        <v>245029.26918658373</v>
      </c>
      <c r="AA118" s="58">
        <v>3674319.0000000009</v>
      </c>
      <c r="AB118" s="69"/>
    </row>
    <row r="119" spans="1:28" ht="15" customHeight="1" x14ac:dyDescent="0.2"/>
    <row r="120" spans="1:28" ht="15" customHeight="1" x14ac:dyDescent="0.2"/>
    <row r="121" spans="1:28" ht="15" customHeight="1" x14ac:dyDescent="0.2"/>
    <row r="122" spans="1:28" ht="15" customHeight="1" x14ac:dyDescent="0.2"/>
    <row r="123" spans="1:28" ht="15" customHeight="1" x14ac:dyDescent="0.2"/>
    <row r="124" spans="1:28" ht="15" customHeight="1" x14ac:dyDescent="0.2"/>
    <row r="125" spans="1:28" ht="15" customHeight="1" x14ac:dyDescent="0.2"/>
    <row r="126" spans="1:28" ht="15" customHeight="1" x14ac:dyDescent="0.2"/>
    <row r="127" spans="1:28" ht="15" customHeight="1" x14ac:dyDescent="0.2"/>
    <row r="128" spans="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sheetData>
  <mergeCells count="14">
    <mergeCell ref="O101:AA101"/>
    <mergeCell ref="A101:M101"/>
    <mergeCell ref="A4:D4"/>
    <mergeCell ref="A21:M21"/>
    <mergeCell ref="O21:AA21"/>
    <mergeCell ref="O29:AA29"/>
    <mergeCell ref="A29:M29"/>
    <mergeCell ref="A42:M42"/>
    <mergeCell ref="O42:AA42"/>
    <mergeCell ref="A63:D63"/>
    <mergeCell ref="O80:AA80"/>
    <mergeCell ref="A80:M80"/>
    <mergeCell ref="A88:M88"/>
    <mergeCell ref="O88:AA8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55"/>
  <sheetViews>
    <sheetView showGridLines="0" zoomScale="90" zoomScaleNormal="90" workbookViewId="0"/>
  </sheetViews>
  <sheetFormatPr baseColWidth="10" defaultColWidth="33.140625" defaultRowHeight="12.75" x14ac:dyDescent="0.2"/>
  <cols>
    <col min="1" max="1" width="40.7109375" style="3" customWidth="1"/>
    <col min="2" max="5" width="15.7109375" style="6" customWidth="1"/>
    <col min="6" max="6" width="40.7109375" style="3" customWidth="1"/>
    <col min="7" max="32" width="15.7109375" style="3" customWidth="1"/>
    <col min="33" max="16384" width="33.140625" style="3"/>
  </cols>
  <sheetData>
    <row r="1" spans="1:6" ht="18.75" x14ac:dyDescent="0.3">
      <c r="A1" s="1" t="s">
        <v>205</v>
      </c>
    </row>
    <row r="3" spans="1:6" x14ac:dyDescent="0.2">
      <c r="A3" s="2" t="s">
        <v>86</v>
      </c>
    </row>
    <row r="4" spans="1:6" x14ac:dyDescent="0.2">
      <c r="A4" s="146" t="s">
        <v>1000</v>
      </c>
      <c r="B4" s="146"/>
      <c r="C4" s="146"/>
      <c r="D4" s="146"/>
    </row>
    <row r="5" spans="1:6" x14ac:dyDescent="0.2">
      <c r="A5" s="8" t="s">
        <v>65</v>
      </c>
      <c r="B5" s="8" t="s">
        <v>0</v>
      </c>
      <c r="C5" s="8" t="s">
        <v>1</v>
      </c>
      <c r="D5" s="8" t="s">
        <v>59</v>
      </c>
    </row>
    <row r="6" spans="1:6" x14ac:dyDescent="0.2">
      <c r="A6" s="25">
        <v>2012</v>
      </c>
      <c r="B6" s="4">
        <v>384542693.00300002</v>
      </c>
      <c r="C6" s="4">
        <v>282594096</v>
      </c>
      <c r="D6" s="23">
        <v>667136789.00300002</v>
      </c>
      <c r="E6" s="54"/>
    </row>
    <row r="7" spans="1:6" x14ac:dyDescent="0.2">
      <c r="A7" s="25">
        <v>2013</v>
      </c>
      <c r="B7" s="5">
        <v>399311437.22099996</v>
      </c>
      <c r="C7" s="5">
        <v>348361851</v>
      </c>
      <c r="D7" s="14">
        <v>747673288.22099996</v>
      </c>
      <c r="E7" s="54"/>
    </row>
    <row r="8" spans="1:6" x14ac:dyDescent="0.2">
      <c r="A8" s="25">
        <v>2014</v>
      </c>
      <c r="B8" s="5">
        <v>473197696.10000002</v>
      </c>
      <c r="C8" s="5">
        <v>398656445</v>
      </c>
      <c r="D8" s="14">
        <v>871854141.10000002</v>
      </c>
      <c r="E8" s="54"/>
    </row>
    <row r="9" spans="1:6" x14ac:dyDescent="0.2">
      <c r="A9" s="25">
        <v>2015</v>
      </c>
      <c r="B9" s="5">
        <v>570889517.24099994</v>
      </c>
      <c r="C9" s="5">
        <v>420101986.505714</v>
      </c>
      <c r="D9" s="14">
        <v>990991503.74671388</v>
      </c>
      <c r="E9" s="54"/>
    </row>
    <row r="10" spans="1:6" x14ac:dyDescent="0.2">
      <c r="A10" s="27">
        <v>2016</v>
      </c>
      <c r="B10" s="15">
        <v>647982618.06200004</v>
      </c>
      <c r="C10" s="15">
        <v>445459559.17212099</v>
      </c>
      <c r="D10" s="26">
        <v>1093442177.2341211</v>
      </c>
      <c r="E10" s="54"/>
      <c r="F10" s="99"/>
    </row>
    <row r="11" spans="1:6" ht="25.5" customHeight="1" x14ac:dyDescent="0.2">
      <c r="A11" s="147" t="s">
        <v>1108</v>
      </c>
      <c r="B11" s="147"/>
      <c r="C11" s="147"/>
      <c r="D11" s="147"/>
      <c r="E11" s="54"/>
    </row>
    <row r="12" spans="1:6" x14ac:dyDescent="0.2">
      <c r="E12" s="54"/>
    </row>
    <row r="13" spans="1:6" x14ac:dyDescent="0.2">
      <c r="A13" s="2" t="s">
        <v>87</v>
      </c>
      <c r="E13" s="54"/>
    </row>
    <row r="14" spans="1:6" x14ac:dyDescent="0.2">
      <c r="A14" s="146" t="s">
        <v>1001</v>
      </c>
      <c r="B14" s="146"/>
      <c r="C14" s="146"/>
      <c r="D14" s="146"/>
      <c r="E14" s="54"/>
    </row>
    <row r="15" spans="1:6" x14ac:dyDescent="0.2">
      <c r="A15" s="8" t="s">
        <v>65</v>
      </c>
      <c r="B15" s="61" t="s">
        <v>0</v>
      </c>
      <c r="C15" s="8" t="s">
        <v>1</v>
      </c>
      <c r="D15" s="8" t="s">
        <v>59</v>
      </c>
      <c r="E15" s="54"/>
    </row>
    <row r="16" spans="1:6" x14ac:dyDescent="0.2">
      <c r="A16" s="31">
        <v>2012</v>
      </c>
      <c r="B16" s="4">
        <v>444450643.24755549</v>
      </c>
      <c r="C16" s="4">
        <v>326619462.62539327</v>
      </c>
      <c r="D16" s="4">
        <v>771070105.87294877</v>
      </c>
      <c r="E16" s="54"/>
    </row>
    <row r="17" spans="1:10" x14ac:dyDescent="0.2">
      <c r="A17" s="31">
        <v>2013</v>
      </c>
      <c r="B17" s="5">
        <v>447971495.13079965</v>
      </c>
      <c r="C17" s="5">
        <v>390813196.64939409</v>
      </c>
      <c r="D17" s="5">
        <v>838784691.78019381</v>
      </c>
      <c r="E17" s="54"/>
    </row>
    <row r="18" spans="1:10" x14ac:dyDescent="0.2">
      <c r="A18" s="31">
        <v>2014</v>
      </c>
      <c r="B18" s="5">
        <v>507322101.59920919</v>
      </c>
      <c r="C18" s="5">
        <v>427405346.98361886</v>
      </c>
      <c r="D18" s="5">
        <v>934727448.58282804</v>
      </c>
      <c r="E18" s="54"/>
    </row>
    <row r="19" spans="1:10" x14ac:dyDescent="0.2">
      <c r="A19" s="31">
        <v>2015</v>
      </c>
      <c r="B19" s="5">
        <v>586388547.15797842</v>
      </c>
      <c r="C19" s="5">
        <v>431507298.84793639</v>
      </c>
      <c r="D19" s="5">
        <v>1017895846.0059147</v>
      </c>
      <c r="E19" s="54"/>
      <c r="F19" s="99"/>
    </row>
    <row r="20" spans="1:10" x14ac:dyDescent="0.2">
      <c r="A20" s="60">
        <v>2016</v>
      </c>
      <c r="B20" s="15">
        <v>647982618.06200004</v>
      </c>
      <c r="C20" s="15">
        <v>445459559.17212099</v>
      </c>
      <c r="D20" s="15">
        <v>1093442177.2341211</v>
      </c>
      <c r="E20" s="54"/>
      <c r="H20" s="100"/>
      <c r="I20" s="100"/>
      <c r="J20" s="100"/>
    </row>
    <row r="21" spans="1:10" ht="25.5" customHeight="1" x14ac:dyDescent="0.2">
      <c r="A21" s="147" t="s">
        <v>1108</v>
      </c>
      <c r="B21" s="147"/>
      <c r="C21" s="147"/>
      <c r="D21" s="147"/>
      <c r="E21" s="54"/>
    </row>
    <row r="22" spans="1:10" x14ac:dyDescent="0.2">
      <c r="E22" s="54"/>
    </row>
    <row r="23" spans="1:10" x14ac:dyDescent="0.2">
      <c r="A23" s="2" t="s">
        <v>88</v>
      </c>
      <c r="E23" s="54"/>
    </row>
    <row r="24" spans="1:10" ht="27.75" customHeight="1" x14ac:dyDescent="0.2">
      <c r="A24" s="146" t="s">
        <v>1002</v>
      </c>
      <c r="B24" s="146"/>
      <c r="C24" s="146"/>
      <c r="D24" s="146"/>
      <c r="E24" s="54"/>
      <c r="F24" s="6"/>
      <c r="G24" s="6"/>
      <c r="H24" s="6"/>
    </row>
    <row r="25" spans="1:10" x14ac:dyDescent="0.2">
      <c r="A25" s="8" t="s">
        <v>207</v>
      </c>
      <c r="B25" s="8" t="s">
        <v>0</v>
      </c>
      <c r="C25" s="8" t="s">
        <v>1</v>
      </c>
      <c r="D25" s="8" t="s">
        <v>59</v>
      </c>
      <c r="E25" s="54"/>
    </row>
    <row r="26" spans="1:10" x14ac:dyDescent="0.2">
      <c r="A26" s="31" t="s">
        <v>9</v>
      </c>
      <c r="B26" s="4">
        <v>202209016.32783875</v>
      </c>
      <c r="C26" s="4">
        <v>87996660.211756393</v>
      </c>
      <c r="D26" s="4">
        <v>290206271.58605254</v>
      </c>
      <c r="E26" s="54"/>
    </row>
    <row r="27" spans="1:10" x14ac:dyDescent="0.2">
      <c r="A27" s="31" t="s">
        <v>10</v>
      </c>
      <c r="B27" s="5">
        <v>145999184.29494447</v>
      </c>
      <c r="C27" s="5">
        <v>81530880.211601153</v>
      </c>
      <c r="D27" s="5">
        <v>227529109.69866246</v>
      </c>
      <c r="E27" s="54"/>
    </row>
    <row r="28" spans="1:10" x14ac:dyDescent="0.2">
      <c r="A28" s="31" t="s">
        <v>11</v>
      </c>
      <c r="B28" s="5">
        <v>22559544.478711817</v>
      </c>
      <c r="C28" s="5">
        <v>26296883.019499306</v>
      </c>
      <c r="D28" s="5">
        <v>48856605.321631283</v>
      </c>
      <c r="E28" s="54"/>
    </row>
    <row r="29" spans="1:10" x14ac:dyDescent="0.2">
      <c r="A29" s="31" t="s">
        <v>12</v>
      </c>
      <c r="B29" s="5">
        <v>63428432.129966617</v>
      </c>
      <c r="C29" s="5">
        <v>67203145.494276002</v>
      </c>
      <c r="D29" s="5">
        <v>130630525.93009396</v>
      </c>
      <c r="E29" s="54"/>
    </row>
    <row r="30" spans="1:10" x14ac:dyDescent="0.2">
      <c r="A30" s="31" t="s">
        <v>13</v>
      </c>
      <c r="B30" s="5">
        <v>5957057.2464876426</v>
      </c>
      <c r="C30" s="5">
        <v>6950751.15320672</v>
      </c>
      <c r="D30" s="5">
        <v>12909361.533481698</v>
      </c>
      <c r="E30" s="54"/>
    </row>
    <row r="31" spans="1:10" x14ac:dyDescent="0.2">
      <c r="A31" s="31" t="s">
        <v>230</v>
      </c>
      <c r="B31" s="5">
        <v>20936740.343629174</v>
      </c>
      <c r="C31" s="5">
        <v>24430798.365366451</v>
      </c>
      <c r="D31" s="5">
        <v>45369210.045452744</v>
      </c>
      <c r="E31" s="54"/>
    </row>
    <row r="32" spans="1:10" x14ac:dyDescent="0.2">
      <c r="A32" s="31" t="s">
        <v>231</v>
      </c>
      <c r="B32" s="5">
        <v>30521259.753826816</v>
      </c>
      <c r="C32" s="5">
        <v>25399234.549876079</v>
      </c>
      <c r="D32" s="5">
        <v>55919159.925313115</v>
      </c>
      <c r="E32" s="54"/>
    </row>
    <row r="33" spans="1:10" x14ac:dyDescent="0.2">
      <c r="A33" s="31" t="s">
        <v>232</v>
      </c>
      <c r="B33" s="5">
        <v>18861697.875996366</v>
      </c>
      <c r="C33" s="5">
        <v>13659016.7298877</v>
      </c>
      <c r="D33" s="5">
        <v>32520806.970179446</v>
      </c>
      <c r="E33" s="54"/>
    </row>
    <row r="34" spans="1:10" x14ac:dyDescent="0.2">
      <c r="A34" s="31" t="s">
        <v>233</v>
      </c>
      <c r="B34" s="5">
        <v>37753610.453221418</v>
      </c>
      <c r="C34" s="5">
        <v>44600778.74320922</v>
      </c>
      <c r="D34" s="5">
        <v>82353184.661728352</v>
      </c>
      <c r="E34" s="54"/>
    </row>
    <row r="35" spans="1:10" x14ac:dyDescent="0.2">
      <c r="A35" s="31" t="s">
        <v>987</v>
      </c>
      <c r="B35" s="5">
        <v>30867904.780650496</v>
      </c>
      <c r="C35" s="5">
        <v>18367152.830629673</v>
      </c>
      <c r="D35" s="5">
        <v>49236687.944467545</v>
      </c>
      <c r="E35" s="54"/>
    </row>
    <row r="36" spans="1:10" x14ac:dyDescent="0.2">
      <c r="A36" s="31" t="s">
        <v>234</v>
      </c>
      <c r="B36" s="5">
        <v>68888170.376726538</v>
      </c>
      <c r="C36" s="5">
        <v>49024257.862812288</v>
      </c>
      <c r="D36" s="5">
        <v>117911253.61705789</v>
      </c>
      <c r="E36" s="54"/>
    </row>
    <row r="37" spans="1:10" x14ac:dyDescent="0.2">
      <c r="A37" s="29" t="s">
        <v>60</v>
      </c>
      <c r="B37" s="58">
        <v>647982618.06200004</v>
      </c>
      <c r="C37" s="58">
        <v>445459559.17212099</v>
      </c>
      <c r="D37" s="58">
        <v>1093442177.2341211</v>
      </c>
      <c r="E37" s="54"/>
    </row>
    <row r="38" spans="1:10" ht="27" customHeight="1" x14ac:dyDescent="0.2">
      <c r="A38" s="147" t="s">
        <v>1108</v>
      </c>
      <c r="B38" s="147"/>
      <c r="C38" s="147"/>
      <c r="D38" s="147"/>
      <c r="E38" s="54"/>
    </row>
    <row r="39" spans="1:10" x14ac:dyDescent="0.2">
      <c r="E39" s="54"/>
    </row>
    <row r="40" spans="1:10" x14ac:dyDescent="0.2">
      <c r="A40" s="2" t="s">
        <v>236</v>
      </c>
      <c r="E40" s="54"/>
      <c r="F40" s="2" t="s">
        <v>239</v>
      </c>
    </row>
    <row r="41" spans="1:10" ht="24.75" customHeight="1" x14ac:dyDescent="0.2">
      <c r="A41" s="146" t="s">
        <v>1003</v>
      </c>
      <c r="B41" s="146"/>
      <c r="C41" s="146"/>
      <c r="D41" s="146"/>
      <c r="E41" s="54"/>
      <c r="F41" s="146" t="s">
        <v>465</v>
      </c>
      <c r="G41" s="146"/>
      <c r="H41" s="146"/>
      <c r="I41" s="146"/>
    </row>
    <row r="42" spans="1:10" x14ac:dyDescent="0.2">
      <c r="A42" s="8" t="s">
        <v>207</v>
      </c>
      <c r="B42" s="8" t="s">
        <v>237</v>
      </c>
      <c r="C42" s="8" t="s">
        <v>238</v>
      </c>
      <c r="D42" s="8" t="s">
        <v>64</v>
      </c>
      <c r="E42" s="54"/>
      <c r="F42" s="8" t="s">
        <v>207</v>
      </c>
      <c r="G42" s="8" t="s">
        <v>237</v>
      </c>
      <c r="H42" s="8" t="s">
        <v>238</v>
      </c>
      <c r="I42" s="8" t="s">
        <v>64</v>
      </c>
    </row>
    <row r="43" spans="1:10" x14ac:dyDescent="0.2">
      <c r="A43" s="31" t="s">
        <v>9</v>
      </c>
      <c r="B43" s="4">
        <v>24853438.920675348</v>
      </c>
      <c r="C43" s="4">
        <v>177355605.88644662</v>
      </c>
      <c r="D43" s="4">
        <v>202209044.80712196</v>
      </c>
      <c r="E43" s="54"/>
      <c r="F43" s="31" t="s">
        <v>9</v>
      </c>
      <c r="G43" s="4">
        <v>21216601.999911688</v>
      </c>
      <c r="H43" s="4">
        <v>66780058.211844705</v>
      </c>
      <c r="I43" s="4">
        <v>87996660.211756393</v>
      </c>
      <c r="J43" s="54"/>
    </row>
    <row r="44" spans="1:10" x14ac:dyDescent="0.2">
      <c r="A44" s="31" t="s">
        <v>10</v>
      </c>
      <c r="B44" s="5">
        <v>14453056.682141768</v>
      </c>
      <c r="C44" s="5">
        <v>131546123.51349097</v>
      </c>
      <c r="D44" s="5">
        <v>145999180.19563276</v>
      </c>
      <c r="E44" s="54"/>
      <c r="F44" s="31" t="s">
        <v>10</v>
      </c>
      <c r="G44" s="5">
        <v>14570200.378370197</v>
      </c>
      <c r="H44" s="5">
        <v>66960679.833230957</v>
      </c>
      <c r="I44" s="5">
        <v>81530880.211601153</v>
      </c>
      <c r="J44" s="54"/>
    </row>
    <row r="45" spans="1:10" x14ac:dyDescent="0.2">
      <c r="A45" s="31" t="s">
        <v>11</v>
      </c>
      <c r="B45" s="5">
        <v>3382086.9469973813</v>
      </c>
      <c r="C45" s="5">
        <v>19177465.012587585</v>
      </c>
      <c r="D45" s="5">
        <v>22559551.959584966</v>
      </c>
      <c r="E45" s="54"/>
      <c r="F45" s="31" t="s">
        <v>11</v>
      </c>
      <c r="G45" s="5">
        <v>8092316.0688463608</v>
      </c>
      <c r="H45" s="5">
        <v>18204566.950652953</v>
      </c>
      <c r="I45" s="5">
        <v>26296883.019499313</v>
      </c>
      <c r="J45" s="54"/>
    </row>
    <row r="46" spans="1:10" x14ac:dyDescent="0.2">
      <c r="A46" s="31" t="s">
        <v>12</v>
      </c>
      <c r="B46" s="5">
        <v>4320513.2359464886</v>
      </c>
      <c r="C46" s="5">
        <v>59107903.279788792</v>
      </c>
      <c r="D46" s="5">
        <v>63428416.515735283</v>
      </c>
      <c r="E46" s="54"/>
      <c r="F46" s="31" t="s">
        <v>12</v>
      </c>
      <c r="G46" s="5">
        <v>10021756.99483652</v>
      </c>
      <c r="H46" s="5">
        <v>57181388.499439493</v>
      </c>
      <c r="I46" s="5">
        <v>67203145.494276017</v>
      </c>
      <c r="J46" s="54"/>
    </row>
    <row r="47" spans="1:10" x14ac:dyDescent="0.2">
      <c r="A47" s="31" t="s">
        <v>13</v>
      </c>
      <c r="B47" s="5">
        <v>669189.12141307013</v>
      </c>
      <c r="C47" s="5">
        <v>5287868.5191605836</v>
      </c>
      <c r="D47" s="5">
        <v>5957057.6405736534</v>
      </c>
      <c r="E47" s="54"/>
      <c r="F47" s="31" t="s">
        <v>13</v>
      </c>
      <c r="G47" s="5">
        <v>1789259.656247491</v>
      </c>
      <c r="H47" s="5">
        <v>5161491.4969592271</v>
      </c>
      <c r="I47" s="5">
        <v>6950751.1532067182</v>
      </c>
      <c r="J47" s="54"/>
    </row>
    <row r="48" spans="1:10" x14ac:dyDescent="0.2">
      <c r="A48" s="31" t="s">
        <v>230</v>
      </c>
      <c r="B48" s="5">
        <v>1712743.2600493138</v>
      </c>
      <c r="C48" s="5">
        <v>19223993.953918118</v>
      </c>
      <c r="D48" s="5">
        <v>20936737.213967431</v>
      </c>
      <c r="E48" s="54"/>
      <c r="F48" s="31" t="s">
        <v>230</v>
      </c>
      <c r="G48" s="5">
        <v>4751799.8322573025</v>
      </c>
      <c r="H48" s="5">
        <v>19678998.533109151</v>
      </c>
      <c r="I48" s="5">
        <v>24430798.365366451</v>
      </c>
      <c r="J48" s="54"/>
    </row>
    <row r="49" spans="1:10" x14ac:dyDescent="0.2">
      <c r="A49" s="31" t="s">
        <v>231</v>
      </c>
      <c r="B49" s="5">
        <v>3978710.3840420861</v>
      </c>
      <c r="C49" s="5">
        <v>26542555.274246316</v>
      </c>
      <c r="D49" s="5">
        <v>30521265.658288404</v>
      </c>
      <c r="E49" s="54"/>
      <c r="F49" s="31" t="s">
        <v>231</v>
      </c>
      <c r="G49" s="5">
        <v>5420507.5284172045</v>
      </c>
      <c r="H49" s="5">
        <v>19978727.021458875</v>
      </c>
      <c r="I49" s="5">
        <v>25399234.549876079</v>
      </c>
      <c r="J49" s="54"/>
    </row>
    <row r="50" spans="1:10" x14ac:dyDescent="0.2">
      <c r="A50" s="31" t="s">
        <v>232</v>
      </c>
      <c r="B50" s="5">
        <v>1654128.0330107689</v>
      </c>
      <c r="C50" s="5">
        <v>17207567.808464367</v>
      </c>
      <c r="D50" s="5">
        <v>18861695.841475137</v>
      </c>
      <c r="E50" s="54"/>
      <c r="F50" s="31" t="s">
        <v>232</v>
      </c>
      <c r="G50" s="5">
        <v>2921862.7990839044</v>
      </c>
      <c r="H50" s="5">
        <v>10737153.930803796</v>
      </c>
      <c r="I50" s="5">
        <v>13659016.729887702</v>
      </c>
      <c r="J50" s="54"/>
    </row>
    <row r="51" spans="1:10" x14ac:dyDescent="0.2">
      <c r="A51" s="31" t="s">
        <v>233</v>
      </c>
      <c r="B51" s="5">
        <v>2931860.0752968872</v>
      </c>
      <c r="C51" s="5">
        <v>34821743.628377117</v>
      </c>
      <c r="D51" s="5">
        <v>37753603.703674003</v>
      </c>
      <c r="E51" s="54"/>
      <c r="F51" s="31" t="s">
        <v>233</v>
      </c>
      <c r="G51" s="5">
        <v>8767106.7400553785</v>
      </c>
      <c r="H51" s="5">
        <v>35833672.003153838</v>
      </c>
      <c r="I51" s="5">
        <v>44600778.743209213</v>
      </c>
      <c r="J51" s="54"/>
    </row>
    <row r="52" spans="1:10" x14ac:dyDescent="0.2">
      <c r="A52" s="31" t="s">
        <v>987</v>
      </c>
      <c r="B52" s="5">
        <v>2177886.1338590202</v>
      </c>
      <c r="C52" s="5">
        <v>28690011.579704568</v>
      </c>
      <c r="D52" s="5">
        <v>30867897.713563588</v>
      </c>
      <c r="E52" s="54"/>
      <c r="F52" s="31" t="s">
        <v>987</v>
      </c>
      <c r="G52" s="5">
        <v>3586064.8659834284</v>
      </c>
      <c r="H52" s="5">
        <v>14781087.964646243</v>
      </c>
      <c r="I52" s="5">
        <v>18367152.830629669</v>
      </c>
      <c r="J52" s="54"/>
    </row>
    <row r="53" spans="1:10" x14ac:dyDescent="0.2">
      <c r="A53" s="31" t="s">
        <v>234</v>
      </c>
      <c r="B53" s="5">
        <v>6588727.748649911</v>
      </c>
      <c r="C53" s="5">
        <v>62299439.063732997</v>
      </c>
      <c r="D53" s="5">
        <v>68888166.812382907</v>
      </c>
      <c r="E53" s="54"/>
      <c r="F53" s="31" t="s">
        <v>234</v>
      </c>
      <c r="G53" s="5">
        <v>10203932.548209371</v>
      </c>
      <c r="H53" s="5">
        <v>38820325.314602919</v>
      </c>
      <c r="I53" s="5">
        <v>49024257.862812288</v>
      </c>
      <c r="J53" s="54"/>
    </row>
    <row r="54" spans="1:10" x14ac:dyDescent="0.2">
      <c r="A54" s="29" t="s">
        <v>60</v>
      </c>
      <c r="B54" s="58">
        <v>66722340.542082042</v>
      </c>
      <c r="C54" s="58">
        <v>581260277.51991808</v>
      </c>
      <c r="D54" s="58">
        <v>647982618.06200004</v>
      </c>
      <c r="E54" s="54"/>
      <c r="F54" s="29" t="s">
        <v>60</v>
      </c>
      <c r="G54" s="58">
        <v>91341409.412218839</v>
      </c>
      <c r="H54" s="58">
        <v>354118149.75990212</v>
      </c>
      <c r="I54" s="58">
        <v>445459559.17212099</v>
      </c>
      <c r="J54" s="54"/>
    </row>
    <row r="55" spans="1:10" ht="27" customHeight="1" x14ac:dyDescent="0.2">
      <c r="A55" s="147" t="s">
        <v>1108</v>
      </c>
      <c r="B55" s="147"/>
      <c r="C55" s="147"/>
      <c r="D55" s="147"/>
      <c r="F55" s="147" t="s">
        <v>1108</v>
      </c>
      <c r="G55" s="147"/>
      <c r="H55" s="147"/>
      <c r="I55" s="147"/>
    </row>
  </sheetData>
  <mergeCells count="10">
    <mergeCell ref="F55:I55"/>
    <mergeCell ref="A4:D4"/>
    <mergeCell ref="A14:D14"/>
    <mergeCell ref="A24:D24"/>
    <mergeCell ref="A41:D41"/>
    <mergeCell ref="F41:I41"/>
    <mergeCell ref="A11:D11"/>
    <mergeCell ref="A21:D21"/>
    <mergeCell ref="A38:D38"/>
    <mergeCell ref="A55:D55"/>
  </mergeCells>
  <pageMargins left="0.7" right="0.7" top="0.75" bottom="0.75" header="0.3" footer="0.3"/>
  <pageSetup scale="20"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61"/>
  <sheetViews>
    <sheetView showGridLines="0" zoomScale="90" zoomScaleNormal="90" workbookViewId="0"/>
  </sheetViews>
  <sheetFormatPr baseColWidth="10" defaultColWidth="33.140625" defaultRowHeight="12.75" x14ac:dyDescent="0.2"/>
  <cols>
    <col min="1" max="1" width="30.7109375" style="3" customWidth="1"/>
    <col min="2" max="4" width="15.7109375" style="6" customWidth="1"/>
    <col min="5" max="5" width="20.7109375" style="6" customWidth="1"/>
    <col min="6" max="7" width="9.140625" style="107" customWidth="1"/>
    <col min="8" max="8" width="7.7109375" style="3" customWidth="1"/>
    <col min="9" max="11" width="6.42578125" style="3" customWidth="1"/>
    <col min="12" max="16384" width="33.140625" style="3"/>
  </cols>
  <sheetData>
    <row r="1" spans="1:10" ht="18.75" x14ac:dyDescent="0.3">
      <c r="A1" s="1" t="s">
        <v>206</v>
      </c>
    </row>
    <row r="3" spans="1:10" x14ac:dyDescent="0.2">
      <c r="A3" s="2" t="s">
        <v>89</v>
      </c>
    </row>
    <row r="4" spans="1:10" x14ac:dyDescent="0.2">
      <c r="A4" s="146" t="s">
        <v>436</v>
      </c>
      <c r="B4" s="146"/>
      <c r="C4" s="146"/>
      <c r="D4" s="146"/>
    </row>
    <row r="5" spans="1:10" x14ac:dyDescent="0.2">
      <c r="A5" s="8" t="s">
        <v>65</v>
      </c>
      <c r="B5" s="8" t="s">
        <v>0</v>
      </c>
      <c r="C5" s="8" t="s">
        <v>1</v>
      </c>
      <c r="D5" s="8" t="s">
        <v>59</v>
      </c>
    </row>
    <row r="6" spans="1:10" x14ac:dyDescent="0.2">
      <c r="A6" s="25">
        <v>2012</v>
      </c>
      <c r="B6" s="36">
        <v>107.27522487699221</v>
      </c>
      <c r="C6" s="36">
        <v>235.1081294688079</v>
      </c>
      <c r="D6" s="36">
        <v>139.37558531783969</v>
      </c>
      <c r="H6" s="108"/>
      <c r="I6" s="108"/>
      <c r="J6" s="108"/>
    </row>
    <row r="7" spans="1:10" x14ac:dyDescent="0.2">
      <c r="A7" s="25">
        <v>2013</v>
      </c>
      <c r="B7" s="37">
        <v>108.988112394525</v>
      </c>
      <c r="C7" s="37">
        <v>263.27961009888929</v>
      </c>
      <c r="D7" s="38">
        <v>149.92535398551954</v>
      </c>
      <c r="H7" s="108"/>
      <c r="I7" s="108"/>
      <c r="J7" s="108"/>
    </row>
    <row r="8" spans="1:10" x14ac:dyDescent="0.2">
      <c r="A8" s="25">
        <v>2014</v>
      </c>
      <c r="B8" s="37">
        <v>120.48224559793707</v>
      </c>
      <c r="C8" s="37">
        <v>274.87394607265668</v>
      </c>
      <c r="D8" s="38">
        <v>162.11930648601469</v>
      </c>
      <c r="H8" s="108"/>
      <c r="I8" s="108"/>
      <c r="J8" s="108"/>
    </row>
    <row r="9" spans="1:10" x14ac:dyDescent="0.2">
      <c r="A9" s="25">
        <v>2015</v>
      </c>
      <c r="B9" s="37">
        <v>138.23201217363891</v>
      </c>
      <c r="C9" s="37">
        <v>266.12721838572037</v>
      </c>
      <c r="D9" s="38">
        <v>173.59888976401317</v>
      </c>
      <c r="F9" s="103"/>
      <c r="G9" s="103"/>
      <c r="H9" s="108"/>
      <c r="I9" s="108"/>
      <c r="J9" s="108"/>
    </row>
    <row r="10" spans="1:10" x14ac:dyDescent="0.2">
      <c r="A10" s="27">
        <v>2016</v>
      </c>
      <c r="B10" s="39">
        <v>150.63246831914299</v>
      </c>
      <c r="C10" s="39">
        <v>267.02317163638031</v>
      </c>
      <c r="D10" s="40">
        <v>183.15647850793047</v>
      </c>
      <c r="F10" s="103"/>
      <c r="G10" s="103"/>
      <c r="H10" s="108"/>
      <c r="I10" s="108"/>
      <c r="J10" s="108"/>
    </row>
    <row r="11" spans="1:10" x14ac:dyDescent="0.2">
      <c r="H11" s="108"/>
      <c r="I11" s="108"/>
      <c r="J11" s="108"/>
    </row>
    <row r="13" spans="1:10" x14ac:dyDescent="0.2">
      <c r="A13" s="2" t="s">
        <v>90</v>
      </c>
    </row>
    <row r="14" spans="1:10" x14ac:dyDescent="0.2">
      <c r="A14" s="146" t="s">
        <v>431</v>
      </c>
      <c r="B14" s="146"/>
      <c r="C14" s="146"/>
      <c r="D14" s="146"/>
    </row>
    <row r="15" spans="1:10" x14ac:dyDescent="0.2">
      <c r="A15" s="8" t="s">
        <v>65</v>
      </c>
      <c r="B15" s="8" t="s">
        <v>0</v>
      </c>
      <c r="C15" s="8" t="s">
        <v>1</v>
      </c>
      <c r="D15" s="8" t="s">
        <v>59</v>
      </c>
    </row>
    <row r="16" spans="1:10" x14ac:dyDescent="0.2">
      <c r="A16" s="25">
        <v>2012</v>
      </c>
      <c r="B16" s="36">
        <v>7.3910471357411591</v>
      </c>
      <c r="C16" s="36">
        <v>7.1424012208194334</v>
      </c>
      <c r="D16" s="36">
        <v>7.3286091936743807</v>
      </c>
      <c r="H16" s="108"/>
      <c r="I16" s="108"/>
      <c r="J16" s="108"/>
    </row>
    <row r="17" spans="1:10" x14ac:dyDescent="0.2">
      <c r="A17" s="25">
        <v>2013</v>
      </c>
      <c r="B17" s="37">
        <v>7.6152713252885418</v>
      </c>
      <c r="C17" s="37">
        <v>7.2890547567280537</v>
      </c>
      <c r="D17" s="38">
        <v>7.5287182314574475</v>
      </c>
      <c r="H17" s="108"/>
      <c r="I17" s="108"/>
      <c r="J17" s="108"/>
    </row>
    <row r="18" spans="1:10" x14ac:dyDescent="0.2">
      <c r="A18" s="25">
        <v>2014</v>
      </c>
      <c r="B18" s="37">
        <v>7.8785726606749833</v>
      </c>
      <c r="C18" s="37">
        <v>7.7390299399195071</v>
      </c>
      <c r="D18" s="38">
        <v>7.840940140644963</v>
      </c>
      <c r="H18" s="108"/>
      <c r="I18" s="108"/>
      <c r="J18" s="108"/>
    </row>
    <row r="19" spans="1:10" x14ac:dyDescent="0.2">
      <c r="A19" s="25">
        <v>2015</v>
      </c>
      <c r="B19" s="37">
        <v>8.3856997557692328</v>
      </c>
      <c r="C19" s="37">
        <v>7.5924027874735653</v>
      </c>
      <c r="D19" s="38">
        <v>8.1663292445398792</v>
      </c>
      <c r="F19" s="103"/>
      <c r="G19" s="103"/>
      <c r="H19" s="108"/>
      <c r="I19" s="108"/>
      <c r="J19" s="108"/>
    </row>
    <row r="20" spans="1:10" x14ac:dyDescent="0.2">
      <c r="A20" s="27">
        <v>2016</v>
      </c>
      <c r="B20" s="39">
        <v>9.0485307593707294</v>
      </c>
      <c r="C20" s="39">
        <v>7.0583023047650384</v>
      </c>
      <c r="D20" s="40">
        <v>8.4923848758014895</v>
      </c>
      <c r="F20" s="103"/>
      <c r="G20" s="103"/>
      <c r="H20" s="108"/>
      <c r="I20" s="108"/>
      <c r="J20" s="108"/>
    </row>
    <row r="23" spans="1:10" x14ac:dyDescent="0.2">
      <c r="A23" s="2" t="s">
        <v>91</v>
      </c>
    </row>
    <row r="24" spans="1:10" x14ac:dyDescent="0.2">
      <c r="A24" s="146" t="s">
        <v>435</v>
      </c>
      <c r="B24" s="146"/>
      <c r="C24" s="146"/>
      <c r="D24" s="146"/>
    </row>
    <row r="25" spans="1:10" x14ac:dyDescent="0.2">
      <c r="A25" s="8" t="s">
        <v>65</v>
      </c>
      <c r="B25" s="8" t="s">
        <v>0</v>
      </c>
      <c r="C25" s="8" t="s">
        <v>1</v>
      </c>
      <c r="D25" s="8" t="s">
        <v>59</v>
      </c>
    </row>
    <row r="26" spans="1:10" x14ac:dyDescent="0.2">
      <c r="A26" s="25">
        <v>2012</v>
      </c>
      <c r="B26" s="36">
        <v>14.51421197927929</v>
      </c>
      <c r="C26" s="36">
        <v>32.917239202901349</v>
      </c>
      <c r="D26" s="36">
        <v>19.018013054665325</v>
      </c>
      <c r="H26" s="108"/>
      <c r="I26" s="108"/>
      <c r="J26" s="108"/>
    </row>
    <row r="27" spans="1:10" x14ac:dyDescent="0.2">
      <c r="A27" s="25">
        <v>2013</v>
      </c>
      <c r="B27" s="37">
        <v>14.311783223350281</v>
      </c>
      <c r="C27" s="37">
        <v>36.119856262003381</v>
      </c>
      <c r="D27" s="38">
        <v>19.913795333591096</v>
      </c>
      <c r="H27" s="108"/>
      <c r="I27" s="108"/>
      <c r="J27" s="108"/>
    </row>
    <row r="28" spans="1:10" x14ac:dyDescent="0.2">
      <c r="A28" s="25">
        <v>2014</v>
      </c>
      <c r="B28" s="37">
        <v>15.292395055174239</v>
      </c>
      <c r="C28" s="37">
        <v>35.517881208186104</v>
      </c>
      <c r="D28" s="38">
        <v>20.676003588605312</v>
      </c>
      <c r="H28" s="108"/>
      <c r="I28" s="108"/>
      <c r="J28" s="108"/>
    </row>
    <row r="29" spans="1:10" x14ac:dyDescent="0.2">
      <c r="A29" s="25">
        <v>2015</v>
      </c>
      <c r="B29" s="37">
        <v>16.484254886246958</v>
      </c>
      <c r="C29" s="37">
        <v>35.051778183422272</v>
      </c>
      <c r="D29" s="38">
        <v>21.25788522181907</v>
      </c>
      <c r="F29" s="103"/>
      <c r="G29" s="103"/>
      <c r="H29" s="108"/>
      <c r="I29" s="108"/>
      <c r="J29" s="108"/>
    </row>
    <row r="30" spans="1:10" x14ac:dyDescent="0.2">
      <c r="A30" s="27">
        <v>2016</v>
      </c>
      <c r="B30" s="39">
        <v>16.647174256787139</v>
      </c>
      <c r="C30" s="39">
        <v>37.831076101134663</v>
      </c>
      <c r="D30" s="40">
        <v>21.567142938825487</v>
      </c>
      <c r="F30" s="103"/>
      <c r="G30" s="103"/>
      <c r="H30" s="108"/>
      <c r="I30" s="108"/>
      <c r="J30" s="108"/>
    </row>
    <row r="33" spans="1:10" x14ac:dyDescent="0.2">
      <c r="A33" s="2" t="s">
        <v>92</v>
      </c>
    </row>
    <row r="34" spans="1:10" ht="23.25" customHeight="1" x14ac:dyDescent="0.2">
      <c r="A34" s="146" t="s">
        <v>434</v>
      </c>
      <c r="B34" s="146"/>
      <c r="C34" s="146"/>
      <c r="D34" s="146"/>
    </row>
    <row r="35" spans="1:10" x14ac:dyDescent="0.2">
      <c r="A35" s="8" t="s">
        <v>65</v>
      </c>
      <c r="B35" s="8" t="s">
        <v>0</v>
      </c>
      <c r="C35" s="8" t="s">
        <v>1</v>
      </c>
      <c r="D35" s="8" t="s">
        <v>59</v>
      </c>
    </row>
    <row r="36" spans="1:10" x14ac:dyDescent="0.2">
      <c r="A36" s="25">
        <v>2012</v>
      </c>
      <c r="B36" s="36">
        <v>165.47198754393889</v>
      </c>
      <c r="C36" s="36">
        <v>258.09641343648667</v>
      </c>
      <c r="D36" s="36">
        <v>195.1359401579189</v>
      </c>
      <c r="H36" s="108"/>
      <c r="I36" s="108"/>
      <c r="J36" s="108"/>
    </row>
    <row r="37" spans="1:10" x14ac:dyDescent="0.2">
      <c r="A37" s="25">
        <v>2013</v>
      </c>
      <c r="B37" s="37">
        <v>169.6581530969884</v>
      </c>
      <c r="C37" s="37">
        <v>282.17253722840121</v>
      </c>
      <c r="D37" s="38">
        <v>208.37036440890569</v>
      </c>
      <c r="H37" s="108"/>
      <c r="I37" s="108"/>
      <c r="J37" s="108"/>
    </row>
    <row r="38" spans="1:10" x14ac:dyDescent="0.2">
      <c r="A38" s="25">
        <v>2014</v>
      </c>
      <c r="B38" s="37">
        <v>178.1853776340588</v>
      </c>
      <c r="C38" s="37">
        <v>273.08937078645999</v>
      </c>
      <c r="D38" s="38">
        <v>211.84901992569479</v>
      </c>
      <c r="H38" s="108"/>
      <c r="I38" s="108"/>
      <c r="J38" s="108"/>
    </row>
    <row r="39" spans="1:10" x14ac:dyDescent="0.2">
      <c r="A39" s="25">
        <v>2015</v>
      </c>
      <c r="B39" s="37">
        <v>185.62132988947289</v>
      </c>
      <c r="C39" s="37">
        <v>254.33349768830757</v>
      </c>
      <c r="D39" s="38">
        <v>209.63001377066493</v>
      </c>
      <c r="F39" s="103"/>
      <c r="G39" s="103"/>
      <c r="H39" s="108"/>
      <c r="I39" s="108"/>
      <c r="J39" s="108"/>
    </row>
    <row r="40" spans="1:10" x14ac:dyDescent="0.2">
      <c r="A40" s="27">
        <v>2016</v>
      </c>
      <c r="B40" s="39">
        <v>193.51082795649475</v>
      </c>
      <c r="C40" s="39">
        <v>264.22562062897993</v>
      </c>
      <c r="D40" s="40">
        <v>217.19129242984678</v>
      </c>
      <c r="F40" s="103"/>
      <c r="G40" s="103"/>
      <c r="H40" s="108"/>
      <c r="I40" s="108"/>
      <c r="J40" s="108"/>
    </row>
    <row r="43" spans="1:10" x14ac:dyDescent="0.2">
      <c r="A43" s="2" t="s">
        <v>93</v>
      </c>
    </row>
    <row r="44" spans="1:10" x14ac:dyDescent="0.2">
      <c r="A44" s="146" t="s">
        <v>432</v>
      </c>
      <c r="B44" s="146"/>
      <c r="C44" s="146"/>
      <c r="D44" s="146"/>
    </row>
    <row r="45" spans="1:10" x14ac:dyDescent="0.2">
      <c r="A45" s="8" t="s">
        <v>65</v>
      </c>
      <c r="B45" s="8" t="s">
        <v>0</v>
      </c>
      <c r="C45" s="8" t="s">
        <v>78</v>
      </c>
      <c r="D45" s="8" t="s">
        <v>59</v>
      </c>
    </row>
    <row r="46" spans="1:10" x14ac:dyDescent="0.2">
      <c r="A46" s="25">
        <v>2012</v>
      </c>
      <c r="B46" s="36">
        <v>11.400686980469159</v>
      </c>
      <c r="C46" s="36">
        <v>7.8407673209039315</v>
      </c>
      <c r="D46" s="36">
        <v>10.260585035724851</v>
      </c>
      <c r="H46" s="108"/>
      <c r="I46" s="108"/>
      <c r="J46" s="108"/>
    </row>
    <row r="47" spans="1:10" x14ac:dyDescent="0.2">
      <c r="A47" s="25">
        <v>2013</v>
      </c>
      <c r="B47" s="37">
        <v>11.854438433652623</v>
      </c>
      <c r="C47" s="37">
        <v>7.8121168362797517</v>
      </c>
      <c r="D47" s="38">
        <v>10.463618859104235</v>
      </c>
      <c r="H47" s="108"/>
      <c r="I47" s="108"/>
      <c r="J47" s="108"/>
    </row>
    <row r="48" spans="1:10" x14ac:dyDescent="0.2">
      <c r="A48" s="25">
        <v>2014</v>
      </c>
      <c r="B48" s="37">
        <v>11.65189474841412</v>
      </c>
      <c r="C48" s="37">
        <v>7.6887855214606331</v>
      </c>
      <c r="D48" s="38">
        <v>10.246129965001856</v>
      </c>
      <c r="H48" s="108"/>
      <c r="I48" s="108"/>
      <c r="J48" s="108"/>
    </row>
    <row r="49" spans="1:11" x14ac:dyDescent="0.2">
      <c r="A49" s="25">
        <v>2015</v>
      </c>
      <c r="B49" s="37">
        <v>11.260522915375406</v>
      </c>
      <c r="C49" s="37">
        <v>7.2559370984663625</v>
      </c>
      <c r="D49" s="38">
        <v>9.8612826056423017</v>
      </c>
      <c r="H49" s="108"/>
      <c r="I49" s="108"/>
      <c r="J49" s="108"/>
    </row>
    <row r="50" spans="1:11" x14ac:dyDescent="0.2">
      <c r="A50" s="27">
        <v>2016</v>
      </c>
      <c r="B50" s="39">
        <v>11.624244749982083</v>
      </c>
      <c r="C50" s="39">
        <v>6.9843538133205527</v>
      </c>
      <c r="D50" s="40">
        <v>10.070471227732991</v>
      </c>
      <c r="H50" s="108"/>
      <c r="I50" s="108"/>
      <c r="J50" s="108"/>
      <c r="K50" s="100"/>
    </row>
    <row r="53" spans="1:11" x14ac:dyDescent="0.2">
      <c r="A53" s="2" t="s">
        <v>94</v>
      </c>
    </row>
    <row r="54" spans="1:11" x14ac:dyDescent="0.2">
      <c r="A54" s="146" t="s">
        <v>433</v>
      </c>
      <c r="B54" s="146"/>
      <c r="C54" s="146"/>
      <c r="D54" s="146"/>
    </row>
    <row r="55" spans="1:11" x14ac:dyDescent="0.2">
      <c r="A55" s="8" t="s">
        <v>65</v>
      </c>
      <c r="B55" s="8" t="s">
        <v>0</v>
      </c>
      <c r="C55" s="8" t="s">
        <v>1</v>
      </c>
      <c r="D55" s="8" t="s">
        <v>59</v>
      </c>
    </row>
    <row r="56" spans="1:11" x14ac:dyDescent="0.2">
      <c r="A56" s="25">
        <v>2012</v>
      </c>
      <c r="B56" s="20">
        <v>2.1028418841963506E-2</v>
      </c>
      <c r="C56" s="20">
        <v>1.4999523079691747E-2</v>
      </c>
      <c r="D56" s="20">
        <v>1.7969039187012915E-2</v>
      </c>
      <c r="H56" s="109"/>
      <c r="I56" s="109"/>
      <c r="J56" s="109"/>
    </row>
    <row r="57" spans="1:11" x14ac:dyDescent="0.2">
      <c r="A57" s="25">
        <v>2013</v>
      </c>
      <c r="B57" s="21">
        <v>2.0529995302626884E-2</v>
      </c>
      <c r="C57" s="21">
        <v>1.6756186700364561E-2</v>
      </c>
      <c r="D57" s="41">
        <v>1.8580261887380271E-2</v>
      </c>
      <c r="H57" s="109"/>
      <c r="I57" s="109"/>
      <c r="J57" s="109"/>
    </row>
    <row r="58" spans="1:11" x14ac:dyDescent="0.2">
      <c r="A58" s="25">
        <v>2014</v>
      </c>
      <c r="B58" s="21">
        <v>2.1609649828807084E-2</v>
      </c>
      <c r="C58" s="21">
        <v>1.8125007101451769E-2</v>
      </c>
      <c r="D58" s="41">
        <v>1.9863465643705031E-2</v>
      </c>
      <c r="H58" s="109"/>
      <c r="I58" s="109"/>
      <c r="J58" s="109"/>
    </row>
    <row r="59" spans="1:11" x14ac:dyDescent="0.2">
      <c r="A59" s="25">
        <v>2015</v>
      </c>
      <c r="B59" s="21">
        <v>2.452927091992298E-2</v>
      </c>
      <c r="C59" s="101">
        <v>1.9333675403711698E-2</v>
      </c>
      <c r="D59" s="41">
        <v>2.2020645804193502E-2</v>
      </c>
      <c r="F59" s="103"/>
      <c r="G59" s="103"/>
      <c r="H59" s="109"/>
      <c r="I59" s="109"/>
      <c r="J59" s="109"/>
    </row>
    <row r="60" spans="1:11" x14ac:dyDescent="0.2">
      <c r="A60" s="27">
        <v>2016</v>
      </c>
      <c r="B60" s="42">
        <v>2.4731771146502698E-2</v>
      </c>
      <c r="C60" s="102">
        <v>1.9240743800474094E-2</v>
      </c>
      <c r="D60" s="43">
        <v>2.2155849667084716E-2</v>
      </c>
      <c r="F60" s="103"/>
      <c r="G60" s="103"/>
      <c r="H60" s="109"/>
      <c r="I60" s="109"/>
      <c r="J60" s="109"/>
    </row>
    <row r="61" spans="1:11" x14ac:dyDescent="0.2">
      <c r="G61" s="103"/>
    </row>
  </sheetData>
  <mergeCells count="6">
    <mergeCell ref="A54:D54"/>
    <mergeCell ref="A4:D4"/>
    <mergeCell ref="A14:D14"/>
    <mergeCell ref="A24:D24"/>
    <mergeCell ref="A34:D34"/>
    <mergeCell ref="A44:D4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69"/>
  <sheetViews>
    <sheetView showGridLines="0" zoomScale="90" zoomScaleNormal="90" workbookViewId="0"/>
  </sheetViews>
  <sheetFormatPr baseColWidth="10" defaultColWidth="33.140625" defaultRowHeight="12.75" x14ac:dyDescent="0.2"/>
  <cols>
    <col min="1" max="1" width="30.7109375" style="3" customWidth="1"/>
    <col min="2" max="5" width="15.7109375" style="6" customWidth="1"/>
    <col min="6" max="16384" width="33.140625" style="3"/>
  </cols>
  <sheetData>
    <row r="1" spans="1:5" ht="18.75" x14ac:dyDescent="0.3">
      <c r="A1" s="1" t="s">
        <v>240</v>
      </c>
    </row>
    <row r="3" spans="1:5" x14ac:dyDescent="0.2">
      <c r="A3" s="2" t="s">
        <v>678</v>
      </c>
    </row>
    <row r="4" spans="1:5" x14ac:dyDescent="0.2">
      <c r="A4" s="146" t="s">
        <v>467</v>
      </c>
      <c r="B4" s="146"/>
      <c r="C4" s="146"/>
      <c r="D4" s="146"/>
    </row>
    <row r="5" spans="1:5" x14ac:dyDescent="0.2">
      <c r="A5" s="8" t="s">
        <v>65</v>
      </c>
      <c r="B5" s="8" t="s">
        <v>0</v>
      </c>
      <c r="C5" s="8" t="s">
        <v>1</v>
      </c>
      <c r="D5" s="8" t="s">
        <v>59</v>
      </c>
    </row>
    <row r="6" spans="1:5" s="66" customFormat="1" hidden="1" x14ac:dyDescent="0.2">
      <c r="A6" s="62">
        <v>2012</v>
      </c>
      <c r="B6" s="63"/>
      <c r="C6" s="63"/>
      <c r="D6" s="64"/>
      <c r="E6" s="65"/>
    </row>
    <row r="7" spans="1:5" s="66" customFormat="1" hidden="1" x14ac:dyDescent="0.2">
      <c r="A7" s="62">
        <v>2013</v>
      </c>
      <c r="B7" s="67"/>
      <c r="C7" s="67"/>
      <c r="D7" s="68"/>
      <c r="E7" s="65"/>
    </row>
    <row r="8" spans="1:5" s="66" customFormat="1" hidden="1" x14ac:dyDescent="0.2">
      <c r="A8" s="62">
        <v>2014</v>
      </c>
      <c r="B8" s="67"/>
      <c r="C8" s="67"/>
      <c r="D8" s="68"/>
      <c r="E8" s="65"/>
    </row>
    <row r="9" spans="1:5" s="66" customFormat="1" hidden="1" x14ac:dyDescent="0.2">
      <c r="A9" s="62">
        <v>2015</v>
      </c>
      <c r="B9" s="67"/>
      <c r="C9" s="67"/>
      <c r="D9" s="68"/>
      <c r="E9" s="65"/>
    </row>
    <row r="10" spans="1:5" x14ac:dyDescent="0.2">
      <c r="A10" s="27">
        <v>2016</v>
      </c>
      <c r="B10" s="15">
        <v>1563323</v>
      </c>
      <c r="C10" s="15">
        <v>577533</v>
      </c>
      <c r="D10" s="26">
        <v>2140856</v>
      </c>
      <c r="E10" s="54"/>
    </row>
    <row r="11" spans="1:5" x14ac:dyDescent="0.2">
      <c r="E11" s="54"/>
    </row>
    <row r="12" spans="1:5" x14ac:dyDescent="0.2">
      <c r="E12" s="54"/>
    </row>
    <row r="13" spans="1:5" x14ac:dyDescent="0.2">
      <c r="A13" s="2" t="s">
        <v>679</v>
      </c>
      <c r="E13" s="54"/>
    </row>
    <row r="14" spans="1:5" x14ac:dyDescent="0.2">
      <c r="A14" s="146" t="s">
        <v>466</v>
      </c>
      <c r="B14" s="146"/>
      <c r="C14" s="146"/>
      <c r="D14" s="146"/>
      <c r="E14" s="54"/>
    </row>
    <row r="15" spans="1:5" x14ac:dyDescent="0.2">
      <c r="A15" s="8" t="s">
        <v>66</v>
      </c>
      <c r="B15" s="8" t="s">
        <v>0</v>
      </c>
      <c r="C15" s="8" t="s">
        <v>1</v>
      </c>
      <c r="D15" s="8" t="s">
        <v>59</v>
      </c>
      <c r="E15" s="54"/>
    </row>
    <row r="16" spans="1:5" x14ac:dyDescent="0.2">
      <c r="A16" s="22" t="s">
        <v>5</v>
      </c>
      <c r="B16" s="4">
        <v>564054</v>
      </c>
      <c r="C16" s="4">
        <v>286899.05010617443</v>
      </c>
      <c r="D16" s="23">
        <v>850953.05010617443</v>
      </c>
      <c r="E16" s="54"/>
    </row>
    <row r="17" spans="1:5" x14ac:dyDescent="0.2">
      <c r="A17" s="25" t="s">
        <v>6</v>
      </c>
      <c r="B17" s="5">
        <v>999269</v>
      </c>
      <c r="C17" s="5">
        <v>290633.94989382557</v>
      </c>
      <c r="D17" s="14">
        <v>1289902.9498938257</v>
      </c>
      <c r="E17" s="54"/>
    </row>
    <row r="18" spans="1:5" x14ac:dyDescent="0.2">
      <c r="A18" s="29" t="s">
        <v>60</v>
      </c>
      <c r="B18" s="58">
        <v>1563323</v>
      </c>
      <c r="C18" s="58">
        <v>577533</v>
      </c>
      <c r="D18" s="58">
        <v>2140856</v>
      </c>
      <c r="E18" s="54"/>
    </row>
    <row r="19" spans="1:5" x14ac:dyDescent="0.2">
      <c r="B19" s="70"/>
      <c r="E19" s="54"/>
    </row>
    <row r="20" spans="1:5" x14ac:dyDescent="0.2">
      <c r="B20" s="54"/>
      <c r="E20" s="54"/>
    </row>
    <row r="21" spans="1:5" s="71" customFormat="1" x14ac:dyDescent="0.2">
      <c r="A21" s="9" t="s">
        <v>680</v>
      </c>
      <c r="B21" s="57"/>
      <c r="C21" s="57"/>
      <c r="D21" s="57"/>
      <c r="E21" s="54"/>
    </row>
    <row r="22" spans="1:5" s="71" customFormat="1" x14ac:dyDescent="0.2">
      <c r="A22" s="146" t="s">
        <v>468</v>
      </c>
      <c r="B22" s="146"/>
      <c r="C22" s="146"/>
      <c r="D22" s="146"/>
      <c r="E22" s="54"/>
    </row>
    <row r="23" spans="1:5" s="71" customFormat="1" x14ac:dyDescent="0.2">
      <c r="A23" s="61" t="s">
        <v>68</v>
      </c>
      <c r="B23" s="61" t="s">
        <v>0</v>
      </c>
      <c r="C23" s="61" t="s">
        <v>1</v>
      </c>
      <c r="D23" s="61" t="s">
        <v>59</v>
      </c>
      <c r="E23" s="54"/>
    </row>
    <row r="24" spans="1:5" s="71" customFormat="1" x14ac:dyDescent="0.2">
      <c r="A24" s="22" t="s">
        <v>29</v>
      </c>
      <c r="B24" s="73">
        <v>1258386</v>
      </c>
      <c r="C24" s="73">
        <v>433948.93609246326</v>
      </c>
      <c r="D24" s="73">
        <v>1692334.9360924633</v>
      </c>
      <c r="E24" s="54"/>
    </row>
    <row r="25" spans="1:5" s="71" customFormat="1" x14ac:dyDescent="0.2">
      <c r="A25" s="25" t="s">
        <v>30</v>
      </c>
      <c r="B25" s="75">
        <v>299369</v>
      </c>
      <c r="C25" s="75">
        <v>140158.62331627696</v>
      </c>
      <c r="D25" s="75">
        <v>439527.62331627693</v>
      </c>
      <c r="E25" s="54"/>
    </row>
    <row r="26" spans="1:5" s="71" customFormat="1" x14ac:dyDescent="0.2">
      <c r="A26" s="25" t="s">
        <v>4</v>
      </c>
      <c r="B26" s="75">
        <v>5568</v>
      </c>
      <c r="C26" s="75">
        <v>3425.440591259799</v>
      </c>
      <c r="D26" s="75">
        <v>8993.4405912597995</v>
      </c>
      <c r="E26" s="54"/>
    </row>
    <row r="27" spans="1:5" s="71" customFormat="1" x14ac:dyDescent="0.2">
      <c r="A27" s="29" t="s">
        <v>60</v>
      </c>
      <c r="B27" s="58">
        <v>1563323</v>
      </c>
      <c r="C27" s="77">
        <v>577533</v>
      </c>
      <c r="D27" s="77">
        <v>2140856</v>
      </c>
      <c r="E27" s="54"/>
    </row>
    <row r="28" spans="1:5" s="71" customFormat="1" x14ac:dyDescent="0.2">
      <c r="E28" s="57"/>
    </row>
    <row r="29" spans="1:5" s="71" customFormat="1" x14ac:dyDescent="0.2">
      <c r="B29" s="57"/>
      <c r="C29" s="57"/>
      <c r="D29" s="57"/>
      <c r="E29" s="57"/>
    </row>
    <row r="30" spans="1:5" s="71" customFormat="1" x14ac:dyDescent="0.2">
      <c r="B30" s="57"/>
      <c r="C30" s="57"/>
      <c r="D30" s="57"/>
      <c r="E30" s="57"/>
    </row>
    <row r="31" spans="1:5" s="71" customFormat="1" hidden="1" x14ac:dyDescent="0.2">
      <c r="A31" s="56" t="s">
        <v>121</v>
      </c>
      <c r="B31" s="57"/>
      <c r="C31" s="57"/>
      <c r="D31" s="57"/>
      <c r="E31" s="57"/>
    </row>
    <row r="32" spans="1:5" s="71" customFormat="1" hidden="1" x14ac:dyDescent="0.2">
      <c r="A32" s="9" t="s">
        <v>241</v>
      </c>
      <c r="B32" s="57"/>
      <c r="C32" s="57"/>
      <c r="D32" s="57"/>
      <c r="E32" s="57"/>
    </row>
    <row r="33" spans="1:5" s="71" customFormat="1" hidden="1" x14ac:dyDescent="0.2">
      <c r="A33" s="61" t="s">
        <v>208</v>
      </c>
      <c r="B33" s="61" t="s">
        <v>0</v>
      </c>
      <c r="C33" s="61" t="s">
        <v>1</v>
      </c>
      <c r="D33" s="61" t="s">
        <v>59</v>
      </c>
      <c r="E33" s="57"/>
    </row>
    <row r="34" spans="1:5" s="71" customFormat="1" hidden="1" x14ac:dyDescent="0.2">
      <c r="A34" s="22" t="s">
        <v>14</v>
      </c>
      <c r="B34" s="72"/>
      <c r="C34" s="73"/>
      <c r="D34" s="73"/>
      <c r="E34" s="57"/>
    </row>
    <row r="35" spans="1:5" s="71" customFormat="1" hidden="1" x14ac:dyDescent="0.2">
      <c r="A35" s="25" t="s">
        <v>15</v>
      </c>
      <c r="B35" s="74"/>
      <c r="C35" s="75"/>
      <c r="D35" s="75"/>
      <c r="E35" s="57"/>
    </row>
    <row r="36" spans="1:5" s="71" customFormat="1" hidden="1" x14ac:dyDescent="0.2">
      <c r="A36" s="25" t="s">
        <v>16</v>
      </c>
      <c r="B36" s="74"/>
      <c r="C36" s="75"/>
      <c r="D36" s="75"/>
      <c r="E36" s="57"/>
    </row>
    <row r="37" spans="1:5" s="71" customFormat="1" hidden="1" x14ac:dyDescent="0.2">
      <c r="A37" s="25" t="s">
        <v>17</v>
      </c>
      <c r="B37" s="74"/>
      <c r="C37" s="75"/>
      <c r="D37" s="75"/>
      <c r="E37" s="57"/>
    </row>
    <row r="38" spans="1:5" s="71" customFormat="1" hidden="1" x14ac:dyDescent="0.2">
      <c r="A38" s="25" t="s">
        <v>18</v>
      </c>
      <c r="B38" s="74"/>
      <c r="C38" s="75"/>
      <c r="D38" s="75"/>
      <c r="E38" s="57"/>
    </row>
    <row r="39" spans="1:5" s="71" customFormat="1" hidden="1" x14ac:dyDescent="0.2">
      <c r="A39" s="25" t="s">
        <v>19</v>
      </c>
      <c r="B39" s="74"/>
      <c r="C39" s="75"/>
      <c r="D39" s="75"/>
      <c r="E39" s="57"/>
    </row>
    <row r="40" spans="1:5" s="71" customFormat="1" hidden="1" x14ac:dyDescent="0.2">
      <c r="A40" s="25" t="s">
        <v>20</v>
      </c>
      <c r="B40" s="74"/>
      <c r="C40" s="75"/>
      <c r="D40" s="75"/>
      <c r="E40" s="57"/>
    </row>
    <row r="41" spans="1:5" s="71" customFormat="1" hidden="1" x14ac:dyDescent="0.2">
      <c r="A41" s="25" t="s">
        <v>21</v>
      </c>
      <c r="B41" s="74"/>
      <c r="C41" s="75"/>
      <c r="D41" s="75"/>
      <c r="E41" s="57"/>
    </row>
    <row r="42" spans="1:5" s="71" customFormat="1" hidden="1" x14ac:dyDescent="0.2">
      <c r="A42" s="25" t="s">
        <v>22</v>
      </c>
      <c r="B42" s="74"/>
      <c r="C42" s="75"/>
      <c r="D42" s="75"/>
      <c r="E42" s="57"/>
    </row>
    <row r="43" spans="1:5" s="71" customFormat="1" hidden="1" x14ac:dyDescent="0.2">
      <c r="A43" s="25" t="s">
        <v>23</v>
      </c>
      <c r="B43" s="74"/>
      <c r="C43" s="75"/>
      <c r="D43" s="75"/>
      <c r="E43" s="57"/>
    </row>
    <row r="44" spans="1:5" s="71" customFormat="1" hidden="1" x14ac:dyDescent="0.2">
      <c r="A44" s="25" t="s">
        <v>24</v>
      </c>
      <c r="B44" s="74"/>
      <c r="C44" s="75"/>
      <c r="D44" s="75"/>
      <c r="E44" s="57"/>
    </row>
    <row r="45" spans="1:5" s="71" customFormat="1" hidden="1" x14ac:dyDescent="0.2">
      <c r="A45" s="25" t="s">
        <v>25</v>
      </c>
      <c r="B45" s="74"/>
      <c r="C45" s="75"/>
      <c r="D45" s="75"/>
      <c r="E45" s="57"/>
    </row>
    <row r="46" spans="1:5" s="71" customFormat="1" hidden="1" x14ac:dyDescent="0.2">
      <c r="A46" s="25" t="s">
        <v>26</v>
      </c>
      <c r="B46" s="74"/>
      <c r="C46" s="75"/>
      <c r="D46" s="75"/>
      <c r="E46" s="57"/>
    </row>
    <row r="47" spans="1:5" s="71" customFormat="1" hidden="1" x14ac:dyDescent="0.2">
      <c r="A47" s="25" t="s">
        <v>27</v>
      </c>
      <c r="B47" s="74"/>
      <c r="C47" s="75"/>
      <c r="D47" s="75"/>
      <c r="E47" s="57"/>
    </row>
    <row r="48" spans="1:5" s="71" customFormat="1" hidden="1" x14ac:dyDescent="0.2">
      <c r="A48" s="25" t="s">
        <v>28</v>
      </c>
      <c r="B48" s="74"/>
      <c r="C48" s="75"/>
      <c r="D48" s="75"/>
      <c r="E48" s="57"/>
    </row>
    <row r="49" spans="1:5" s="71" customFormat="1" hidden="1" x14ac:dyDescent="0.2">
      <c r="A49" s="25" t="s">
        <v>235</v>
      </c>
      <c r="B49" s="74"/>
      <c r="C49" s="75"/>
      <c r="D49" s="76"/>
      <c r="E49" s="57"/>
    </row>
    <row r="50" spans="1:5" s="71" customFormat="1" hidden="1" x14ac:dyDescent="0.2">
      <c r="A50" s="29" t="s">
        <v>60</v>
      </c>
      <c r="B50" s="78">
        <v>0</v>
      </c>
      <c r="C50" s="79">
        <v>0</v>
      </c>
      <c r="D50" s="79">
        <v>0</v>
      </c>
      <c r="E50" s="57"/>
    </row>
    <row r="51" spans="1:5" s="71" customFormat="1" hidden="1" x14ac:dyDescent="0.2">
      <c r="B51" s="57"/>
      <c r="C51" s="57"/>
      <c r="D51" s="57"/>
      <c r="E51" s="57"/>
    </row>
    <row r="52" spans="1:5" s="71" customFormat="1" hidden="1" x14ac:dyDescent="0.2">
      <c r="B52" s="57"/>
      <c r="C52" s="57"/>
      <c r="D52" s="57"/>
      <c r="E52" s="57"/>
    </row>
    <row r="53" spans="1:5" s="71" customFormat="1" hidden="1" x14ac:dyDescent="0.2">
      <c r="A53" s="56" t="s">
        <v>133</v>
      </c>
      <c r="B53" s="80" t="s">
        <v>242</v>
      </c>
      <c r="C53" s="57"/>
      <c r="D53" s="57"/>
      <c r="E53" s="57"/>
    </row>
    <row r="54" spans="1:5" s="71" customFormat="1" hidden="1" x14ac:dyDescent="0.2">
      <c r="A54" s="56" t="s">
        <v>243</v>
      </c>
      <c r="B54" s="57"/>
      <c r="C54" s="57"/>
      <c r="D54" s="57"/>
      <c r="E54" s="57"/>
    </row>
    <row r="55" spans="1:5" s="71" customFormat="1" hidden="1" x14ac:dyDescent="0.2">
      <c r="A55" s="61" t="s">
        <v>210</v>
      </c>
      <c r="B55" s="61" t="s">
        <v>0</v>
      </c>
      <c r="C55" s="61" t="s">
        <v>1</v>
      </c>
      <c r="D55" s="61" t="s">
        <v>59</v>
      </c>
      <c r="E55" s="57"/>
    </row>
    <row r="56" spans="1:5" s="71" customFormat="1" hidden="1" x14ac:dyDescent="0.2">
      <c r="A56" s="81" t="s">
        <v>244</v>
      </c>
      <c r="B56" s="73"/>
      <c r="C56" s="73"/>
      <c r="D56" s="73"/>
      <c r="E56" s="57"/>
    </row>
    <row r="57" spans="1:5" s="71" customFormat="1" hidden="1" x14ac:dyDescent="0.2">
      <c r="A57" s="81" t="s">
        <v>245</v>
      </c>
      <c r="B57" s="75"/>
      <c r="C57" s="75"/>
      <c r="D57" s="75"/>
      <c r="E57" s="57"/>
    </row>
    <row r="58" spans="1:5" s="71" customFormat="1" hidden="1" x14ac:dyDescent="0.2">
      <c r="A58" s="81" t="s">
        <v>246</v>
      </c>
      <c r="B58" s="75"/>
      <c r="C58" s="75"/>
      <c r="D58" s="75"/>
      <c r="E58" s="57"/>
    </row>
    <row r="59" spans="1:5" s="71" customFormat="1" hidden="1" x14ac:dyDescent="0.2">
      <c r="A59" s="81" t="s">
        <v>7</v>
      </c>
      <c r="B59" s="75"/>
      <c r="C59" s="75"/>
      <c r="D59" s="75"/>
      <c r="E59" s="57"/>
    </row>
    <row r="60" spans="1:5" s="71" customFormat="1" hidden="1" x14ac:dyDescent="0.2">
      <c r="A60" s="81" t="s">
        <v>8</v>
      </c>
      <c r="B60" s="75"/>
      <c r="C60" s="75"/>
      <c r="D60" s="75"/>
      <c r="E60" s="57"/>
    </row>
    <row r="61" spans="1:5" s="71" customFormat="1" hidden="1" x14ac:dyDescent="0.2">
      <c r="A61" s="82" t="s">
        <v>235</v>
      </c>
      <c r="B61" s="75"/>
      <c r="C61" s="75"/>
      <c r="D61" s="76"/>
      <c r="E61" s="57"/>
    </row>
    <row r="62" spans="1:5" s="71" customFormat="1" hidden="1" x14ac:dyDescent="0.2">
      <c r="A62" s="83" t="s">
        <v>60</v>
      </c>
      <c r="B62" s="79">
        <v>0</v>
      </c>
      <c r="C62" s="79">
        <v>0</v>
      </c>
      <c r="D62" s="79">
        <v>0</v>
      </c>
      <c r="E62" s="57"/>
    </row>
    <row r="63" spans="1:5" s="71" customFormat="1" hidden="1" x14ac:dyDescent="0.2">
      <c r="B63" s="57"/>
      <c r="C63" s="57"/>
      <c r="D63" s="57"/>
      <c r="E63" s="57"/>
    </row>
    <row r="64" spans="1:5" s="71" customFormat="1" hidden="1" x14ac:dyDescent="0.2">
      <c r="B64" s="57"/>
      <c r="C64" s="57"/>
      <c r="D64" s="57"/>
      <c r="E64" s="57"/>
    </row>
    <row r="65" spans="1:5" s="71" customFormat="1" hidden="1" x14ac:dyDescent="0.2">
      <c r="A65" s="9" t="s">
        <v>95</v>
      </c>
      <c r="B65" s="80"/>
      <c r="C65" s="57"/>
      <c r="D65" s="57"/>
      <c r="E65" s="57"/>
    </row>
    <row r="66" spans="1:5" s="71" customFormat="1" hidden="1" x14ac:dyDescent="0.2">
      <c r="A66" s="9" t="s">
        <v>247</v>
      </c>
      <c r="B66" s="57"/>
      <c r="C66" s="57"/>
      <c r="D66" s="80"/>
      <c r="E66" s="57"/>
    </row>
    <row r="67" spans="1:5" s="71" customFormat="1" hidden="1" x14ac:dyDescent="0.2">
      <c r="A67" s="61" t="s">
        <v>65</v>
      </c>
      <c r="B67" s="61" t="s">
        <v>0</v>
      </c>
      <c r="C67" s="61" t="s">
        <v>1</v>
      </c>
      <c r="D67" s="61" t="s">
        <v>59</v>
      </c>
      <c r="E67" s="57"/>
    </row>
    <row r="68" spans="1:5" s="71" customFormat="1" hidden="1" x14ac:dyDescent="0.2">
      <c r="A68" s="84">
        <v>2016</v>
      </c>
      <c r="B68" s="85"/>
      <c r="C68" s="85"/>
      <c r="D68" s="86"/>
      <c r="E68" s="57"/>
    </row>
    <row r="69" spans="1:5" hidden="1" x14ac:dyDescent="0.2"/>
  </sheetData>
  <mergeCells count="3">
    <mergeCell ref="A4:D4"/>
    <mergeCell ref="A14:D14"/>
    <mergeCell ref="A22:D2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810"/>
  <sheetViews>
    <sheetView showGridLines="0" zoomScale="90" zoomScaleNormal="90" workbookViewId="0"/>
  </sheetViews>
  <sheetFormatPr baseColWidth="10" defaultColWidth="33.140625" defaultRowHeight="12.75" x14ac:dyDescent="0.2"/>
  <cols>
    <col min="1" max="1" width="40.7109375" style="3" customWidth="1"/>
    <col min="2" max="4" width="15.7109375" style="6" customWidth="1"/>
    <col min="5" max="5" width="9.140625" style="6" customWidth="1"/>
    <col min="6" max="6" width="40.7109375" style="3" customWidth="1"/>
    <col min="7" max="8" width="15.7109375" style="3" customWidth="1"/>
    <col min="9" max="9" width="15.7109375" style="6" customWidth="1"/>
    <col min="10" max="10" width="8.5703125" style="3" customWidth="1"/>
    <col min="11" max="12" width="7" style="3" customWidth="1"/>
    <col min="13" max="16384" width="33.140625" style="3"/>
  </cols>
  <sheetData>
    <row r="1" spans="1:12" ht="18.75" x14ac:dyDescent="0.3">
      <c r="A1" s="1" t="s">
        <v>248</v>
      </c>
    </row>
    <row r="2" spans="1:12" x14ac:dyDescent="0.2">
      <c r="A2" s="7"/>
    </row>
    <row r="3" spans="1:12" x14ac:dyDescent="0.2">
      <c r="A3" s="7" t="s">
        <v>249</v>
      </c>
    </row>
    <row r="4" spans="1:12" x14ac:dyDescent="0.2">
      <c r="A4" s="148" t="s">
        <v>1011</v>
      </c>
      <c r="B4" s="148"/>
      <c r="C4" s="148"/>
      <c r="D4" s="148"/>
    </row>
    <row r="5" spans="1:12" x14ac:dyDescent="0.2">
      <c r="A5" s="8" t="s">
        <v>251</v>
      </c>
      <c r="B5" s="8" t="s">
        <v>0</v>
      </c>
      <c r="C5" s="8" t="s">
        <v>1</v>
      </c>
      <c r="D5" s="8" t="s">
        <v>59</v>
      </c>
    </row>
    <row r="6" spans="1:12" x14ac:dyDescent="0.2">
      <c r="A6" s="31" t="s">
        <v>252</v>
      </c>
      <c r="B6" s="4">
        <v>519544</v>
      </c>
      <c r="C6" s="4">
        <v>411477</v>
      </c>
      <c r="D6" s="4">
        <v>931021</v>
      </c>
      <c r="E6" s="54"/>
    </row>
    <row r="7" spans="1:12" x14ac:dyDescent="0.2">
      <c r="A7" s="31" t="s">
        <v>253</v>
      </c>
      <c r="B7" s="5">
        <v>3043888</v>
      </c>
      <c r="C7" s="5">
        <v>1052151</v>
      </c>
      <c r="D7" s="5">
        <v>4096039</v>
      </c>
      <c r="E7" s="54"/>
    </row>
    <row r="8" spans="1:12" x14ac:dyDescent="0.2">
      <c r="A8" s="29" t="s">
        <v>60</v>
      </c>
      <c r="B8" s="58">
        <v>3563432</v>
      </c>
      <c r="C8" s="58">
        <v>1463628</v>
      </c>
      <c r="D8" s="58">
        <v>5027060</v>
      </c>
      <c r="E8" s="54"/>
    </row>
    <row r="9" spans="1:12" x14ac:dyDescent="0.2">
      <c r="A9" s="3" t="s">
        <v>1010</v>
      </c>
    </row>
    <row r="11" spans="1:12" x14ac:dyDescent="0.2">
      <c r="A11" s="7" t="s">
        <v>254</v>
      </c>
      <c r="F11" s="7" t="s">
        <v>255</v>
      </c>
    </row>
    <row r="12" spans="1:12" x14ac:dyDescent="0.2">
      <c r="A12" s="148" t="s">
        <v>1012</v>
      </c>
      <c r="B12" s="148"/>
      <c r="C12" s="148"/>
      <c r="D12" s="148"/>
      <c r="F12" s="148" t="s">
        <v>1019</v>
      </c>
      <c r="G12" s="148"/>
      <c r="H12" s="148"/>
      <c r="I12" s="148"/>
    </row>
    <row r="13" spans="1:12" x14ac:dyDescent="0.2">
      <c r="A13" s="44" t="s">
        <v>66</v>
      </c>
      <c r="B13" s="44" t="s">
        <v>237</v>
      </c>
      <c r="C13" s="44" t="s">
        <v>238</v>
      </c>
      <c r="D13" s="44" t="s">
        <v>64</v>
      </c>
      <c r="E13" s="3"/>
      <c r="F13" s="44" t="s">
        <v>66</v>
      </c>
      <c r="G13" s="44" t="s">
        <v>237</v>
      </c>
      <c r="H13" s="44" t="s">
        <v>238</v>
      </c>
      <c r="I13" s="44" t="s">
        <v>64</v>
      </c>
    </row>
    <row r="14" spans="1:12" x14ac:dyDescent="0.2">
      <c r="A14" s="22" t="s">
        <v>5</v>
      </c>
      <c r="B14" s="4">
        <v>118540</v>
      </c>
      <c r="C14" s="4">
        <v>1202548</v>
      </c>
      <c r="D14" s="23">
        <v>1321088</v>
      </c>
      <c r="E14" s="69"/>
      <c r="F14" s="22" t="s">
        <v>5</v>
      </c>
      <c r="G14" s="4">
        <v>130530</v>
      </c>
      <c r="H14" s="4">
        <v>555089</v>
      </c>
      <c r="I14" s="23">
        <v>685619</v>
      </c>
      <c r="J14" s="69"/>
      <c r="K14" s="69"/>
      <c r="L14" s="69"/>
    </row>
    <row r="15" spans="1:12" x14ac:dyDescent="0.2">
      <c r="A15" s="25" t="s">
        <v>6</v>
      </c>
      <c r="B15" s="5">
        <v>401004</v>
      </c>
      <c r="C15" s="5">
        <v>1841340</v>
      </c>
      <c r="D15" s="14">
        <v>2242344</v>
      </c>
      <c r="E15" s="69"/>
      <c r="F15" s="25" t="s">
        <v>6</v>
      </c>
      <c r="G15" s="5">
        <v>280947</v>
      </c>
      <c r="H15" s="5">
        <v>497062</v>
      </c>
      <c r="I15" s="14">
        <v>778009</v>
      </c>
      <c r="J15" s="69"/>
      <c r="K15" s="69"/>
      <c r="L15" s="69"/>
    </row>
    <row r="16" spans="1:12" x14ac:dyDescent="0.2">
      <c r="A16" s="29" t="s">
        <v>60</v>
      </c>
      <c r="B16" s="58">
        <v>519544</v>
      </c>
      <c r="C16" s="58">
        <v>3043888</v>
      </c>
      <c r="D16" s="58">
        <v>3563432</v>
      </c>
      <c r="E16" s="69"/>
      <c r="F16" s="29" t="s">
        <v>60</v>
      </c>
      <c r="G16" s="58">
        <v>411477</v>
      </c>
      <c r="H16" s="58">
        <v>1052151</v>
      </c>
      <c r="I16" s="58">
        <v>1463628</v>
      </c>
      <c r="J16" s="69"/>
      <c r="K16" s="69"/>
      <c r="L16" s="69"/>
    </row>
    <row r="17" spans="1:12" x14ac:dyDescent="0.2">
      <c r="A17" s="3" t="s">
        <v>1010</v>
      </c>
      <c r="D17" s="3"/>
      <c r="E17" s="3"/>
      <c r="F17" s="3" t="s">
        <v>1010</v>
      </c>
      <c r="G17" s="6"/>
      <c r="H17" s="6"/>
      <c r="I17" s="3"/>
      <c r="K17" s="69"/>
      <c r="L17" s="69"/>
    </row>
    <row r="18" spans="1:12" x14ac:dyDescent="0.2">
      <c r="D18" s="3"/>
      <c r="E18" s="3"/>
      <c r="G18" s="6"/>
      <c r="H18" s="6"/>
      <c r="I18" s="3"/>
      <c r="K18" s="69"/>
      <c r="L18" s="69"/>
    </row>
    <row r="19" spans="1:12" x14ac:dyDescent="0.2">
      <c r="A19" s="7" t="s">
        <v>256</v>
      </c>
      <c r="D19" s="3"/>
      <c r="E19" s="3"/>
      <c r="F19" s="7" t="s">
        <v>257</v>
      </c>
      <c r="G19" s="6"/>
      <c r="H19" s="6"/>
      <c r="I19" s="3"/>
      <c r="K19" s="69"/>
      <c r="L19" s="69"/>
    </row>
    <row r="20" spans="1:12" x14ac:dyDescent="0.2">
      <c r="A20" s="148" t="s">
        <v>1013</v>
      </c>
      <c r="B20" s="148"/>
      <c r="C20" s="148"/>
      <c r="D20" s="148"/>
      <c r="E20" s="3"/>
      <c r="F20" s="148" t="s">
        <v>1020</v>
      </c>
      <c r="G20" s="148"/>
      <c r="H20" s="148"/>
      <c r="I20" s="148"/>
      <c r="K20" s="69"/>
      <c r="L20" s="69"/>
    </row>
    <row r="21" spans="1:12" x14ac:dyDescent="0.2">
      <c r="A21" s="24" t="s">
        <v>67</v>
      </c>
      <c r="B21" s="44" t="s">
        <v>237</v>
      </c>
      <c r="C21" s="44" t="s">
        <v>238</v>
      </c>
      <c r="D21" s="44" t="s">
        <v>64</v>
      </c>
      <c r="E21" s="3"/>
      <c r="F21" s="24" t="s">
        <v>67</v>
      </c>
      <c r="G21" s="44" t="s">
        <v>237</v>
      </c>
      <c r="H21" s="44" t="s">
        <v>238</v>
      </c>
      <c r="I21" s="44" t="s">
        <v>64</v>
      </c>
      <c r="K21" s="69"/>
      <c r="L21" s="69"/>
    </row>
    <row r="22" spans="1:12" x14ac:dyDescent="0.2">
      <c r="A22" s="22" t="s">
        <v>53</v>
      </c>
      <c r="B22" s="4">
        <v>781</v>
      </c>
      <c r="C22" s="4">
        <v>30815</v>
      </c>
      <c r="D22" s="4">
        <v>31596</v>
      </c>
      <c r="E22" s="69"/>
      <c r="F22" s="22" t="s">
        <v>53</v>
      </c>
      <c r="G22" s="4">
        <v>59.003574749641125</v>
      </c>
      <c r="H22" s="4">
        <v>2557.0482591201553</v>
      </c>
      <c r="I22" s="4">
        <v>2616.0518338697966</v>
      </c>
      <c r="J22" s="69"/>
      <c r="K22" s="69"/>
      <c r="L22" s="69"/>
    </row>
    <row r="23" spans="1:12" x14ac:dyDescent="0.2">
      <c r="A23" s="25" t="s">
        <v>2</v>
      </c>
      <c r="B23" s="5">
        <v>23070</v>
      </c>
      <c r="C23" s="5">
        <v>279487</v>
      </c>
      <c r="D23" s="5">
        <v>302557</v>
      </c>
      <c r="E23" s="69"/>
      <c r="F23" s="25" t="s">
        <v>2</v>
      </c>
      <c r="G23" s="5">
        <v>3650.0882386500675</v>
      </c>
      <c r="H23" s="5">
        <v>60924.191221775909</v>
      </c>
      <c r="I23" s="5">
        <v>64574.279460425976</v>
      </c>
      <c r="J23" s="69"/>
      <c r="K23" s="69"/>
      <c r="L23" s="69"/>
    </row>
    <row r="24" spans="1:12" x14ac:dyDescent="0.2">
      <c r="A24" s="25" t="s">
        <v>54</v>
      </c>
      <c r="B24" s="5">
        <v>155888</v>
      </c>
      <c r="C24" s="5">
        <v>889600</v>
      </c>
      <c r="D24" s="5">
        <v>1045488</v>
      </c>
      <c r="E24" s="69"/>
      <c r="F24" s="25" t="s">
        <v>54</v>
      </c>
      <c r="G24" s="5">
        <v>129319.71509750963</v>
      </c>
      <c r="H24" s="5">
        <v>393998.65381638001</v>
      </c>
      <c r="I24" s="5">
        <v>523318.36891388963</v>
      </c>
      <c r="J24" s="69"/>
      <c r="K24" s="69"/>
      <c r="L24" s="69"/>
    </row>
    <row r="25" spans="1:12" x14ac:dyDescent="0.2">
      <c r="A25" s="25" t="s">
        <v>55</v>
      </c>
      <c r="B25" s="5">
        <v>132209</v>
      </c>
      <c r="C25" s="5">
        <v>699336</v>
      </c>
      <c r="D25" s="5">
        <v>831545</v>
      </c>
      <c r="E25" s="69"/>
      <c r="F25" s="25" t="s">
        <v>55</v>
      </c>
      <c r="G25" s="5">
        <v>117494.57040213884</v>
      </c>
      <c r="H25" s="5">
        <v>299933.70042887429</v>
      </c>
      <c r="I25" s="5">
        <v>417428.2708310131</v>
      </c>
      <c r="J25" s="69"/>
      <c r="K25" s="69"/>
      <c r="L25" s="69"/>
    </row>
    <row r="26" spans="1:12" x14ac:dyDescent="0.2">
      <c r="A26" s="25" t="s">
        <v>56</v>
      </c>
      <c r="B26" s="5">
        <v>111158</v>
      </c>
      <c r="C26" s="5">
        <v>611567</v>
      </c>
      <c r="D26" s="5">
        <v>722725</v>
      </c>
      <c r="E26" s="69"/>
      <c r="F26" s="25" t="s">
        <v>56</v>
      </c>
      <c r="G26" s="5">
        <v>74283.346957055866</v>
      </c>
      <c r="H26" s="5">
        <v>179624.68392025412</v>
      </c>
      <c r="I26" s="5">
        <v>253908.03087730997</v>
      </c>
      <c r="J26" s="69"/>
      <c r="K26" s="69"/>
      <c r="L26" s="69"/>
    </row>
    <row r="27" spans="1:12" x14ac:dyDescent="0.2">
      <c r="A27" s="25" t="s">
        <v>57</v>
      </c>
      <c r="B27" s="5">
        <v>85134</v>
      </c>
      <c r="C27" s="5">
        <v>407298</v>
      </c>
      <c r="D27" s="5">
        <v>492432</v>
      </c>
      <c r="E27" s="69"/>
      <c r="F27" s="25" t="s">
        <v>57</v>
      </c>
      <c r="G27" s="5">
        <v>73426.232897125505</v>
      </c>
      <c r="H27" s="5">
        <v>97011.144111194386</v>
      </c>
      <c r="I27" s="5">
        <v>170437.37700831989</v>
      </c>
      <c r="J27" s="69"/>
      <c r="K27" s="69"/>
      <c r="L27" s="69"/>
    </row>
    <row r="28" spans="1:12" x14ac:dyDescent="0.2">
      <c r="A28" s="25" t="s">
        <v>3</v>
      </c>
      <c r="B28" s="5">
        <v>11304</v>
      </c>
      <c r="C28" s="5">
        <v>125785</v>
      </c>
      <c r="D28" s="5">
        <v>137089</v>
      </c>
      <c r="E28" s="69"/>
      <c r="F28" s="25" t="s">
        <v>3</v>
      </c>
      <c r="G28" s="5">
        <v>13244.042832770452</v>
      </c>
      <c r="H28" s="5">
        <v>18101.578242401094</v>
      </c>
      <c r="I28" s="5">
        <v>31345.621075171548</v>
      </c>
      <c r="J28" s="69"/>
      <c r="K28" s="69"/>
      <c r="L28" s="69"/>
    </row>
    <row r="29" spans="1:12" x14ac:dyDescent="0.2">
      <c r="A29" s="29" t="s">
        <v>60</v>
      </c>
      <c r="B29" s="58">
        <v>519544</v>
      </c>
      <c r="C29" s="58">
        <v>3043888</v>
      </c>
      <c r="D29" s="58">
        <v>3563432</v>
      </c>
      <c r="E29" s="69"/>
      <c r="F29" s="29" t="s">
        <v>60</v>
      </c>
      <c r="G29" s="58">
        <v>411476.99999999994</v>
      </c>
      <c r="H29" s="58">
        <v>1052151</v>
      </c>
      <c r="I29" s="58">
        <v>1463627.9999999998</v>
      </c>
      <c r="J29" s="69"/>
      <c r="K29" s="69"/>
      <c r="L29" s="69"/>
    </row>
    <row r="30" spans="1:12" x14ac:dyDescent="0.2">
      <c r="A30" s="3" t="s">
        <v>1010</v>
      </c>
      <c r="D30" s="3"/>
      <c r="E30" s="3"/>
      <c r="F30" s="3" t="s">
        <v>1010</v>
      </c>
      <c r="G30" s="6"/>
      <c r="H30" s="6"/>
      <c r="I30" s="3"/>
      <c r="K30" s="69"/>
      <c r="L30" s="69"/>
    </row>
    <row r="31" spans="1:12" x14ac:dyDescent="0.2">
      <c r="D31" s="3"/>
      <c r="E31" s="3"/>
      <c r="G31" s="6"/>
      <c r="H31" s="6"/>
      <c r="I31" s="3"/>
      <c r="K31" s="69"/>
      <c r="L31" s="69"/>
    </row>
    <row r="32" spans="1:12" x14ac:dyDescent="0.2">
      <c r="A32" s="7" t="s">
        <v>258</v>
      </c>
      <c r="D32" s="3"/>
      <c r="E32" s="3"/>
      <c r="F32" s="7" t="s">
        <v>259</v>
      </c>
      <c r="G32" s="6"/>
      <c r="H32" s="6"/>
      <c r="I32" s="3"/>
      <c r="K32" s="69"/>
      <c r="L32" s="69"/>
    </row>
    <row r="33" spans="1:12" x14ac:dyDescent="0.2">
      <c r="A33" s="148" t="s">
        <v>1014</v>
      </c>
      <c r="B33" s="148"/>
      <c r="C33" s="148"/>
      <c r="D33" s="148"/>
      <c r="E33" s="3"/>
      <c r="F33" s="148" t="s">
        <v>1021</v>
      </c>
      <c r="G33" s="148"/>
      <c r="H33" s="148"/>
      <c r="I33" s="148"/>
      <c r="K33" s="69"/>
      <c r="L33" s="69"/>
    </row>
    <row r="34" spans="1:12" x14ac:dyDescent="0.2">
      <c r="A34" s="8" t="s">
        <v>207</v>
      </c>
      <c r="B34" s="44" t="s">
        <v>237</v>
      </c>
      <c r="C34" s="44" t="s">
        <v>238</v>
      </c>
      <c r="D34" s="44" t="s">
        <v>64</v>
      </c>
      <c r="E34" s="3"/>
      <c r="F34" s="8" t="s">
        <v>207</v>
      </c>
      <c r="G34" s="44" t="s">
        <v>237</v>
      </c>
      <c r="H34" s="44" t="s">
        <v>238</v>
      </c>
      <c r="I34" s="44" t="s">
        <v>64</v>
      </c>
      <c r="K34" s="69"/>
      <c r="L34" s="69"/>
    </row>
    <row r="35" spans="1:12" x14ac:dyDescent="0.2">
      <c r="A35" s="31" t="s">
        <v>9</v>
      </c>
      <c r="B35" s="73">
        <v>115045.7270608673</v>
      </c>
      <c r="C35" s="73">
        <v>731356.83362986636</v>
      </c>
      <c r="D35" s="73">
        <v>846402.5606907336</v>
      </c>
      <c r="E35" s="69"/>
      <c r="F35" s="31" t="s">
        <v>9</v>
      </c>
      <c r="G35" s="4">
        <v>67275.67809713725</v>
      </c>
      <c r="H35" s="4">
        <v>218719.26414275571</v>
      </c>
      <c r="I35" s="4">
        <v>285994.94223989296</v>
      </c>
      <c r="J35" s="69"/>
      <c r="K35" s="69"/>
      <c r="L35" s="69"/>
    </row>
    <row r="36" spans="1:12" x14ac:dyDescent="0.2">
      <c r="A36" s="31" t="s">
        <v>10</v>
      </c>
      <c r="B36" s="75">
        <v>106530.92509892969</v>
      </c>
      <c r="C36" s="75">
        <v>702956.1187841139</v>
      </c>
      <c r="D36" s="75">
        <v>809487.04388304357</v>
      </c>
      <c r="E36" s="69"/>
      <c r="F36" s="31" t="s">
        <v>10</v>
      </c>
      <c r="G36" s="5">
        <v>53265.805310696087</v>
      </c>
      <c r="H36" s="5">
        <v>172662.12731059905</v>
      </c>
      <c r="I36" s="5">
        <v>225927.93262129516</v>
      </c>
      <c r="J36" s="69"/>
      <c r="K36" s="69"/>
      <c r="L36" s="69"/>
    </row>
    <row r="37" spans="1:12" x14ac:dyDescent="0.2">
      <c r="A37" s="31" t="s">
        <v>11</v>
      </c>
      <c r="B37" s="75">
        <v>98375.791615925365</v>
      </c>
      <c r="C37" s="75">
        <v>381883.4524290582</v>
      </c>
      <c r="D37" s="75">
        <v>480259.24404498358</v>
      </c>
      <c r="E37" s="69"/>
      <c r="F37" s="31" t="s">
        <v>11</v>
      </c>
      <c r="G37" s="5">
        <v>104911.15096312403</v>
      </c>
      <c r="H37" s="5">
        <v>190970.93268416624</v>
      </c>
      <c r="I37" s="5">
        <v>295882.08364729024</v>
      </c>
      <c r="J37" s="69"/>
      <c r="K37" s="69"/>
      <c r="L37" s="69"/>
    </row>
    <row r="38" spans="1:12" x14ac:dyDescent="0.2">
      <c r="A38" s="31" t="s">
        <v>12</v>
      </c>
      <c r="B38" s="75">
        <v>24532.756372407966</v>
      </c>
      <c r="C38" s="75">
        <v>239874.45701275594</v>
      </c>
      <c r="D38" s="75">
        <v>264407.21338516392</v>
      </c>
      <c r="E38" s="69"/>
      <c r="F38" s="31" t="s">
        <v>12</v>
      </c>
      <c r="G38" s="5">
        <v>20266.40444922508</v>
      </c>
      <c r="H38" s="5">
        <v>92735.069985122784</v>
      </c>
      <c r="I38" s="5">
        <v>113001.47443434787</v>
      </c>
      <c r="J38" s="69"/>
      <c r="K38" s="69"/>
      <c r="L38" s="69"/>
    </row>
    <row r="39" spans="1:12" x14ac:dyDescent="0.2">
      <c r="A39" s="31" t="s">
        <v>13</v>
      </c>
      <c r="B39" s="75">
        <v>40308.309708482571</v>
      </c>
      <c r="C39" s="75">
        <v>145538.69087180725</v>
      </c>
      <c r="D39" s="75">
        <v>185847.00058028981</v>
      </c>
      <c r="E39" s="69"/>
      <c r="F39" s="31" t="s">
        <v>13</v>
      </c>
      <c r="G39" s="5">
        <v>41228.756383981257</v>
      </c>
      <c r="H39" s="5">
        <v>79131.311812048152</v>
      </c>
      <c r="I39" s="5">
        <v>120360.0681960294</v>
      </c>
      <c r="J39" s="69"/>
      <c r="K39" s="69"/>
      <c r="L39" s="69"/>
    </row>
    <row r="40" spans="1:12" x14ac:dyDescent="0.2">
      <c r="A40" s="31" t="s">
        <v>230</v>
      </c>
      <c r="B40" s="75">
        <v>25287.353177516547</v>
      </c>
      <c r="C40" s="75">
        <v>129352.48789240373</v>
      </c>
      <c r="D40" s="75">
        <v>154639.84106992028</v>
      </c>
      <c r="E40" s="69"/>
      <c r="F40" s="31" t="s">
        <v>230</v>
      </c>
      <c r="G40" s="5">
        <v>34001.728851214815</v>
      </c>
      <c r="H40" s="5">
        <v>64873.686089286559</v>
      </c>
      <c r="I40" s="5">
        <v>98875.414940501374</v>
      </c>
      <c r="J40" s="69"/>
      <c r="K40" s="69"/>
      <c r="L40" s="69"/>
    </row>
    <row r="41" spans="1:12" x14ac:dyDescent="0.2">
      <c r="A41" s="31" t="s">
        <v>231</v>
      </c>
      <c r="B41" s="75">
        <v>17140.306232662115</v>
      </c>
      <c r="C41" s="75">
        <v>111086.8330569042</v>
      </c>
      <c r="D41" s="75">
        <v>128227.13928956632</v>
      </c>
      <c r="E41" s="69"/>
      <c r="F41" s="31" t="s">
        <v>231</v>
      </c>
      <c r="G41" s="5">
        <v>10708.14227187522</v>
      </c>
      <c r="H41" s="5">
        <v>34084.559159331133</v>
      </c>
      <c r="I41" s="5">
        <v>44792.701431206355</v>
      </c>
      <c r="J41" s="69"/>
      <c r="K41" s="69"/>
      <c r="L41" s="69"/>
    </row>
    <row r="42" spans="1:12" x14ac:dyDescent="0.2">
      <c r="A42" s="31" t="s">
        <v>232</v>
      </c>
      <c r="B42" s="75">
        <v>18271.867089112395</v>
      </c>
      <c r="C42" s="75">
        <v>96831.272699858266</v>
      </c>
      <c r="D42" s="75">
        <v>115103.13978897066</v>
      </c>
      <c r="E42" s="69"/>
      <c r="F42" s="31" t="s">
        <v>232</v>
      </c>
      <c r="G42" s="5">
        <v>15384.289752485973</v>
      </c>
      <c r="H42" s="5">
        <v>32492.0795552005</v>
      </c>
      <c r="I42" s="5">
        <v>47876.369307686473</v>
      </c>
      <c r="J42" s="69"/>
      <c r="K42" s="69"/>
      <c r="L42" s="69"/>
    </row>
    <row r="43" spans="1:12" x14ac:dyDescent="0.2">
      <c r="A43" s="31" t="s">
        <v>233</v>
      </c>
      <c r="B43" s="75">
        <v>8089.7201495282006</v>
      </c>
      <c r="C43" s="75">
        <v>78549.967401465576</v>
      </c>
      <c r="D43" s="75">
        <v>86639.687550993782</v>
      </c>
      <c r="E43" s="69"/>
      <c r="F43" s="31" t="s">
        <v>233</v>
      </c>
      <c r="G43" s="5">
        <v>9428.8830925210023</v>
      </c>
      <c r="H43" s="5">
        <v>29944.644626466965</v>
      </c>
      <c r="I43" s="5">
        <v>39373.527718987971</v>
      </c>
      <c r="J43" s="69"/>
      <c r="K43" s="69"/>
      <c r="L43" s="69"/>
    </row>
    <row r="44" spans="1:12" x14ac:dyDescent="0.2">
      <c r="A44" s="31" t="s">
        <v>987</v>
      </c>
      <c r="B44" s="75">
        <v>10229.513457284442</v>
      </c>
      <c r="C44" s="75">
        <v>88903.482464340646</v>
      </c>
      <c r="D44" s="75">
        <v>99132.995921625086</v>
      </c>
      <c r="E44" s="69"/>
      <c r="F44" s="31" t="s">
        <v>987</v>
      </c>
      <c r="G44" s="5">
        <v>6634.2959924445313</v>
      </c>
      <c r="H44" s="5">
        <v>20463.57300191142</v>
      </c>
      <c r="I44" s="5">
        <v>27097.868994355951</v>
      </c>
      <c r="J44" s="69"/>
      <c r="K44" s="69"/>
      <c r="L44" s="69"/>
    </row>
    <row r="45" spans="1:12" x14ac:dyDescent="0.2">
      <c r="A45" s="31" t="s">
        <v>31</v>
      </c>
      <c r="B45" s="75">
        <v>55731.730037283407</v>
      </c>
      <c r="C45" s="75">
        <v>337554.4037574259</v>
      </c>
      <c r="D45" s="75">
        <v>393286.13379470928</v>
      </c>
      <c r="E45" s="69"/>
      <c r="F45" s="31" t="s">
        <v>31</v>
      </c>
      <c r="G45" s="5">
        <v>48371.864835294749</v>
      </c>
      <c r="H45" s="5">
        <v>116073.75163311149</v>
      </c>
      <c r="I45" s="5">
        <v>164445.61646840622</v>
      </c>
      <c r="J45" s="69"/>
      <c r="K45" s="69"/>
      <c r="L45" s="69"/>
    </row>
    <row r="46" spans="1:12" x14ac:dyDescent="0.2">
      <c r="A46" s="29" t="s">
        <v>60</v>
      </c>
      <c r="B46" s="58">
        <v>519543.99999999994</v>
      </c>
      <c r="C46" s="58">
        <v>3043888</v>
      </c>
      <c r="D46" s="58">
        <v>3563432</v>
      </c>
      <c r="E46" s="3"/>
      <c r="F46" s="29" t="s">
        <v>60</v>
      </c>
      <c r="G46" s="58">
        <v>411477</v>
      </c>
      <c r="H46" s="58">
        <v>1052151</v>
      </c>
      <c r="I46" s="58">
        <v>1463628.0000000002</v>
      </c>
      <c r="K46" s="69"/>
      <c r="L46" s="69"/>
    </row>
    <row r="47" spans="1:12" x14ac:dyDescent="0.2">
      <c r="A47" s="3" t="s">
        <v>1010</v>
      </c>
      <c r="B47" s="54"/>
      <c r="C47" s="54"/>
      <c r="D47" s="3"/>
      <c r="E47" s="3"/>
      <c r="F47" s="3" t="s">
        <v>1010</v>
      </c>
      <c r="G47" s="6"/>
      <c r="H47" s="6"/>
      <c r="I47" s="3"/>
      <c r="K47" s="69"/>
      <c r="L47" s="69"/>
    </row>
    <row r="48" spans="1:12" x14ac:dyDescent="0.2">
      <c r="D48" s="3"/>
      <c r="E48" s="3"/>
      <c r="G48" s="6"/>
      <c r="H48" s="6"/>
      <c r="I48" s="3"/>
      <c r="K48" s="69"/>
      <c r="L48" s="69"/>
    </row>
    <row r="49" spans="1:12" x14ac:dyDescent="0.2">
      <c r="A49" s="7" t="s">
        <v>260</v>
      </c>
      <c r="D49" s="3"/>
      <c r="E49" s="3"/>
      <c r="G49" s="6"/>
      <c r="H49" s="6"/>
      <c r="K49" s="69"/>
      <c r="L49" s="69"/>
    </row>
    <row r="50" spans="1:12" x14ac:dyDescent="0.2">
      <c r="A50" s="148" t="s">
        <v>1015</v>
      </c>
      <c r="B50" s="148"/>
      <c r="C50" s="148"/>
      <c r="D50" s="148"/>
      <c r="E50" s="3"/>
      <c r="F50" s="7"/>
      <c r="G50" s="6"/>
      <c r="H50" s="6"/>
      <c r="K50" s="69"/>
      <c r="L50" s="69"/>
    </row>
    <row r="51" spans="1:12" x14ac:dyDescent="0.2">
      <c r="A51" s="8" t="s">
        <v>251</v>
      </c>
      <c r="B51" s="8" t="s">
        <v>0</v>
      </c>
      <c r="C51" s="8" t="s">
        <v>1</v>
      </c>
      <c r="D51" s="8" t="s">
        <v>59</v>
      </c>
      <c r="E51" s="3"/>
      <c r="F51" s="35"/>
      <c r="G51" s="35"/>
      <c r="H51" s="35"/>
      <c r="I51" s="35"/>
      <c r="K51" s="69"/>
      <c r="L51" s="69"/>
    </row>
    <row r="52" spans="1:12" x14ac:dyDescent="0.2">
      <c r="A52" s="31" t="s">
        <v>252</v>
      </c>
      <c r="B52" s="4">
        <v>5451000</v>
      </c>
      <c r="C52" s="4">
        <v>3296714</v>
      </c>
      <c r="D52" s="4">
        <v>8747714</v>
      </c>
      <c r="E52" s="69"/>
      <c r="F52" s="34"/>
      <c r="G52" s="17"/>
      <c r="H52" s="17"/>
      <c r="I52" s="17"/>
      <c r="K52" s="69"/>
      <c r="L52" s="69"/>
    </row>
    <row r="53" spans="1:12" x14ac:dyDescent="0.2">
      <c r="A53" s="31" t="s">
        <v>253</v>
      </c>
      <c r="B53" s="5">
        <v>41359880</v>
      </c>
      <c r="C53" s="5">
        <v>11596644</v>
      </c>
      <c r="D53" s="5">
        <v>52956524</v>
      </c>
      <c r="E53" s="69"/>
      <c r="F53" s="34"/>
      <c r="G53" s="17"/>
      <c r="H53" s="17"/>
      <c r="I53" s="17"/>
      <c r="K53" s="69"/>
      <c r="L53" s="69"/>
    </row>
    <row r="54" spans="1:12" x14ac:dyDescent="0.2">
      <c r="A54" s="29" t="s">
        <v>60</v>
      </c>
      <c r="B54" s="58">
        <v>46810880</v>
      </c>
      <c r="C54" s="58">
        <v>14893358</v>
      </c>
      <c r="D54" s="58">
        <v>61704238</v>
      </c>
      <c r="E54" s="69"/>
      <c r="F54" s="45"/>
      <c r="G54" s="17"/>
      <c r="H54" s="17"/>
      <c r="I54" s="17"/>
      <c r="K54" s="69"/>
      <c r="L54" s="69"/>
    </row>
    <row r="55" spans="1:12" x14ac:dyDescent="0.2">
      <c r="A55" s="3" t="s">
        <v>1010</v>
      </c>
      <c r="D55" s="3"/>
      <c r="E55" s="3"/>
      <c r="G55" s="6"/>
      <c r="H55" s="6"/>
      <c r="K55" s="69"/>
      <c r="L55" s="69"/>
    </row>
    <row r="56" spans="1:12" x14ac:dyDescent="0.2">
      <c r="D56" s="3"/>
      <c r="E56" s="3"/>
      <c r="G56" s="6"/>
      <c r="H56" s="6"/>
      <c r="I56" s="3"/>
      <c r="K56" s="69"/>
      <c r="L56" s="69"/>
    </row>
    <row r="57" spans="1:12" x14ac:dyDescent="0.2">
      <c r="A57" s="7" t="s">
        <v>261</v>
      </c>
      <c r="D57" s="3"/>
      <c r="E57" s="3"/>
      <c r="F57" s="7" t="s">
        <v>262</v>
      </c>
      <c r="G57" s="6"/>
      <c r="H57" s="6"/>
      <c r="I57" s="3"/>
      <c r="K57" s="69"/>
      <c r="L57" s="69"/>
    </row>
    <row r="58" spans="1:12" x14ac:dyDescent="0.2">
      <c r="A58" s="148" t="s">
        <v>1016</v>
      </c>
      <c r="B58" s="148"/>
      <c r="C58" s="148"/>
      <c r="D58" s="148"/>
      <c r="E58" s="3"/>
      <c r="F58" s="148" t="s">
        <v>1022</v>
      </c>
      <c r="G58" s="148"/>
      <c r="H58" s="148"/>
      <c r="I58" s="148"/>
      <c r="K58" s="69"/>
      <c r="L58" s="69"/>
    </row>
    <row r="59" spans="1:12" x14ac:dyDescent="0.2">
      <c r="A59" s="44" t="s">
        <v>66</v>
      </c>
      <c r="B59" s="44" t="s">
        <v>237</v>
      </c>
      <c r="C59" s="44" t="s">
        <v>238</v>
      </c>
      <c r="D59" s="44" t="s">
        <v>64</v>
      </c>
      <c r="E59" s="3"/>
      <c r="F59" s="44" t="s">
        <v>66</v>
      </c>
      <c r="G59" s="44" t="s">
        <v>237</v>
      </c>
      <c r="H59" s="44" t="s">
        <v>238</v>
      </c>
      <c r="I59" s="44" t="s">
        <v>64</v>
      </c>
      <c r="K59" s="69"/>
      <c r="L59" s="69"/>
    </row>
    <row r="60" spans="1:12" x14ac:dyDescent="0.2">
      <c r="A60" s="22" t="s">
        <v>5</v>
      </c>
      <c r="B60" s="4">
        <v>1269775</v>
      </c>
      <c r="C60" s="4">
        <v>17418665</v>
      </c>
      <c r="D60" s="23">
        <v>18688440</v>
      </c>
      <c r="E60" s="69"/>
      <c r="F60" s="22" t="s">
        <v>5</v>
      </c>
      <c r="G60" s="4">
        <v>999127</v>
      </c>
      <c r="H60" s="4">
        <v>6124256</v>
      </c>
      <c r="I60" s="23">
        <v>7123383</v>
      </c>
      <c r="J60" s="69"/>
      <c r="K60" s="69"/>
      <c r="L60" s="69"/>
    </row>
    <row r="61" spans="1:12" x14ac:dyDescent="0.2">
      <c r="A61" s="25" t="s">
        <v>6</v>
      </c>
      <c r="B61" s="5">
        <v>4181225</v>
      </c>
      <c r="C61" s="5">
        <v>23941215</v>
      </c>
      <c r="D61" s="14">
        <v>28122440</v>
      </c>
      <c r="E61" s="69"/>
      <c r="F61" s="25" t="s">
        <v>6</v>
      </c>
      <c r="G61" s="5">
        <v>2297587</v>
      </c>
      <c r="H61" s="5">
        <v>5472388</v>
      </c>
      <c r="I61" s="14">
        <v>7769975</v>
      </c>
      <c r="J61" s="69"/>
      <c r="K61" s="69"/>
      <c r="L61" s="69"/>
    </row>
    <row r="62" spans="1:12" x14ac:dyDescent="0.2">
      <c r="A62" s="29" t="s">
        <v>60</v>
      </c>
      <c r="B62" s="58">
        <v>5451000</v>
      </c>
      <c r="C62" s="58">
        <v>41359880</v>
      </c>
      <c r="D62" s="58">
        <v>46810880</v>
      </c>
      <c r="E62" s="69"/>
      <c r="F62" s="29" t="s">
        <v>60</v>
      </c>
      <c r="G62" s="58">
        <v>3296714</v>
      </c>
      <c r="H62" s="58">
        <v>11596644</v>
      </c>
      <c r="I62" s="58">
        <v>14893358</v>
      </c>
      <c r="J62" s="69"/>
      <c r="K62" s="69"/>
      <c r="L62" s="69"/>
    </row>
    <row r="63" spans="1:12" x14ac:dyDescent="0.2">
      <c r="A63" s="3" t="s">
        <v>1010</v>
      </c>
      <c r="D63" s="3"/>
      <c r="E63" s="3"/>
      <c r="F63" s="3" t="s">
        <v>1010</v>
      </c>
      <c r="G63" s="6"/>
      <c r="H63" s="6"/>
      <c r="I63" s="3"/>
      <c r="K63" s="69"/>
      <c r="L63" s="69"/>
    </row>
    <row r="64" spans="1:12" x14ac:dyDescent="0.2">
      <c r="D64" s="3"/>
      <c r="E64" s="3"/>
      <c r="G64" s="6"/>
      <c r="H64" s="6"/>
      <c r="I64" s="3"/>
      <c r="K64" s="69"/>
      <c r="L64" s="69"/>
    </row>
    <row r="65" spans="1:12" x14ac:dyDescent="0.2">
      <c r="A65" s="7" t="s">
        <v>263</v>
      </c>
      <c r="D65" s="3"/>
      <c r="E65" s="3"/>
      <c r="F65" s="7" t="s">
        <v>264</v>
      </c>
      <c r="G65" s="6"/>
      <c r="H65" s="6"/>
      <c r="I65" s="3"/>
      <c r="K65" s="69"/>
      <c r="L65" s="69"/>
    </row>
    <row r="66" spans="1:12" x14ac:dyDescent="0.2">
      <c r="A66" s="148" t="s">
        <v>1017</v>
      </c>
      <c r="B66" s="148"/>
      <c r="C66" s="148"/>
      <c r="D66" s="148"/>
      <c r="E66" s="3"/>
      <c r="F66" s="148" t="s">
        <v>1023</v>
      </c>
      <c r="G66" s="148"/>
      <c r="H66" s="148"/>
      <c r="I66" s="148"/>
      <c r="K66" s="69"/>
      <c r="L66" s="69"/>
    </row>
    <row r="67" spans="1:12" x14ac:dyDescent="0.2">
      <c r="A67" s="24" t="s">
        <v>67</v>
      </c>
      <c r="B67" s="44" t="s">
        <v>237</v>
      </c>
      <c r="C67" s="44" t="s">
        <v>238</v>
      </c>
      <c r="D67" s="44" t="s">
        <v>64</v>
      </c>
      <c r="E67" s="3"/>
      <c r="F67" s="24" t="s">
        <v>67</v>
      </c>
      <c r="G67" s="44" t="s">
        <v>237</v>
      </c>
      <c r="H67" s="44" t="s">
        <v>238</v>
      </c>
      <c r="I67" s="44" t="s">
        <v>64</v>
      </c>
      <c r="K67" s="69"/>
      <c r="L67" s="69"/>
    </row>
    <row r="68" spans="1:12" x14ac:dyDescent="0.2">
      <c r="A68" s="22" t="s">
        <v>53</v>
      </c>
      <c r="B68" s="4">
        <v>5671</v>
      </c>
      <c r="C68" s="4">
        <v>272778</v>
      </c>
      <c r="D68" s="4">
        <v>278449</v>
      </c>
      <c r="E68" s="69"/>
      <c r="F68" s="22" t="s">
        <v>53</v>
      </c>
      <c r="G68" s="4">
        <v>408.02361897650832</v>
      </c>
      <c r="H68" s="4">
        <v>19134.524866144631</v>
      </c>
      <c r="I68" s="4">
        <v>19542.54848512114</v>
      </c>
      <c r="J68" s="69"/>
      <c r="K68" s="69"/>
      <c r="L68" s="69"/>
    </row>
    <row r="69" spans="1:12" x14ac:dyDescent="0.2">
      <c r="A69" s="25" t="s">
        <v>2</v>
      </c>
      <c r="B69" s="5">
        <v>204917</v>
      </c>
      <c r="C69" s="5">
        <v>2867128</v>
      </c>
      <c r="D69" s="5">
        <v>3072045</v>
      </c>
      <c r="E69" s="69"/>
      <c r="F69" s="25" t="s">
        <v>2</v>
      </c>
      <c r="G69" s="5">
        <v>22504.617340968271</v>
      </c>
      <c r="H69" s="5">
        <v>488288.71868818381</v>
      </c>
      <c r="I69" s="5">
        <v>510793.33602915209</v>
      </c>
      <c r="J69" s="69"/>
      <c r="K69" s="69"/>
      <c r="L69" s="69"/>
    </row>
    <row r="70" spans="1:12" x14ac:dyDescent="0.2">
      <c r="A70" s="25" t="s">
        <v>54</v>
      </c>
      <c r="B70" s="5">
        <v>1487412</v>
      </c>
      <c r="C70" s="5">
        <v>10533532</v>
      </c>
      <c r="D70" s="5">
        <v>12020944</v>
      </c>
      <c r="E70" s="69"/>
      <c r="F70" s="25" t="s">
        <v>54</v>
      </c>
      <c r="G70" s="5">
        <v>887053.59967111936</v>
      </c>
      <c r="H70" s="5">
        <v>3746163.4371359851</v>
      </c>
      <c r="I70" s="5">
        <v>4633217.0368071049</v>
      </c>
      <c r="J70" s="69"/>
      <c r="K70" s="69"/>
      <c r="L70" s="69"/>
    </row>
    <row r="71" spans="1:12" x14ac:dyDescent="0.2">
      <c r="A71" s="25" t="s">
        <v>55</v>
      </c>
      <c r="B71" s="5">
        <v>1274535</v>
      </c>
      <c r="C71" s="5">
        <v>9239647</v>
      </c>
      <c r="D71" s="5">
        <v>10514182</v>
      </c>
      <c r="E71" s="69"/>
      <c r="F71" s="25" t="s">
        <v>55</v>
      </c>
      <c r="G71" s="5">
        <v>874763.12478368951</v>
      </c>
      <c r="H71" s="5">
        <v>3365527.8840819877</v>
      </c>
      <c r="I71" s="5">
        <v>4240291.0088656768</v>
      </c>
      <c r="J71" s="69"/>
      <c r="K71" s="69"/>
      <c r="L71" s="69"/>
    </row>
    <row r="72" spans="1:12" x14ac:dyDescent="0.2">
      <c r="A72" s="25" t="s">
        <v>56</v>
      </c>
      <c r="B72" s="5">
        <v>1172413</v>
      </c>
      <c r="C72" s="5">
        <v>9063999</v>
      </c>
      <c r="D72" s="5">
        <v>10236412</v>
      </c>
      <c r="E72" s="69"/>
      <c r="F72" s="25" t="s">
        <v>56</v>
      </c>
      <c r="G72" s="5">
        <v>591308.42531481362</v>
      </c>
      <c r="H72" s="5">
        <v>2242827.1181069687</v>
      </c>
      <c r="I72" s="5">
        <v>2834135.5434217826</v>
      </c>
      <c r="J72" s="69"/>
      <c r="K72" s="69"/>
      <c r="L72" s="69"/>
    </row>
    <row r="73" spans="1:12" x14ac:dyDescent="0.2">
      <c r="A73" s="25" t="s">
        <v>57</v>
      </c>
      <c r="B73" s="5">
        <v>1121728</v>
      </c>
      <c r="C73" s="5">
        <v>7003897</v>
      </c>
      <c r="D73" s="5">
        <v>8125625</v>
      </c>
      <c r="E73" s="69"/>
      <c r="F73" s="25" t="s">
        <v>57</v>
      </c>
      <c r="G73" s="5">
        <v>761155.64016936882</v>
      </c>
      <c r="H73" s="5">
        <v>1423343.6704304188</v>
      </c>
      <c r="I73" s="5">
        <v>2184499.3105997876</v>
      </c>
      <c r="J73" s="69"/>
      <c r="K73" s="69"/>
      <c r="L73" s="69"/>
    </row>
    <row r="74" spans="1:12" x14ac:dyDescent="0.2">
      <c r="A74" s="25" t="s">
        <v>3</v>
      </c>
      <c r="B74" s="5">
        <v>184324</v>
      </c>
      <c r="C74" s="5">
        <v>2378899</v>
      </c>
      <c r="D74" s="5">
        <v>2563223</v>
      </c>
      <c r="E74" s="69"/>
      <c r="F74" s="25" t="s">
        <v>3</v>
      </c>
      <c r="G74" s="5">
        <v>159520.569101064</v>
      </c>
      <c r="H74" s="5">
        <v>311358.64669031097</v>
      </c>
      <c r="I74" s="5">
        <v>470879.21579137497</v>
      </c>
      <c r="J74" s="69"/>
      <c r="K74" s="69"/>
      <c r="L74" s="69"/>
    </row>
    <row r="75" spans="1:12" x14ac:dyDescent="0.2">
      <c r="A75" s="29" t="s">
        <v>60</v>
      </c>
      <c r="B75" s="58">
        <v>5451000</v>
      </c>
      <c r="C75" s="58">
        <v>41359880</v>
      </c>
      <c r="D75" s="58">
        <v>46810880</v>
      </c>
      <c r="E75" s="69"/>
      <c r="F75" s="29" t="s">
        <v>60</v>
      </c>
      <c r="G75" s="58">
        <v>3296714.0000000005</v>
      </c>
      <c r="H75" s="58">
        <v>11596643.999999998</v>
      </c>
      <c r="I75" s="58">
        <v>14893357.999999998</v>
      </c>
      <c r="J75" s="69"/>
      <c r="K75" s="69"/>
      <c r="L75" s="69"/>
    </row>
    <row r="76" spans="1:12" x14ac:dyDescent="0.2">
      <c r="A76" s="3" t="s">
        <v>1010</v>
      </c>
      <c r="D76" s="3"/>
      <c r="E76" s="3"/>
      <c r="F76" s="3" t="s">
        <v>1010</v>
      </c>
      <c r="G76" s="6"/>
      <c r="H76" s="6"/>
      <c r="I76" s="3"/>
      <c r="K76" s="69"/>
      <c r="L76" s="69"/>
    </row>
    <row r="77" spans="1:12" x14ac:dyDescent="0.2">
      <c r="D77" s="3"/>
      <c r="E77" s="3"/>
      <c r="G77" s="6"/>
      <c r="H77" s="6"/>
      <c r="I77" s="3"/>
      <c r="K77" s="69"/>
      <c r="L77" s="69"/>
    </row>
    <row r="78" spans="1:12" x14ac:dyDescent="0.2">
      <c r="A78" s="7" t="s">
        <v>265</v>
      </c>
      <c r="D78" s="3"/>
      <c r="E78" s="3"/>
      <c r="F78" s="7" t="s">
        <v>266</v>
      </c>
      <c r="G78" s="6"/>
      <c r="H78" s="6"/>
      <c r="I78" s="3"/>
      <c r="K78" s="69"/>
      <c r="L78" s="69"/>
    </row>
    <row r="79" spans="1:12" x14ac:dyDescent="0.2">
      <c r="A79" s="148" t="s">
        <v>1018</v>
      </c>
      <c r="B79" s="148"/>
      <c r="C79" s="148"/>
      <c r="D79" s="148"/>
      <c r="E79" s="3"/>
      <c r="F79" s="148" t="s">
        <v>1024</v>
      </c>
      <c r="G79" s="148"/>
      <c r="H79" s="148"/>
      <c r="I79" s="148"/>
      <c r="K79" s="69"/>
      <c r="L79" s="69"/>
    </row>
    <row r="80" spans="1:12" x14ac:dyDescent="0.2">
      <c r="A80" s="8" t="s">
        <v>207</v>
      </c>
      <c r="B80" s="44" t="s">
        <v>237</v>
      </c>
      <c r="C80" s="44" t="s">
        <v>238</v>
      </c>
      <c r="D80" s="44" t="s">
        <v>64</v>
      </c>
      <c r="E80" s="3"/>
      <c r="F80" s="8" t="s">
        <v>207</v>
      </c>
      <c r="G80" s="44" t="s">
        <v>237</v>
      </c>
      <c r="H80" s="44" t="s">
        <v>238</v>
      </c>
      <c r="I80" s="44" t="s">
        <v>64</v>
      </c>
      <c r="K80" s="69"/>
      <c r="L80" s="69"/>
    </row>
    <row r="81" spans="1:12" x14ac:dyDescent="0.2">
      <c r="A81" s="31" t="s">
        <v>9</v>
      </c>
      <c r="B81" s="4">
        <v>1937925.3564088319</v>
      </c>
      <c r="C81" s="4">
        <v>12660709.902212216</v>
      </c>
      <c r="D81" s="4">
        <v>14598635.258621048</v>
      </c>
      <c r="E81" s="69"/>
      <c r="F81" s="31" t="s">
        <v>9</v>
      </c>
      <c r="G81" s="4">
        <v>1042994.896458732</v>
      </c>
      <c r="H81" s="4">
        <v>3539894.4758545384</v>
      </c>
      <c r="I81" s="4">
        <v>4582889.3723132703</v>
      </c>
      <c r="J81" s="69"/>
      <c r="K81" s="69"/>
      <c r="L81" s="69"/>
    </row>
    <row r="82" spans="1:12" x14ac:dyDescent="0.2">
      <c r="A82" s="31" t="s">
        <v>10</v>
      </c>
      <c r="B82" s="5">
        <v>1174732.6851617733</v>
      </c>
      <c r="C82" s="5">
        <v>9406551.2207449228</v>
      </c>
      <c r="D82" s="5">
        <v>10581283.905906696</v>
      </c>
      <c r="E82" s="69"/>
      <c r="F82" s="31" t="s">
        <v>10</v>
      </c>
      <c r="G82" s="5">
        <v>510930.36165229446</v>
      </c>
      <c r="H82" s="5">
        <v>2147526.0904487865</v>
      </c>
      <c r="I82" s="5">
        <v>2658456.4521010811</v>
      </c>
      <c r="J82" s="69"/>
      <c r="K82" s="69"/>
      <c r="L82" s="69"/>
    </row>
    <row r="83" spans="1:12" x14ac:dyDescent="0.2">
      <c r="A83" s="31" t="s">
        <v>11</v>
      </c>
      <c r="B83" s="5">
        <v>452238.11326848454</v>
      </c>
      <c r="C83" s="5">
        <v>2055361.3128491174</v>
      </c>
      <c r="D83" s="5">
        <v>2507599.4261176018</v>
      </c>
      <c r="E83" s="69"/>
      <c r="F83" s="31" t="s">
        <v>11</v>
      </c>
      <c r="G83" s="5">
        <v>385457.39667062135</v>
      </c>
      <c r="H83" s="5">
        <v>774636.17677929148</v>
      </c>
      <c r="I83" s="5">
        <v>1160093.5734499129</v>
      </c>
      <c r="J83" s="69"/>
      <c r="K83" s="69"/>
      <c r="L83" s="69"/>
    </row>
    <row r="84" spans="1:12" x14ac:dyDescent="0.2">
      <c r="A84" s="31" t="s">
        <v>12</v>
      </c>
      <c r="B84" s="5">
        <v>311940.48497024772</v>
      </c>
      <c r="C84" s="5">
        <v>3891287.6471334733</v>
      </c>
      <c r="D84" s="5">
        <v>4203228.1321037216</v>
      </c>
      <c r="E84" s="69"/>
      <c r="F84" s="31" t="s">
        <v>12</v>
      </c>
      <c r="G84" s="5">
        <v>253779.08723139568</v>
      </c>
      <c r="H84" s="5">
        <v>1422654.7269181451</v>
      </c>
      <c r="I84" s="5">
        <v>1676433.8141495408</v>
      </c>
      <c r="J84" s="69"/>
      <c r="K84" s="69"/>
      <c r="L84" s="69"/>
    </row>
    <row r="85" spans="1:12" x14ac:dyDescent="0.2">
      <c r="A85" s="31" t="s">
        <v>13</v>
      </c>
      <c r="B85" s="5">
        <v>132476.56267483075</v>
      </c>
      <c r="C85" s="5">
        <v>655928.41517219285</v>
      </c>
      <c r="D85" s="5">
        <v>788404.97784702363</v>
      </c>
      <c r="E85" s="69"/>
      <c r="F85" s="31" t="s">
        <v>13</v>
      </c>
      <c r="G85" s="5">
        <v>111285.17742014257</v>
      </c>
      <c r="H85" s="5">
        <v>267766.28866358579</v>
      </c>
      <c r="I85" s="5">
        <v>379051.46608372836</v>
      </c>
      <c r="J85" s="69"/>
      <c r="K85" s="69"/>
      <c r="L85" s="69"/>
    </row>
    <row r="86" spans="1:12" x14ac:dyDescent="0.2">
      <c r="A86" s="31" t="s">
        <v>230</v>
      </c>
      <c r="B86" s="5">
        <v>154590.62305625592</v>
      </c>
      <c r="C86" s="5">
        <v>1368390.9997790023</v>
      </c>
      <c r="D86" s="5">
        <v>1522981.622835258</v>
      </c>
      <c r="E86" s="69"/>
      <c r="F86" s="31" t="s">
        <v>230</v>
      </c>
      <c r="G86" s="5">
        <v>153302.50979469024</v>
      </c>
      <c r="H86" s="5">
        <v>496366.22087548196</v>
      </c>
      <c r="I86" s="5">
        <v>649668.73067017226</v>
      </c>
      <c r="J86" s="69"/>
      <c r="K86" s="69"/>
      <c r="L86" s="69"/>
    </row>
    <row r="87" spans="1:12" x14ac:dyDescent="0.2">
      <c r="A87" s="31" t="s">
        <v>231</v>
      </c>
      <c r="B87" s="5">
        <v>260600.6633134482</v>
      </c>
      <c r="C87" s="5">
        <v>1687164.9844685534</v>
      </c>
      <c r="D87" s="5">
        <v>1947765.6477820016</v>
      </c>
      <c r="E87" s="69"/>
      <c r="F87" s="31" t="s">
        <v>231</v>
      </c>
      <c r="G87" s="5">
        <v>143082.94250835196</v>
      </c>
      <c r="H87" s="5">
        <v>464223.23504963412</v>
      </c>
      <c r="I87" s="5">
        <v>607306.17755798611</v>
      </c>
      <c r="J87" s="69"/>
      <c r="K87" s="69"/>
      <c r="L87" s="69"/>
    </row>
    <row r="88" spans="1:12" x14ac:dyDescent="0.2">
      <c r="A88" s="31" t="s">
        <v>232</v>
      </c>
      <c r="B88" s="5">
        <v>141679.7328296137</v>
      </c>
      <c r="C88" s="5">
        <v>1202692.4386207424</v>
      </c>
      <c r="D88" s="5">
        <v>1344372.1714503563</v>
      </c>
      <c r="E88" s="69"/>
      <c r="F88" s="31" t="s">
        <v>232</v>
      </c>
      <c r="G88" s="5">
        <v>93591.19523038005</v>
      </c>
      <c r="H88" s="5">
        <v>291484.57020600012</v>
      </c>
      <c r="I88" s="5">
        <v>385075.76543638017</v>
      </c>
      <c r="J88" s="69"/>
      <c r="K88" s="69"/>
      <c r="L88" s="69"/>
    </row>
    <row r="89" spans="1:12" x14ac:dyDescent="0.2">
      <c r="A89" s="31" t="s">
        <v>233</v>
      </c>
      <c r="B89" s="5">
        <v>196072.90379485799</v>
      </c>
      <c r="C89" s="5">
        <v>2175158.7293816442</v>
      </c>
      <c r="D89" s="5">
        <v>2371231.6331765018</v>
      </c>
      <c r="E89" s="69"/>
      <c r="F89" s="31" t="s">
        <v>233</v>
      </c>
      <c r="G89" s="5">
        <v>198921.04207119544</v>
      </c>
      <c r="H89" s="5">
        <v>721091.68443657632</v>
      </c>
      <c r="I89" s="5">
        <v>920012.72650777176</v>
      </c>
      <c r="J89" s="69"/>
      <c r="K89" s="69"/>
      <c r="L89" s="69"/>
    </row>
    <row r="90" spans="1:12" x14ac:dyDescent="0.2">
      <c r="A90" s="31" t="s">
        <v>987</v>
      </c>
      <c r="B90" s="5">
        <v>161520.4667002942</v>
      </c>
      <c r="C90" s="5">
        <v>1885698.8113264316</v>
      </c>
      <c r="D90" s="5">
        <v>2047219.2780267256</v>
      </c>
      <c r="E90" s="69"/>
      <c r="F90" s="31" t="s">
        <v>987</v>
      </c>
      <c r="G90" s="5">
        <v>87584.861819894912</v>
      </c>
      <c r="H90" s="5">
        <v>347955.75738771376</v>
      </c>
      <c r="I90" s="5">
        <v>435540.61920760869</v>
      </c>
      <c r="J90" s="69"/>
      <c r="K90" s="69"/>
      <c r="L90" s="69"/>
    </row>
    <row r="91" spans="1:12" x14ac:dyDescent="0.2">
      <c r="A91" s="31" t="s">
        <v>31</v>
      </c>
      <c r="B91" s="5">
        <v>527222.40782136179</v>
      </c>
      <c r="C91" s="5">
        <v>4370935.5383117041</v>
      </c>
      <c r="D91" s="5">
        <v>4898157.946133066</v>
      </c>
      <c r="E91" s="69"/>
      <c r="F91" s="31" t="s">
        <v>31</v>
      </c>
      <c r="G91" s="5">
        <v>315784.52914230141</v>
      </c>
      <c r="H91" s="5">
        <v>1123044.7733802462</v>
      </c>
      <c r="I91" s="5">
        <v>1438829.3025225475</v>
      </c>
      <c r="J91" s="69"/>
      <c r="K91" s="69"/>
      <c r="L91" s="69"/>
    </row>
    <row r="92" spans="1:12" x14ac:dyDescent="0.2">
      <c r="A92" s="29" t="s">
        <v>60</v>
      </c>
      <c r="B92" s="58">
        <v>5450999.9999999991</v>
      </c>
      <c r="C92" s="58">
        <v>41359880</v>
      </c>
      <c r="D92" s="58">
        <v>46810880</v>
      </c>
      <c r="E92" s="3"/>
      <c r="F92" s="29" t="s">
        <v>60</v>
      </c>
      <c r="G92" s="58">
        <v>3296714</v>
      </c>
      <c r="H92" s="58">
        <v>11596643.999999998</v>
      </c>
      <c r="I92" s="58">
        <v>14893358.000000004</v>
      </c>
      <c r="K92" s="69"/>
      <c r="L92" s="69"/>
    </row>
    <row r="93" spans="1:12" ht="15" customHeight="1" x14ac:dyDescent="0.2">
      <c r="A93" s="3" t="s">
        <v>1010</v>
      </c>
      <c r="F93" s="3" t="s">
        <v>1010</v>
      </c>
    </row>
    <row r="94" spans="1:12" ht="15" customHeight="1" x14ac:dyDescent="0.2"/>
    <row r="95" spans="1:12" ht="15" customHeight="1" x14ac:dyDescent="0.2"/>
    <row r="96" spans="1:12" ht="15" customHeight="1" x14ac:dyDescent="0.2"/>
    <row r="97" spans="2:9" ht="15" customHeight="1" x14ac:dyDescent="0.2"/>
    <row r="98" spans="2:9" ht="15" customHeight="1" x14ac:dyDescent="0.2"/>
    <row r="99" spans="2:9" ht="15" customHeight="1" x14ac:dyDescent="0.2"/>
    <row r="100" spans="2:9" ht="15" customHeight="1" x14ac:dyDescent="0.2"/>
    <row r="101" spans="2:9" ht="15" customHeight="1" x14ac:dyDescent="0.2"/>
    <row r="102" spans="2:9" ht="15" customHeight="1" x14ac:dyDescent="0.2"/>
    <row r="103" spans="2:9" ht="15" customHeight="1" x14ac:dyDescent="0.2"/>
    <row r="104" spans="2:9" ht="15" customHeight="1" x14ac:dyDescent="0.2"/>
    <row r="105" spans="2:9" ht="15" customHeight="1" x14ac:dyDescent="0.2">
      <c r="B105" s="3"/>
      <c r="C105" s="3"/>
      <c r="D105" s="3"/>
      <c r="E105" s="3"/>
      <c r="I105" s="3"/>
    </row>
    <row r="106" spans="2:9" ht="15" customHeight="1" x14ac:dyDescent="0.2">
      <c r="B106" s="3"/>
      <c r="C106" s="3"/>
      <c r="D106" s="3"/>
      <c r="E106" s="3"/>
      <c r="I106" s="3"/>
    </row>
    <row r="107" spans="2:9" ht="15" customHeight="1" x14ac:dyDescent="0.2">
      <c r="B107" s="3"/>
      <c r="C107" s="3"/>
      <c r="D107" s="3"/>
      <c r="E107" s="3"/>
      <c r="I107" s="3"/>
    </row>
    <row r="108" spans="2:9" ht="15" customHeight="1" x14ac:dyDescent="0.2">
      <c r="B108" s="3"/>
      <c r="C108" s="3"/>
      <c r="D108" s="3"/>
      <c r="E108" s="3"/>
      <c r="I108" s="3"/>
    </row>
    <row r="109" spans="2:9" ht="15" customHeight="1" x14ac:dyDescent="0.2">
      <c r="B109" s="3"/>
      <c r="C109" s="3"/>
      <c r="D109" s="3"/>
      <c r="E109" s="3"/>
      <c r="I109" s="3"/>
    </row>
    <row r="110" spans="2:9" ht="15" customHeight="1" x14ac:dyDescent="0.2">
      <c r="B110" s="3"/>
      <c r="C110" s="3"/>
      <c r="D110" s="3"/>
      <c r="E110" s="3"/>
      <c r="I110" s="3"/>
    </row>
    <row r="111" spans="2:9" ht="15" customHeight="1" x14ac:dyDescent="0.2">
      <c r="B111" s="3"/>
      <c r="C111" s="3"/>
      <c r="D111" s="3"/>
      <c r="E111" s="3"/>
      <c r="I111" s="3"/>
    </row>
    <row r="112" spans="2:9" ht="15" customHeight="1" x14ac:dyDescent="0.2">
      <c r="B112" s="3"/>
      <c r="C112" s="3"/>
      <c r="D112" s="3"/>
      <c r="E112" s="3"/>
      <c r="I112" s="3"/>
    </row>
    <row r="113" s="3" customFormat="1" ht="15" customHeight="1" x14ac:dyDescent="0.2"/>
    <row r="114" s="3" customFormat="1" ht="15" customHeight="1" x14ac:dyDescent="0.2"/>
    <row r="115" s="3" customFormat="1" ht="15" customHeight="1" x14ac:dyDescent="0.2"/>
    <row r="116" s="3" customFormat="1" ht="15" customHeight="1" x14ac:dyDescent="0.2"/>
    <row r="117" s="3" customFormat="1" ht="15" customHeight="1" x14ac:dyDescent="0.2"/>
    <row r="118" s="3" customFormat="1" ht="15" customHeight="1" x14ac:dyDescent="0.2"/>
    <row r="119" s="3" customFormat="1" ht="15" customHeight="1" x14ac:dyDescent="0.2"/>
    <row r="120" s="3" customFormat="1" ht="15" customHeight="1" x14ac:dyDescent="0.2"/>
    <row r="121" s="3" customFormat="1" ht="15" customHeight="1" x14ac:dyDescent="0.2"/>
    <row r="122" s="3" customFormat="1" ht="15" customHeight="1" x14ac:dyDescent="0.2"/>
    <row r="123" s="3" customFormat="1" ht="15" customHeight="1" x14ac:dyDescent="0.2"/>
    <row r="124" s="3" customFormat="1" ht="15" customHeight="1" x14ac:dyDescent="0.2"/>
    <row r="125" s="3" customFormat="1" ht="15" customHeight="1" x14ac:dyDescent="0.2"/>
    <row r="126" s="3" customFormat="1" ht="15" customHeight="1" x14ac:dyDescent="0.2"/>
    <row r="127" s="3" customFormat="1" ht="15" customHeight="1" x14ac:dyDescent="0.2"/>
    <row r="128" s="3" customFormat="1" ht="15" customHeight="1" x14ac:dyDescent="0.2"/>
    <row r="129" s="3" customFormat="1" ht="15" customHeight="1" x14ac:dyDescent="0.2"/>
    <row r="130" s="3" customFormat="1" ht="15" customHeight="1" x14ac:dyDescent="0.2"/>
    <row r="131" s="3" customFormat="1" ht="15" customHeight="1" x14ac:dyDescent="0.2"/>
    <row r="132" s="3" customFormat="1" ht="15" customHeight="1" x14ac:dyDescent="0.2"/>
    <row r="133" s="3" customFormat="1" ht="15" customHeight="1" x14ac:dyDescent="0.2"/>
    <row r="134" s="3" customFormat="1" ht="15" customHeight="1" x14ac:dyDescent="0.2"/>
    <row r="135" s="3" customFormat="1" ht="15" customHeight="1" x14ac:dyDescent="0.2"/>
    <row r="136" s="3" customFormat="1" ht="15" customHeight="1" x14ac:dyDescent="0.2"/>
    <row r="137" s="3" customFormat="1" ht="15" customHeight="1" x14ac:dyDescent="0.2"/>
    <row r="138" s="3" customFormat="1" ht="15" customHeight="1" x14ac:dyDescent="0.2"/>
    <row r="139" s="3" customFormat="1" ht="15" customHeight="1" x14ac:dyDescent="0.2"/>
    <row r="140" s="3" customFormat="1" ht="15" customHeight="1" x14ac:dyDescent="0.2"/>
    <row r="141" s="3" customFormat="1" ht="15" customHeight="1" x14ac:dyDescent="0.2"/>
    <row r="142" s="3" customFormat="1" ht="15" customHeight="1" x14ac:dyDescent="0.2"/>
    <row r="143" s="3" customFormat="1" ht="15" customHeight="1" x14ac:dyDescent="0.2"/>
    <row r="144" s="3" customFormat="1" ht="15" customHeight="1" x14ac:dyDescent="0.2"/>
    <row r="145" s="3" customFormat="1" ht="15" customHeight="1" x14ac:dyDescent="0.2"/>
    <row r="146" s="3" customFormat="1" ht="15" customHeight="1" x14ac:dyDescent="0.2"/>
    <row r="147" s="3" customFormat="1" ht="15" customHeight="1" x14ac:dyDescent="0.2"/>
    <row r="148" s="3" customFormat="1" ht="15" customHeight="1" x14ac:dyDescent="0.2"/>
    <row r="149" s="3" customFormat="1" ht="15" customHeight="1" x14ac:dyDescent="0.2"/>
    <row r="150" s="3" customFormat="1" ht="15" customHeight="1" x14ac:dyDescent="0.2"/>
    <row r="151" s="3" customFormat="1" ht="15" customHeight="1" x14ac:dyDescent="0.2"/>
    <row r="152" s="3" customFormat="1" ht="15" customHeight="1" x14ac:dyDescent="0.2"/>
    <row r="798" s="3" customFormat="1" ht="15" customHeight="1" x14ac:dyDescent="0.2"/>
    <row r="799" s="3" customFormat="1" ht="15" customHeight="1" x14ac:dyDescent="0.2"/>
    <row r="800" s="3" customFormat="1" ht="15" customHeight="1" x14ac:dyDescent="0.2"/>
    <row r="801" s="3" customFormat="1" ht="15" customHeight="1" x14ac:dyDescent="0.2"/>
    <row r="802" s="3" customFormat="1" ht="15" customHeight="1" x14ac:dyDescent="0.2"/>
    <row r="803" s="3" customFormat="1" ht="15" customHeight="1" x14ac:dyDescent="0.2"/>
    <row r="804" s="3" customFormat="1" ht="15" customHeight="1" x14ac:dyDescent="0.2"/>
    <row r="805" s="3" customFormat="1" ht="15" customHeight="1" x14ac:dyDescent="0.2"/>
    <row r="806" s="3" customFormat="1" ht="15" customHeight="1" x14ac:dyDescent="0.2"/>
    <row r="807" s="3" customFormat="1" ht="15" customHeight="1" x14ac:dyDescent="0.2"/>
    <row r="808" s="3" customFormat="1" ht="15" customHeight="1" x14ac:dyDescent="0.2"/>
    <row r="809" s="3" customFormat="1" ht="15" customHeight="1" x14ac:dyDescent="0.2"/>
    <row r="810" s="3" customFormat="1" ht="15" customHeight="1" x14ac:dyDescent="0.2"/>
  </sheetData>
  <mergeCells count="14">
    <mergeCell ref="A79:D79"/>
    <mergeCell ref="F79:I79"/>
    <mergeCell ref="A4:D4"/>
    <mergeCell ref="A12:D12"/>
    <mergeCell ref="F12:I12"/>
    <mergeCell ref="F20:I20"/>
    <mergeCell ref="A20:D20"/>
    <mergeCell ref="A33:D33"/>
    <mergeCell ref="F33:I33"/>
    <mergeCell ref="A50:D50"/>
    <mergeCell ref="A58:D58"/>
    <mergeCell ref="F58:I58"/>
    <mergeCell ref="F66:I66"/>
    <mergeCell ref="A66:D6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833"/>
  <sheetViews>
    <sheetView showGridLines="0" zoomScale="90" zoomScaleNormal="90" workbookViewId="0"/>
  </sheetViews>
  <sheetFormatPr baseColWidth="10" defaultColWidth="33.140625" defaultRowHeight="12.75" x14ac:dyDescent="0.2"/>
  <cols>
    <col min="1" max="1" width="40.7109375" style="3" customWidth="1"/>
    <col min="2" max="4" width="15.7109375" style="6" customWidth="1"/>
    <col min="5" max="5" width="7.42578125" style="6" customWidth="1"/>
    <col min="6" max="6" width="40.7109375" style="3" customWidth="1"/>
    <col min="7" max="8" width="15.7109375" style="3" customWidth="1"/>
    <col min="9" max="9" width="15.7109375" style="6" customWidth="1"/>
    <col min="10" max="10" width="7.5703125" style="3" customWidth="1"/>
    <col min="11" max="12" width="7.7109375" style="3" customWidth="1"/>
    <col min="13" max="16384" width="33.140625" style="3"/>
  </cols>
  <sheetData>
    <row r="1" spans="1:12" ht="18.75" x14ac:dyDescent="0.3">
      <c r="A1" s="1" t="s">
        <v>267</v>
      </c>
    </row>
    <row r="2" spans="1:12" x14ac:dyDescent="0.2">
      <c r="A2" s="7"/>
    </row>
    <row r="3" spans="1:12" x14ac:dyDescent="0.2">
      <c r="A3" s="7" t="s">
        <v>268</v>
      </c>
    </row>
    <row r="4" spans="1:12" x14ac:dyDescent="0.2">
      <c r="A4" s="148" t="s">
        <v>1026</v>
      </c>
      <c r="B4" s="148"/>
      <c r="C4" s="148"/>
      <c r="D4" s="148"/>
    </row>
    <row r="5" spans="1:12" x14ac:dyDescent="0.2">
      <c r="A5" s="8" t="s">
        <v>251</v>
      </c>
      <c r="B5" s="8" t="s">
        <v>0</v>
      </c>
      <c r="C5" s="8" t="s">
        <v>1</v>
      </c>
      <c r="D5" s="8" t="s">
        <v>59</v>
      </c>
    </row>
    <row r="6" spans="1:12" x14ac:dyDescent="0.2">
      <c r="A6" s="31" t="s">
        <v>252</v>
      </c>
      <c r="B6" s="4">
        <v>481470</v>
      </c>
      <c r="C6" s="4">
        <v>501519.21481042041</v>
      </c>
      <c r="D6" s="4">
        <v>982989.21481042041</v>
      </c>
      <c r="E6" s="54"/>
    </row>
    <row r="7" spans="1:12" x14ac:dyDescent="0.2">
      <c r="A7" s="31" t="s">
        <v>253</v>
      </c>
      <c r="B7" s="5">
        <v>2867090</v>
      </c>
      <c r="C7" s="5">
        <v>1184386.7851895795</v>
      </c>
      <c r="D7" s="5">
        <v>4051476.7851895792</v>
      </c>
      <c r="E7" s="54"/>
    </row>
    <row r="8" spans="1:12" x14ac:dyDescent="0.2">
      <c r="A8" s="29" t="s">
        <v>60</v>
      </c>
      <c r="B8" s="58">
        <v>3348560</v>
      </c>
      <c r="C8" s="58">
        <v>1685906</v>
      </c>
      <c r="D8" s="58">
        <v>5034466</v>
      </c>
      <c r="E8" s="54"/>
    </row>
    <row r="9" spans="1:12" ht="24.75" customHeight="1" x14ac:dyDescent="0.2">
      <c r="A9" s="149" t="s">
        <v>1109</v>
      </c>
      <c r="B9" s="149"/>
      <c r="C9" s="149"/>
      <c r="D9" s="149"/>
    </row>
    <row r="10" spans="1:12" x14ac:dyDescent="0.2">
      <c r="A10" s="3" t="s">
        <v>1025</v>
      </c>
    </row>
    <row r="12" spans="1:12" x14ac:dyDescent="0.2">
      <c r="A12" s="7" t="s">
        <v>269</v>
      </c>
      <c r="F12" s="7" t="s">
        <v>270</v>
      </c>
    </row>
    <row r="13" spans="1:12" x14ac:dyDescent="0.2">
      <c r="A13" s="148" t="s">
        <v>1027</v>
      </c>
      <c r="B13" s="148"/>
      <c r="C13" s="148"/>
      <c r="D13" s="148"/>
      <c r="F13" s="148" t="s">
        <v>1028</v>
      </c>
      <c r="G13" s="148"/>
      <c r="H13" s="148"/>
      <c r="I13" s="148"/>
    </row>
    <row r="14" spans="1:12" x14ac:dyDescent="0.2">
      <c r="A14" s="44" t="s">
        <v>66</v>
      </c>
      <c r="B14" s="44" t="s">
        <v>237</v>
      </c>
      <c r="C14" s="44" t="s">
        <v>238</v>
      </c>
      <c r="D14" s="44" t="s">
        <v>64</v>
      </c>
      <c r="E14" s="3"/>
      <c r="F14" s="44" t="s">
        <v>66</v>
      </c>
      <c r="G14" s="44" t="s">
        <v>237</v>
      </c>
      <c r="H14" s="44" t="s">
        <v>238</v>
      </c>
      <c r="I14" s="44" t="s">
        <v>64</v>
      </c>
    </row>
    <row r="15" spans="1:12" x14ac:dyDescent="0.2">
      <c r="A15" s="22" t="s">
        <v>5</v>
      </c>
      <c r="B15" s="4">
        <v>110749</v>
      </c>
      <c r="C15" s="4">
        <v>1144360</v>
      </c>
      <c r="D15" s="23">
        <v>1255109</v>
      </c>
      <c r="E15" s="69"/>
      <c r="F15" s="22" t="s">
        <v>5</v>
      </c>
      <c r="G15" s="4">
        <v>162018.79552601208</v>
      </c>
      <c r="H15" s="4">
        <v>634279.28419273067</v>
      </c>
      <c r="I15" s="23">
        <v>796298.07971874275</v>
      </c>
      <c r="J15" s="69"/>
      <c r="K15" s="69"/>
      <c r="L15" s="69"/>
    </row>
    <row r="16" spans="1:12" x14ac:dyDescent="0.2">
      <c r="A16" s="25" t="s">
        <v>6</v>
      </c>
      <c r="B16" s="5">
        <v>370721</v>
      </c>
      <c r="C16" s="5">
        <v>1722730</v>
      </c>
      <c r="D16" s="14">
        <v>2093451</v>
      </c>
      <c r="E16" s="69"/>
      <c r="F16" s="25" t="s">
        <v>6</v>
      </c>
      <c r="G16" s="5">
        <v>339500.41928440833</v>
      </c>
      <c r="H16" s="5">
        <v>550107.50099684892</v>
      </c>
      <c r="I16" s="14">
        <v>889607.92028125725</v>
      </c>
      <c r="J16" s="69"/>
      <c r="K16" s="69"/>
      <c r="L16" s="69"/>
    </row>
    <row r="17" spans="1:12" x14ac:dyDescent="0.2">
      <c r="A17" s="29" t="s">
        <v>60</v>
      </c>
      <c r="B17" s="58">
        <v>481470</v>
      </c>
      <c r="C17" s="58">
        <v>2867090</v>
      </c>
      <c r="D17" s="58">
        <v>3348560</v>
      </c>
      <c r="E17" s="69"/>
      <c r="F17" s="29" t="s">
        <v>60</v>
      </c>
      <c r="G17" s="58">
        <v>501519.21481042041</v>
      </c>
      <c r="H17" s="58">
        <v>1184386.7851895797</v>
      </c>
      <c r="I17" s="58">
        <v>1685906</v>
      </c>
      <c r="J17" s="69"/>
      <c r="K17" s="69"/>
      <c r="L17" s="69"/>
    </row>
    <row r="18" spans="1:12" ht="30" customHeight="1" x14ac:dyDescent="0.2">
      <c r="A18" s="149" t="s">
        <v>1109</v>
      </c>
      <c r="B18" s="149"/>
      <c r="C18" s="149"/>
      <c r="D18" s="149"/>
      <c r="E18" s="3"/>
      <c r="F18" s="149" t="s">
        <v>1109</v>
      </c>
      <c r="G18" s="149"/>
      <c r="H18" s="149"/>
      <c r="I18" s="149"/>
      <c r="K18" s="69"/>
      <c r="L18" s="69"/>
    </row>
    <row r="19" spans="1:12" x14ac:dyDescent="0.2">
      <c r="A19" s="3" t="s">
        <v>1025</v>
      </c>
      <c r="D19" s="3"/>
      <c r="E19" s="3"/>
      <c r="F19" s="3" t="s">
        <v>1025</v>
      </c>
      <c r="G19" s="6"/>
      <c r="H19" s="6"/>
      <c r="I19" s="3"/>
      <c r="K19" s="69"/>
      <c r="L19" s="69"/>
    </row>
    <row r="20" spans="1:12" x14ac:dyDescent="0.2">
      <c r="D20" s="3"/>
      <c r="E20" s="3"/>
      <c r="G20" s="6"/>
      <c r="H20" s="6"/>
      <c r="I20" s="3"/>
      <c r="K20" s="69"/>
      <c r="L20" s="69"/>
    </row>
    <row r="21" spans="1:12" x14ac:dyDescent="0.2">
      <c r="A21" s="7" t="s">
        <v>271</v>
      </c>
      <c r="D21" s="3"/>
      <c r="E21" s="3"/>
      <c r="F21" s="7" t="s">
        <v>272</v>
      </c>
      <c r="G21" s="6"/>
      <c r="H21" s="6"/>
      <c r="I21" s="3"/>
      <c r="K21" s="69"/>
      <c r="L21" s="69"/>
    </row>
    <row r="22" spans="1:12" x14ac:dyDescent="0.2">
      <c r="A22" s="148" t="s">
        <v>1029</v>
      </c>
      <c r="B22" s="148"/>
      <c r="C22" s="148"/>
      <c r="D22" s="148"/>
      <c r="E22" s="3"/>
      <c r="F22" s="148" t="s">
        <v>1030</v>
      </c>
      <c r="G22" s="148"/>
      <c r="H22" s="148"/>
      <c r="I22" s="148"/>
      <c r="K22" s="69"/>
      <c r="L22" s="69"/>
    </row>
    <row r="23" spans="1:12" x14ac:dyDescent="0.2">
      <c r="A23" s="24" t="s">
        <v>67</v>
      </c>
      <c r="B23" s="44" t="s">
        <v>237</v>
      </c>
      <c r="C23" s="44" t="s">
        <v>238</v>
      </c>
      <c r="D23" s="44" t="s">
        <v>64</v>
      </c>
      <c r="E23" s="3"/>
      <c r="F23" s="24" t="s">
        <v>67</v>
      </c>
      <c r="G23" s="44" t="s">
        <v>237</v>
      </c>
      <c r="H23" s="44" t="s">
        <v>238</v>
      </c>
      <c r="I23" s="44" t="s">
        <v>64</v>
      </c>
      <c r="K23" s="69"/>
      <c r="L23" s="69"/>
    </row>
    <row r="24" spans="1:12" x14ac:dyDescent="0.2">
      <c r="A24" s="22" t="s">
        <v>53</v>
      </c>
      <c r="B24" s="4">
        <v>749</v>
      </c>
      <c r="C24" s="4">
        <v>29802</v>
      </c>
      <c r="D24" s="4">
        <v>30551</v>
      </c>
      <c r="E24" s="69"/>
      <c r="F24" s="22" t="s">
        <v>53</v>
      </c>
      <c r="G24" s="4">
        <v>69.683532456794794</v>
      </c>
      <c r="H24" s="4">
        <v>2958.1662623861921</v>
      </c>
      <c r="I24" s="4">
        <v>3027.8497948429867</v>
      </c>
      <c r="J24" s="69"/>
      <c r="K24" s="69"/>
      <c r="L24" s="69"/>
    </row>
    <row r="25" spans="1:12" x14ac:dyDescent="0.2">
      <c r="A25" s="25" t="s">
        <v>2</v>
      </c>
      <c r="B25" s="5">
        <v>21235</v>
      </c>
      <c r="C25" s="5">
        <v>266397</v>
      </c>
      <c r="D25" s="5">
        <v>287632</v>
      </c>
      <c r="E25" s="69"/>
      <c r="F25" s="25" t="s">
        <v>2</v>
      </c>
      <c r="G25" s="5">
        <v>4507.5681093130588</v>
      </c>
      <c r="H25" s="5">
        <v>69554.481448448976</v>
      </c>
      <c r="I25" s="5">
        <v>74062.049557762031</v>
      </c>
      <c r="J25" s="69"/>
      <c r="K25" s="69"/>
      <c r="L25" s="69"/>
    </row>
    <row r="26" spans="1:12" x14ac:dyDescent="0.2">
      <c r="A26" s="25" t="s">
        <v>54</v>
      </c>
      <c r="B26" s="5">
        <v>144455</v>
      </c>
      <c r="C26" s="5">
        <v>835023</v>
      </c>
      <c r="D26" s="5">
        <v>979478</v>
      </c>
      <c r="E26" s="69"/>
      <c r="F26" s="25" t="s">
        <v>54</v>
      </c>
      <c r="G26" s="5">
        <v>158330.55014825339</v>
      </c>
      <c r="H26" s="5">
        <v>445891.94579756545</v>
      </c>
      <c r="I26" s="5">
        <v>604222.49594581884</v>
      </c>
      <c r="J26" s="69"/>
      <c r="K26" s="69"/>
      <c r="L26" s="69"/>
    </row>
    <row r="27" spans="1:12" x14ac:dyDescent="0.2">
      <c r="A27" s="25" t="s">
        <v>55</v>
      </c>
      <c r="B27" s="5">
        <v>123627</v>
      </c>
      <c r="C27" s="5">
        <v>656646</v>
      </c>
      <c r="D27" s="5">
        <v>780273</v>
      </c>
      <c r="E27" s="69"/>
      <c r="F27" s="25" t="s">
        <v>55</v>
      </c>
      <c r="G27" s="5">
        <v>143380.01657683676</v>
      </c>
      <c r="H27" s="5">
        <v>332963.77551395429</v>
      </c>
      <c r="I27" s="5">
        <v>476343.79209079104</v>
      </c>
      <c r="J27" s="69"/>
      <c r="K27" s="69"/>
      <c r="L27" s="69"/>
    </row>
    <row r="28" spans="1:12" x14ac:dyDescent="0.2">
      <c r="A28" s="25" t="s">
        <v>56</v>
      </c>
      <c r="B28" s="5">
        <v>104261</v>
      </c>
      <c r="C28" s="5">
        <v>578492</v>
      </c>
      <c r="D28" s="5">
        <v>682753</v>
      </c>
      <c r="E28" s="69"/>
      <c r="F28" s="25" t="s">
        <v>56</v>
      </c>
      <c r="G28" s="5">
        <v>91790.974714656346</v>
      </c>
      <c r="H28" s="5">
        <v>203099.60983799255</v>
      </c>
      <c r="I28" s="5">
        <v>294890.58455264888</v>
      </c>
      <c r="J28" s="69"/>
      <c r="K28" s="69"/>
      <c r="L28" s="69"/>
    </row>
    <row r="29" spans="1:12" x14ac:dyDescent="0.2">
      <c r="A29" s="25" t="s">
        <v>57</v>
      </c>
      <c r="B29" s="5">
        <v>77189</v>
      </c>
      <c r="C29" s="5">
        <v>382547</v>
      </c>
      <c r="D29" s="5">
        <v>459736</v>
      </c>
      <c r="E29" s="69"/>
      <c r="F29" s="25" t="s">
        <v>57</v>
      </c>
      <c r="G29" s="5">
        <v>87568.972454038783</v>
      </c>
      <c r="H29" s="5">
        <v>109668.01282619697</v>
      </c>
      <c r="I29" s="5">
        <v>197236.98528023576</v>
      </c>
      <c r="J29" s="69"/>
      <c r="K29" s="69"/>
      <c r="L29" s="69"/>
    </row>
    <row r="30" spans="1:12" x14ac:dyDescent="0.2">
      <c r="A30" s="25" t="s">
        <v>3</v>
      </c>
      <c r="B30" s="5">
        <v>9954</v>
      </c>
      <c r="C30" s="5">
        <v>118183</v>
      </c>
      <c r="D30" s="5">
        <v>128137</v>
      </c>
      <c r="E30" s="69"/>
      <c r="F30" s="25" t="s">
        <v>3</v>
      </c>
      <c r="G30" s="5">
        <v>15871.449274865259</v>
      </c>
      <c r="H30" s="5">
        <v>20250.793503035144</v>
      </c>
      <c r="I30" s="5">
        <v>36122.242777900407</v>
      </c>
      <c r="J30" s="69"/>
      <c r="K30" s="69"/>
      <c r="L30" s="69"/>
    </row>
    <row r="31" spans="1:12" x14ac:dyDescent="0.2">
      <c r="A31" s="29" t="s">
        <v>60</v>
      </c>
      <c r="B31" s="58">
        <v>481470</v>
      </c>
      <c r="C31" s="58">
        <v>2867090</v>
      </c>
      <c r="D31" s="58">
        <v>3348560</v>
      </c>
      <c r="E31" s="69"/>
      <c r="F31" s="29" t="s">
        <v>60</v>
      </c>
      <c r="G31" s="58">
        <v>501519.21481042047</v>
      </c>
      <c r="H31" s="58">
        <v>1184386.7851895795</v>
      </c>
      <c r="I31" s="58">
        <v>1685906</v>
      </c>
      <c r="J31" s="69"/>
      <c r="K31" s="69"/>
      <c r="L31" s="69"/>
    </row>
    <row r="32" spans="1:12" ht="25.5" customHeight="1" x14ac:dyDescent="0.2">
      <c r="A32" s="149" t="s">
        <v>1109</v>
      </c>
      <c r="B32" s="149"/>
      <c r="C32" s="149"/>
      <c r="D32" s="149"/>
      <c r="E32" s="3"/>
      <c r="F32" s="149" t="s">
        <v>1109</v>
      </c>
      <c r="G32" s="149"/>
      <c r="H32" s="149"/>
      <c r="I32" s="149"/>
      <c r="K32" s="69"/>
      <c r="L32" s="69"/>
    </row>
    <row r="33" spans="1:12" x14ac:dyDescent="0.2">
      <c r="A33" s="3" t="s">
        <v>1025</v>
      </c>
      <c r="D33" s="3"/>
      <c r="E33" s="3"/>
      <c r="F33" s="3" t="s">
        <v>1025</v>
      </c>
      <c r="G33" s="6"/>
      <c r="H33" s="6"/>
      <c r="I33" s="3"/>
      <c r="K33" s="69"/>
      <c r="L33" s="69"/>
    </row>
    <row r="34" spans="1:12" x14ac:dyDescent="0.2">
      <c r="D34" s="3"/>
      <c r="E34" s="3"/>
      <c r="G34" s="6"/>
      <c r="H34" s="6"/>
      <c r="I34" s="3"/>
      <c r="K34" s="69"/>
      <c r="L34" s="69"/>
    </row>
    <row r="35" spans="1:12" x14ac:dyDescent="0.2">
      <c r="A35" s="7" t="s">
        <v>273</v>
      </c>
      <c r="D35" s="3"/>
      <c r="E35" s="3"/>
      <c r="F35" s="7" t="s">
        <v>274</v>
      </c>
      <c r="G35" s="6"/>
      <c r="H35" s="6"/>
      <c r="I35" s="3"/>
      <c r="K35" s="69"/>
      <c r="L35" s="69"/>
    </row>
    <row r="36" spans="1:12" x14ac:dyDescent="0.2">
      <c r="A36" s="148" t="s">
        <v>1031</v>
      </c>
      <c r="B36" s="148"/>
      <c r="C36" s="148"/>
      <c r="D36" s="148"/>
      <c r="E36" s="3"/>
      <c r="F36" s="148" t="s">
        <v>1032</v>
      </c>
      <c r="G36" s="148"/>
      <c r="H36" s="148"/>
      <c r="I36" s="148"/>
      <c r="K36" s="69"/>
      <c r="L36" s="69"/>
    </row>
    <row r="37" spans="1:12" x14ac:dyDescent="0.2">
      <c r="A37" s="8" t="s">
        <v>207</v>
      </c>
      <c r="B37" s="44" t="s">
        <v>237</v>
      </c>
      <c r="C37" s="44" t="s">
        <v>238</v>
      </c>
      <c r="D37" s="44" t="s">
        <v>64</v>
      </c>
      <c r="E37" s="3"/>
      <c r="F37" s="8" t="s">
        <v>207</v>
      </c>
      <c r="G37" s="44" t="s">
        <v>237</v>
      </c>
      <c r="H37" s="44" t="s">
        <v>238</v>
      </c>
      <c r="I37" s="44" t="s">
        <v>64</v>
      </c>
      <c r="K37" s="69"/>
      <c r="L37" s="69"/>
    </row>
    <row r="38" spans="1:12" x14ac:dyDescent="0.2">
      <c r="A38" s="31" t="s">
        <v>9</v>
      </c>
      <c r="B38" s="5">
        <v>95727.661750213229</v>
      </c>
      <c r="C38" s="5">
        <v>642909.10291702207</v>
      </c>
      <c r="D38" s="4">
        <v>738636.76466723531</v>
      </c>
      <c r="E38" s="69"/>
      <c r="F38" s="31" t="s">
        <v>9</v>
      </c>
      <c r="G38" s="4">
        <v>58138.549133747219</v>
      </c>
      <c r="H38" s="4">
        <v>170690.53744575329</v>
      </c>
      <c r="I38" s="4">
        <v>228829.08657950052</v>
      </c>
      <c r="J38" s="69"/>
      <c r="K38" s="69"/>
      <c r="L38" s="69"/>
    </row>
    <row r="39" spans="1:12" x14ac:dyDescent="0.2">
      <c r="A39" s="31" t="s">
        <v>10</v>
      </c>
      <c r="B39" s="5">
        <v>98260.681629552113</v>
      </c>
      <c r="C39" s="5">
        <v>662565.13604925352</v>
      </c>
      <c r="D39" s="5">
        <v>760825.81767880567</v>
      </c>
      <c r="E39" s="69"/>
      <c r="F39" s="31" t="s">
        <v>10</v>
      </c>
      <c r="G39" s="5">
        <v>64248.840445766531</v>
      </c>
      <c r="H39" s="5">
        <v>191602.12745991957</v>
      </c>
      <c r="I39" s="5">
        <v>255850.96790568612</v>
      </c>
      <c r="J39" s="69"/>
      <c r="K39" s="69"/>
      <c r="L39" s="69"/>
    </row>
    <row r="40" spans="1:12" x14ac:dyDescent="0.2">
      <c r="A40" s="31" t="s">
        <v>11</v>
      </c>
      <c r="B40" s="5">
        <v>96459.422018233556</v>
      </c>
      <c r="C40" s="5">
        <v>374591.7033637226</v>
      </c>
      <c r="D40" s="5">
        <v>471051.12538195617</v>
      </c>
      <c r="E40" s="69"/>
      <c r="F40" s="31" t="s">
        <v>11</v>
      </c>
      <c r="G40" s="5">
        <v>139110.20610434847</v>
      </c>
      <c r="H40" s="5">
        <v>244561.69518158044</v>
      </c>
      <c r="I40" s="5">
        <v>383671.90128592891</v>
      </c>
      <c r="J40" s="69"/>
      <c r="K40" s="69"/>
      <c r="L40" s="69"/>
    </row>
    <row r="41" spans="1:12" x14ac:dyDescent="0.2">
      <c r="A41" s="31" t="s">
        <v>12</v>
      </c>
      <c r="B41" s="5">
        <v>23252.228668391592</v>
      </c>
      <c r="C41" s="5">
        <v>231984.38111398599</v>
      </c>
      <c r="D41" s="5">
        <v>255236.60978237758</v>
      </c>
      <c r="E41" s="69"/>
      <c r="F41" s="31" t="s">
        <v>12</v>
      </c>
      <c r="G41" s="5">
        <v>25198.168758600652</v>
      </c>
      <c r="H41" s="5">
        <v>110257.00643269169</v>
      </c>
      <c r="I41" s="5">
        <v>135455.17519129234</v>
      </c>
      <c r="J41" s="69"/>
      <c r="K41" s="69"/>
      <c r="L41" s="69"/>
    </row>
    <row r="42" spans="1:12" x14ac:dyDescent="0.2">
      <c r="A42" s="31" t="s">
        <v>13</v>
      </c>
      <c r="B42" s="5">
        <v>39458.163453337445</v>
      </c>
      <c r="C42" s="5">
        <v>142986.27242222909</v>
      </c>
      <c r="D42" s="5">
        <v>182444.43587556653</v>
      </c>
      <c r="E42" s="69"/>
      <c r="F42" s="31" t="s">
        <v>13</v>
      </c>
      <c r="G42" s="5">
        <v>54717.577144305404</v>
      </c>
      <c r="H42" s="5">
        <v>101527.44524170349</v>
      </c>
      <c r="I42" s="5">
        <v>156245.0223860089</v>
      </c>
      <c r="J42" s="69"/>
      <c r="K42" s="69"/>
      <c r="L42" s="69"/>
    </row>
    <row r="43" spans="1:12" x14ac:dyDescent="0.2">
      <c r="A43" s="31" t="s">
        <v>230</v>
      </c>
      <c r="B43" s="5">
        <v>24650.135162302988</v>
      </c>
      <c r="C43" s="5">
        <v>126216.22527050498</v>
      </c>
      <c r="D43" s="5">
        <v>150866.36043280797</v>
      </c>
      <c r="E43" s="69"/>
      <c r="F43" s="31" t="s">
        <v>230</v>
      </c>
      <c r="G43" s="5">
        <v>44965.916648783765</v>
      </c>
      <c r="H43" s="5">
        <v>82659.582327774755</v>
      </c>
      <c r="I43" s="5">
        <v>127625.49897655852</v>
      </c>
      <c r="J43" s="69"/>
      <c r="K43" s="69"/>
      <c r="L43" s="69"/>
    </row>
    <row r="44" spans="1:12" x14ac:dyDescent="0.2">
      <c r="A44" s="31" t="s">
        <v>231</v>
      </c>
      <c r="B44" s="5">
        <v>16405.111947492529</v>
      </c>
      <c r="C44" s="5">
        <v>108549.18657915421</v>
      </c>
      <c r="D44" s="5">
        <v>124954.29852664674</v>
      </c>
      <c r="E44" s="69"/>
      <c r="F44" s="31" t="s">
        <v>231</v>
      </c>
      <c r="G44" s="5">
        <v>13194.845501090464</v>
      </c>
      <c r="H44" s="5">
        <v>42103.524022484358</v>
      </c>
      <c r="I44" s="5">
        <v>55298.369523574824</v>
      </c>
      <c r="J44" s="69"/>
      <c r="K44" s="69"/>
      <c r="L44" s="69"/>
    </row>
    <row r="45" spans="1:12" x14ac:dyDescent="0.2">
      <c r="A45" s="31" t="s">
        <v>232</v>
      </c>
      <c r="B45" s="5">
        <v>17656.10010983852</v>
      </c>
      <c r="C45" s="5">
        <v>94085.166849730871</v>
      </c>
      <c r="D45" s="5">
        <v>111741.26695956939</v>
      </c>
      <c r="E45" s="69"/>
      <c r="F45" s="31" t="s">
        <v>232</v>
      </c>
      <c r="G45" s="5">
        <v>20058.215801833659</v>
      </c>
      <c r="H45" s="5">
        <v>40309.148150166329</v>
      </c>
      <c r="I45" s="5">
        <v>60367.363951999985</v>
      </c>
      <c r="J45" s="69"/>
      <c r="K45" s="69"/>
      <c r="L45" s="69"/>
    </row>
    <row r="46" spans="1:12" x14ac:dyDescent="0.2">
      <c r="A46" s="31" t="s">
        <v>233</v>
      </c>
      <c r="B46" s="5">
        <v>7561.0751668183739</v>
      </c>
      <c r="C46" s="5">
        <v>76339.125278030624</v>
      </c>
      <c r="D46" s="5">
        <v>83900.200444849004</v>
      </c>
      <c r="E46" s="69"/>
      <c r="F46" s="31" t="s">
        <v>233</v>
      </c>
      <c r="G46" s="5">
        <v>11859.592238085768</v>
      </c>
      <c r="H46" s="5">
        <v>36832.274436471191</v>
      </c>
      <c r="I46" s="5">
        <v>48691.866674556957</v>
      </c>
      <c r="J46" s="69"/>
      <c r="K46" s="69"/>
      <c r="L46" s="69"/>
    </row>
    <row r="47" spans="1:12" x14ac:dyDescent="0.2">
      <c r="A47" s="31" t="s">
        <v>987</v>
      </c>
      <c r="B47" s="5">
        <v>9450.0842540298017</v>
      </c>
      <c r="C47" s="5">
        <v>84593.140423382996</v>
      </c>
      <c r="D47" s="5">
        <v>94043.2246774128</v>
      </c>
      <c r="E47" s="69"/>
      <c r="F47" s="31" t="s">
        <v>987</v>
      </c>
      <c r="G47" s="5">
        <v>8345.9239921903427</v>
      </c>
      <c r="H47" s="5">
        <v>24584.089691526118</v>
      </c>
      <c r="I47" s="5">
        <v>32930.013683716461</v>
      </c>
      <c r="J47" s="69"/>
      <c r="K47" s="69"/>
      <c r="L47" s="69"/>
    </row>
    <row r="48" spans="1:12" x14ac:dyDescent="0.2">
      <c r="A48" s="31" t="s">
        <v>31</v>
      </c>
      <c r="B48" s="5">
        <v>52589.335839789856</v>
      </c>
      <c r="C48" s="5">
        <v>322270.55973298306</v>
      </c>
      <c r="D48" s="5">
        <v>374859.89557277295</v>
      </c>
      <c r="E48" s="69"/>
      <c r="F48" s="31" t="s">
        <v>31</v>
      </c>
      <c r="G48" s="5">
        <v>61681.379041668159</v>
      </c>
      <c r="H48" s="5">
        <v>139259.35479950835</v>
      </c>
      <c r="I48" s="5">
        <v>200940.73384117649</v>
      </c>
      <c r="J48" s="69"/>
      <c r="K48" s="69"/>
      <c r="L48" s="69"/>
    </row>
    <row r="49" spans="1:12" x14ac:dyDescent="0.2">
      <c r="A49" s="29" t="s">
        <v>60</v>
      </c>
      <c r="B49" s="58">
        <v>481470</v>
      </c>
      <c r="C49" s="58">
        <v>2867090</v>
      </c>
      <c r="D49" s="58">
        <v>3348560</v>
      </c>
      <c r="E49" s="3"/>
      <c r="F49" s="29" t="s">
        <v>60</v>
      </c>
      <c r="G49" s="58">
        <v>501519.21481042041</v>
      </c>
      <c r="H49" s="58">
        <v>1184386.7851895797</v>
      </c>
      <c r="I49" s="58">
        <v>1685906</v>
      </c>
      <c r="K49" s="69"/>
      <c r="L49" s="69"/>
    </row>
    <row r="50" spans="1:12" ht="24.75" customHeight="1" x14ac:dyDescent="0.2">
      <c r="A50" s="149" t="s">
        <v>1109</v>
      </c>
      <c r="B50" s="149"/>
      <c r="C50" s="149"/>
      <c r="D50" s="149"/>
      <c r="E50" s="3"/>
      <c r="F50" s="149" t="s">
        <v>1109</v>
      </c>
      <c r="G50" s="149"/>
      <c r="H50" s="149"/>
      <c r="I50" s="149"/>
      <c r="K50" s="69"/>
      <c r="L50" s="69"/>
    </row>
    <row r="51" spans="1:12" x14ac:dyDescent="0.2">
      <c r="A51" s="3" t="s">
        <v>1025</v>
      </c>
      <c r="D51" s="3"/>
      <c r="E51" s="3"/>
      <c r="F51" s="3" t="s">
        <v>1025</v>
      </c>
      <c r="G51" s="6"/>
      <c r="H51" s="6"/>
      <c r="I51" s="3"/>
      <c r="K51" s="69"/>
      <c r="L51" s="69"/>
    </row>
    <row r="52" spans="1:12" x14ac:dyDescent="0.2">
      <c r="D52" s="3"/>
      <c r="E52" s="3"/>
      <c r="G52" s="6"/>
      <c r="H52" s="6"/>
      <c r="I52" s="3"/>
      <c r="K52" s="69"/>
      <c r="L52" s="69"/>
    </row>
    <row r="53" spans="1:12" x14ac:dyDescent="0.2">
      <c r="A53" s="7" t="s">
        <v>275</v>
      </c>
      <c r="C53" s="54"/>
      <c r="D53" s="3"/>
      <c r="E53" s="3"/>
      <c r="G53" s="6"/>
      <c r="H53" s="6"/>
      <c r="K53" s="69"/>
      <c r="L53" s="69"/>
    </row>
    <row r="54" spans="1:12" x14ac:dyDescent="0.2">
      <c r="A54" s="148" t="s">
        <v>1033</v>
      </c>
      <c r="B54" s="148"/>
      <c r="C54" s="148"/>
      <c r="D54" s="148"/>
      <c r="E54" s="3"/>
      <c r="F54" s="7"/>
      <c r="G54" s="6"/>
      <c r="H54" s="6"/>
      <c r="K54" s="69"/>
      <c r="L54" s="69"/>
    </row>
    <row r="55" spans="1:12" x14ac:dyDescent="0.2">
      <c r="A55" s="8" t="s">
        <v>251</v>
      </c>
      <c r="B55" s="8" t="s">
        <v>0</v>
      </c>
      <c r="C55" s="8" t="s">
        <v>1</v>
      </c>
      <c r="D55" s="8" t="s">
        <v>59</v>
      </c>
      <c r="E55" s="3"/>
      <c r="F55" s="35"/>
      <c r="G55" s="35"/>
      <c r="H55" s="35"/>
      <c r="I55" s="35"/>
      <c r="K55" s="69"/>
      <c r="L55" s="69"/>
    </row>
    <row r="56" spans="1:12" x14ac:dyDescent="0.2">
      <c r="A56" s="31" t="s">
        <v>252</v>
      </c>
      <c r="B56" s="4">
        <v>4008028</v>
      </c>
      <c r="C56" s="4">
        <v>2102773.6082761325</v>
      </c>
      <c r="D56" s="4">
        <v>6110801.6082761325</v>
      </c>
      <c r="E56" s="54"/>
      <c r="F56" s="34"/>
      <c r="G56" s="17"/>
      <c r="H56" s="17"/>
      <c r="I56" s="17"/>
      <c r="K56" s="69"/>
      <c r="L56" s="69"/>
    </row>
    <row r="57" spans="1:12" x14ac:dyDescent="0.2">
      <c r="A57" s="31" t="s">
        <v>253</v>
      </c>
      <c r="B57" s="5">
        <v>34916453</v>
      </c>
      <c r="C57" s="5">
        <v>9672190.3917238675</v>
      </c>
      <c r="D57" s="5">
        <v>44588643.391723871</v>
      </c>
      <c r="E57" s="54"/>
      <c r="F57" s="34"/>
      <c r="G57" s="17"/>
      <c r="H57" s="17"/>
      <c r="I57" s="17"/>
      <c r="K57" s="69"/>
      <c r="L57" s="69"/>
    </row>
    <row r="58" spans="1:12" x14ac:dyDescent="0.2">
      <c r="A58" s="29" t="s">
        <v>60</v>
      </c>
      <c r="B58" s="58">
        <v>38924481</v>
      </c>
      <c r="C58" s="58">
        <v>11774964</v>
      </c>
      <c r="D58" s="58">
        <v>50699445</v>
      </c>
      <c r="E58" s="54"/>
      <c r="F58" s="45"/>
      <c r="G58" s="17"/>
      <c r="H58" s="17"/>
      <c r="I58" s="17"/>
      <c r="K58" s="69"/>
      <c r="L58" s="69"/>
    </row>
    <row r="59" spans="1:12" ht="27" customHeight="1" x14ac:dyDescent="0.2">
      <c r="A59" s="149" t="s">
        <v>1109</v>
      </c>
      <c r="B59" s="149"/>
      <c r="C59" s="149"/>
      <c r="D59" s="149"/>
      <c r="E59" s="3"/>
      <c r="G59" s="6"/>
      <c r="H59" s="6"/>
      <c r="K59" s="69"/>
      <c r="L59" s="69"/>
    </row>
    <row r="60" spans="1:12" x14ac:dyDescent="0.2">
      <c r="A60" s="3" t="s">
        <v>1025</v>
      </c>
      <c r="D60" s="3"/>
      <c r="E60" s="3"/>
      <c r="G60" s="6"/>
      <c r="H60" s="6"/>
      <c r="I60" s="3"/>
      <c r="K60" s="69"/>
      <c r="L60" s="69"/>
    </row>
    <row r="61" spans="1:12" x14ac:dyDescent="0.2">
      <c r="D61" s="3"/>
      <c r="E61" s="3"/>
      <c r="G61" s="6"/>
      <c r="H61" s="6"/>
      <c r="I61" s="3"/>
      <c r="K61" s="69"/>
      <c r="L61" s="69"/>
    </row>
    <row r="62" spans="1:12" x14ac:dyDescent="0.2">
      <c r="A62" s="7" t="s">
        <v>276</v>
      </c>
      <c r="D62" s="3"/>
      <c r="E62" s="3"/>
      <c r="F62" s="7" t="s">
        <v>277</v>
      </c>
      <c r="G62" s="6"/>
      <c r="H62" s="6"/>
      <c r="I62" s="3"/>
      <c r="K62" s="69"/>
      <c r="L62" s="69"/>
    </row>
    <row r="63" spans="1:12" x14ac:dyDescent="0.2">
      <c r="A63" s="148" t="s">
        <v>1034</v>
      </c>
      <c r="B63" s="148"/>
      <c r="C63" s="148"/>
      <c r="D63" s="148"/>
      <c r="E63" s="3"/>
      <c r="F63" s="148" t="s">
        <v>1035</v>
      </c>
      <c r="G63" s="148"/>
      <c r="H63" s="148"/>
      <c r="I63" s="148"/>
      <c r="K63" s="69"/>
      <c r="L63" s="69"/>
    </row>
    <row r="64" spans="1:12" x14ac:dyDescent="0.2">
      <c r="A64" s="44" t="s">
        <v>66</v>
      </c>
      <c r="B64" s="44" t="s">
        <v>237</v>
      </c>
      <c r="C64" s="44" t="s">
        <v>238</v>
      </c>
      <c r="D64" s="44" t="s">
        <v>64</v>
      </c>
      <c r="E64" s="3"/>
      <c r="F64" s="44" t="s">
        <v>66</v>
      </c>
      <c r="G64" s="44" t="s">
        <v>237</v>
      </c>
      <c r="H64" s="44" t="s">
        <v>238</v>
      </c>
      <c r="I64" s="44" t="s">
        <v>64</v>
      </c>
      <c r="K64" s="69"/>
      <c r="L64" s="69"/>
    </row>
    <row r="65" spans="1:12" x14ac:dyDescent="0.2">
      <c r="A65" s="22" t="s">
        <v>5</v>
      </c>
      <c r="B65" s="4">
        <v>949331</v>
      </c>
      <c r="C65" s="4">
        <v>15047444</v>
      </c>
      <c r="D65" s="23">
        <v>15996775</v>
      </c>
      <c r="E65" s="69"/>
      <c r="F65" s="22" t="s">
        <v>5</v>
      </c>
      <c r="G65" s="4">
        <v>679741.98368388822</v>
      </c>
      <c r="H65" s="4">
        <v>5369782.5352523774</v>
      </c>
      <c r="I65" s="23">
        <v>6049524.5189362653</v>
      </c>
      <c r="J65" s="69"/>
      <c r="K65" s="69"/>
      <c r="L65" s="69"/>
    </row>
    <row r="66" spans="1:12" x14ac:dyDescent="0.2">
      <c r="A66" s="25" t="s">
        <v>6</v>
      </c>
      <c r="B66" s="5">
        <v>3058697</v>
      </c>
      <c r="C66" s="5">
        <v>19869009</v>
      </c>
      <c r="D66" s="14">
        <v>22927706</v>
      </c>
      <c r="E66" s="69"/>
      <c r="F66" s="25" t="s">
        <v>6</v>
      </c>
      <c r="G66" s="5">
        <v>1423031.6245922439</v>
      </c>
      <c r="H66" s="5">
        <v>4302407.8564714901</v>
      </c>
      <c r="I66" s="14">
        <v>5725439.4810637338</v>
      </c>
      <c r="J66" s="69"/>
      <c r="K66" s="69"/>
      <c r="L66" s="69"/>
    </row>
    <row r="67" spans="1:12" x14ac:dyDescent="0.2">
      <c r="A67" s="29" t="s">
        <v>60</v>
      </c>
      <c r="B67" s="58">
        <v>4008028</v>
      </c>
      <c r="C67" s="58">
        <v>34916453</v>
      </c>
      <c r="D67" s="58">
        <v>38924481</v>
      </c>
      <c r="E67" s="69"/>
      <c r="F67" s="29" t="s">
        <v>60</v>
      </c>
      <c r="G67" s="58">
        <v>2102773.608276132</v>
      </c>
      <c r="H67" s="58">
        <v>9672190.3917238675</v>
      </c>
      <c r="I67" s="58">
        <v>11774964</v>
      </c>
      <c r="J67" s="69"/>
      <c r="K67" s="69"/>
      <c r="L67" s="69"/>
    </row>
    <row r="68" spans="1:12" ht="24.75" customHeight="1" x14ac:dyDescent="0.2">
      <c r="A68" s="149" t="s">
        <v>1109</v>
      </c>
      <c r="B68" s="149"/>
      <c r="C68" s="149"/>
      <c r="D68" s="149"/>
      <c r="E68" s="3"/>
      <c r="F68" s="149" t="s">
        <v>1109</v>
      </c>
      <c r="G68" s="149"/>
      <c r="H68" s="149"/>
      <c r="I68" s="149"/>
      <c r="K68" s="69"/>
      <c r="L68" s="69"/>
    </row>
    <row r="69" spans="1:12" x14ac:dyDescent="0.2">
      <c r="A69" s="3" t="s">
        <v>1025</v>
      </c>
      <c r="D69" s="3"/>
      <c r="E69" s="3"/>
      <c r="F69" s="3" t="s">
        <v>1025</v>
      </c>
      <c r="G69" s="6"/>
      <c r="H69" s="6"/>
      <c r="I69" s="3"/>
      <c r="K69" s="69"/>
      <c r="L69" s="69"/>
    </row>
    <row r="70" spans="1:12" x14ac:dyDescent="0.2">
      <c r="D70" s="3"/>
      <c r="E70" s="3"/>
      <c r="G70" s="6"/>
      <c r="H70" s="6"/>
      <c r="I70" s="3"/>
      <c r="K70" s="69"/>
      <c r="L70" s="69"/>
    </row>
    <row r="71" spans="1:12" x14ac:dyDescent="0.2">
      <c r="A71" s="7" t="s">
        <v>278</v>
      </c>
      <c r="D71" s="3"/>
      <c r="E71" s="3"/>
      <c r="F71" s="7" t="s">
        <v>279</v>
      </c>
      <c r="G71" s="6"/>
      <c r="H71" s="6"/>
      <c r="I71" s="3"/>
      <c r="K71" s="69"/>
      <c r="L71" s="69"/>
    </row>
    <row r="72" spans="1:12" x14ac:dyDescent="0.2">
      <c r="A72" s="148" t="s">
        <v>1036</v>
      </c>
      <c r="B72" s="148"/>
      <c r="C72" s="148"/>
      <c r="D72" s="148"/>
      <c r="E72" s="3"/>
      <c r="F72" s="148" t="s">
        <v>1037</v>
      </c>
      <c r="G72" s="148"/>
      <c r="H72" s="148"/>
      <c r="I72" s="148"/>
      <c r="K72" s="69"/>
      <c r="L72" s="69"/>
    </row>
    <row r="73" spans="1:12" x14ac:dyDescent="0.2">
      <c r="A73" s="24" t="s">
        <v>67</v>
      </c>
      <c r="B73" s="44" t="s">
        <v>237</v>
      </c>
      <c r="C73" s="44" t="s">
        <v>238</v>
      </c>
      <c r="D73" s="44" t="s">
        <v>64</v>
      </c>
      <c r="E73" s="3"/>
      <c r="F73" s="24" t="s">
        <v>67</v>
      </c>
      <c r="G73" s="44" t="s">
        <v>237</v>
      </c>
      <c r="H73" s="44" t="s">
        <v>238</v>
      </c>
      <c r="I73" s="44" t="s">
        <v>64</v>
      </c>
      <c r="K73" s="69"/>
      <c r="L73" s="69"/>
    </row>
    <row r="74" spans="1:12" x14ac:dyDescent="0.2">
      <c r="A74" s="22" t="s">
        <v>53</v>
      </c>
      <c r="B74" s="4">
        <v>3679</v>
      </c>
      <c r="C74" s="4">
        <v>206379</v>
      </c>
      <c r="D74" s="4">
        <v>210058</v>
      </c>
      <c r="E74" s="69"/>
      <c r="F74" s="22" t="s">
        <v>53</v>
      </c>
      <c r="G74" s="4">
        <v>185.44777576167974</v>
      </c>
      <c r="H74" s="4">
        <v>13031.497351599215</v>
      </c>
      <c r="I74" s="4">
        <v>13216.945127360896</v>
      </c>
      <c r="J74" s="69"/>
      <c r="K74" s="69"/>
      <c r="L74" s="69"/>
    </row>
    <row r="75" spans="1:12" x14ac:dyDescent="0.2">
      <c r="A75" s="25" t="s">
        <v>2</v>
      </c>
      <c r="B75" s="5">
        <v>143041</v>
      </c>
      <c r="C75" s="5">
        <v>2293784</v>
      </c>
      <c r="D75" s="5">
        <v>2436825</v>
      </c>
      <c r="E75" s="69"/>
      <c r="F75" s="25" t="s">
        <v>2</v>
      </c>
      <c r="G75" s="5">
        <v>11650.816874314974</v>
      </c>
      <c r="H75" s="5">
        <v>338610.01441133663</v>
      </c>
      <c r="I75" s="5">
        <v>350260.8312856516</v>
      </c>
      <c r="J75" s="69"/>
      <c r="K75" s="69"/>
      <c r="L75" s="69"/>
    </row>
    <row r="76" spans="1:12" x14ac:dyDescent="0.2">
      <c r="A76" s="25" t="s">
        <v>54</v>
      </c>
      <c r="B76" s="5">
        <v>1074744</v>
      </c>
      <c r="C76" s="5">
        <v>8610653</v>
      </c>
      <c r="D76" s="5">
        <v>9685397</v>
      </c>
      <c r="E76" s="69"/>
      <c r="F76" s="25" t="s">
        <v>54</v>
      </c>
      <c r="G76" s="5">
        <v>497642.9010721466</v>
      </c>
      <c r="H76" s="5">
        <v>2825234.757542049</v>
      </c>
      <c r="I76" s="5">
        <v>3322877.6586141959</v>
      </c>
      <c r="J76" s="69"/>
      <c r="K76" s="69"/>
      <c r="L76" s="69"/>
    </row>
    <row r="77" spans="1:12" x14ac:dyDescent="0.2">
      <c r="A77" s="25" t="s">
        <v>55</v>
      </c>
      <c r="B77" s="5">
        <v>931221</v>
      </c>
      <c r="C77" s="5">
        <v>7756646</v>
      </c>
      <c r="D77" s="5">
        <v>8687867</v>
      </c>
      <c r="E77" s="69"/>
      <c r="F77" s="25" t="s">
        <v>55</v>
      </c>
      <c r="G77" s="5">
        <v>538605.21772051917</v>
      </c>
      <c r="H77" s="5">
        <v>2743743.199575772</v>
      </c>
      <c r="I77" s="5">
        <v>3282348.4172962913</v>
      </c>
      <c r="J77" s="69"/>
      <c r="K77" s="69"/>
      <c r="L77" s="69"/>
    </row>
    <row r="78" spans="1:12" x14ac:dyDescent="0.2">
      <c r="A78" s="25" t="s">
        <v>56</v>
      </c>
      <c r="B78" s="5">
        <v>880885</v>
      </c>
      <c r="C78" s="5">
        <v>7827644</v>
      </c>
      <c r="D78" s="5">
        <v>8708529</v>
      </c>
      <c r="E78" s="69"/>
      <c r="F78" s="25" t="s">
        <v>56</v>
      </c>
      <c r="G78" s="5">
        <v>403773.96349161753</v>
      </c>
      <c r="H78" s="5">
        <v>2043867.249055184</v>
      </c>
      <c r="I78" s="5">
        <v>2447641.2125468017</v>
      </c>
      <c r="J78" s="69"/>
      <c r="K78" s="69"/>
      <c r="L78" s="69"/>
    </row>
    <row r="79" spans="1:12" x14ac:dyDescent="0.2">
      <c r="A79" s="25" t="s">
        <v>57</v>
      </c>
      <c r="B79" s="5">
        <v>835227</v>
      </c>
      <c r="C79" s="5">
        <v>6116708</v>
      </c>
      <c r="D79" s="5">
        <v>6951935</v>
      </c>
      <c r="E79" s="69"/>
      <c r="F79" s="25" t="s">
        <v>57</v>
      </c>
      <c r="G79" s="5">
        <v>533772.11387792265</v>
      </c>
      <c r="H79" s="5">
        <v>1389088.3360088568</v>
      </c>
      <c r="I79" s="5">
        <v>1922860.4498867793</v>
      </c>
      <c r="J79" s="69"/>
      <c r="K79" s="69"/>
      <c r="L79" s="69"/>
    </row>
    <row r="80" spans="1:12" x14ac:dyDescent="0.2">
      <c r="A80" s="25" t="s">
        <v>3</v>
      </c>
      <c r="B80" s="5">
        <v>139231</v>
      </c>
      <c r="C80" s="5">
        <v>2104639</v>
      </c>
      <c r="D80" s="5">
        <v>2243870</v>
      </c>
      <c r="E80" s="69"/>
      <c r="F80" s="25" t="s">
        <v>3</v>
      </c>
      <c r="G80" s="5">
        <v>117143.14746384959</v>
      </c>
      <c r="H80" s="5">
        <v>318615.33777906979</v>
      </c>
      <c r="I80" s="5">
        <v>435758.48524291936</v>
      </c>
      <c r="J80" s="69"/>
      <c r="K80" s="69"/>
      <c r="L80" s="69"/>
    </row>
    <row r="81" spans="1:12" x14ac:dyDescent="0.2">
      <c r="A81" s="29" t="s">
        <v>60</v>
      </c>
      <c r="B81" s="58">
        <v>4008028</v>
      </c>
      <c r="C81" s="58">
        <v>34916453</v>
      </c>
      <c r="D81" s="58">
        <v>38924481</v>
      </c>
      <c r="E81" s="69"/>
      <c r="F81" s="29" t="s">
        <v>60</v>
      </c>
      <c r="G81" s="58">
        <v>2102773.6082761325</v>
      </c>
      <c r="H81" s="58">
        <v>9672190.3917238656</v>
      </c>
      <c r="I81" s="58">
        <v>11774964.000000002</v>
      </c>
      <c r="J81" s="69"/>
      <c r="K81" s="69"/>
      <c r="L81" s="69"/>
    </row>
    <row r="82" spans="1:12" ht="26.25" customHeight="1" x14ac:dyDescent="0.2">
      <c r="A82" s="149" t="s">
        <v>1109</v>
      </c>
      <c r="B82" s="149"/>
      <c r="C82" s="149"/>
      <c r="D82" s="149"/>
      <c r="E82" s="3"/>
      <c r="F82" s="149" t="s">
        <v>1109</v>
      </c>
      <c r="G82" s="149"/>
      <c r="H82" s="149"/>
      <c r="I82" s="149"/>
      <c r="K82" s="69"/>
      <c r="L82" s="69"/>
    </row>
    <row r="83" spans="1:12" x14ac:dyDescent="0.2">
      <c r="A83" s="3" t="s">
        <v>1025</v>
      </c>
      <c r="D83" s="3"/>
      <c r="E83" s="3"/>
      <c r="F83" s="3" t="s">
        <v>1025</v>
      </c>
      <c r="G83" s="6"/>
      <c r="H83" s="6"/>
      <c r="I83" s="3"/>
      <c r="K83" s="69"/>
      <c r="L83" s="69"/>
    </row>
    <row r="84" spans="1:12" x14ac:dyDescent="0.2">
      <c r="D84" s="3"/>
      <c r="E84" s="3"/>
      <c r="G84" s="6"/>
      <c r="H84" s="6"/>
      <c r="I84" s="3"/>
      <c r="K84" s="69"/>
      <c r="L84" s="69"/>
    </row>
    <row r="85" spans="1:12" x14ac:dyDescent="0.2">
      <c r="A85" s="7" t="s">
        <v>280</v>
      </c>
      <c r="D85" s="3"/>
      <c r="E85" s="3"/>
      <c r="F85" s="7" t="s">
        <v>281</v>
      </c>
      <c r="G85" s="6"/>
      <c r="H85" s="6"/>
      <c r="I85" s="3"/>
      <c r="K85" s="69"/>
      <c r="L85" s="69"/>
    </row>
    <row r="86" spans="1:12" x14ac:dyDescent="0.2">
      <c r="A86" s="148" t="s">
        <v>1038</v>
      </c>
      <c r="B86" s="148"/>
      <c r="C86" s="148"/>
      <c r="D86" s="148"/>
      <c r="E86" s="3"/>
      <c r="F86" s="148" t="s">
        <v>1039</v>
      </c>
      <c r="G86" s="148"/>
      <c r="H86" s="148"/>
      <c r="I86" s="148"/>
      <c r="K86" s="69"/>
      <c r="L86" s="69"/>
    </row>
    <row r="87" spans="1:12" x14ac:dyDescent="0.2">
      <c r="A87" s="8" t="s">
        <v>207</v>
      </c>
      <c r="B87" s="44" t="s">
        <v>237</v>
      </c>
      <c r="C87" s="44" t="s">
        <v>238</v>
      </c>
      <c r="D87" s="44" t="s">
        <v>64</v>
      </c>
      <c r="E87" s="3"/>
      <c r="F87" s="8" t="s">
        <v>207</v>
      </c>
      <c r="G87" s="44" t="s">
        <v>237</v>
      </c>
      <c r="H87" s="44" t="s">
        <v>238</v>
      </c>
      <c r="I87" s="44" t="s">
        <v>64</v>
      </c>
      <c r="K87" s="69"/>
      <c r="L87" s="69"/>
    </row>
    <row r="88" spans="1:12" x14ac:dyDescent="0.2">
      <c r="A88" s="31" t="s">
        <v>9</v>
      </c>
      <c r="B88" s="5">
        <v>1492950.2341355847</v>
      </c>
      <c r="C88" s="4">
        <v>10653796.90797456</v>
      </c>
      <c r="D88" s="4">
        <v>12146747.142110145</v>
      </c>
      <c r="E88" s="69"/>
      <c r="F88" s="31" t="s">
        <v>9</v>
      </c>
      <c r="G88" s="4">
        <v>519468.82411150425</v>
      </c>
      <c r="H88" s="4">
        <v>1911499.0079205923</v>
      </c>
      <c r="I88" s="4">
        <v>2430967.8320320966</v>
      </c>
      <c r="J88" s="69"/>
      <c r="K88" s="69"/>
      <c r="L88" s="69"/>
    </row>
    <row r="89" spans="1:12" x14ac:dyDescent="0.2">
      <c r="A89" s="31" t="s">
        <v>10</v>
      </c>
      <c r="B89" s="5">
        <v>868199.11128337111</v>
      </c>
      <c r="C89" s="5">
        <v>7902009.0959996069</v>
      </c>
      <c r="D89" s="5">
        <v>8770208.207282979</v>
      </c>
      <c r="E89" s="69"/>
      <c r="F89" s="31" t="s">
        <v>10</v>
      </c>
      <c r="G89" s="5">
        <v>343375.1404933267</v>
      </c>
      <c r="H89" s="5">
        <v>1845675.387190294</v>
      </c>
      <c r="I89" s="5">
        <v>2189050.5276836208</v>
      </c>
      <c r="J89" s="69"/>
      <c r="K89" s="69"/>
      <c r="L89" s="69"/>
    </row>
    <row r="90" spans="1:12" x14ac:dyDescent="0.2">
      <c r="A90" s="31" t="s">
        <v>11</v>
      </c>
      <c r="B90" s="5">
        <v>203162.2533416462</v>
      </c>
      <c r="C90" s="5">
        <v>1151995.3326080637</v>
      </c>
      <c r="D90" s="5">
        <v>1355157.5859497099</v>
      </c>
      <c r="E90" s="69"/>
      <c r="F90" s="31" t="s">
        <v>11</v>
      </c>
      <c r="G90" s="5">
        <v>137925.17655894774</v>
      </c>
      <c r="H90" s="5">
        <v>380423.25250220805</v>
      </c>
      <c r="I90" s="5">
        <v>518348.42906115577</v>
      </c>
      <c r="J90" s="69"/>
      <c r="K90" s="69"/>
      <c r="L90" s="69"/>
    </row>
    <row r="91" spans="1:12" x14ac:dyDescent="0.2">
      <c r="A91" s="31" t="s">
        <v>12</v>
      </c>
      <c r="B91" s="5">
        <v>259535.52389630993</v>
      </c>
      <c r="C91" s="5">
        <v>3550626.5583625766</v>
      </c>
      <c r="D91" s="5">
        <v>3810162.0822588867</v>
      </c>
      <c r="E91" s="69"/>
      <c r="F91" s="31" t="s">
        <v>12</v>
      </c>
      <c r="G91" s="5">
        <v>243810.17778081453</v>
      </c>
      <c r="H91" s="5">
        <v>1631479.4894146742</v>
      </c>
      <c r="I91" s="5">
        <v>1875289.6671954887</v>
      </c>
      <c r="J91" s="69"/>
      <c r="K91" s="69"/>
      <c r="L91" s="69"/>
    </row>
    <row r="92" spans="1:12" x14ac:dyDescent="0.2">
      <c r="A92" s="31" t="s">
        <v>13</v>
      </c>
      <c r="B92" s="5">
        <v>40198.330956502374</v>
      </c>
      <c r="C92" s="5">
        <v>317643.61594682385</v>
      </c>
      <c r="D92" s="5">
        <v>357841.94690332626</v>
      </c>
      <c r="E92" s="69"/>
      <c r="F92" s="31" t="s">
        <v>13</v>
      </c>
      <c r="G92" s="5">
        <v>25613.283864365851</v>
      </c>
      <c r="H92" s="5">
        <v>108321.8356458581</v>
      </c>
      <c r="I92" s="5">
        <v>133935.11951022394</v>
      </c>
      <c r="J92" s="69"/>
      <c r="K92" s="69"/>
      <c r="L92" s="69"/>
    </row>
    <row r="93" spans="1:12" x14ac:dyDescent="0.2">
      <c r="A93" s="31" t="s">
        <v>230</v>
      </c>
      <c r="B93" s="5">
        <v>102885.16318344252</v>
      </c>
      <c r="C93" s="5">
        <v>1154790.1648136291</v>
      </c>
      <c r="D93" s="5">
        <v>1257675.3279970717</v>
      </c>
      <c r="E93" s="69"/>
      <c r="F93" s="31" t="s">
        <v>230</v>
      </c>
      <c r="G93" s="5">
        <v>99630.960131058426</v>
      </c>
      <c r="H93" s="5">
        <v>516231.11109550617</v>
      </c>
      <c r="I93" s="5">
        <v>615862.07122656459</v>
      </c>
      <c r="J93" s="69"/>
      <c r="K93" s="69"/>
      <c r="L93" s="69"/>
    </row>
    <row r="94" spans="1:12" x14ac:dyDescent="0.2">
      <c r="A94" s="31" t="s">
        <v>231</v>
      </c>
      <c r="B94" s="5">
        <v>239001.69567102654</v>
      </c>
      <c r="C94" s="5">
        <v>1594418.1558321882</v>
      </c>
      <c r="D94" s="5">
        <v>1833419.8515032148</v>
      </c>
      <c r="E94" s="69"/>
      <c r="F94" s="31" t="s">
        <v>231</v>
      </c>
      <c r="G94" s="5">
        <v>142144.29724458102</v>
      </c>
      <c r="H94" s="5">
        <v>577073.81207318523</v>
      </c>
      <c r="I94" s="5">
        <v>719218.10931776627</v>
      </c>
      <c r="J94" s="69"/>
      <c r="K94" s="69"/>
      <c r="L94" s="69"/>
    </row>
    <row r="95" spans="1:12" x14ac:dyDescent="0.2">
      <c r="A95" s="31" t="s">
        <v>232</v>
      </c>
      <c r="B95" s="5">
        <v>99364.047900213074</v>
      </c>
      <c r="C95" s="5">
        <v>1033662.9502587299</v>
      </c>
      <c r="D95" s="5">
        <v>1133026.9981589429</v>
      </c>
      <c r="E95" s="69"/>
      <c r="F95" s="31" t="s">
        <v>232</v>
      </c>
      <c r="G95" s="5">
        <v>63835.217405275966</v>
      </c>
      <c r="H95" s="5">
        <v>286854.67660949758</v>
      </c>
      <c r="I95" s="5">
        <v>350689.89401477354</v>
      </c>
      <c r="J95" s="69"/>
      <c r="K95" s="69"/>
      <c r="L95" s="69"/>
    </row>
    <row r="96" spans="1:12" x14ac:dyDescent="0.2">
      <c r="A96" s="31" t="s">
        <v>233</v>
      </c>
      <c r="B96" s="5">
        <v>176118.09747906568</v>
      </c>
      <c r="C96" s="5">
        <v>2091750.9036415946</v>
      </c>
      <c r="D96" s="5">
        <v>2267869.00112066</v>
      </c>
      <c r="E96" s="69"/>
      <c r="F96" s="31" t="s">
        <v>233</v>
      </c>
      <c r="G96" s="5">
        <v>212004.1361428618</v>
      </c>
      <c r="H96" s="5">
        <v>959246.9657486201</v>
      </c>
      <c r="I96" s="5">
        <v>1171251.1018914818</v>
      </c>
      <c r="J96" s="69"/>
      <c r="K96" s="69"/>
      <c r="L96" s="69"/>
    </row>
    <row r="97" spans="1:12" x14ac:dyDescent="0.2">
      <c r="A97" s="31" t="s">
        <v>987</v>
      </c>
      <c r="B97" s="5">
        <v>130826.71492960016</v>
      </c>
      <c r="C97" s="5">
        <v>1723416.1916745335</v>
      </c>
      <c r="D97" s="5">
        <v>1854242.9066041338</v>
      </c>
      <c r="E97" s="69"/>
      <c r="F97" s="31" t="s">
        <v>987</v>
      </c>
      <c r="G97" s="5">
        <v>85560.939043847888</v>
      </c>
      <c r="H97" s="5">
        <v>407309.11251843697</v>
      </c>
      <c r="I97" s="5">
        <v>492870.05156228488</v>
      </c>
      <c r="J97" s="69"/>
      <c r="K97" s="69"/>
      <c r="L97" s="69"/>
    </row>
    <row r="98" spans="1:12" x14ac:dyDescent="0.2">
      <c r="A98" s="31" t="s">
        <v>31</v>
      </c>
      <c r="B98" s="5">
        <v>395786.82722323784</v>
      </c>
      <c r="C98" s="5">
        <v>3742343.1228876924</v>
      </c>
      <c r="D98" s="5">
        <v>4138129.9501109305</v>
      </c>
      <c r="E98" s="69"/>
      <c r="F98" s="31" t="s">
        <v>31</v>
      </c>
      <c r="G98" s="5">
        <v>229405.45549954814</v>
      </c>
      <c r="H98" s="5">
        <v>1048075.7410049951</v>
      </c>
      <c r="I98" s="5">
        <v>1277481.1965045433</v>
      </c>
      <c r="J98" s="69"/>
      <c r="K98" s="69"/>
      <c r="L98" s="69"/>
    </row>
    <row r="99" spans="1:12" x14ac:dyDescent="0.2">
      <c r="A99" s="29" t="s">
        <v>60</v>
      </c>
      <c r="B99" s="58">
        <v>4008028</v>
      </c>
      <c r="C99" s="58">
        <v>34916452.999999993</v>
      </c>
      <c r="D99" s="58">
        <v>38924480.999999993</v>
      </c>
      <c r="E99" s="69"/>
      <c r="F99" s="29" t="s">
        <v>60</v>
      </c>
      <c r="G99" s="58">
        <v>2102773.608276132</v>
      </c>
      <c r="H99" s="58">
        <v>9672190.3917238675</v>
      </c>
      <c r="I99" s="58">
        <v>11774964</v>
      </c>
      <c r="J99" s="69"/>
      <c r="K99" s="69"/>
      <c r="L99" s="69"/>
    </row>
    <row r="100" spans="1:12" ht="34.5" customHeight="1" x14ac:dyDescent="0.2">
      <c r="A100" s="149" t="s">
        <v>1109</v>
      </c>
      <c r="B100" s="149"/>
      <c r="C100" s="149"/>
      <c r="D100" s="149"/>
      <c r="F100" s="149" t="s">
        <v>1109</v>
      </c>
      <c r="G100" s="149"/>
      <c r="H100" s="149"/>
      <c r="I100" s="149"/>
    </row>
    <row r="101" spans="1:12" ht="15" customHeight="1" x14ac:dyDescent="0.2">
      <c r="A101" s="3" t="s">
        <v>1025</v>
      </c>
      <c r="F101" s="3" t="s">
        <v>1025</v>
      </c>
    </row>
    <row r="102" spans="1:12" ht="15" customHeight="1" x14ac:dyDescent="0.2"/>
    <row r="103" spans="1:12" ht="15" customHeight="1" x14ac:dyDescent="0.2"/>
    <row r="104" spans="1:12" ht="15" customHeight="1" x14ac:dyDescent="0.2"/>
    <row r="105" spans="1:12" ht="15" customHeight="1" x14ac:dyDescent="0.2"/>
    <row r="106" spans="1:12" ht="15" customHeight="1" x14ac:dyDescent="0.2"/>
    <row r="107" spans="1:12" ht="15" customHeight="1" x14ac:dyDescent="0.2"/>
    <row r="108" spans="1:12" ht="15" customHeight="1" x14ac:dyDescent="0.2"/>
    <row r="109" spans="1:12" ht="15" customHeight="1" x14ac:dyDescent="0.2"/>
    <row r="110" spans="1:12" ht="15" customHeight="1" x14ac:dyDescent="0.2"/>
    <row r="111" spans="1:12" ht="15" customHeight="1" x14ac:dyDescent="0.2"/>
    <row r="112" spans="1:12" ht="15" customHeight="1" x14ac:dyDescent="0.2">
      <c r="B112" s="3"/>
      <c r="C112" s="3"/>
      <c r="D112" s="3"/>
      <c r="E112" s="3"/>
      <c r="I112" s="3"/>
    </row>
    <row r="113" s="3" customFormat="1" ht="15" customHeight="1" x14ac:dyDescent="0.2"/>
    <row r="114" s="3" customFormat="1" ht="15" customHeight="1" x14ac:dyDescent="0.2"/>
    <row r="115" s="3" customFormat="1" ht="15" customHeight="1" x14ac:dyDescent="0.2"/>
    <row r="116" s="3" customFormat="1" ht="15" customHeight="1" x14ac:dyDescent="0.2"/>
    <row r="117" s="3" customFormat="1" ht="15" customHeight="1" x14ac:dyDescent="0.2"/>
    <row r="118" s="3" customFormat="1" ht="15" customHeight="1" x14ac:dyDescent="0.2"/>
    <row r="119" s="3" customFormat="1" ht="15" customHeight="1" x14ac:dyDescent="0.2"/>
    <row r="120" s="3" customFormat="1" ht="15" customHeight="1" x14ac:dyDescent="0.2"/>
    <row r="121" s="3" customFormat="1" ht="15" customHeight="1" x14ac:dyDescent="0.2"/>
    <row r="122" s="3" customFormat="1" ht="15" customHeight="1" x14ac:dyDescent="0.2"/>
    <row r="123" s="3" customFormat="1" ht="15" customHeight="1" x14ac:dyDescent="0.2"/>
    <row r="124" s="3" customFormat="1" ht="15" customHeight="1" x14ac:dyDescent="0.2"/>
    <row r="125" s="3" customFormat="1" ht="15" customHeight="1" x14ac:dyDescent="0.2"/>
    <row r="126" s="3" customFormat="1" ht="15" customHeight="1" x14ac:dyDescent="0.2"/>
    <row r="127" s="3" customFormat="1" ht="15" customHeight="1" x14ac:dyDescent="0.2"/>
    <row r="128" s="3" customFormat="1" ht="15" customHeight="1" x14ac:dyDescent="0.2"/>
    <row r="129" s="3" customFormat="1" ht="15" customHeight="1" x14ac:dyDescent="0.2"/>
    <row r="130" s="3" customFormat="1" ht="15" customHeight="1" x14ac:dyDescent="0.2"/>
    <row r="131" s="3" customFormat="1" ht="15" customHeight="1" x14ac:dyDescent="0.2"/>
    <row r="132" s="3" customFormat="1" ht="15" customHeight="1" x14ac:dyDescent="0.2"/>
    <row r="133" s="3" customFormat="1" ht="15" customHeight="1" x14ac:dyDescent="0.2"/>
    <row r="134" s="3" customFormat="1" ht="15" customHeight="1" x14ac:dyDescent="0.2"/>
    <row r="135" s="3" customFormat="1" ht="15" customHeight="1" x14ac:dyDescent="0.2"/>
    <row r="136" s="3" customFormat="1" ht="15" customHeight="1" x14ac:dyDescent="0.2"/>
    <row r="137" s="3" customFormat="1" ht="15" customHeight="1" x14ac:dyDescent="0.2"/>
    <row r="138" s="3" customFormat="1" ht="15" customHeight="1" x14ac:dyDescent="0.2"/>
    <row r="139" s="3" customFormat="1" ht="15" customHeight="1" x14ac:dyDescent="0.2"/>
    <row r="140" s="3" customFormat="1" ht="15" customHeight="1" x14ac:dyDescent="0.2"/>
    <row r="141" s="3" customFormat="1" ht="15" customHeight="1" x14ac:dyDescent="0.2"/>
    <row r="142" s="3" customFormat="1" ht="15" customHeight="1" x14ac:dyDescent="0.2"/>
    <row r="143" s="3" customFormat="1" ht="15" customHeight="1" x14ac:dyDescent="0.2"/>
    <row r="144" s="3" customFormat="1" ht="15" customHeight="1" x14ac:dyDescent="0.2"/>
    <row r="145" s="3" customFormat="1" ht="15" customHeight="1" x14ac:dyDescent="0.2"/>
    <row r="146" s="3" customFormat="1" ht="15" customHeight="1" x14ac:dyDescent="0.2"/>
    <row r="147" s="3" customFormat="1" ht="15" customHeight="1" x14ac:dyDescent="0.2"/>
    <row r="148" s="3" customFormat="1" ht="15" customHeight="1" x14ac:dyDescent="0.2"/>
    <row r="149" s="3" customFormat="1" ht="15" customHeight="1" x14ac:dyDescent="0.2"/>
    <row r="150" s="3" customFormat="1" ht="15" customHeight="1" x14ac:dyDescent="0.2"/>
    <row r="151" s="3" customFormat="1" ht="15" customHeight="1" x14ac:dyDescent="0.2"/>
    <row r="152" s="3" customFormat="1" ht="15" customHeight="1" x14ac:dyDescent="0.2"/>
    <row r="153" s="3" customFormat="1" ht="15" customHeight="1" x14ac:dyDescent="0.2"/>
    <row r="154" s="3" customFormat="1" ht="15" customHeight="1" x14ac:dyDescent="0.2"/>
    <row r="155" s="3" customFormat="1" ht="15" customHeight="1" x14ac:dyDescent="0.2"/>
    <row r="156" s="3" customFormat="1" ht="15" customHeight="1" x14ac:dyDescent="0.2"/>
    <row r="157" s="3" customFormat="1" ht="15" customHeight="1" x14ac:dyDescent="0.2"/>
    <row r="158" s="3" customFormat="1" ht="15" customHeight="1" x14ac:dyDescent="0.2"/>
    <row r="159" s="3" customFormat="1" ht="15" customHeight="1" x14ac:dyDescent="0.2"/>
    <row r="160" s="3" customFormat="1" ht="15" customHeight="1" x14ac:dyDescent="0.2"/>
    <row r="161" s="3" customFormat="1" ht="15" customHeight="1" x14ac:dyDescent="0.2"/>
    <row r="162" s="3" customFormat="1" ht="15" customHeight="1" x14ac:dyDescent="0.2"/>
    <row r="163" s="3" customFormat="1" ht="15" customHeight="1" x14ac:dyDescent="0.2"/>
    <row r="164" s="3" customFormat="1" ht="15" customHeight="1" x14ac:dyDescent="0.2"/>
    <row r="165" s="3" customFormat="1" ht="15" customHeight="1" x14ac:dyDescent="0.2"/>
    <row r="166" s="3" customFormat="1" ht="15" customHeight="1" x14ac:dyDescent="0.2"/>
    <row r="167" s="3" customFormat="1" ht="15" customHeight="1" x14ac:dyDescent="0.2"/>
    <row r="168" s="3" customFormat="1" ht="15" customHeight="1" x14ac:dyDescent="0.2"/>
    <row r="169" s="3" customFormat="1" ht="15" customHeight="1" x14ac:dyDescent="0.2"/>
    <row r="170" s="3" customFormat="1" ht="15" customHeight="1" x14ac:dyDescent="0.2"/>
    <row r="171" s="3" customFormat="1" ht="15" customHeight="1" x14ac:dyDescent="0.2"/>
    <row r="172" s="3" customFormat="1" ht="15" customHeight="1" x14ac:dyDescent="0.2"/>
    <row r="173" s="3" customFormat="1" ht="15" customHeight="1" x14ac:dyDescent="0.2"/>
    <row r="174" s="3" customFormat="1" ht="15" customHeight="1" x14ac:dyDescent="0.2"/>
    <row r="175" s="3" customFormat="1" ht="15" customHeight="1" x14ac:dyDescent="0.2"/>
    <row r="821" s="3" customFormat="1" ht="15" customHeight="1" x14ac:dyDescent="0.2"/>
    <row r="822" s="3" customFormat="1" ht="15" customHeight="1" x14ac:dyDescent="0.2"/>
    <row r="823" s="3" customFormat="1" ht="15" customHeight="1" x14ac:dyDescent="0.2"/>
    <row r="824" s="3" customFormat="1" ht="15" customHeight="1" x14ac:dyDescent="0.2"/>
    <row r="825" s="3" customFormat="1" ht="15" customHeight="1" x14ac:dyDescent="0.2"/>
    <row r="826" s="3" customFormat="1" ht="15" customHeight="1" x14ac:dyDescent="0.2"/>
    <row r="827" s="3" customFormat="1" ht="15" customHeight="1" x14ac:dyDescent="0.2"/>
    <row r="828" s="3" customFormat="1" ht="15" customHeight="1" x14ac:dyDescent="0.2"/>
    <row r="829" s="3" customFormat="1" ht="15" customHeight="1" x14ac:dyDescent="0.2"/>
    <row r="830" s="3" customFormat="1" ht="15" customHeight="1" x14ac:dyDescent="0.2"/>
    <row r="831" s="3" customFormat="1" ht="15" customHeight="1" x14ac:dyDescent="0.2"/>
    <row r="832" s="3" customFormat="1" ht="15" customHeight="1" x14ac:dyDescent="0.2"/>
    <row r="833" s="3" customFormat="1" ht="15" customHeight="1" x14ac:dyDescent="0.2"/>
  </sheetData>
  <mergeCells count="28">
    <mergeCell ref="F72:I72"/>
    <mergeCell ref="A72:D72"/>
    <mergeCell ref="A4:D4"/>
    <mergeCell ref="A13:D13"/>
    <mergeCell ref="F13:I13"/>
    <mergeCell ref="F22:I22"/>
    <mergeCell ref="A22:D22"/>
    <mergeCell ref="A18:D18"/>
    <mergeCell ref="F18:I18"/>
    <mergeCell ref="A9:D9"/>
    <mergeCell ref="A32:D32"/>
    <mergeCell ref="F32:I32"/>
    <mergeCell ref="A50:D50"/>
    <mergeCell ref="F50:I50"/>
    <mergeCell ref="A59:D59"/>
    <mergeCell ref="A36:D36"/>
    <mergeCell ref="F36:I36"/>
    <mergeCell ref="A54:D54"/>
    <mergeCell ref="A68:D68"/>
    <mergeCell ref="F68:I68"/>
    <mergeCell ref="A63:D63"/>
    <mergeCell ref="F63:I63"/>
    <mergeCell ref="A82:D82"/>
    <mergeCell ref="F82:I82"/>
    <mergeCell ref="A100:D100"/>
    <mergeCell ref="F100:I100"/>
    <mergeCell ref="A86:D86"/>
    <mergeCell ref="F86:I8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826"/>
  <sheetViews>
    <sheetView showGridLines="0" zoomScale="90" zoomScaleNormal="90" workbookViewId="0"/>
  </sheetViews>
  <sheetFormatPr baseColWidth="10" defaultColWidth="33.140625" defaultRowHeight="12.75" x14ac:dyDescent="0.2"/>
  <cols>
    <col min="1" max="1" width="40.7109375" style="3" customWidth="1"/>
    <col min="2" max="4" width="15.7109375" style="6" customWidth="1"/>
    <col min="5" max="5" width="7.42578125" style="6" customWidth="1"/>
    <col min="6" max="6" width="40.7109375" style="3" customWidth="1"/>
    <col min="7" max="8" width="15.7109375" style="3" customWidth="1"/>
    <col min="9" max="9" width="15.7109375" style="6" customWidth="1"/>
    <col min="10" max="10" width="7.140625" style="3" customWidth="1"/>
    <col min="11" max="12" width="6.7109375" style="3" customWidth="1"/>
    <col min="13" max="16384" width="33.140625" style="3"/>
  </cols>
  <sheetData>
    <row r="1" spans="1:12" ht="18.75" x14ac:dyDescent="0.3">
      <c r="A1" s="1" t="s">
        <v>282</v>
      </c>
    </row>
    <row r="2" spans="1:12" x14ac:dyDescent="0.2">
      <c r="A2" s="7"/>
    </row>
    <row r="3" spans="1:12" x14ac:dyDescent="0.2">
      <c r="A3" s="7" t="s">
        <v>283</v>
      </c>
    </row>
    <row r="4" spans="1:12" x14ac:dyDescent="0.2">
      <c r="A4" s="148" t="s">
        <v>1040</v>
      </c>
      <c r="B4" s="148"/>
      <c r="C4" s="148"/>
      <c r="D4" s="148"/>
    </row>
    <row r="5" spans="1:12" x14ac:dyDescent="0.2">
      <c r="A5" s="8" t="s">
        <v>251</v>
      </c>
      <c r="B5" s="8" t="s">
        <v>0</v>
      </c>
      <c r="C5" s="8" t="s">
        <v>1</v>
      </c>
      <c r="D5" s="8" t="s">
        <v>59</v>
      </c>
    </row>
    <row r="6" spans="1:12" x14ac:dyDescent="0.2">
      <c r="A6" s="31" t="s">
        <v>252</v>
      </c>
      <c r="B6" s="4">
        <v>32554</v>
      </c>
      <c r="C6" s="4">
        <v>44423</v>
      </c>
      <c r="D6" s="4">
        <v>76977</v>
      </c>
      <c r="E6" s="54"/>
    </row>
    <row r="7" spans="1:12" x14ac:dyDescent="0.2">
      <c r="A7" s="31" t="s">
        <v>253</v>
      </c>
      <c r="B7" s="5">
        <v>158973</v>
      </c>
      <c r="C7" s="5">
        <v>185317</v>
      </c>
      <c r="D7" s="5">
        <v>344290</v>
      </c>
      <c r="E7" s="54"/>
    </row>
    <row r="8" spans="1:12" x14ac:dyDescent="0.2">
      <c r="A8" s="29" t="s">
        <v>60</v>
      </c>
      <c r="B8" s="58">
        <v>191527</v>
      </c>
      <c r="C8" s="58">
        <v>229740</v>
      </c>
      <c r="D8" s="58">
        <v>421267</v>
      </c>
      <c r="E8" s="54"/>
    </row>
    <row r="9" spans="1:12" x14ac:dyDescent="0.2">
      <c r="A9" s="3" t="s">
        <v>1010</v>
      </c>
    </row>
    <row r="11" spans="1:12" x14ac:dyDescent="0.2">
      <c r="A11" s="7" t="s">
        <v>284</v>
      </c>
      <c r="F11" s="7" t="s">
        <v>285</v>
      </c>
    </row>
    <row r="12" spans="1:12" x14ac:dyDescent="0.2">
      <c r="A12" s="148" t="s">
        <v>1041</v>
      </c>
      <c r="B12" s="148"/>
      <c r="C12" s="148"/>
      <c r="D12" s="148"/>
      <c r="F12" s="148" t="s">
        <v>1042</v>
      </c>
      <c r="G12" s="148"/>
      <c r="H12" s="148"/>
      <c r="I12" s="148"/>
    </row>
    <row r="13" spans="1:12" x14ac:dyDescent="0.2">
      <c r="A13" s="44" t="s">
        <v>66</v>
      </c>
      <c r="B13" s="44" t="s">
        <v>237</v>
      </c>
      <c r="C13" s="44" t="s">
        <v>238</v>
      </c>
      <c r="D13" s="44" t="s">
        <v>64</v>
      </c>
      <c r="E13" s="3"/>
      <c r="F13" s="44" t="s">
        <v>66</v>
      </c>
      <c r="G13" s="44" t="s">
        <v>237</v>
      </c>
      <c r="H13" s="44" t="s">
        <v>238</v>
      </c>
      <c r="I13" s="44" t="s">
        <v>64</v>
      </c>
    </row>
    <row r="14" spans="1:12" x14ac:dyDescent="0.2">
      <c r="A14" s="22" t="s">
        <v>5</v>
      </c>
      <c r="B14" s="4">
        <v>6481</v>
      </c>
      <c r="C14" s="4">
        <v>50777</v>
      </c>
      <c r="D14" s="23">
        <v>57258</v>
      </c>
      <c r="E14" s="69"/>
      <c r="F14" s="22" t="s">
        <v>5</v>
      </c>
      <c r="G14" s="4">
        <v>11951</v>
      </c>
      <c r="H14" s="4">
        <v>90870</v>
      </c>
      <c r="I14" s="23">
        <v>102821</v>
      </c>
      <c r="J14" s="69"/>
      <c r="K14" s="69"/>
      <c r="L14" s="69"/>
    </row>
    <row r="15" spans="1:12" x14ac:dyDescent="0.2">
      <c r="A15" s="25" t="s">
        <v>6</v>
      </c>
      <c r="B15" s="5">
        <v>26073</v>
      </c>
      <c r="C15" s="5">
        <v>108196</v>
      </c>
      <c r="D15" s="14">
        <v>134269</v>
      </c>
      <c r="E15" s="69"/>
      <c r="F15" s="25" t="s">
        <v>6</v>
      </c>
      <c r="G15" s="5">
        <v>32472</v>
      </c>
      <c r="H15" s="5">
        <v>94447</v>
      </c>
      <c r="I15" s="14">
        <v>126919</v>
      </c>
      <c r="J15" s="69"/>
      <c r="K15" s="69"/>
      <c r="L15" s="69"/>
    </row>
    <row r="16" spans="1:12" x14ac:dyDescent="0.2">
      <c r="A16" s="29" t="s">
        <v>60</v>
      </c>
      <c r="B16" s="58">
        <v>32554</v>
      </c>
      <c r="C16" s="58">
        <v>158973</v>
      </c>
      <c r="D16" s="58">
        <v>191527</v>
      </c>
      <c r="E16" s="69"/>
      <c r="F16" s="29" t="s">
        <v>60</v>
      </c>
      <c r="G16" s="58">
        <v>44423</v>
      </c>
      <c r="H16" s="58">
        <v>185317</v>
      </c>
      <c r="I16" s="58">
        <v>229740</v>
      </c>
      <c r="J16" s="69"/>
      <c r="K16" s="69"/>
      <c r="L16" s="69"/>
    </row>
    <row r="17" spans="1:12" x14ac:dyDescent="0.2">
      <c r="A17" s="3" t="s">
        <v>1010</v>
      </c>
      <c r="E17" s="3"/>
      <c r="F17" s="3" t="s">
        <v>1010</v>
      </c>
      <c r="G17" s="6"/>
      <c r="H17" s="6"/>
      <c r="I17" s="3"/>
      <c r="K17" s="69"/>
      <c r="L17" s="69"/>
    </row>
    <row r="18" spans="1:12" x14ac:dyDescent="0.2">
      <c r="E18" s="3"/>
      <c r="G18" s="6"/>
      <c r="H18" s="6"/>
      <c r="I18" s="3"/>
      <c r="K18" s="69"/>
      <c r="L18" s="69"/>
    </row>
    <row r="19" spans="1:12" x14ac:dyDescent="0.2">
      <c r="A19" s="7" t="s">
        <v>286</v>
      </c>
      <c r="E19" s="3"/>
      <c r="F19" s="7" t="s">
        <v>287</v>
      </c>
      <c r="G19" s="6"/>
      <c r="H19" s="6"/>
      <c r="I19" s="3"/>
      <c r="K19" s="69"/>
      <c r="L19" s="69"/>
    </row>
    <row r="20" spans="1:12" x14ac:dyDescent="0.2">
      <c r="A20" s="148" t="s">
        <v>1043</v>
      </c>
      <c r="B20" s="148"/>
      <c r="C20" s="148"/>
      <c r="D20" s="148"/>
      <c r="E20" s="3"/>
      <c r="F20" s="148" t="s">
        <v>1044</v>
      </c>
      <c r="G20" s="148"/>
      <c r="H20" s="148"/>
      <c r="I20" s="148"/>
      <c r="K20" s="69"/>
      <c r="L20" s="69"/>
    </row>
    <row r="21" spans="1:12" x14ac:dyDescent="0.2">
      <c r="A21" s="24" t="s">
        <v>67</v>
      </c>
      <c r="B21" s="44" t="s">
        <v>237</v>
      </c>
      <c r="C21" s="44" t="s">
        <v>238</v>
      </c>
      <c r="D21" s="44" t="s">
        <v>64</v>
      </c>
      <c r="E21" s="3"/>
      <c r="F21" s="24" t="s">
        <v>67</v>
      </c>
      <c r="G21" s="44" t="s">
        <v>237</v>
      </c>
      <c r="H21" s="44" t="s">
        <v>238</v>
      </c>
      <c r="I21" s="44" t="s">
        <v>64</v>
      </c>
      <c r="K21" s="69"/>
      <c r="L21" s="69"/>
    </row>
    <row r="22" spans="1:12" x14ac:dyDescent="0.2">
      <c r="A22" s="22" t="s">
        <v>53</v>
      </c>
      <c r="B22" s="4">
        <v>31</v>
      </c>
      <c r="C22" s="4">
        <v>891</v>
      </c>
      <c r="D22" s="4">
        <v>922</v>
      </c>
      <c r="E22" s="69"/>
      <c r="F22" s="22" t="s">
        <v>53</v>
      </c>
      <c r="G22" s="4">
        <v>8</v>
      </c>
      <c r="H22" s="4">
        <v>392.02770302961113</v>
      </c>
      <c r="I22" s="4">
        <v>400.02770302961113</v>
      </c>
      <c r="J22" s="69"/>
      <c r="K22" s="69"/>
      <c r="L22" s="69"/>
    </row>
    <row r="23" spans="1:12" x14ac:dyDescent="0.2">
      <c r="A23" s="25" t="s">
        <v>2</v>
      </c>
      <c r="B23" s="5">
        <v>1580</v>
      </c>
      <c r="C23" s="5">
        <v>11832</v>
      </c>
      <c r="D23" s="5">
        <v>13412</v>
      </c>
      <c r="E23" s="69"/>
      <c r="F23" s="25" t="s">
        <v>2</v>
      </c>
      <c r="G23" s="5">
        <v>351</v>
      </c>
      <c r="H23" s="5">
        <v>10018.707204636017</v>
      </c>
      <c r="I23" s="5">
        <v>10369.707204636017</v>
      </c>
      <c r="J23" s="69"/>
      <c r="K23" s="69"/>
      <c r="L23" s="69"/>
    </row>
    <row r="24" spans="1:12" x14ac:dyDescent="0.2">
      <c r="A24" s="25" t="s">
        <v>54</v>
      </c>
      <c r="B24" s="5">
        <v>9960</v>
      </c>
      <c r="C24" s="5">
        <v>49923</v>
      </c>
      <c r="D24" s="5">
        <v>59883</v>
      </c>
      <c r="E24" s="69"/>
      <c r="F24" s="25" t="s">
        <v>54</v>
      </c>
      <c r="G24" s="5">
        <v>13440</v>
      </c>
      <c r="H24" s="5">
        <v>67657.752341656203</v>
      </c>
      <c r="I24" s="5">
        <v>81097.752341656203</v>
      </c>
      <c r="J24" s="69"/>
      <c r="K24" s="69"/>
      <c r="L24" s="69"/>
    </row>
    <row r="25" spans="1:12" x14ac:dyDescent="0.2">
      <c r="A25" s="25" t="s">
        <v>55</v>
      </c>
      <c r="B25" s="5">
        <v>7293</v>
      </c>
      <c r="C25" s="5">
        <v>38624</v>
      </c>
      <c r="D25" s="5">
        <v>45917</v>
      </c>
      <c r="E25" s="69"/>
      <c r="F25" s="25" t="s">
        <v>55</v>
      </c>
      <c r="G25" s="5">
        <v>12557</v>
      </c>
      <c r="H25" s="5">
        <v>56242.944360182875</v>
      </c>
      <c r="I25" s="5">
        <v>68799.944360182883</v>
      </c>
      <c r="J25" s="69"/>
      <c r="K25" s="69"/>
      <c r="L25" s="69"/>
    </row>
    <row r="26" spans="1:12" x14ac:dyDescent="0.2">
      <c r="A26" s="25" t="s">
        <v>56</v>
      </c>
      <c r="B26" s="5">
        <v>5718</v>
      </c>
      <c r="C26" s="5">
        <v>29271</v>
      </c>
      <c r="D26" s="5">
        <v>34989</v>
      </c>
      <c r="E26" s="69"/>
      <c r="F26" s="25" t="s">
        <v>56</v>
      </c>
      <c r="G26" s="5">
        <v>7103</v>
      </c>
      <c r="H26" s="5">
        <v>30979.171224945774</v>
      </c>
      <c r="I26" s="5">
        <v>38082.171224945778</v>
      </c>
      <c r="J26" s="69"/>
      <c r="K26" s="69"/>
      <c r="L26" s="69"/>
    </row>
    <row r="27" spans="1:12" x14ac:dyDescent="0.2">
      <c r="A27" s="25" t="s">
        <v>57</v>
      </c>
      <c r="B27" s="5">
        <v>6801</v>
      </c>
      <c r="C27" s="5">
        <v>21779</v>
      </c>
      <c r="D27" s="5">
        <v>28580</v>
      </c>
      <c r="E27" s="69"/>
      <c r="F27" s="25" t="s">
        <v>57</v>
      </c>
      <c r="G27" s="5">
        <v>9336</v>
      </c>
      <c r="H27" s="5">
        <v>16746.16812085827</v>
      </c>
      <c r="I27" s="5">
        <v>26082.16812085827</v>
      </c>
      <c r="J27" s="69"/>
      <c r="K27" s="69"/>
      <c r="L27" s="69"/>
    </row>
    <row r="28" spans="1:12" x14ac:dyDescent="0.2">
      <c r="A28" s="25" t="s">
        <v>3</v>
      </c>
      <c r="B28" s="5">
        <v>1171</v>
      </c>
      <c r="C28" s="5">
        <v>6653</v>
      </c>
      <c r="D28" s="5">
        <v>7824</v>
      </c>
      <c r="E28" s="69"/>
      <c r="F28" s="25" t="s">
        <v>3</v>
      </c>
      <c r="G28" s="5">
        <v>1628</v>
      </c>
      <c r="H28" s="5">
        <v>3280.2290446912493</v>
      </c>
      <c r="I28" s="5">
        <v>4908.2290446912493</v>
      </c>
      <c r="J28" s="69"/>
      <c r="K28" s="69"/>
      <c r="L28" s="69"/>
    </row>
    <row r="29" spans="1:12" x14ac:dyDescent="0.2">
      <c r="A29" s="29" t="s">
        <v>60</v>
      </c>
      <c r="B29" s="58">
        <v>32554</v>
      </c>
      <c r="C29" s="58">
        <v>158973</v>
      </c>
      <c r="D29" s="58">
        <v>191527</v>
      </c>
      <c r="E29" s="69"/>
      <c r="F29" s="29" t="s">
        <v>60</v>
      </c>
      <c r="G29" s="58">
        <v>44423</v>
      </c>
      <c r="H29" s="58">
        <v>185317</v>
      </c>
      <c r="I29" s="58">
        <v>229740</v>
      </c>
      <c r="J29" s="69"/>
      <c r="K29" s="69"/>
      <c r="L29" s="69"/>
    </row>
    <row r="30" spans="1:12" x14ac:dyDescent="0.2">
      <c r="A30" s="3" t="s">
        <v>1010</v>
      </c>
      <c r="E30" s="3"/>
      <c r="F30" s="3" t="s">
        <v>1010</v>
      </c>
      <c r="G30" s="6"/>
      <c r="H30" s="6"/>
      <c r="I30" s="3"/>
      <c r="K30" s="69"/>
      <c r="L30" s="69"/>
    </row>
    <row r="31" spans="1:12" x14ac:dyDescent="0.2">
      <c r="E31" s="3"/>
      <c r="G31" s="6"/>
      <c r="H31" s="6"/>
      <c r="I31" s="3"/>
      <c r="K31" s="69"/>
      <c r="L31" s="69"/>
    </row>
    <row r="32" spans="1:12" x14ac:dyDescent="0.2">
      <c r="A32" s="7" t="s">
        <v>288</v>
      </c>
      <c r="E32" s="3"/>
      <c r="F32" s="7" t="s">
        <v>289</v>
      </c>
      <c r="G32" s="6"/>
      <c r="H32" s="6"/>
      <c r="I32" s="3"/>
      <c r="K32" s="69"/>
      <c r="L32" s="69"/>
    </row>
    <row r="33" spans="1:12" x14ac:dyDescent="0.2">
      <c r="A33" s="148" t="s">
        <v>1046</v>
      </c>
      <c r="B33" s="148"/>
      <c r="C33" s="148"/>
      <c r="D33" s="148"/>
      <c r="E33" s="3"/>
      <c r="F33" s="148" t="s">
        <v>1045</v>
      </c>
      <c r="G33" s="148"/>
      <c r="H33" s="148"/>
      <c r="I33" s="148"/>
      <c r="K33" s="69"/>
      <c r="L33" s="69"/>
    </row>
    <row r="34" spans="1:12" x14ac:dyDescent="0.2">
      <c r="A34" s="8" t="s">
        <v>207</v>
      </c>
      <c r="B34" s="44" t="s">
        <v>237</v>
      </c>
      <c r="C34" s="44" t="s">
        <v>238</v>
      </c>
      <c r="D34" s="44" t="s">
        <v>64</v>
      </c>
      <c r="E34" s="3"/>
      <c r="F34" s="8" t="s">
        <v>207</v>
      </c>
      <c r="G34" s="44" t="s">
        <v>237</v>
      </c>
      <c r="H34" s="44" t="s">
        <v>238</v>
      </c>
      <c r="I34" s="44" t="s">
        <v>64</v>
      </c>
      <c r="K34" s="69"/>
      <c r="L34" s="69"/>
    </row>
    <row r="35" spans="1:12" x14ac:dyDescent="0.2">
      <c r="A35" s="31" t="s">
        <v>9</v>
      </c>
      <c r="B35" s="73">
        <v>17798.062252969587</v>
      </c>
      <c r="C35" s="73">
        <v>83927</v>
      </c>
      <c r="D35" s="4">
        <v>101725.06225296958</v>
      </c>
      <c r="E35" s="69"/>
      <c r="F35" s="31" t="s">
        <v>9</v>
      </c>
      <c r="G35" s="4">
        <v>24723.339261994282</v>
      </c>
      <c r="H35" s="4">
        <v>93781.037117168045</v>
      </c>
      <c r="I35" s="4">
        <v>118504.37637916234</v>
      </c>
      <c r="J35" s="69"/>
      <c r="K35" s="69"/>
      <c r="L35" s="69"/>
    </row>
    <row r="36" spans="1:12" x14ac:dyDescent="0.2">
      <c r="A36" s="31" t="s">
        <v>10</v>
      </c>
      <c r="B36" s="75">
        <v>6868.4448714267064</v>
      </c>
      <c r="C36" s="75">
        <v>35734</v>
      </c>
      <c r="D36" s="5">
        <v>42602.444871426706</v>
      </c>
      <c r="E36" s="69"/>
      <c r="F36" s="31" t="s">
        <v>10</v>
      </c>
      <c r="G36" s="5">
        <v>6242.843190670239</v>
      </c>
      <c r="H36" s="5">
        <v>32431.051218212851</v>
      </c>
      <c r="I36" s="5">
        <v>38673.89440888309</v>
      </c>
      <c r="J36" s="69"/>
      <c r="K36" s="69"/>
      <c r="L36" s="69"/>
    </row>
    <row r="37" spans="1:12" x14ac:dyDescent="0.2">
      <c r="A37" s="31" t="s">
        <v>11</v>
      </c>
      <c r="B37" s="75">
        <v>1384.0728260018275</v>
      </c>
      <c r="C37" s="75">
        <v>5590</v>
      </c>
      <c r="D37" s="5">
        <v>6974.0728260018277</v>
      </c>
      <c r="E37" s="69"/>
      <c r="F37" s="31" t="s">
        <v>11</v>
      </c>
      <c r="G37" s="5">
        <v>3099.4186235000111</v>
      </c>
      <c r="H37" s="5">
        <v>11985.388914861001</v>
      </c>
      <c r="I37" s="5">
        <v>15084.807538361012</v>
      </c>
      <c r="J37" s="69"/>
      <c r="K37" s="69"/>
      <c r="L37" s="69"/>
    </row>
    <row r="38" spans="1:12" x14ac:dyDescent="0.2">
      <c r="A38" s="31" t="s">
        <v>12</v>
      </c>
      <c r="B38" s="75">
        <v>864.07579167210542</v>
      </c>
      <c r="C38" s="75">
        <v>6394</v>
      </c>
      <c r="D38" s="5">
        <v>7258.075791672105</v>
      </c>
      <c r="E38" s="69"/>
      <c r="F38" s="31" t="s">
        <v>12</v>
      </c>
      <c r="G38" s="5">
        <v>1824.2463921471508</v>
      </c>
      <c r="H38" s="5">
        <v>12040.388947477142</v>
      </c>
      <c r="I38" s="5">
        <v>13864.635339624292</v>
      </c>
      <c r="J38" s="69"/>
      <c r="K38" s="69"/>
      <c r="L38" s="69"/>
    </row>
    <row r="39" spans="1:12" x14ac:dyDescent="0.2">
      <c r="A39" s="31" t="s">
        <v>13</v>
      </c>
      <c r="B39" s="75">
        <v>652.02683722751601</v>
      </c>
      <c r="C39" s="75">
        <v>1918</v>
      </c>
      <c r="D39" s="5">
        <v>2570.0268372275159</v>
      </c>
      <c r="E39" s="69"/>
      <c r="F39" s="31" t="s">
        <v>13</v>
      </c>
      <c r="G39" s="5">
        <v>1182.1596685953577</v>
      </c>
      <c r="H39" s="5">
        <v>4827.156916252623</v>
      </c>
      <c r="I39" s="5">
        <v>6009.3165848479803</v>
      </c>
      <c r="J39" s="69"/>
      <c r="K39" s="69"/>
      <c r="L39" s="69"/>
    </row>
    <row r="40" spans="1:12" x14ac:dyDescent="0.2">
      <c r="A40" s="31" t="s">
        <v>230</v>
      </c>
      <c r="B40" s="75">
        <v>446.03071139537917</v>
      </c>
      <c r="C40" s="75">
        <v>2495</v>
      </c>
      <c r="D40" s="5">
        <v>2941.0307113953791</v>
      </c>
      <c r="E40" s="69"/>
      <c r="F40" s="31" t="s">
        <v>230</v>
      </c>
      <c r="G40" s="5">
        <v>1092.147511088097</v>
      </c>
      <c r="H40" s="5">
        <v>4378.1420106763499</v>
      </c>
      <c r="I40" s="5">
        <v>5470.2895217644473</v>
      </c>
      <c r="J40" s="69"/>
      <c r="K40" s="69"/>
      <c r="L40" s="69"/>
    </row>
    <row r="41" spans="1:12" x14ac:dyDescent="0.2">
      <c r="A41" s="31" t="s">
        <v>231</v>
      </c>
      <c r="B41" s="75">
        <v>554.02695209502679</v>
      </c>
      <c r="C41" s="75">
        <v>2027</v>
      </c>
      <c r="D41" s="5">
        <v>2581.0269520950269</v>
      </c>
      <c r="E41" s="69"/>
      <c r="F41" s="31" t="s">
        <v>231</v>
      </c>
      <c r="G41" s="5">
        <v>1051.1419726681227</v>
      </c>
      <c r="H41" s="5">
        <v>3270.1047630437383</v>
      </c>
      <c r="I41" s="5">
        <v>4321.2467357118612</v>
      </c>
      <c r="J41" s="69"/>
      <c r="K41" s="69"/>
      <c r="L41" s="69"/>
    </row>
    <row r="42" spans="1:12" x14ac:dyDescent="0.2">
      <c r="A42" s="31" t="s">
        <v>232</v>
      </c>
      <c r="B42" s="75">
        <v>457.02804855762957</v>
      </c>
      <c r="C42" s="75">
        <v>2229</v>
      </c>
      <c r="D42" s="5">
        <v>2686.0280485576295</v>
      </c>
      <c r="E42" s="69"/>
      <c r="F42" s="31" t="s">
        <v>232</v>
      </c>
      <c r="G42" s="5">
        <v>704.09509872346177</v>
      </c>
      <c r="H42" s="5">
        <v>2991.0970656345471</v>
      </c>
      <c r="I42" s="5">
        <v>3695.192164358009</v>
      </c>
      <c r="J42" s="69"/>
      <c r="K42" s="69"/>
      <c r="L42" s="69"/>
    </row>
    <row r="43" spans="1:12" x14ac:dyDescent="0.2">
      <c r="A43" s="31" t="s">
        <v>233</v>
      </c>
      <c r="B43" s="75">
        <v>390.02217987207939</v>
      </c>
      <c r="C43" s="75">
        <v>1734</v>
      </c>
      <c r="D43" s="5">
        <v>2124.0221798720795</v>
      </c>
      <c r="E43" s="69"/>
      <c r="F43" s="31" t="s">
        <v>233</v>
      </c>
      <c r="G43" s="5">
        <v>749.10117747709205</v>
      </c>
      <c r="H43" s="5">
        <v>2988.0955979082182</v>
      </c>
      <c r="I43" s="5">
        <v>3737.1967753853105</v>
      </c>
      <c r="J43" s="69"/>
      <c r="K43" s="69"/>
      <c r="L43" s="69"/>
    </row>
    <row r="44" spans="1:12" x14ac:dyDescent="0.2">
      <c r="A44" s="31" t="s">
        <v>987</v>
      </c>
      <c r="B44" s="75">
        <v>623.04521602923899</v>
      </c>
      <c r="C44" s="75">
        <v>3707</v>
      </c>
      <c r="D44" s="5">
        <v>4330.0452160292389</v>
      </c>
      <c r="E44" s="69"/>
      <c r="F44" s="31" t="s">
        <v>987</v>
      </c>
      <c r="G44" s="5">
        <v>526.07105387576826</v>
      </c>
      <c r="H44" s="5">
        <v>2471.0800726252733</v>
      </c>
      <c r="I44" s="5">
        <v>2997.1511265010413</v>
      </c>
      <c r="J44" s="69"/>
      <c r="K44" s="69"/>
      <c r="L44" s="69"/>
    </row>
    <row r="45" spans="1:12" x14ac:dyDescent="0.2">
      <c r="A45" s="31" t="s">
        <v>31</v>
      </c>
      <c r="B45" s="75">
        <v>2517.1643127529042</v>
      </c>
      <c r="C45" s="75">
        <v>13218</v>
      </c>
      <c r="D45" s="5">
        <v>15735.164312752904</v>
      </c>
      <c r="E45" s="69"/>
      <c r="F45" s="31" t="s">
        <v>31</v>
      </c>
      <c r="G45" s="5">
        <v>3228.4360492604183</v>
      </c>
      <c r="H45" s="5">
        <v>14153.457376140206</v>
      </c>
      <c r="I45" s="5">
        <v>17381.893425400624</v>
      </c>
      <c r="J45" s="69"/>
      <c r="K45" s="69"/>
      <c r="L45" s="69"/>
    </row>
    <row r="46" spans="1:12" x14ac:dyDescent="0.2">
      <c r="A46" s="29" t="s">
        <v>60</v>
      </c>
      <c r="B46" s="77">
        <v>32554</v>
      </c>
      <c r="C46" s="77">
        <v>158973</v>
      </c>
      <c r="D46" s="58">
        <v>191527</v>
      </c>
      <c r="E46" s="69"/>
      <c r="F46" s="29" t="s">
        <v>60</v>
      </c>
      <c r="G46" s="58">
        <v>44422.999999999993</v>
      </c>
      <c r="H46" s="58">
        <v>185316.99999999997</v>
      </c>
      <c r="I46" s="58">
        <v>229740.00000000003</v>
      </c>
      <c r="J46" s="69"/>
      <c r="K46" s="69"/>
      <c r="L46" s="69"/>
    </row>
    <row r="47" spans="1:12" x14ac:dyDescent="0.2">
      <c r="A47" s="3" t="s">
        <v>1010</v>
      </c>
      <c r="B47" s="54"/>
      <c r="C47" s="54"/>
      <c r="E47" s="3"/>
      <c r="F47" s="3" t="s">
        <v>1010</v>
      </c>
      <c r="G47" s="6"/>
      <c r="H47" s="6"/>
      <c r="I47" s="3"/>
      <c r="K47" s="69"/>
      <c r="L47" s="69"/>
    </row>
    <row r="48" spans="1:12" x14ac:dyDescent="0.2">
      <c r="E48" s="3"/>
      <c r="G48" s="6"/>
      <c r="H48" s="6"/>
      <c r="I48" s="3"/>
      <c r="K48" s="69"/>
      <c r="L48" s="69"/>
    </row>
    <row r="49" spans="1:12" x14ac:dyDescent="0.2">
      <c r="A49" s="7" t="s">
        <v>290</v>
      </c>
      <c r="E49" s="3"/>
      <c r="G49" s="6"/>
      <c r="H49" s="6"/>
      <c r="K49" s="69"/>
      <c r="L49" s="69"/>
    </row>
    <row r="50" spans="1:12" x14ac:dyDescent="0.2">
      <c r="A50" s="148" t="s">
        <v>1047</v>
      </c>
      <c r="B50" s="148"/>
      <c r="C50" s="148"/>
      <c r="D50" s="148"/>
      <c r="E50" s="3"/>
      <c r="F50" s="7"/>
      <c r="G50" s="6"/>
      <c r="H50" s="6"/>
      <c r="K50" s="69"/>
      <c r="L50" s="69"/>
    </row>
    <row r="51" spans="1:12" x14ac:dyDescent="0.2">
      <c r="A51" s="8" t="s">
        <v>251</v>
      </c>
      <c r="B51" s="8" t="s">
        <v>0</v>
      </c>
      <c r="C51" s="8" t="s">
        <v>1</v>
      </c>
      <c r="D51" s="8" t="s">
        <v>59</v>
      </c>
      <c r="E51" s="3"/>
      <c r="F51" s="35"/>
      <c r="G51" s="35"/>
      <c r="H51" s="35"/>
      <c r="I51" s="35"/>
      <c r="K51" s="69"/>
      <c r="L51" s="69"/>
    </row>
    <row r="52" spans="1:12" x14ac:dyDescent="0.2">
      <c r="A52" s="31" t="s">
        <v>252</v>
      </c>
      <c r="B52" s="4">
        <v>608531</v>
      </c>
      <c r="C52" s="4">
        <v>720316</v>
      </c>
      <c r="D52" s="4">
        <v>1328847</v>
      </c>
      <c r="E52" s="54"/>
      <c r="F52" s="34"/>
      <c r="G52" s="17"/>
      <c r="H52" s="17"/>
      <c r="I52" s="17"/>
      <c r="K52" s="69"/>
      <c r="L52" s="69"/>
    </row>
    <row r="53" spans="1:12" x14ac:dyDescent="0.2">
      <c r="A53" s="31" t="s">
        <v>253</v>
      </c>
      <c r="B53" s="5">
        <v>3087148</v>
      </c>
      <c r="C53" s="5">
        <v>2954003</v>
      </c>
      <c r="D53" s="5">
        <v>6041151</v>
      </c>
      <c r="E53" s="54"/>
      <c r="F53" s="34"/>
      <c r="G53" s="17"/>
      <c r="H53" s="17"/>
      <c r="I53" s="17"/>
      <c r="K53" s="69"/>
      <c r="L53" s="69"/>
    </row>
    <row r="54" spans="1:12" x14ac:dyDescent="0.2">
      <c r="A54" s="29" t="s">
        <v>60</v>
      </c>
      <c r="B54" s="58">
        <v>3695679</v>
      </c>
      <c r="C54" s="58">
        <v>3674319</v>
      </c>
      <c r="D54" s="58">
        <v>7369998</v>
      </c>
      <c r="E54" s="54"/>
      <c r="F54" s="45"/>
      <c r="G54" s="17"/>
      <c r="H54" s="17"/>
      <c r="I54" s="17"/>
      <c r="K54" s="69"/>
      <c r="L54" s="69"/>
    </row>
    <row r="55" spans="1:12" x14ac:dyDescent="0.2">
      <c r="A55" s="3" t="s">
        <v>1010</v>
      </c>
      <c r="E55" s="3"/>
      <c r="G55" s="6"/>
      <c r="H55" s="6"/>
      <c r="K55" s="69"/>
      <c r="L55" s="69"/>
    </row>
    <row r="56" spans="1:12" x14ac:dyDescent="0.2">
      <c r="E56" s="3"/>
      <c r="G56" s="6"/>
      <c r="H56" s="6"/>
      <c r="I56" s="3"/>
      <c r="K56" s="69"/>
      <c r="L56" s="69"/>
    </row>
    <row r="57" spans="1:12" x14ac:dyDescent="0.2">
      <c r="A57" s="7" t="s">
        <v>291</v>
      </c>
      <c r="E57" s="3"/>
      <c r="F57" s="7" t="s">
        <v>292</v>
      </c>
      <c r="G57" s="6"/>
      <c r="H57" s="6"/>
      <c r="I57" s="3"/>
      <c r="K57" s="69"/>
      <c r="L57" s="69"/>
    </row>
    <row r="58" spans="1:12" x14ac:dyDescent="0.2">
      <c r="A58" s="148" t="s">
        <v>1048</v>
      </c>
      <c r="B58" s="148"/>
      <c r="C58" s="148"/>
      <c r="D58" s="148"/>
      <c r="E58" s="3"/>
      <c r="F58" s="148" t="s">
        <v>1049</v>
      </c>
      <c r="G58" s="148"/>
      <c r="H58" s="148"/>
      <c r="I58" s="148"/>
      <c r="K58" s="69"/>
      <c r="L58" s="69"/>
    </row>
    <row r="59" spans="1:12" x14ac:dyDescent="0.2">
      <c r="A59" s="44" t="s">
        <v>66</v>
      </c>
      <c r="B59" s="44" t="s">
        <v>237</v>
      </c>
      <c r="C59" s="44" t="s">
        <v>238</v>
      </c>
      <c r="D59" s="44" t="s">
        <v>64</v>
      </c>
      <c r="F59" s="44" t="s">
        <v>66</v>
      </c>
      <c r="G59" s="44" t="s">
        <v>237</v>
      </c>
      <c r="H59" s="44" t="s">
        <v>238</v>
      </c>
      <c r="I59" s="44" t="s">
        <v>64</v>
      </c>
      <c r="K59" s="69"/>
      <c r="L59" s="69"/>
    </row>
    <row r="60" spans="1:12" x14ac:dyDescent="0.2">
      <c r="A60" s="22" t="s">
        <v>5</v>
      </c>
      <c r="B60" s="4">
        <v>122704</v>
      </c>
      <c r="C60" s="4">
        <v>1036199</v>
      </c>
      <c r="D60" s="23">
        <v>1158903</v>
      </c>
      <c r="E60" s="54"/>
      <c r="F60" s="22" t="s">
        <v>5</v>
      </c>
      <c r="G60" s="4">
        <v>185182</v>
      </c>
      <c r="H60" s="4">
        <v>1397244</v>
      </c>
      <c r="I60" s="23">
        <v>1582426</v>
      </c>
      <c r="J60" s="69"/>
      <c r="K60" s="69"/>
      <c r="L60" s="69"/>
    </row>
    <row r="61" spans="1:12" x14ac:dyDescent="0.2">
      <c r="A61" s="25" t="s">
        <v>6</v>
      </c>
      <c r="B61" s="5">
        <v>485827</v>
      </c>
      <c r="C61" s="5">
        <v>2050949</v>
      </c>
      <c r="D61" s="14">
        <v>2536776</v>
      </c>
      <c r="E61" s="54"/>
      <c r="F61" s="25" t="s">
        <v>6</v>
      </c>
      <c r="G61" s="5">
        <v>535134</v>
      </c>
      <c r="H61" s="5">
        <v>1556759</v>
      </c>
      <c r="I61" s="14">
        <v>2091893</v>
      </c>
      <c r="J61" s="69"/>
      <c r="K61" s="69"/>
      <c r="L61" s="69"/>
    </row>
    <row r="62" spans="1:12" x14ac:dyDescent="0.2">
      <c r="A62" s="29" t="s">
        <v>60</v>
      </c>
      <c r="B62" s="58">
        <v>608531</v>
      </c>
      <c r="C62" s="58">
        <v>3087148</v>
      </c>
      <c r="D62" s="58">
        <v>3695679</v>
      </c>
      <c r="E62" s="54"/>
      <c r="F62" s="29" t="s">
        <v>60</v>
      </c>
      <c r="G62" s="58">
        <v>720316</v>
      </c>
      <c r="H62" s="58">
        <v>2954003</v>
      </c>
      <c r="I62" s="58">
        <v>3674319</v>
      </c>
      <c r="J62" s="69"/>
      <c r="K62" s="69"/>
      <c r="L62" s="69"/>
    </row>
    <row r="63" spans="1:12" x14ac:dyDescent="0.2">
      <c r="A63" s="3" t="s">
        <v>1010</v>
      </c>
      <c r="D63" s="3"/>
      <c r="E63" s="3"/>
      <c r="F63" s="6" t="s">
        <v>1010</v>
      </c>
      <c r="G63" s="6"/>
      <c r="H63" s="6"/>
      <c r="I63" s="3"/>
      <c r="K63" s="69"/>
      <c r="L63" s="69"/>
    </row>
    <row r="64" spans="1:12" x14ac:dyDescent="0.2">
      <c r="D64" s="3"/>
      <c r="E64" s="3"/>
      <c r="F64" s="6"/>
      <c r="G64" s="6"/>
      <c r="H64" s="6"/>
      <c r="I64" s="3"/>
      <c r="K64" s="69"/>
      <c r="L64" s="69"/>
    </row>
    <row r="65" spans="1:12" x14ac:dyDescent="0.2">
      <c r="A65" s="7" t="s">
        <v>293</v>
      </c>
      <c r="D65" s="3"/>
      <c r="F65" s="7" t="s">
        <v>294</v>
      </c>
      <c r="G65" s="6"/>
      <c r="H65" s="6"/>
      <c r="I65" s="3"/>
      <c r="K65" s="69"/>
      <c r="L65" s="69"/>
    </row>
    <row r="66" spans="1:12" x14ac:dyDescent="0.2">
      <c r="A66" s="148" t="s">
        <v>1051</v>
      </c>
      <c r="B66" s="148"/>
      <c r="C66" s="148"/>
      <c r="D66" s="148"/>
      <c r="F66" s="148" t="s">
        <v>1050</v>
      </c>
      <c r="G66" s="148"/>
      <c r="H66" s="148"/>
      <c r="I66" s="148"/>
      <c r="K66" s="69"/>
      <c r="L66" s="69"/>
    </row>
    <row r="67" spans="1:12" x14ac:dyDescent="0.2">
      <c r="A67" s="24" t="s">
        <v>67</v>
      </c>
      <c r="B67" s="44" t="s">
        <v>237</v>
      </c>
      <c r="C67" s="44" t="s">
        <v>238</v>
      </c>
      <c r="D67" s="44" t="s">
        <v>64</v>
      </c>
      <c r="F67" s="24" t="s">
        <v>67</v>
      </c>
      <c r="G67" s="44" t="s">
        <v>237</v>
      </c>
      <c r="H67" s="44" t="s">
        <v>238</v>
      </c>
      <c r="I67" s="44" t="s">
        <v>64</v>
      </c>
      <c r="K67" s="69"/>
      <c r="L67" s="69"/>
    </row>
    <row r="68" spans="1:12" x14ac:dyDescent="0.2">
      <c r="A68" s="22" t="s">
        <v>53</v>
      </c>
      <c r="B68" s="4">
        <v>289</v>
      </c>
      <c r="C68" s="4">
        <v>9579</v>
      </c>
      <c r="D68" s="4">
        <v>9868</v>
      </c>
      <c r="E68" s="54"/>
      <c r="F68" s="22" t="s">
        <v>53</v>
      </c>
      <c r="G68" s="4">
        <v>81</v>
      </c>
      <c r="H68" s="4">
        <v>3720.2224256580653</v>
      </c>
      <c r="I68" s="4">
        <v>3801.2224256580653</v>
      </c>
      <c r="J68" s="69"/>
      <c r="K68" s="69"/>
      <c r="L68" s="69"/>
    </row>
    <row r="69" spans="1:12" x14ac:dyDescent="0.2">
      <c r="A69" s="25" t="s">
        <v>2</v>
      </c>
      <c r="B69" s="5">
        <v>21581</v>
      </c>
      <c r="C69" s="5">
        <v>172496</v>
      </c>
      <c r="D69" s="5">
        <v>194077</v>
      </c>
      <c r="E69" s="54"/>
      <c r="F69" s="25" t="s">
        <v>2</v>
      </c>
      <c r="G69" s="5">
        <v>4399</v>
      </c>
      <c r="H69" s="5">
        <v>115660.02516314182</v>
      </c>
      <c r="I69" s="5">
        <v>120059.02516314182</v>
      </c>
      <c r="J69" s="69"/>
      <c r="K69" s="69"/>
      <c r="L69" s="69"/>
    </row>
    <row r="70" spans="1:12" x14ac:dyDescent="0.2">
      <c r="A70" s="25" t="s">
        <v>54</v>
      </c>
      <c r="B70" s="5">
        <v>158124</v>
      </c>
      <c r="C70" s="5">
        <v>854103</v>
      </c>
      <c r="D70" s="5">
        <v>1012227</v>
      </c>
      <c r="E70" s="54"/>
      <c r="F70" s="25" t="s">
        <v>54</v>
      </c>
      <c r="G70" s="5">
        <v>196556</v>
      </c>
      <c r="H70" s="5">
        <v>979270.80261691019</v>
      </c>
      <c r="I70" s="5">
        <v>1175826.8026169101</v>
      </c>
      <c r="J70" s="69"/>
      <c r="K70" s="69"/>
      <c r="L70" s="69"/>
    </row>
    <row r="71" spans="1:12" x14ac:dyDescent="0.2">
      <c r="A71" s="25" t="s">
        <v>55</v>
      </c>
      <c r="B71" s="5">
        <v>124407</v>
      </c>
      <c r="C71" s="5">
        <v>729275</v>
      </c>
      <c r="D71" s="5">
        <v>853682</v>
      </c>
      <c r="E71" s="54"/>
      <c r="F71" s="25" t="s">
        <v>55</v>
      </c>
      <c r="G71" s="5">
        <v>191576</v>
      </c>
      <c r="H71" s="5">
        <v>915532.78163383505</v>
      </c>
      <c r="I71" s="5">
        <v>1107108.7816338351</v>
      </c>
      <c r="J71" s="69"/>
      <c r="K71" s="69"/>
      <c r="L71" s="69"/>
    </row>
    <row r="72" spans="1:12" x14ac:dyDescent="0.2">
      <c r="A72" s="25" t="s">
        <v>56</v>
      </c>
      <c r="B72" s="5">
        <v>113064</v>
      </c>
      <c r="C72" s="5">
        <v>623164</v>
      </c>
      <c r="D72" s="5">
        <v>736228</v>
      </c>
      <c r="E72" s="54"/>
      <c r="F72" s="25" t="s">
        <v>56</v>
      </c>
      <c r="G72" s="5">
        <v>112627</v>
      </c>
      <c r="H72" s="5">
        <v>535452.92190694658</v>
      </c>
      <c r="I72" s="5">
        <v>648079.92190694658</v>
      </c>
      <c r="J72" s="69"/>
      <c r="K72" s="69"/>
      <c r="L72" s="69"/>
    </row>
    <row r="73" spans="1:12" x14ac:dyDescent="0.2">
      <c r="A73" s="25" t="s">
        <v>57</v>
      </c>
      <c r="B73" s="5">
        <v>160665</v>
      </c>
      <c r="C73" s="5">
        <v>523892</v>
      </c>
      <c r="D73" s="5">
        <v>684557</v>
      </c>
      <c r="E73" s="54"/>
      <c r="F73" s="25" t="s">
        <v>57</v>
      </c>
      <c r="G73" s="5">
        <v>180188</v>
      </c>
      <c r="H73" s="5">
        <v>332678.00996705593</v>
      </c>
      <c r="I73" s="5">
        <v>512866.00996705593</v>
      </c>
      <c r="J73" s="69"/>
      <c r="K73" s="69"/>
      <c r="L73" s="69"/>
    </row>
    <row r="74" spans="1:12" x14ac:dyDescent="0.2">
      <c r="A74" s="25" t="s">
        <v>3</v>
      </c>
      <c r="B74" s="5">
        <v>30401</v>
      </c>
      <c r="C74" s="5">
        <v>174639</v>
      </c>
      <c r="D74" s="5">
        <v>205040</v>
      </c>
      <c r="E74" s="54"/>
      <c r="F74" s="25" t="s">
        <v>3</v>
      </c>
      <c r="G74" s="5">
        <v>34889</v>
      </c>
      <c r="H74" s="5">
        <v>71688.236286452418</v>
      </c>
      <c r="I74" s="5">
        <v>106577.23628645242</v>
      </c>
      <c r="J74" s="69"/>
      <c r="K74" s="69"/>
      <c r="L74" s="69"/>
    </row>
    <row r="75" spans="1:12" x14ac:dyDescent="0.2">
      <c r="A75" s="29" t="s">
        <v>60</v>
      </c>
      <c r="B75" s="58">
        <v>608531</v>
      </c>
      <c r="C75" s="58">
        <v>3087148</v>
      </c>
      <c r="D75" s="58">
        <v>3695679</v>
      </c>
      <c r="E75" s="54"/>
      <c r="F75" s="29" t="s">
        <v>60</v>
      </c>
      <c r="G75" s="58">
        <v>720316</v>
      </c>
      <c r="H75" s="58">
        <v>2954003.0000000005</v>
      </c>
      <c r="I75" s="58">
        <v>3674319</v>
      </c>
      <c r="J75" s="69"/>
      <c r="K75" s="69"/>
      <c r="L75" s="69"/>
    </row>
    <row r="76" spans="1:12" x14ac:dyDescent="0.2">
      <c r="A76" s="3" t="s">
        <v>1010</v>
      </c>
      <c r="D76" s="3"/>
      <c r="E76" s="3"/>
      <c r="F76" s="6" t="s">
        <v>1010</v>
      </c>
      <c r="G76" s="6"/>
      <c r="H76" s="6"/>
      <c r="I76" s="3"/>
      <c r="K76" s="69"/>
      <c r="L76" s="69"/>
    </row>
    <row r="77" spans="1:12" x14ac:dyDescent="0.2">
      <c r="D77" s="3"/>
      <c r="E77" s="3"/>
      <c r="F77" s="6"/>
      <c r="G77" s="6"/>
      <c r="H77" s="6"/>
      <c r="I77" s="3"/>
      <c r="K77" s="69"/>
      <c r="L77" s="69"/>
    </row>
    <row r="78" spans="1:12" x14ac:dyDescent="0.2">
      <c r="A78" s="7" t="s">
        <v>295</v>
      </c>
      <c r="D78" s="3"/>
      <c r="F78" s="7" t="s">
        <v>296</v>
      </c>
      <c r="G78" s="6"/>
      <c r="H78" s="6"/>
      <c r="I78" s="3"/>
      <c r="K78" s="69"/>
      <c r="L78" s="69"/>
    </row>
    <row r="79" spans="1:12" x14ac:dyDescent="0.2">
      <c r="A79" s="148" t="s">
        <v>1052</v>
      </c>
      <c r="B79" s="148"/>
      <c r="C79" s="148"/>
      <c r="D79" s="148"/>
      <c r="F79" s="148" t="s">
        <v>1053</v>
      </c>
      <c r="G79" s="148"/>
      <c r="H79" s="148"/>
      <c r="I79" s="148"/>
      <c r="K79" s="69"/>
      <c r="L79" s="69"/>
    </row>
    <row r="80" spans="1:12" x14ac:dyDescent="0.2">
      <c r="A80" s="8" t="s">
        <v>207</v>
      </c>
      <c r="B80" s="44" t="s">
        <v>237</v>
      </c>
      <c r="C80" s="44" t="s">
        <v>238</v>
      </c>
      <c r="D80" s="44" t="s">
        <v>64</v>
      </c>
      <c r="F80" s="8" t="s">
        <v>207</v>
      </c>
      <c r="G80" s="44" t="s">
        <v>237</v>
      </c>
      <c r="H80" s="44" t="s">
        <v>238</v>
      </c>
      <c r="I80" s="44" t="s">
        <v>64</v>
      </c>
      <c r="K80" s="69"/>
      <c r="L80" s="69"/>
    </row>
    <row r="81" spans="1:12" x14ac:dyDescent="0.2">
      <c r="A81" s="31" t="s">
        <v>9</v>
      </c>
      <c r="B81" s="4">
        <v>356237.17902088934</v>
      </c>
      <c r="C81" s="4">
        <v>1687413</v>
      </c>
      <c r="D81" s="4">
        <v>2043650.1790208893</v>
      </c>
      <c r="E81" s="54"/>
      <c r="F81" s="31" t="s">
        <v>9</v>
      </c>
      <c r="G81" s="4">
        <v>466470.92556274234</v>
      </c>
      <c r="H81" s="4">
        <v>1714111.6641939254</v>
      </c>
      <c r="I81" s="4">
        <v>2180582.5897566676</v>
      </c>
      <c r="J81" s="69"/>
      <c r="K81" s="69"/>
      <c r="L81" s="69"/>
    </row>
    <row r="82" spans="1:12" x14ac:dyDescent="0.2">
      <c r="A82" s="31" t="s">
        <v>10</v>
      </c>
      <c r="B82" s="5">
        <v>132429.88360650814</v>
      </c>
      <c r="C82" s="5">
        <v>722726</v>
      </c>
      <c r="D82" s="5">
        <v>855155.88360650814</v>
      </c>
      <c r="E82" s="54"/>
      <c r="F82" s="31" t="s">
        <v>10</v>
      </c>
      <c r="G82" s="5">
        <v>98664.850540594605</v>
      </c>
      <c r="H82" s="5">
        <v>500646.37486497045</v>
      </c>
      <c r="I82" s="5">
        <v>599311.225405565</v>
      </c>
      <c r="J82" s="69"/>
      <c r="K82" s="69"/>
      <c r="L82" s="69"/>
    </row>
    <row r="83" spans="1:12" ht="15" customHeight="1" x14ac:dyDescent="0.2">
      <c r="A83" s="31" t="s">
        <v>11</v>
      </c>
      <c r="B83" s="5">
        <v>10195.92454335796</v>
      </c>
      <c r="C83" s="5">
        <v>46751</v>
      </c>
      <c r="D83" s="5">
        <v>56946.924543357956</v>
      </c>
      <c r="E83" s="54"/>
      <c r="F83" s="31" t="s">
        <v>11</v>
      </c>
      <c r="G83" s="5">
        <v>16801.900128599598</v>
      </c>
      <c r="H83" s="5">
        <v>61944.757393932552</v>
      </c>
      <c r="I83" s="5">
        <v>78746.657522532158</v>
      </c>
      <c r="J83" s="69"/>
      <c r="K83" s="69"/>
      <c r="L83" s="69"/>
    </row>
    <row r="84" spans="1:12" ht="15" customHeight="1" x14ac:dyDescent="0.2">
      <c r="A84" s="31" t="s">
        <v>12</v>
      </c>
      <c r="B84" s="5">
        <v>15634.325044870697</v>
      </c>
      <c r="C84" s="5">
        <v>127576</v>
      </c>
      <c r="D84" s="5">
        <v>143210.3250448707</v>
      </c>
      <c r="E84" s="54"/>
      <c r="F84" s="31" t="s">
        <v>12</v>
      </c>
      <c r="G84" s="5">
        <v>28944.616927517458</v>
      </c>
      <c r="H84" s="5">
        <v>199994.10923943884</v>
      </c>
      <c r="I84" s="5">
        <v>228938.7261669563</v>
      </c>
      <c r="J84" s="69"/>
      <c r="K84" s="69"/>
      <c r="L84" s="69"/>
    </row>
    <row r="85" spans="1:12" ht="15" customHeight="1" x14ac:dyDescent="0.2">
      <c r="A85" s="31" t="s">
        <v>13</v>
      </c>
      <c r="B85" s="5">
        <v>3504.2566011269018</v>
      </c>
      <c r="C85" s="5">
        <v>12301</v>
      </c>
      <c r="D85" s="5">
        <v>15805.256601126903</v>
      </c>
      <c r="E85" s="54"/>
      <c r="F85" s="31" t="s">
        <v>13</v>
      </c>
      <c r="G85" s="5">
        <v>4779.3014488888039</v>
      </c>
      <c r="H85" s="5">
        <v>21592.588543068618</v>
      </c>
      <c r="I85" s="5">
        <v>26371.889991957421</v>
      </c>
      <c r="J85" s="69"/>
      <c r="K85" s="69"/>
      <c r="L85" s="69"/>
    </row>
    <row r="86" spans="1:12" ht="15" customHeight="1" x14ac:dyDescent="0.2">
      <c r="A86" s="31" t="s">
        <v>230</v>
      </c>
      <c r="B86" s="5">
        <v>4551.665929036516</v>
      </c>
      <c r="C86" s="5">
        <v>36466</v>
      </c>
      <c r="D86" s="5">
        <v>41017.665929036513</v>
      </c>
      <c r="E86" s="54"/>
      <c r="F86" s="31" t="s">
        <v>230</v>
      </c>
      <c r="G86" s="5">
        <v>8265.5332139421007</v>
      </c>
      <c r="H86" s="5">
        <v>38382.0410367441</v>
      </c>
      <c r="I86" s="5">
        <v>46647.574250686201</v>
      </c>
      <c r="J86" s="69"/>
      <c r="K86" s="69"/>
      <c r="L86" s="69"/>
    </row>
    <row r="87" spans="1:12" ht="15" customHeight="1" x14ac:dyDescent="0.2">
      <c r="A87" s="31" t="s">
        <v>231</v>
      </c>
      <c r="B87" s="5">
        <v>9466.6449366127836</v>
      </c>
      <c r="C87" s="5">
        <v>30258</v>
      </c>
      <c r="D87" s="5">
        <v>39724.644936612785</v>
      </c>
      <c r="E87" s="54"/>
      <c r="F87" s="31" t="s">
        <v>231</v>
      </c>
      <c r="G87" s="5">
        <v>15935.755582651438</v>
      </c>
      <c r="H87" s="5">
        <v>50165.47518517662</v>
      </c>
      <c r="I87" s="5">
        <v>66101.230767828063</v>
      </c>
      <c r="J87" s="69"/>
      <c r="K87" s="69"/>
      <c r="L87" s="69"/>
    </row>
    <row r="88" spans="1:12" ht="15" customHeight="1" x14ac:dyDescent="0.2">
      <c r="A88" s="31" t="s">
        <v>232</v>
      </c>
      <c r="B88" s="5">
        <v>7146.7570423249799</v>
      </c>
      <c r="C88" s="5">
        <v>39483</v>
      </c>
      <c r="D88" s="5">
        <v>46629.757042324978</v>
      </c>
      <c r="E88" s="54"/>
      <c r="F88" s="31" t="s">
        <v>232</v>
      </c>
      <c r="G88" s="5">
        <v>7145.4718976537715</v>
      </c>
      <c r="H88" s="5">
        <v>34137.921323990697</v>
      </c>
      <c r="I88" s="5">
        <v>41283.393221644466</v>
      </c>
      <c r="J88" s="69"/>
      <c r="K88" s="69"/>
      <c r="L88" s="69"/>
    </row>
    <row r="89" spans="1:12" ht="15" customHeight="1" x14ac:dyDescent="0.2">
      <c r="A89" s="31" t="s">
        <v>233</v>
      </c>
      <c r="B89" s="5">
        <v>11562.007571397377</v>
      </c>
      <c r="C89" s="5">
        <v>50499</v>
      </c>
      <c r="D89" s="5">
        <v>62061.007571397378</v>
      </c>
      <c r="E89" s="54"/>
      <c r="F89" s="31" t="s">
        <v>233</v>
      </c>
      <c r="G89" s="5">
        <v>18987.107785514923</v>
      </c>
      <c r="H89" s="5">
        <v>77926.162819338657</v>
      </c>
      <c r="I89" s="5">
        <v>96913.270604853577</v>
      </c>
      <c r="J89" s="69"/>
      <c r="K89" s="69"/>
      <c r="L89" s="69"/>
    </row>
    <row r="90" spans="1:12" ht="15" customHeight="1" x14ac:dyDescent="0.2">
      <c r="A90" s="31" t="s">
        <v>987</v>
      </c>
      <c r="B90" s="5">
        <v>15957.900861533615</v>
      </c>
      <c r="C90" s="5">
        <v>101125</v>
      </c>
      <c r="D90" s="5">
        <v>117082.90086153362</v>
      </c>
      <c r="E90" s="54"/>
      <c r="F90" s="31" t="s">
        <v>987</v>
      </c>
      <c r="G90" s="5">
        <v>10966.736058374692</v>
      </c>
      <c r="H90" s="5">
        <v>53426.437066350591</v>
      </c>
      <c r="I90" s="5">
        <v>64393.173124725283</v>
      </c>
      <c r="J90" s="69"/>
      <c r="K90" s="69"/>
      <c r="L90" s="69"/>
    </row>
    <row r="91" spans="1:12" ht="15" customHeight="1" x14ac:dyDescent="0.2">
      <c r="A91" s="31" t="s">
        <v>31</v>
      </c>
      <c r="B91" s="5">
        <v>41844.4548423417</v>
      </c>
      <c r="C91" s="5">
        <v>232550</v>
      </c>
      <c r="D91" s="5">
        <v>274394.45484234171</v>
      </c>
      <c r="E91" s="54"/>
      <c r="F91" s="31" t="s">
        <v>31</v>
      </c>
      <c r="G91" s="5">
        <v>43353.800853520297</v>
      </c>
      <c r="H91" s="5">
        <v>201675.46833306344</v>
      </c>
      <c r="I91" s="5">
        <v>245029.26918658376</v>
      </c>
      <c r="J91" s="69"/>
      <c r="K91" s="69"/>
      <c r="L91" s="69"/>
    </row>
    <row r="92" spans="1:12" ht="15" customHeight="1" x14ac:dyDescent="0.2">
      <c r="A92" s="29" t="s">
        <v>60</v>
      </c>
      <c r="B92" s="58">
        <v>608531</v>
      </c>
      <c r="C92" s="58">
        <v>3087148</v>
      </c>
      <c r="D92" s="58">
        <v>3695679</v>
      </c>
      <c r="E92" s="54"/>
      <c r="F92" s="29" t="s">
        <v>60</v>
      </c>
      <c r="G92" s="58">
        <v>720316.00000000012</v>
      </c>
      <c r="H92" s="58">
        <v>2954003.0000000005</v>
      </c>
      <c r="I92" s="58">
        <v>3674318.9999999995</v>
      </c>
      <c r="J92" s="69"/>
      <c r="K92" s="69"/>
      <c r="L92" s="69"/>
    </row>
    <row r="93" spans="1:12" ht="15" customHeight="1" x14ac:dyDescent="0.2">
      <c r="A93" s="3" t="s">
        <v>1010</v>
      </c>
      <c r="B93" s="54"/>
      <c r="C93" s="54"/>
      <c r="F93" s="3" t="s">
        <v>1010</v>
      </c>
    </row>
    <row r="94" spans="1:12" ht="15" customHeight="1" x14ac:dyDescent="0.2"/>
    <row r="95" spans="1:12" ht="15" customHeight="1" x14ac:dyDescent="0.2"/>
    <row r="96" spans="1:12" ht="15" customHeight="1" x14ac:dyDescent="0.2"/>
    <row r="97" spans="2:9" ht="15" customHeight="1" x14ac:dyDescent="0.2"/>
    <row r="98" spans="2:9" ht="15" customHeight="1" x14ac:dyDescent="0.2"/>
    <row r="99" spans="2:9" ht="15" customHeight="1" x14ac:dyDescent="0.2"/>
    <row r="100" spans="2:9" ht="15" customHeight="1" x14ac:dyDescent="0.2"/>
    <row r="101" spans="2:9" ht="15" customHeight="1" x14ac:dyDescent="0.2"/>
    <row r="102" spans="2:9" ht="15" customHeight="1" x14ac:dyDescent="0.2"/>
    <row r="103" spans="2:9" ht="15" customHeight="1" x14ac:dyDescent="0.2"/>
    <row r="104" spans="2:9" ht="15" customHeight="1" x14ac:dyDescent="0.2"/>
    <row r="105" spans="2:9" ht="15" customHeight="1" x14ac:dyDescent="0.2">
      <c r="B105" s="3"/>
      <c r="C105" s="3"/>
      <c r="D105" s="3"/>
      <c r="E105" s="3"/>
      <c r="I105" s="3"/>
    </row>
    <row r="106" spans="2:9" ht="15" customHeight="1" x14ac:dyDescent="0.2">
      <c r="B106" s="3"/>
      <c r="C106" s="3"/>
      <c r="D106" s="3"/>
      <c r="E106" s="3"/>
      <c r="I106" s="3"/>
    </row>
    <row r="107" spans="2:9" ht="15" customHeight="1" x14ac:dyDescent="0.2">
      <c r="B107" s="3"/>
      <c r="C107" s="3"/>
      <c r="D107" s="3"/>
      <c r="E107" s="3"/>
      <c r="I107" s="3"/>
    </row>
    <row r="108" spans="2:9" ht="15" customHeight="1" x14ac:dyDescent="0.2">
      <c r="B108" s="3"/>
      <c r="C108" s="3"/>
      <c r="D108" s="3"/>
      <c r="E108" s="3"/>
      <c r="I108" s="3"/>
    </row>
    <row r="109" spans="2:9" ht="15" customHeight="1" x14ac:dyDescent="0.2">
      <c r="B109" s="3"/>
      <c r="C109" s="3"/>
      <c r="D109" s="3"/>
      <c r="E109" s="3"/>
      <c r="I109" s="3"/>
    </row>
    <row r="110" spans="2:9" ht="15" customHeight="1" x14ac:dyDescent="0.2">
      <c r="B110" s="3"/>
      <c r="C110" s="3"/>
      <c r="D110" s="3"/>
      <c r="E110" s="3"/>
      <c r="I110" s="3"/>
    </row>
    <row r="111" spans="2:9" ht="15" customHeight="1" x14ac:dyDescent="0.2">
      <c r="B111" s="3"/>
      <c r="C111" s="3"/>
      <c r="D111" s="3"/>
      <c r="E111" s="3"/>
      <c r="I111" s="3"/>
    </row>
    <row r="112" spans="2:9" ht="15" customHeight="1" x14ac:dyDescent="0.2">
      <c r="B112" s="3"/>
      <c r="C112" s="3"/>
      <c r="D112" s="3"/>
      <c r="E112" s="3"/>
      <c r="I112" s="3"/>
    </row>
    <row r="113" s="3" customFormat="1" ht="15" customHeight="1" x14ac:dyDescent="0.2"/>
    <row r="114" s="3" customFormat="1" ht="15" customHeight="1" x14ac:dyDescent="0.2"/>
    <row r="115" s="3" customFormat="1" ht="15" customHeight="1" x14ac:dyDescent="0.2"/>
    <row r="116" s="3" customFormat="1" ht="15" customHeight="1" x14ac:dyDescent="0.2"/>
    <row r="117" s="3" customFormat="1" ht="15" customHeight="1" x14ac:dyDescent="0.2"/>
    <row r="118" s="3" customFormat="1" ht="15" customHeight="1" x14ac:dyDescent="0.2"/>
    <row r="119" s="3" customFormat="1" ht="15" customHeight="1" x14ac:dyDescent="0.2"/>
    <row r="120" s="3" customFormat="1" ht="15" customHeight="1" x14ac:dyDescent="0.2"/>
    <row r="121" s="3" customFormat="1" ht="15" customHeight="1" x14ac:dyDescent="0.2"/>
    <row r="122" s="3" customFormat="1" ht="15" customHeight="1" x14ac:dyDescent="0.2"/>
    <row r="123" s="3" customFormat="1" ht="15" customHeight="1" x14ac:dyDescent="0.2"/>
    <row r="124" s="3" customFormat="1" ht="15" customHeight="1" x14ac:dyDescent="0.2"/>
    <row r="125" s="3" customFormat="1" ht="15" customHeight="1" x14ac:dyDescent="0.2"/>
    <row r="126" s="3" customFormat="1" ht="15" customHeight="1" x14ac:dyDescent="0.2"/>
    <row r="127" s="3" customFormat="1" ht="15" customHeight="1" x14ac:dyDescent="0.2"/>
    <row r="128" s="3" customFormat="1" ht="15" customHeight="1" x14ac:dyDescent="0.2"/>
    <row r="129" s="3" customFormat="1" ht="15" customHeight="1" x14ac:dyDescent="0.2"/>
    <row r="130" s="3" customFormat="1" ht="15" customHeight="1" x14ac:dyDescent="0.2"/>
    <row r="131" s="3" customFormat="1" ht="15" customHeight="1" x14ac:dyDescent="0.2"/>
    <row r="132" s="3" customFormat="1" ht="15" customHeight="1" x14ac:dyDescent="0.2"/>
    <row r="133" s="3" customFormat="1" ht="15" customHeight="1" x14ac:dyDescent="0.2"/>
    <row r="134" s="3" customFormat="1" ht="15" customHeight="1" x14ac:dyDescent="0.2"/>
    <row r="135" s="3" customFormat="1" ht="15" customHeight="1" x14ac:dyDescent="0.2"/>
    <row r="136" s="3" customFormat="1" ht="15" customHeight="1" x14ac:dyDescent="0.2"/>
    <row r="137" s="3" customFormat="1" ht="15" customHeight="1" x14ac:dyDescent="0.2"/>
    <row r="138" s="3" customFormat="1" ht="15" customHeight="1" x14ac:dyDescent="0.2"/>
    <row r="139" s="3" customFormat="1" ht="15" customHeight="1" x14ac:dyDescent="0.2"/>
    <row r="140" s="3" customFormat="1" ht="15" customHeight="1" x14ac:dyDescent="0.2"/>
    <row r="141" s="3" customFormat="1" ht="15" customHeight="1" x14ac:dyDescent="0.2"/>
    <row r="142" s="3" customFormat="1" ht="15" customHeight="1" x14ac:dyDescent="0.2"/>
    <row r="143" s="3" customFormat="1" ht="15" customHeight="1" x14ac:dyDescent="0.2"/>
    <row r="144" s="3" customFormat="1" ht="15" customHeight="1" x14ac:dyDescent="0.2"/>
    <row r="145" s="3" customFormat="1" ht="15" customHeight="1" x14ac:dyDescent="0.2"/>
    <row r="146" s="3" customFormat="1" ht="15" customHeight="1" x14ac:dyDescent="0.2"/>
    <row r="147" s="3" customFormat="1" ht="15" customHeight="1" x14ac:dyDescent="0.2"/>
    <row r="148" s="3" customFormat="1" ht="15" customHeight="1" x14ac:dyDescent="0.2"/>
    <row r="149" s="3" customFormat="1" ht="15" customHeight="1" x14ac:dyDescent="0.2"/>
    <row r="150" s="3" customFormat="1" ht="15" customHeight="1" x14ac:dyDescent="0.2"/>
    <row r="151" s="3" customFormat="1" ht="15" customHeight="1" x14ac:dyDescent="0.2"/>
    <row r="152" s="3" customFormat="1" ht="15" customHeight="1" x14ac:dyDescent="0.2"/>
    <row r="153" s="3" customFormat="1" ht="15" customHeight="1" x14ac:dyDescent="0.2"/>
    <row r="154" s="3" customFormat="1" ht="15" customHeight="1" x14ac:dyDescent="0.2"/>
    <row r="155" s="3" customFormat="1" ht="15" customHeight="1" x14ac:dyDescent="0.2"/>
    <row r="156" s="3" customFormat="1" ht="15" customHeight="1" x14ac:dyDescent="0.2"/>
    <row r="157" s="3" customFormat="1" ht="15" customHeight="1" x14ac:dyDescent="0.2"/>
    <row r="158" s="3" customFormat="1" ht="15" customHeight="1" x14ac:dyDescent="0.2"/>
    <row r="159" s="3" customFormat="1" ht="15" customHeight="1" x14ac:dyDescent="0.2"/>
    <row r="160" s="3" customFormat="1" ht="15" customHeight="1" x14ac:dyDescent="0.2"/>
    <row r="161" s="3" customFormat="1" ht="15" customHeight="1" x14ac:dyDescent="0.2"/>
    <row r="162" s="3" customFormat="1" ht="15" customHeight="1" x14ac:dyDescent="0.2"/>
    <row r="163" s="3" customFormat="1" ht="15" customHeight="1" x14ac:dyDescent="0.2"/>
    <row r="164" s="3" customFormat="1" ht="15" customHeight="1" x14ac:dyDescent="0.2"/>
    <row r="165" s="3" customFormat="1" ht="15" customHeight="1" x14ac:dyDescent="0.2"/>
    <row r="166" s="3" customFormat="1" ht="15" customHeight="1" x14ac:dyDescent="0.2"/>
    <row r="167" s="3" customFormat="1" ht="15" customHeight="1" x14ac:dyDescent="0.2"/>
    <row r="168" s="3" customFormat="1" ht="15" customHeight="1" x14ac:dyDescent="0.2"/>
    <row r="814" s="3" customFormat="1" ht="15" customHeight="1" x14ac:dyDescent="0.2"/>
    <row r="815" s="3" customFormat="1" ht="15" customHeight="1" x14ac:dyDescent="0.2"/>
    <row r="816" s="3" customFormat="1" ht="15" customHeight="1" x14ac:dyDescent="0.2"/>
    <row r="817" s="3" customFormat="1" ht="15" customHeight="1" x14ac:dyDescent="0.2"/>
    <row r="818" s="3" customFormat="1" ht="15" customHeight="1" x14ac:dyDescent="0.2"/>
    <row r="819" s="3" customFormat="1" ht="15" customHeight="1" x14ac:dyDescent="0.2"/>
    <row r="820" s="3" customFormat="1" ht="15" customHeight="1" x14ac:dyDescent="0.2"/>
    <row r="821" s="3" customFormat="1" ht="15" customHeight="1" x14ac:dyDescent="0.2"/>
    <row r="822" s="3" customFormat="1" ht="15" customHeight="1" x14ac:dyDescent="0.2"/>
    <row r="823" s="3" customFormat="1" ht="15" customHeight="1" x14ac:dyDescent="0.2"/>
    <row r="824" s="3" customFormat="1" ht="15" customHeight="1" x14ac:dyDescent="0.2"/>
    <row r="825" s="3" customFormat="1" ht="15" customHeight="1" x14ac:dyDescent="0.2"/>
    <row r="826" s="3" customFormat="1" ht="15" customHeight="1" x14ac:dyDescent="0.2"/>
  </sheetData>
  <mergeCells count="14">
    <mergeCell ref="A79:D79"/>
    <mergeCell ref="F79:I79"/>
    <mergeCell ref="A4:D4"/>
    <mergeCell ref="A12:D12"/>
    <mergeCell ref="F12:I12"/>
    <mergeCell ref="F20:I20"/>
    <mergeCell ref="A20:D20"/>
    <mergeCell ref="A33:D33"/>
    <mergeCell ref="F33:I33"/>
    <mergeCell ref="A50:D50"/>
    <mergeCell ref="A58:D58"/>
    <mergeCell ref="F58:I58"/>
    <mergeCell ref="F66:I66"/>
    <mergeCell ref="A66:D6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716"/>
  <sheetViews>
    <sheetView showGridLines="0" zoomScale="90" zoomScaleNormal="90" workbookViewId="0"/>
  </sheetViews>
  <sheetFormatPr baseColWidth="10" defaultColWidth="33.140625" defaultRowHeight="12.75" x14ac:dyDescent="0.2"/>
  <cols>
    <col min="1" max="1" width="40.7109375" style="3" customWidth="1"/>
    <col min="2" max="2" width="15.7109375" style="3" customWidth="1"/>
    <col min="3" max="4" width="15.7109375" style="6" customWidth="1"/>
    <col min="5" max="5" width="9.140625" style="3" customWidth="1"/>
    <col min="6" max="6" width="40.7109375" style="3" customWidth="1"/>
    <col min="7" max="9" width="15.7109375" style="3" customWidth="1"/>
    <col min="10" max="10" width="8.7109375" style="3" customWidth="1"/>
    <col min="11" max="16384" width="33.140625" style="3"/>
  </cols>
  <sheetData>
    <row r="1" spans="1:10" ht="18.75" x14ac:dyDescent="0.3">
      <c r="A1" s="1" t="s">
        <v>297</v>
      </c>
      <c r="B1" s="1"/>
    </row>
    <row r="2" spans="1:10" x14ac:dyDescent="0.2">
      <c r="A2" s="7"/>
      <c r="B2" s="7"/>
    </row>
    <row r="3" spans="1:10" x14ac:dyDescent="0.2">
      <c r="A3" s="7" t="s">
        <v>298</v>
      </c>
      <c r="B3" s="7"/>
      <c r="F3" s="7" t="s">
        <v>299</v>
      </c>
      <c r="G3" s="7"/>
      <c r="H3" s="6"/>
      <c r="I3" s="6"/>
    </row>
    <row r="4" spans="1:10" x14ac:dyDescent="0.2">
      <c r="A4" s="148" t="s">
        <v>469</v>
      </c>
      <c r="B4" s="148"/>
      <c r="C4" s="148"/>
      <c r="D4" s="148"/>
      <c r="F4" s="148" t="s">
        <v>470</v>
      </c>
      <c r="G4" s="148"/>
      <c r="H4" s="148"/>
      <c r="I4" s="148"/>
    </row>
    <row r="5" spans="1:10" x14ac:dyDescent="0.2">
      <c r="A5" s="8" t="s">
        <v>300</v>
      </c>
      <c r="B5" s="8" t="s">
        <v>0</v>
      </c>
      <c r="C5" s="8" t="s">
        <v>1</v>
      </c>
      <c r="D5" s="8" t="s">
        <v>59</v>
      </c>
      <c r="F5" s="8" t="s">
        <v>300</v>
      </c>
      <c r="G5" s="8" t="s">
        <v>0</v>
      </c>
      <c r="H5" s="8" t="s">
        <v>1</v>
      </c>
      <c r="I5" s="8" t="s">
        <v>59</v>
      </c>
    </row>
    <row r="6" spans="1:10" x14ac:dyDescent="0.2">
      <c r="A6" s="29" t="s">
        <v>301</v>
      </c>
      <c r="B6" s="15">
        <v>399563</v>
      </c>
      <c r="C6" s="15">
        <v>77139</v>
      </c>
      <c r="D6" s="15">
        <v>476702</v>
      </c>
      <c r="E6" s="69"/>
      <c r="F6" s="87" t="s">
        <v>301</v>
      </c>
      <c r="G6" s="88">
        <v>7637747</v>
      </c>
      <c r="H6" s="88">
        <v>1385451</v>
      </c>
      <c r="I6" s="88">
        <v>9023198</v>
      </c>
      <c r="J6" s="69"/>
    </row>
    <row r="7" spans="1:10" x14ac:dyDescent="0.2">
      <c r="E7" s="69"/>
      <c r="H7" s="6"/>
      <c r="I7" s="6"/>
      <c r="J7" s="69"/>
    </row>
    <row r="8" spans="1:10" x14ac:dyDescent="0.2">
      <c r="E8" s="69"/>
      <c r="H8" s="6"/>
      <c r="I8" s="6"/>
      <c r="J8" s="69"/>
    </row>
    <row r="9" spans="1:10" x14ac:dyDescent="0.2">
      <c r="A9" s="7" t="s">
        <v>302</v>
      </c>
      <c r="B9" s="7"/>
      <c r="E9" s="69"/>
      <c r="F9" s="7" t="s">
        <v>303</v>
      </c>
      <c r="G9" s="7"/>
      <c r="H9" s="6"/>
      <c r="I9" s="6"/>
      <c r="J9" s="69"/>
    </row>
    <row r="10" spans="1:10" ht="24.75" customHeight="1" x14ac:dyDescent="0.2">
      <c r="A10" s="148" t="s">
        <v>471</v>
      </c>
      <c r="B10" s="148"/>
      <c r="C10" s="148"/>
      <c r="D10" s="148"/>
      <c r="E10" s="69"/>
      <c r="F10" s="148" t="s">
        <v>472</v>
      </c>
      <c r="G10" s="148"/>
      <c r="H10" s="148"/>
      <c r="I10" s="148"/>
      <c r="J10" s="69"/>
    </row>
    <row r="11" spans="1:10" x14ac:dyDescent="0.2">
      <c r="A11" s="44" t="s">
        <v>66</v>
      </c>
      <c r="B11" s="44" t="s">
        <v>0</v>
      </c>
      <c r="C11" s="44" t="s">
        <v>1</v>
      </c>
      <c r="D11" s="44" t="s">
        <v>59</v>
      </c>
      <c r="E11" s="69"/>
      <c r="F11" s="44" t="s">
        <v>66</v>
      </c>
      <c r="G11" s="44" t="s">
        <v>0</v>
      </c>
      <c r="H11" s="44" t="s">
        <v>1</v>
      </c>
      <c r="I11" s="44" t="s">
        <v>59</v>
      </c>
      <c r="J11" s="69"/>
    </row>
    <row r="12" spans="1:10" x14ac:dyDescent="0.2">
      <c r="A12" s="22" t="s">
        <v>5</v>
      </c>
      <c r="B12" s="5">
        <v>89835</v>
      </c>
      <c r="C12" s="4">
        <v>24987</v>
      </c>
      <c r="D12" s="4">
        <v>114822</v>
      </c>
      <c r="E12" s="69"/>
      <c r="F12" s="22" t="s">
        <v>5</v>
      </c>
      <c r="G12" s="5">
        <v>1727275</v>
      </c>
      <c r="H12" s="4">
        <v>444085</v>
      </c>
      <c r="I12" s="4">
        <v>2171360</v>
      </c>
      <c r="J12" s="69"/>
    </row>
    <row r="13" spans="1:10" x14ac:dyDescent="0.2">
      <c r="A13" s="25" t="s">
        <v>6</v>
      </c>
      <c r="B13" s="5">
        <v>309728</v>
      </c>
      <c r="C13" s="5">
        <v>52152</v>
      </c>
      <c r="D13" s="5">
        <v>361880</v>
      </c>
      <c r="E13" s="69"/>
      <c r="F13" s="25" t="s">
        <v>6</v>
      </c>
      <c r="G13" s="5">
        <v>5910472</v>
      </c>
      <c r="H13" s="5">
        <v>941366</v>
      </c>
      <c r="I13" s="5">
        <v>6851838</v>
      </c>
      <c r="J13" s="69"/>
    </row>
    <row r="14" spans="1:10" x14ac:dyDescent="0.2">
      <c r="A14" s="29" t="s">
        <v>60</v>
      </c>
      <c r="B14" s="58">
        <v>399563</v>
      </c>
      <c r="C14" s="58">
        <v>77139</v>
      </c>
      <c r="D14" s="58">
        <v>476702</v>
      </c>
      <c r="E14" s="69"/>
      <c r="F14" s="29" t="s">
        <v>60</v>
      </c>
      <c r="G14" s="58">
        <v>7637747</v>
      </c>
      <c r="H14" s="58">
        <v>1385451</v>
      </c>
      <c r="I14" s="58">
        <v>9023198</v>
      </c>
      <c r="J14" s="69"/>
    </row>
    <row r="15" spans="1:10" x14ac:dyDescent="0.2">
      <c r="E15" s="69"/>
      <c r="H15" s="6"/>
      <c r="I15" s="6"/>
      <c r="J15" s="69"/>
    </row>
    <row r="16" spans="1:10" x14ac:dyDescent="0.2">
      <c r="E16" s="69"/>
      <c r="H16" s="6"/>
      <c r="I16" s="6"/>
      <c r="J16" s="69"/>
    </row>
    <row r="17" spans="1:10" x14ac:dyDescent="0.2">
      <c r="A17" s="7" t="s">
        <v>304</v>
      </c>
      <c r="B17" s="7"/>
      <c r="E17" s="69"/>
      <c r="F17" s="7" t="s">
        <v>305</v>
      </c>
      <c r="G17" s="7"/>
      <c r="H17" s="6"/>
      <c r="I17" s="6"/>
      <c r="J17" s="69"/>
    </row>
    <row r="18" spans="1:10" ht="24.75" customHeight="1" x14ac:dyDescent="0.2">
      <c r="A18" s="148" t="s">
        <v>473</v>
      </c>
      <c r="B18" s="148"/>
      <c r="C18" s="148"/>
      <c r="D18" s="148"/>
      <c r="E18" s="69"/>
      <c r="F18" s="148" t="s">
        <v>474</v>
      </c>
      <c r="G18" s="148"/>
      <c r="H18" s="148"/>
      <c r="I18" s="148"/>
      <c r="J18" s="69"/>
    </row>
    <row r="19" spans="1:10" x14ac:dyDescent="0.2">
      <c r="A19" s="24" t="s">
        <v>67</v>
      </c>
      <c r="B19" s="44" t="s">
        <v>0</v>
      </c>
      <c r="C19" s="44" t="s">
        <v>1</v>
      </c>
      <c r="D19" s="44" t="s">
        <v>59</v>
      </c>
      <c r="E19" s="69"/>
      <c r="F19" s="24" t="s">
        <v>67</v>
      </c>
      <c r="G19" s="44" t="s">
        <v>306</v>
      </c>
      <c r="H19" s="44" t="s">
        <v>1</v>
      </c>
      <c r="I19" s="44" t="s">
        <v>59</v>
      </c>
      <c r="J19" s="69"/>
    </row>
    <row r="20" spans="1:10" x14ac:dyDescent="0.2">
      <c r="A20" s="22" t="s">
        <v>53</v>
      </c>
      <c r="B20" s="4">
        <v>1352</v>
      </c>
      <c r="C20" s="4">
        <v>55</v>
      </c>
      <c r="D20" s="4">
        <v>1407</v>
      </c>
      <c r="E20" s="69"/>
      <c r="F20" s="22" t="s">
        <v>53</v>
      </c>
      <c r="G20" s="4">
        <v>20189</v>
      </c>
      <c r="H20" s="4">
        <v>872</v>
      </c>
      <c r="I20" s="4">
        <v>21061</v>
      </c>
      <c r="J20" s="69"/>
    </row>
    <row r="21" spans="1:10" x14ac:dyDescent="0.2">
      <c r="A21" s="25" t="s">
        <v>2</v>
      </c>
      <c r="B21" s="5">
        <v>27801</v>
      </c>
      <c r="C21" s="5">
        <v>1787</v>
      </c>
      <c r="D21" s="5">
        <v>29588</v>
      </c>
      <c r="E21" s="69"/>
      <c r="F21" s="25" t="s">
        <v>2</v>
      </c>
      <c r="G21" s="5">
        <v>483899</v>
      </c>
      <c r="H21" s="5">
        <v>28644</v>
      </c>
      <c r="I21" s="5">
        <v>512543</v>
      </c>
      <c r="J21" s="69"/>
    </row>
    <row r="22" spans="1:10" x14ac:dyDescent="0.2">
      <c r="A22" s="25" t="s">
        <v>54</v>
      </c>
      <c r="B22" s="5">
        <v>138636</v>
      </c>
      <c r="C22" s="5">
        <v>25494</v>
      </c>
      <c r="D22" s="5">
        <v>164130</v>
      </c>
      <c r="E22" s="69"/>
      <c r="F22" s="25" t="s">
        <v>54</v>
      </c>
      <c r="G22" s="5">
        <v>2627619</v>
      </c>
      <c r="H22" s="5">
        <v>453175</v>
      </c>
      <c r="I22" s="5">
        <v>3080794</v>
      </c>
      <c r="J22" s="69"/>
    </row>
    <row r="23" spans="1:10" x14ac:dyDescent="0.2">
      <c r="A23" s="25" t="s">
        <v>55</v>
      </c>
      <c r="B23" s="5">
        <v>110590</v>
      </c>
      <c r="C23" s="5">
        <v>24738</v>
      </c>
      <c r="D23" s="5">
        <v>135328</v>
      </c>
      <c r="E23" s="69"/>
      <c r="F23" s="25" t="s">
        <v>55</v>
      </c>
      <c r="G23" s="5">
        <v>2104206</v>
      </c>
      <c r="H23" s="5">
        <v>441318</v>
      </c>
      <c r="I23" s="5">
        <v>2545524</v>
      </c>
      <c r="J23" s="69"/>
    </row>
    <row r="24" spans="1:10" x14ac:dyDescent="0.2">
      <c r="A24" s="25" t="s">
        <v>56</v>
      </c>
      <c r="B24" s="5">
        <v>70153</v>
      </c>
      <c r="C24" s="5">
        <v>14071</v>
      </c>
      <c r="D24" s="5">
        <v>84224</v>
      </c>
      <c r="E24" s="69"/>
      <c r="F24" s="25" t="s">
        <v>56</v>
      </c>
      <c r="G24" s="5">
        <v>1336472</v>
      </c>
      <c r="H24" s="5">
        <v>250578</v>
      </c>
      <c r="I24" s="5">
        <v>1587050</v>
      </c>
      <c r="J24" s="69"/>
    </row>
    <row r="25" spans="1:10" x14ac:dyDescent="0.2">
      <c r="A25" s="25" t="s">
        <v>57</v>
      </c>
      <c r="B25" s="5">
        <v>43396</v>
      </c>
      <c r="C25" s="5">
        <v>9795</v>
      </c>
      <c r="D25" s="5">
        <v>53191</v>
      </c>
      <c r="E25" s="69"/>
      <c r="F25" s="25" t="s">
        <v>57</v>
      </c>
      <c r="G25" s="5">
        <v>902827</v>
      </c>
      <c r="H25" s="5">
        <v>187513</v>
      </c>
      <c r="I25" s="5">
        <v>1090340</v>
      </c>
      <c r="J25" s="69"/>
    </row>
    <row r="26" spans="1:10" x14ac:dyDescent="0.2">
      <c r="A26" s="25" t="s">
        <v>3</v>
      </c>
      <c r="B26" s="5">
        <v>7635</v>
      </c>
      <c r="C26" s="5">
        <v>1199</v>
      </c>
      <c r="D26" s="5">
        <v>8834</v>
      </c>
      <c r="E26" s="69"/>
      <c r="F26" s="25" t="s">
        <v>3</v>
      </c>
      <c r="G26" s="5">
        <v>162535</v>
      </c>
      <c r="H26" s="5">
        <v>23351</v>
      </c>
      <c r="I26" s="5">
        <v>185886</v>
      </c>
      <c r="J26" s="69"/>
    </row>
    <row r="27" spans="1:10" x14ac:dyDescent="0.2">
      <c r="A27" s="29" t="s">
        <v>60</v>
      </c>
      <c r="B27" s="58">
        <v>399563</v>
      </c>
      <c r="C27" s="58">
        <v>77139</v>
      </c>
      <c r="D27" s="58">
        <v>476702</v>
      </c>
      <c r="E27" s="69"/>
      <c r="F27" s="29" t="s">
        <v>60</v>
      </c>
      <c r="G27" s="58">
        <v>7637747</v>
      </c>
      <c r="H27" s="58">
        <v>1385451</v>
      </c>
      <c r="I27" s="58">
        <v>9023198</v>
      </c>
      <c r="J27" s="69"/>
    </row>
    <row r="28" spans="1:10" x14ac:dyDescent="0.2">
      <c r="E28" s="69"/>
      <c r="J28" s="69"/>
    </row>
    <row r="29" spans="1:10" x14ac:dyDescent="0.2">
      <c r="E29" s="69"/>
      <c r="J29" s="69"/>
    </row>
    <row r="30" spans="1:10" ht="15" customHeight="1" x14ac:dyDescent="0.2">
      <c r="A30" s="7" t="s">
        <v>307</v>
      </c>
      <c r="B30" s="7"/>
      <c r="E30" s="69"/>
      <c r="F30" s="7" t="s">
        <v>308</v>
      </c>
      <c r="G30" s="7"/>
      <c r="H30" s="6"/>
      <c r="I30" s="6"/>
      <c r="J30" s="69"/>
    </row>
    <row r="31" spans="1:10" ht="27.75" customHeight="1" x14ac:dyDescent="0.2">
      <c r="A31" s="148" t="s">
        <v>475</v>
      </c>
      <c r="B31" s="148"/>
      <c r="C31" s="148"/>
      <c r="D31" s="148"/>
      <c r="E31" s="69"/>
      <c r="F31" s="148" t="s">
        <v>476</v>
      </c>
      <c r="G31" s="148"/>
      <c r="H31" s="148"/>
      <c r="I31" s="148"/>
      <c r="J31" s="69"/>
    </row>
    <row r="32" spans="1:10" ht="15" customHeight="1" x14ac:dyDescent="0.2">
      <c r="A32" s="24" t="s">
        <v>513</v>
      </c>
      <c r="B32" s="24" t="s">
        <v>0</v>
      </c>
      <c r="C32" s="24" t="s">
        <v>1</v>
      </c>
      <c r="D32" s="24" t="s">
        <v>59</v>
      </c>
      <c r="E32" s="69"/>
      <c r="F32" s="24" t="s">
        <v>513</v>
      </c>
      <c r="G32" s="24" t="s">
        <v>0</v>
      </c>
      <c r="H32" s="24" t="s">
        <v>1</v>
      </c>
      <c r="I32" s="24" t="s">
        <v>59</v>
      </c>
      <c r="J32" s="69"/>
    </row>
    <row r="33" spans="1:10" ht="15" customHeight="1" x14ac:dyDescent="0.2">
      <c r="A33" s="89" t="s">
        <v>310</v>
      </c>
      <c r="B33" s="88">
        <v>8129</v>
      </c>
      <c r="C33" s="88">
        <v>1480</v>
      </c>
      <c r="D33" s="88">
        <v>9609</v>
      </c>
      <c r="E33" s="69"/>
      <c r="F33" s="89" t="s">
        <v>310</v>
      </c>
      <c r="G33" s="88">
        <v>162514</v>
      </c>
      <c r="H33" s="88">
        <v>24428</v>
      </c>
      <c r="I33" s="88">
        <v>186942</v>
      </c>
      <c r="J33" s="69"/>
    </row>
    <row r="34" spans="1:10" ht="15" customHeight="1" x14ac:dyDescent="0.2">
      <c r="E34" s="69"/>
      <c r="H34" s="6"/>
      <c r="I34" s="6"/>
      <c r="J34" s="69"/>
    </row>
    <row r="35" spans="1:10" ht="15" customHeight="1" x14ac:dyDescent="0.2">
      <c r="E35" s="69"/>
      <c r="H35" s="6"/>
      <c r="I35" s="6"/>
      <c r="J35" s="69"/>
    </row>
    <row r="36" spans="1:10" ht="15" customHeight="1" x14ac:dyDescent="0.2">
      <c r="A36" s="7" t="s">
        <v>311</v>
      </c>
      <c r="B36" s="7"/>
      <c r="E36" s="69"/>
      <c r="F36" s="7" t="s">
        <v>312</v>
      </c>
      <c r="G36" s="7"/>
      <c r="H36" s="6"/>
      <c r="I36" s="6"/>
      <c r="J36" s="69"/>
    </row>
    <row r="37" spans="1:10" ht="26.25" customHeight="1" x14ac:dyDescent="0.2">
      <c r="A37" s="148" t="s">
        <v>478</v>
      </c>
      <c r="B37" s="148"/>
      <c r="C37" s="148"/>
      <c r="D37" s="148"/>
      <c r="E37" s="69"/>
      <c r="F37" s="148" t="s">
        <v>477</v>
      </c>
      <c r="G37" s="148"/>
      <c r="H37" s="148"/>
      <c r="I37" s="148"/>
      <c r="J37" s="69"/>
    </row>
    <row r="38" spans="1:10" ht="15" customHeight="1" x14ac:dyDescent="0.2">
      <c r="A38" s="44" t="s">
        <v>66</v>
      </c>
      <c r="B38" s="44" t="s">
        <v>0</v>
      </c>
      <c r="C38" s="44" t="s">
        <v>1</v>
      </c>
      <c r="D38" s="44" t="s">
        <v>59</v>
      </c>
      <c r="E38" s="69"/>
      <c r="F38" s="44" t="s">
        <v>66</v>
      </c>
      <c r="G38" s="44" t="s">
        <v>0</v>
      </c>
      <c r="H38" s="44" t="s">
        <v>1</v>
      </c>
      <c r="I38" s="44" t="s">
        <v>59</v>
      </c>
      <c r="J38" s="69"/>
    </row>
    <row r="39" spans="1:10" x14ac:dyDescent="0.2">
      <c r="A39" s="22" t="s">
        <v>5</v>
      </c>
      <c r="B39" s="4">
        <v>1930</v>
      </c>
      <c r="C39" s="4">
        <v>385</v>
      </c>
      <c r="D39" s="4">
        <v>2315</v>
      </c>
      <c r="E39" s="69"/>
      <c r="F39" s="22" t="s">
        <v>5</v>
      </c>
      <c r="G39" s="4">
        <v>40467</v>
      </c>
      <c r="H39" s="4">
        <v>6787</v>
      </c>
      <c r="I39" s="4">
        <v>47254</v>
      </c>
      <c r="J39" s="69"/>
    </row>
    <row r="40" spans="1:10" x14ac:dyDescent="0.2">
      <c r="A40" s="25" t="s">
        <v>6</v>
      </c>
      <c r="B40" s="5">
        <v>6199</v>
      </c>
      <c r="C40" s="5">
        <v>1095</v>
      </c>
      <c r="D40" s="5">
        <v>7294</v>
      </c>
      <c r="E40" s="69"/>
      <c r="F40" s="25" t="s">
        <v>6</v>
      </c>
      <c r="G40" s="5">
        <v>122047</v>
      </c>
      <c r="H40" s="5">
        <v>17641</v>
      </c>
      <c r="I40" s="5">
        <v>139688</v>
      </c>
      <c r="J40" s="69"/>
    </row>
    <row r="41" spans="1:10" x14ac:dyDescent="0.2">
      <c r="A41" s="29" t="s">
        <v>60</v>
      </c>
      <c r="B41" s="58">
        <v>8129</v>
      </c>
      <c r="C41" s="58">
        <v>1480</v>
      </c>
      <c r="D41" s="58">
        <v>9609</v>
      </c>
      <c r="E41" s="69"/>
      <c r="F41" s="29" t="s">
        <v>60</v>
      </c>
      <c r="G41" s="58">
        <v>162514</v>
      </c>
      <c r="H41" s="58">
        <v>24428</v>
      </c>
      <c r="I41" s="58">
        <v>186942</v>
      </c>
      <c r="J41" s="69"/>
    </row>
    <row r="42" spans="1:10" ht="15" customHeight="1" x14ac:dyDescent="0.2">
      <c r="E42" s="69"/>
      <c r="H42" s="6"/>
      <c r="I42" s="6"/>
      <c r="J42" s="69"/>
    </row>
    <row r="43" spans="1:10" ht="15" customHeight="1" x14ac:dyDescent="0.2">
      <c r="E43" s="69"/>
      <c r="H43" s="6"/>
      <c r="I43" s="6"/>
      <c r="J43" s="69"/>
    </row>
    <row r="44" spans="1:10" ht="15" customHeight="1" x14ac:dyDescent="0.2">
      <c r="A44" s="7" t="s">
        <v>313</v>
      </c>
      <c r="B44" s="7"/>
      <c r="E44" s="69"/>
      <c r="F44" s="7" t="s">
        <v>314</v>
      </c>
      <c r="G44" s="7"/>
      <c r="H44" s="6"/>
      <c r="I44" s="6"/>
      <c r="J44" s="69"/>
    </row>
    <row r="45" spans="1:10" ht="26.25" customHeight="1" x14ac:dyDescent="0.2">
      <c r="A45" s="148" t="s">
        <v>479</v>
      </c>
      <c r="B45" s="148"/>
      <c r="C45" s="148"/>
      <c r="D45" s="148"/>
      <c r="E45" s="69"/>
      <c r="F45" s="148" t="s">
        <v>480</v>
      </c>
      <c r="G45" s="148"/>
      <c r="H45" s="148"/>
      <c r="I45" s="148"/>
      <c r="J45" s="69"/>
    </row>
    <row r="46" spans="1:10" ht="15" customHeight="1" x14ac:dyDescent="0.2">
      <c r="A46" s="24" t="s">
        <v>67</v>
      </c>
      <c r="B46" s="44" t="s">
        <v>0</v>
      </c>
      <c r="C46" s="44" t="s">
        <v>1</v>
      </c>
      <c r="D46" s="44" t="s">
        <v>59</v>
      </c>
      <c r="E46" s="69"/>
      <c r="F46" s="24" t="s">
        <v>67</v>
      </c>
      <c r="G46" s="44" t="s">
        <v>0</v>
      </c>
      <c r="H46" s="44" t="s">
        <v>1</v>
      </c>
      <c r="I46" s="44" t="s">
        <v>59</v>
      </c>
      <c r="J46" s="69"/>
    </row>
    <row r="47" spans="1:10" x14ac:dyDescent="0.2">
      <c r="A47" s="22" t="s">
        <v>53</v>
      </c>
      <c r="B47" s="4">
        <v>9</v>
      </c>
      <c r="C47" s="117">
        <v>0</v>
      </c>
      <c r="D47" s="4">
        <v>9</v>
      </c>
      <c r="E47" s="69"/>
      <c r="F47" s="22" t="s">
        <v>53</v>
      </c>
      <c r="G47" s="4">
        <v>143</v>
      </c>
      <c r="H47" s="117">
        <v>0</v>
      </c>
      <c r="I47" s="4">
        <v>143</v>
      </c>
      <c r="J47" s="69"/>
    </row>
    <row r="48" spans="1:10" x14ac:dyDescent="0.2">
      <c r="A48" s="25" t="s">
        <v>2</v>
      </c>
      <c r="B48" s="5">
        <v>126</v>
      </c>
      <c r="C48" s="5">
        <v>14</v>
      </c>
      <c r="D48" s="5">
        <v>140</v>
      </c>
      <c r="E48" s="69"/>
      <c r="F48" s="25" t="s">
        <v>2</v>
      </c>
      <c r="G48" s="5">
        <v>1852</v>
      </c>
      <c r="H48" s="5">
        <v>220</v>
      </c>
      <c r="I48" s="5">
        <v>2072</v>
      </c>
      <c r="J48" s="69"/>
    </row>
    <row r="49" spans="1:10" x14ac:dyDescent="0.2">
      <c r="A49" s="25" t="s">
        <v>54</v>
      </c>
      <c r="B49" s="5">
        <v>1051</v>
      </c>
      <c r="C49" s="5">
        <v>211</v>
      </c>
      <c r="D49" s="5">
        <v>1262</v>
      </c>
      <c r="E49" s="69"/>
      <c r="F49" s="25" t="s">
        <v>54</v>
      </c>
      <c r="G49" s="5">
        <v>19258</v>
      </c>
      <c r="H49" s="5">
        <v>3777</v>
      </c>
      <c r="I49" s="5">
        <v>23035</v>
      </c>
      <c r="J49" s="69"/>
    </row>
    <row r="50" spans="1:10" x14ac:dyDescent="0.2">
      <c r="A50" s="25" t="s">
        <v>55</v>
      </c>
      <c r="B50" s="5">
        <v>1778</v>
      </c>
      <c r="C50" s="5">
        <v>356</v>
      </c>
      <c r="D50" s="5">
        <v>2134</v>
      </c>
      <c r="E50" s="69"/>
      <c r="F50" s="25" t="s">
        <v>55</v>
      </c>
      <c r="G50" s="5">
        <v>34095</v>
      </c>
      <c r="H50" s="5">
        <v>5271</v>
      </c>
      <c r="I50" s="5">
        <v>39366</v>
      </c>
      <c r="J50" s="69"/>
    </row>
    <row r="51" spans="1:10" x14ac:dyDescent="0.2">
      <c r="A51" s="25" t="s">
        <v>56</v>
      </c>
      <c r="B51" s="5">
        <v>2901</v>
      </c>
      <c r="C51" s="5">
        <v>472</v>
      </c>
      <c r="D51" s="5">
        <v>3373</v>
      </c>
      <c r="E51" s="69"/>
      <c r="F51" s="25" t="s">
        <v>56</v>
      </c>
      <c r="G51" s="5">
        <v>59892</v>
      </c>
      <c r="H51" s="5">
        <v>7843</v>
      </c>
      <c r="I51" s="5">
        <v>67735</v>
      </c>
      <c r="J51" s="69"/>
    </row>
    <row r="52" spans="1:10" x14ac:dyDescent="0.2">
      <c r="A52" s="25" t="s">
        <v>57</v>
      </c>
      <c r="B52" s="5">
        <v>1977</v>
      </c>
      <c r="C52" s="5">
        <v>370</v>
      </c>
      <c r="D52" s="5">
        <v>2347</v>
      </c>
      <c r="E52" s="69"/>
      <c r="F52" s="25" t="s">
        <v>57</v>
      </c>
      <c r="G52" s="5">
        <v>40880</v>
      </c>
      <c r="H52" s="5">
        <v>6053</v>
      </c>
      <c r="I52" s="5">
        <v>46933</v>
      </c>
      <c r="J52" s="69"/>
    </row>
    <row r="53" spans="1:10" x14ac:dyDescent="0.2">
      <c r="A53" s="25" t="s">
        <v>3</v>
      </c>
      <c r="B53" s="5">
        <v>287</v>
      </c>
      <c r="C53" s="5">
        <v>57</v>
      </c>
      <c r="D53" s="5">
        <v>344</v>
      </c>
      <c r="E53" s="69"/>
      <c r="F53" s="25" t="s">
        <v>3</v>
      </c>
      <c r="G53" s="5">
        <v>6394</v>
      </c>
      <c r="H53" s="5">
        <v>1264</v>
      </c>
      <c r="I53" s="5">
        <v>7658</v>
      </c>
      <c r="J53" s="69"/>
    </row>
    <row r="54" spans="1:10" x14ac:dyDescent="0.2">
      <c r="A54" s="29" t="s">
        <v>60</v>
      </c>
      <c r="B54" s="58">
        <v>8129</v>
      </c>
      <c r="C54" s="58">
        <v>1480</v>
      </c>
      <c r="D54" s="58">
        <v>9609</v>
      </c>
      <c r="E54" s="69"/>
      <c r="F54" s="29" t="s">
        <v>60</v>
      </c>
      <c r="G54" s="58">
        <v>162514</v>
      </c>
      <c r="H54" s="58">
        <v>24428</v>
      </c>
      <c r="I54" s="58">
        <v>186942</v>
      </c>
      <c r="J54" s="69"/>
    </row>
    <row r="55" spans="1:10" ht="15" customHeight="1" x14ac:dyDescent="0.2">
      <c r="E55" s="69"/>
      <c r="J55" s="69"/>
    </row>
    <row r="56" spans="1:10" ht="15" customHeight="1" x14ac:dyDescent="0.2">
      <c r="E56" s="69"/>
      <c r="J56" s="69"/>
    </row>
    <row r="57" spans="1:10" ht="15" customHeight="1" x14ac:dyDescent="0.2">
      <c r="A57" s="7" t="s">
        <v>728</v>
      </c>
      <c r="B57" s="7"/>
      <c r="E57" s="69"/>
      <c r="F57" s="7" t="s">
        <v>729</v>
      </c>
      <c r="G57" s="7"/>
      <c r="H57" s="6"/>
      <c r="I57" s="6"/>
      <c r="J57" s="69"/>
    </row>
    <row r="58" spans="1:10" ht="26.25" customHeight="1" x14ac:dyDescent="0.2">
      <c r="A58" s="148" t="s">
        <v>481</v>
      </c>
      <c r="B58" s="148"/>
      <c r="C58" s="148"/>
      <c r="D58" s="148"/>
      <c r="E58" s="69"/>
      <c r="F58" s="148" t="s">
        <v>482</v>
      </c>
      <c r="G58" s="148"/>
      <c r="H58" s="148"/>
      <c r="I58" s="148"/>
      <c r="J58" s="69"/>
    </row>
    <row r="59" spans="1:10" ht="15" customHeight="1" x14ac:dyDescent="0.2">
      <c r="A59" s="24" t="s">
        <v>315</v>
      </c>
      <c r="B59" s="24" t="s">
        <v>0</v>
      </c>
      <c r="C59" s="24" t="s">
        <v>1</v>
      </c>
      <c r="D59" s="24" t="s">
        <v>59</v>
      </c>
      <c r="E59" s="69"/>
      <c r="F59" s="24" t="s">
        <v>315</v>
      </c>
      <c r="G59" s="24" t="s">
        <v>0</v>
      </c>
      <c r="H59" s="24" t="s">
        <v>1</v>
      </c>
      <c r="I59" s="24" t="s">
        <v>59</v>
      </c>
      <c r="J59" s="69"/>
    </row>
    <row r="60" spans="1:10" ht="15" customHeight="1" x14ac:dyDescent="0.2">
      <c r="A60" s="87" t="s">
        <v>316</v>
      </c>
      <c r="B60" s="88">
        <v>10471</v>
      </c>
      <c r="C60" s="88">
        <v>448</v>
      </c>
      <c r="D60" s="88">
        <v>10919</v>
      </c>
      <c r="E60" s="69"/>
      <c r="F60" s="87" t="s">
        <v>316</v>
      </c>
      <c r="G60" s="88">
        <v>340731</v>
      </c>
      <c r="H60" s="88">
        <v>10749</v>
      </c>
      <c r="I60" s="88">
        <v>351480</v>
      </c>
      <c r="J60" s="69"/>
    </row>
    <row r="61" spans="1:10" x14ac:dyDescent="0.2">
      <c r="E61" s="69"/>
      <c r="H61" s="6"/>
      <c r="I61" s="6"/>
      <c r="J61" s="69"/>
    </row>
    <row r="62" spans="1:10" x14ac:dyDescent="0.2">
      <c r="E62" s="69"/>
      <c r="H62" s="6"/>
      <c r="I62" s="6"/>
      <c r="J62" s="69"/>
    </row>
    <row r="63" spans="1:10" x14ac:dyDescent="0.2">
      <c r="A63" s="7" t="s">
        <v>730</v>
      </c>
      <c r="B63" s="7"/>
      <c r="E63" s="69"/>
      <c r="F63" s="7" t="s">
        <v>731</v>
      </c>
      <c r="G63" s="7"/>
      <c r="H63" s="6"/>
      <c r="I63" s="6"/>
      <c r="J63" s="69"/>
    </row>
    <row r="64" spans="1:10" ht="22.5" customHeight="1" x14ac:dyDescent="0.2">
      <c r="A64" s="148" t="s">
        <v>483</v>
      </c>
      <c r="B64" s="148"/>
      <c r="C64" s="148"/>
      <c r="D64" s="148"/>
      <c r="E64" s="69"/>
      <c r="F64" s="148" t="s">
        <v>484</v>
      </c>
      <c r="G64" s="148"/>
      <c r="H64" s="148"/>
      <c r="I64" s="148"/>
      <c r="J64" s="69"/>
    </row>
    <row r="65" spans="1:10" x14ac:dyDescent="0.2">
      <c r="A65" s="44" t="s">
        <v>66</v>
      </c>
      <c r="B65" s="44" t="s">
        <v>0</v>
      </c>
      <c r="C65" s="44" t="s">
        <v>1</v>
      </c>
      <c r="D65" s="44" t="s">
        <v>59</v>
      </c>
      <c r="E65" s="69"/>
      <c r="F65" s="44" t="s">
        <v>66</v>
      </c>
      <c r="G65" s="44" t="s">
        <v>0</v>
      </c>
      <c r="H65" s="44" t="s">
        <v>1</v>
      </c>
      <c r="I65" s="44" t="s">
        <v>59</v>
      </c>
      <c r="J65" s="69"/>
    </row>
    <row r="66" spans="1:10" x14ac:dyDescent="0.2">
      <c r="A66" s="22" t="s">
        <v>5</v>
      </c>
      <c r="B66" s="4">
        <v>7460</v>
      </c>
      <c r="C66" s="4">
        <v>300</v>
      </c>
      <c r="D66" s="4">
        <v>7760</v>
      </c>
      <c r="E66" s="69"/>
      <c r="F66" s="22" t="s">
        <v>5</v>
      </c>
      <c r="G66" s="4">
        <v>245236</v>
      </c>
      <c r="H66" s="4">
        <v>7261</v>
      </c>
      <c r="I66" s="4">
        <v>252497</v>
      </c>
      <c r="J66" s="69"/>
    </row>
    <row r="67" spans="1:10" x14ac:dyDescent="0.2">
      <c r="A67" s="25" t="s">
        <v>6</v>
      </c>
      <c r="B67" s="5">
        <v>3011</v>
      </c>
      <c r="C67" s="5">
        <v>148</v>
      </c>
      <c r="D67" s="5">
        <v>3159</v>
      </c>
      <c r="E67" s="69"/>
      <c r="F67" s="25" t="s">
        <v>6</v>
      </c>
      <c r="G67" s="5">
        <v>95495</v>
      </c>
      <c r="H67" s="5">
        <v>3488</v>
      </c>
      <c r="I67" s="5">
        <v>98983</v>
      </c>
      <c r="J67" s="69"/>
    </row>
    <row r="68" spans="1:10" x14ac:dyDescent="0.2">
      <c r="A68" s="29" t="s">
        <v>60</v>
      </c>
      <c r="B68" s="58">
        <v>10471</v>
      </c>
      <c r="C68" s="58">
        <v>448</v>
      </c>
      <c r="D68" s="58">
        <v>10919</v>
      </c>
      <c r="E68" s="69"/>
      <c r="F68" s="29" t="s">
        <v>60</v>
      </c>
      <c r="G68" s="58">
        <v>340731</v>
      </c>
      <c r="H68" s="58">
        <v>10749</v>
      </c>
      <c r="I68" s="58">
        <v>351480</v>
      </c>
      <c r="J68" s="69"/>
    </row>
    <row r="69" spans="1:10" x14ac:dyDescent="0.2">
      <c r="E69" s="69"/>
      <c r="H69" s="6"/>
      <c r="I69" s="6"/>
      <c r="J69" s="69"/>
    </row>
    <row r="70" spans="1:10" x14ac:dyDescent="0.2">
      <c r="E70" s="69"/>
      <c r="H70" s="6"/>
      <c r="I70" s="6"/>
      <c r="J70" s="69"/>
    </row>
    <row r="71" spans="1:10" x14ac:dyDescent="0.2">
      <c r="A71" s="7" t="s">
        <v>726</v>
      </c>
      <c r="B71" s="7"/>
      <c r="E71" s="69"/>
      <c r="F71" s="7" t="s">
        <v>727</v>
      </c>
      <c r="G71" s="7"/>
      <c r="H71" s="6"/>
      <c r="I71" s="6"/>
      <c r="J71" s="69"/>
    </row>
    <row r="72" spans="1:10" ht="22.5" customHeight="1" x14ac:dyDescent="0.2">
      <c r="A72" s="148" t="s">
        <v>486</v>
      </c>
      <c r="B72" s="148"/>
      <c r="C72" s="148"/>
      <c r="D72" s="148"/>
      <c r="E72" s="69"/>
      <c r="F72" s="148" t="s">
        <v>485</v>
      </c>
      <c r="G72" s="148"/>
      <c r="H72" s="148"/>
      <c r="I72" s="148"/>
      <c r="J72" s="69"/>
    </row>
    <row r="73" spans="1:10" x14ac:dyDescent="0.2">
      <c r="A73" s="24" t="s">
        <v>67</v>
      </c>
      <c r="B73" s="44" t="s">
        <v>0</v>
      </c>
      <c r="C73" s="44" t="s">
        <v>1</v>
      </c>
      <c r="D73" s="44" t="s">
        <v>59</v>
      </c>
      <c r="E73" s="69"/>
      <c r="F73" s="24" t="s">
        <v>67</v>
      </c>
      <c r="G73" s="44" t="s">
        <v>0</v>
      </c>
      <c r="H73" s="44" t="s">
        <v>1</v>
      </c>
      <c r="I73" s="44" t="s">
        <v>59</v>
      </c>
      <c r="J73" s="69"/>
    </row>
    <row r="74" spans="1:10" x14ac:dyDescent="0.2">
      <c r="A74" s="22" t="s">
        <v>53</v>
      </c>
      <c r="B74" s="4">
        <v>13</v>
      </c>
      <c r="C74" s="117">
        <v>0</v>
      </c>
      <c r="D74" s="4">
        <v>13</v>
      </c>
      <c r="E74" s="69"/>
      <c r="F74" s="22" t="s">
        <v>53</v>
      </c>
      <c r="G74" s="4">
        <v>251</v>
      </c>
      <c r="H74" s="117">
        <v>0</v>
      </c>
      <c r="I74" s="4">
        <v>251</v>
      </c>
      <c r="J74" s="69"/>
    </row>
    <row r="75" spans="1:10" x14ac:dyDescent="0.2">
      <c r="A75" s="25" t="s">
        <v>2</v>
      </c>
      <c r="B75" s="5">
        <v>221</v>
      </c>
      <c r="C75" s="5">
        <v>11</v>
      </c>
      <c r="D75" s="5">
        <v>232</v>
      </c>
      <c r="E75" s="69"/>
      <c r="F75" s="25" t="s">
        <v>2</v>
      </c>
      <c r="G75" s="5">
        <v>6394</v>
      </c>
      <c r="H75" s="5">
        <v>191</v>
      </c>
      <c r="I75" s="5">
        <v>6585</v>
      </c>
      <c r="J75" s="69"/>
    </row>
    <row r="76" spans="1:10" x14ac:dyDescent="0.2">
      <c r="A76" s="25" t="s">
        <v>54</v>
      </c>
      <c r="B76" s="5">
        <v>1329</v>
      </c>
      <c r="C76" s="5">
        <v>74</v>
      </c>
      <c r="D76" s="5">
        <v>1403</v>
      </c>
      <c r="E76" s="69"/>
      <c r="F76" s="25" t="s">
        <v>54</v>
      </c>
      <c r="G76" s="5">
        <v>42078</v>
      </c>
      <c r="H76" s="5">
        <v>1823</v>
      </c>
      <c r="I76" s="5">
        <v>43901</v>
      </c>
      <c r="J76" s="69"/>
    </row>
    <row r="77" spans="1:10" x14ac:dyDescent="0.2">
      <c r="A77" s="25" t="s">
        <v>55</v>
      </c>
      <c r="B77" s="5">
        <v>1978</v>
      </c>
      <c r="C77" s="5">
        <v>87</v>
      </c>
      <c r="D77" s="5">
        <v>2065</v>
      </c>
      <c r="E77" s="69"/>
      <c r="F77" s="25" t="s">
        <v>55</v>
      </c>
      <c r="G77" s="5">
        <v>65512</v>
      </c>
      <c r="H77" s="5">
        <v>1759</v>
      </c>
      <c r="I77" s="5">
        <v>67271</v>
      </c>
      <c r="J77" s="69"/>
    </row>
    <row r="78" spans="1:10" x14ac:dyDescent="0.2">
      <c r="A78" s="25" t="s">
        <v>56</v>
      </c>
      <c r="B78" s="5">
        <v>2626</v>
      </c>
      <c r="C78" s="5">
        <v>96</v>
      </c>
      <c r="D78" s="5">
        <v>2722</v>
      </c>
      <c r="E78" s="69"/>
      <c r="F78" s="25" t="s">
        <v>56</v>
      </c>
      <c r="G78" s="5">
        <v>87037</v>
      </c>
      <c r="H78" s="5">
        <v>2310</v>
      </c>
      <c r="I78" s="5">
        <v>89347</v>
      </c>
      <c r="J78" s="69"/>
    </row>
    <row r="79" spans="1:10" x14ac:dyDescent="0.2">
      <c r="A79" s="25" t="s">
        <v>57</v>
      </c>
      <c r="B79" s="5">
        <v>2866</v>
      </c>
      <c r="C79" s="5">
        <v>131</v>
      </c>
      <c r="D79" s="5">
        <v>2997</v>
      </c>
      <c r="E79" s="69"/>
      <c r="F79" s="25" t="s">
        <v>57</v>
      </c>
      <c r="G79" s="5">
        <v>92747</v>
      </c>
      <c r="H79" s="5">
        <v>3504</v>
      </c>
      <c r="I79" s="5">
        <v>96251</v>
      </c>
      <c r="J79" s="69"/>
    </row>
    <row r="80" spans="1:10" x14ac:dyDescent="0.2">
      <c r="A80" s="25" t="s">
        <v>3</v>
      </c>
      <c r="B80" s="5">
        <v>1438</v>
      </c>
      <c r="C80" s="5">
        <v>49</v>
      </c>
      <c r="D80" s="5">
        <v>1487</v>
      </c>
      <c r="E80" s="69"/>
      <c r="F80" s="25" t="s">
        <v>3</v>
      </c>
      <c r="G80" s="5">
        <v>46712</v>
      </c>
      <c r="H80" s="5">
        <v>1162</v>
      </c>
      <c r="I80" s="5">
        <v>47874</v>
      </c>
      <c r="J80" s="69"/>
    </row>
    <row r="81" spans="1:10" x14ac:dyDescent="0.2">
      <c r="A81" s="29" t="s">
        <v>60</v>
      </c>
      <c r="B81" s="58">
        <v>10471</v>
      </c>
      <c r="C81" s="58">
        <v>448</v>
      </c>
      <c r="D81" s="58">
        <v>10919</v>
      </c>
      <c r="E81" s="69"/>
      <c r="F81" s="29" t="s">
        <v>60</v>
      </c>
      <c r="G81" s="58">
        <v>340731</v>
      </c>
      <c r="H81" s="58">
        <v>10749</v>
      </c>
      <c r="I81" s="58">
        <v>351480</v>
      </c>
      <c r="J81" s="69"/>
    </row>
    <row r="84" spans="1:10" x14ac:dyDescent="0.2">
      <c r="C84" s="3"/>
      <c r="D84" s="3"/>
    </row>
    <row r="85" spans="1:10" x14ac:dyDescent="0.2">
      <c r="C85" s="3"/>
      <c r="D85" s="3"/>
    </row>
    <row r="86" spans="1:10" x14ac:dyDescent="0.2">
      <c r="C86" s="3"/>
      <c r="D86" s="3"/>
    </row>
    <row r="87" spans="1:10" x14ac:dyDescent="0.2">
      <c r="C87" s="3"/>
      <c r="D87" s="3"/>
    </row>
    <row r="88" spans="1:10" x14ac:dyDescent="0.2">
      <c r="C88" s="3"/>
      <c r="D88" s="3"/>
    </row>
    <row r="89" spans="1:10" x14ac:dyDescent="0.2">
      <c r="C89" s="3"/>
      <c r="D89" s="3"/>
    </row>
    <row r="90" spans="1:10" x14ac:dyDescent="0.2">
      <c r="C90" s="3"/>
      <c r="D90" s="3"/>
    </row>
    <row r="91" spans="1:10" x14ac:dyDescent="0.2">
      <c r="C91" s="3"/>
      <c r="D91" s="3"/>
    </row>
    <row r="92" spans="1:10" x14ac:dyDescent="0.2">
      <c r="C92" s="3"/>
      <c r="D92" s="3"/>
    </row>
    <row r="93" spans="1:10" x14ac:dyDescent="0.2">
      <c r="C93" s="3"/>
      <c r="D93" s="3"/>
    </row>
    <row r="94" spans="1:10" x14ac:dyDescent="0.2">
      <c r="C94" s="3"/>
      <c r="D94" s="3"/>
    </row>
    <row r="95" spans="1:10" x14ac:dyDescent="0.2">
      <c r="C95" s="3"/>
      <c r="D95" s="3"/>
    </row>
    <row r="96" spans="1:10" x14ac:dyDescent="0.2">
      <c r="C96" s="3"/>
      <c r="D96" s="3"/>
    </row>
    <row r="97" s="3" customFormat="1" x14ac:dyDescent="0.2"/>
    <row r="98" s="3" customFormat="1" x14ac:dyDescent="0.2"/>
    <row r="99" s="3" customFormat="1" x14ac:dyDescent="0.2"/>
    <row r="100" s="3" customFormat="1" x14ac:dyDescent="0.2"/>
    <row r="101" s="3" customFormat="1" x14ac:dyDescent="0.2"/>
    <row r="102" s="3" customFormat="1" x14ac:dyDescent="0.2"/>
    <row r="103" s="3" customFormat="1" x14ac:dyDescent="0.2"/>
    <row r="104" s="3" customFormat="1" x14ac:dyDescent="0.2"/>
    <row r="105" s="3" customFormat="1" x14ac:dyDescent="0.2"/>
    <row r="106" s="3" customFormat="1" x14ac:dyDescent="0.2"/>
    <row r="107" s="3" customFormat="1" x14ac:dyDescent="0.2"/>
    <row r="108" s="3" customFormat="1" x14ac:dyDescent="0.2"/>
    <row r="109" s="3" customFormat="1" x14ac:dyDescent="0.2"/>
    <row r="110" s="3" customFormat="1" x14ac:dyDescent="0.2"/>
    <row r="111" s="3" customFormat="1" x14ac:dyDescent="0.2"/>
    <row r="112" s="3" customFormat="1" x14ac:dyDescent="0.2"/>
    <row r="704" s="3" customFormat="1" ht="15" customHeight="1" x14ac:dyDescent="0.2"/>
    <row r="705" s="3" customFormat="1" ht="15" customHeight="1" x14ac:dyDescent="0.2"/>
    <row r="706" s="3" customFormat="1" ht="15" customHeight="1" x14ac:dyDescent="0.2"/>
    <row r="707" s="3" customFormat="1" ht="15" customHeight="1" x14ac:dyDescent="0.2"/>
    <row r="708" s="3" customFormat="1" ht="15" customHeight="1" x14ac:dyDescent="0.2"/>
    <row r="709" s="3" customFormat="1" ht="15" customHeight="1" x14ac:dyDescent="0.2"/>
    <row r="710" s="3" customFormat="1" ht="15" customHeight="1" x14ac:dyDescent="0.2"/>
    <row r="711" s="3" customFormat="1" ht="15" customHeight="1" x14ac:dyDescent="0.2"/>
    <row r="712" s="3" customFormat="1" ht="15" customHeight="1" x14ac:dyDescent="0.2"/>
    <row r="713" s="3" customFormat="1" ht="15" customHeight="1" x14ac:dyDescent="0.2"/>
    <row r="714" s="3" customFormat="1" ht="15" customHeight="1" x14ac:dyDescent="0.2"/>
    <row r="715" s="3" customFormat="1" ht="15" customHeight="1" x14ac:dyDescent="0.2"/>
    <row r="716" s="3" customFormat="1" ht="15" customHeight="1" x14ac:dyDescent="0.2"/>
  </sheetData>
  <mergeCells count="18">
    <mergeCell ref="A58:D58"/>
    <mergeCell ref="F58:I58"/>
    <mergeCell ref="F64:I64"/>
    <mergeCell ref="A64:D64"/>
    <mergeCell ref="A72:D72"/>
    <mergeCell ref="F72:I72"/>
    <mergeCell ref="A31:D31"/>
    <mergeCell ref="F31:I31"/>
    <mergeCell ref="F37:I37"/>
    <mergeCell ref="A37:D37"/>
    <mergeCell ref="A45:D45"/>
    <mergeCell ref="F45:I45"/>
    <mergeCell ref="A4:D4"/>
    <mergeCell ref="F4:I4"/>
    <mergeCell ref="F10:I10"/>
    <mergeCell ref="A10:D10"/>
    <mergeCell ref="A18:D18"/>
    <mergeCell ref="F18:I18"/>
  </mergeCells>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625"/>
  <sheetViews>
    <sheetView showGridLines="0" zoomScale="90" zoomScaleNormal="90" workbookViewId="0"/>
  </sheetViews>
  <sheetFormatPr baseColWidth="10" defaultColWidth="33.140625" defaultRowHeight="12.75" x14ac:dyDescent="0.2"/>
  <cols>
    <col min="1" max="1" width="40.7109375" style="3" customWidth="1"/>
    <col min="2" max="2" width="15.7109375" style="3" customWidth="1"/>
    <col min="3" max="4" width="15.7109375" style="6" customWidth="1"/>
    <col min="5" max="5" width="9.7109375" style="3" customWidth="1"/>
    <col min="6" max="6" width="40.7109375" style="3" customWidth="1"/>
    <col min="7" max="9" width="15.7109375" style="3" customWidth="1"/>
    <col min="10" max="16384" width="33.140625" style="3"/>
  </cols>
  <sheetData>
    <row r="1" spans="1:10" ht="18.75" x14ac:dyDescent="0.3">
      <c r="A1" s="1" t="s">
        <v>317</v>
      </c>
      <c r="B1" s="1"/>
    </row>
    <row r="2" spans="1:10" x14ac:dyDescent="0.2">
      <c r="A2" s="7"/>
      <c r="B2" s="7"/>
    </row>
    <row r="3" spans="1:10" x14ac:dyDescent="0.2">
      <c r="A3" s="7" t="s">
        <v>318</v>
      </c>
      <c r="B3" s="7"/>
      <c r="F3" s="7" t="s">
        <v>319</v>
      </c>
      <c r="G3" s="7"/>
      <c r="H3" s="6"/>
      <c r="I3" s="6"/>
    </row>
    <row r="4" spans="1:10" x14ac:dyDescent="0.2">
      <c r="A4" s="148" t="s">
        <v>1054</v>
      </c>
      <c r="B4" s="148"/>
      <c r="C4" s="148"/>
      <c r="D4" s="148"/>
      <c r="F4" s="148" t="s">
        <v>1055</v>
      </c>
      <c r="G4" s="148"/>
      <c r="H4" s="148"/>
      <c r="I4" s="148"/>
    </row>
    <row r="5" spans="1:10" x14ac:dyDescent="0.2">
      <c r="A5" s="8" t="s">
        <v>300</v>
      </c>
      <c r="B5" s="8" t="s">
        <v>0</v>
      </c>
      <c r="C5" s="8" t="s">
        <v>1</v>
      </c>
      <c r="D5" s="8" t="s">
        <v>59</v>
      </c>
      <c r="F5" s="8" t="s">
        <v>300</v>
      </c>
      <c r="G5" s="8" t="s">
        <v>0</v>
      </c>
      <c r="H5" s="8" t="s">
        <v>1</v>
      </c>
      <c r="I5" s="8" t="s">
        <v>59</v>
      </c>
    </row>
    <row r="6" spans="1:10" x14ac:dyDescent="0.2">
      <c r="A6" s="87" t="s">
        <v>301</v>
      </c>
      <c r="B6" s="88">
        <v>340995</v>
      </c>
      <c r="C6" s="88">
        <v>51355.117252133095</v>
      </c>
      <c r="D6" s="88">
        <v>392350.11725213309</v>
      </c>
      <c r="E6" s="69"/>
      <c r="F6" s="87" t="s">
        <v>301</v>
      </c>
      <c r="G6" s="88">
        <v>6317279</v>
      </c>
      <c r="H6" s="88">
        <v>713081.67961948644</v>
      </c>
      <c r="I6" s="88">
        <v>7030360.6796194864</v>
      </c>
      <c r="J6" s="69"/>
    </row>
    <row r="7" spans="1:10" ht="23.25" customHeight="1" x14ac:dyDescent="0.2">
      <c r="A7" s="149" t="s">
        <v>1109</v>
      </c>
      <c r="B7" s="149"/>
      <c r="C7" s="149"/>
      <c r="D7" s="149"/>
      <c r="E7" s="69"/>
      <c r="F7" s="149" t="s">
        <v>1109</v>
      </c>
      <c r="G7" s="149"/>
      <c r="H7" s="149"/>
      <c r="I7" s="149"/>
      <c r="J7" s="69"/>
    </row>
    <row r="8" spans="1:10" x14ac:dyDescent="0.2">
      <c r="E8" s="69"/>
      <c r="H8" s="6"/>
      <c r="I8" s="6"/>
      <c r="J8" s="69"/>
    </row>
    <row r="9" spans="1:10" x14ac:dyDescent="0.2">
      <c r="A9" s="7" t="s">
        <v>320</v>
      </c>
      <c r="B9" s="7"/>
      <c r="E9" s="69"/>
      <c r="F9" s="7" t="s">
        <v>321</v>
      </c>
      <c r="G9" s="7"/>
      <c r="H9" s="6"/>
      <c r="I9" s="6"/>
      <c r="J9" s="69"/>
    </row>
    <row r="10" spans="1:10" ht="23.25" customHeight="1" x14ac:dyDescent="0.2">
      <c r="A10" s="148" t="s">
        <v>1056</v>
      </c>
      <c r="B10" s="148"/>
      <c r="C10" s="148"/>
      <c r="D10" s="148"/>
      <c r="E10" s="69"/>
      <c r="F10" s="148" t="s">
        <v>1057</v>
      </c>
      <c r="G10" s="148"/>
      <c r="H10" s="148"/>
      <c r="I10" s="148"/>
      <c r="J10" s="69"/>
    </row>
    <row r="11" spans="1:10" x14ac:dyDescent="0.2">
      <c r="A11" s="44" t="s">
        <v>66</v>
      </c>
      <c r="B11" s="44" t="s">
        <v>0</v>
      </c>
      <c r="C11" s="44" t="s">
        <v>1</v>
      </c>
      <c r="D11" s="44" t="s">
        <v>59</v>
      </c>
      <c r="E11" s="69"/>
      <c r="F11" s="44" t="s">
        <v>66</v>
      </c>
      <c r="G11" s="44" t="s">
        <v>0</v>
      </c>
      <c r="H11" s="44" t="s">
        <v>1</v>
      </c>
      <c r="I11" s="44" t="s">
        <v>59</v>
      </c>
      <c r="J11" s="69"/>
    </row>
    <row r="12" spans="1:10" x14ac:dyDescent="0.2">
      <c r="A12" s="22" t="s">
        <v>5</v>
      </c>
      <c r="B12" s="4">
        <v>79072</v>
      </c>
      <c r="C12" s="4">
        <v>17713.184165823801</v>
      </c>
      <c r="D12" s="4">
        <v>96785.184165823797</v>
      </c>
      <c r="E12" s="69"/>
      <c r="F12" s="22" t="s">
        <v>5</v>
      </c>
      <c r="G12" s="4">
        <v>1467841</v>
      </c>
      <c r="H12" s="4">
        <v>246717.2069310646</v>
      </c>
      <c r="I12" s="4">
        <v>1714558.2069310646</v>
      </c>
      <c r="J12" s="69"/>
    </row>
    <row r="13" spans="1:10" x14ac:dyDescent="0.2">
      <c r="A13" s="25" t="s">
        <v>6</v>
      </c>
      <c r="B13" s="5">
        <v>261923</v>
      </c>
      <c r="C13" s="5">
        <v>33641.933086309291</v>
      </c>
      <c r="D13" s="5">
        <v>295564.93308630929</v>
      </c>
      <c r="E13" s="69"/>
      <c r="F13" s="25" t="s">
        <v>6</v>
      </c>
      <c r="G13" s="5">
        <v>4849438</v>
      </c>
      <c r="H13" s="5">
        <v>466364.47268842178</v>
      </c>
      <c r="I13" s="5">
        <v>5315802.4726884216</v>
      </c>
      <c r="J13" s="69"/>
    </row>
    <row r="14" spans="1:10" x14ac:dyDescent="0.2">
      <c r="A14" s="29" t="s">
        <v>60</v>
      </c>
      <c r="B14" s="58">
        <v>340995</v>
      </c>
      <c r="C14" s="58">
        <v>51355.117252133088</v>
      </c>
      <c r="D14" s="58">
        <v>392350.11725213309</v>
      </c>
      <c r="E14" s="69"/>
      <c r="F14" s="29" t="s">
        <v>60</v>
      </c>
      <c r="G14" s="58">
        <v>6317279</v>
      </c>
      <c r="H14" s="58">
        <v>713081.67961948644</v>
      </c>
      <c r="I14" s="58">
        <v>7030360.6796194864</v>
      </c>
      <c r="J14" s="69"/>
    </row>
    <row r="15" spans="1:10" ht="25.5" customHeight="1" x14ac:dyDescent="0.2">
      <c r="A15" s="149" t="s">
        <v>1109</v>
      </c>
      <c r="B15" s="149"/>
      <c r="C15" s="149"/>
      <c r="D15" s="149"/>
      <c r="E15" s="69"/>
      <c r="F15" s="149" t="s">
        <v>1109</v>
      </c>
      <c r="G15" s="149"/>
      <c r="H15" s="149"/>
      <c r="I15" s="149"/>
      <c r="J15" s="69"/>
    </row>
    <row r="16" spans="1:10" x14ac:dyDescent="0.2">
      <c r="E16" s="69"/>
      <c r="H16" s="6"/>
      <c r="I16" s="6"/>
      <c r="J16" s="69"/>
    </row>
    <row r="17" spans="1:10" x14ac:dyDescent="0.2">
      <c r="A17" s="7" t="s">
        <v>322</v>
      </c>
      <c r="B17" s="7"/>
      <c r="E17" s="69"/>
      <c r="F17" s="7" t="s">
        <v>323</v>
      </c>
      <c r="G17" s="7"/>
      <c r="H17" s="6"/>
      <c r="I17" s="6"/>
      <c r="J17" s="69"/>
    </row>
    <row r="18" spans="1:10" ht="24" customHeight="1" x14ac:dyDescent="0.2">
      <c r="A18" s="148" t="s">
        <v>1059</v>
      </c>
      <c r="B18" s="148"/>
      <c r="C18" s="148"/>
      <c r="D18" s="148"/>
      <c r="E18" s="69"/>
      <c r="F18" s="148" t="s">
        <v>1058</v>
      </c>
      <c r="G18" s="148"/>
      <c r="H18" s="148"/>
      <c r="I18" s="148"/>
      <c r="J18" s="69"/>
    </row>
    <row r="19" spans="1:10" x14ac:dyDescent="0.2">
      <c r="A19" s="24" t="s">
        <v>67</v>
      </c>
      <c r="B19" s="44" t="s">
        <v>0</v>
      </c>
      <c r="C19" s="44" t="s">
        <v>1</v>
      </c>
      <c r="D19" s="44" t="s">
        <v>59</v>
      </c>
      <c r="E19" s="69"/>
      <c r="F19" s="24" t="s">
        <v>67</v>
      </c>
      <c r="G19" s="44" t="s">
        <v>0</v>
      </c>
      <c r="H19" s="44" t="s">
        <v>1</v>
      </c>
      <c r="I19" s="44" t="s">
        <v>59</v>
      </c>
      <c r="J19" s="69"/>
    </row>
    <row r="20" spans="1:10" x14ac:dyDescent="0.2">
      <c r="A20" s="22" t="s">
        <v>53</v>
      </c>
      <c r="B20" s="4">
        <v>1285</v>
      </c>
      <c r="C20" s="4">
        <v>42.356426191031922</v>
      </c>
      <c r="D20" s="4">
        <v>1327.3564261910319</v>
      </c>
      <c r="E20" s="69"/>
      <c r="F20" s="22" t="s">
        <v>53</v>
      </c>
      <c r="G20" s="4">
        <v>18231</v>
      </c>
      <c r="H20" s="4">
        <v>483.98106933893752</v>
      </c>
      <c r="I20" s="4">
        <v>18714.981069338937</v>
      </c>
      <c r="J20" s="69"/>
    </row>
    <row r="21" spans="1:10" x14ac:dyDescent="0.2">
      <c r="A21" s="25" t="s">
        <v>2</v>
      </c>
      <c r="B21" s="5">
        <v>24313</v>
      </c>
      <c r="C21" s="5">
        <v>1362.2373197567363</v>
      </c>
      <c r="D21" s="5">
        <v>25675.237319756736</v>
      </c>
      <c r="E21" s="69"/>
      <c r="F21" s="25" t="s">
        <v>2</v>
      </c>
      <c r="G21" s="5">
        <v>410394</v>
      </c>
      <c r="H21" s="5">
        <v>14442.435091864203</v>
      </c>
      <c r="I21" s="5">
        <v>424836.4350918642</v>
      </c>
      <c r="J21" s="69"/>
    </row>
    <row r="22" spans="1:10" x14ac:dyDescent="0.2">
      <c r="A22" s="25" t="s">
        <v>54</v>
      </c>
      <c r="B22" s="5">
        <v>117673</v>
      </c>
      <c r="C22" s="5">
        <v>16315.422101519749</v>
      </c>
      <c r="D22" s="5">
        <v>133988.42210151974</v>
      </c>
      <c r="E22" s="69"/>
      <c r="F22" s="25" t="s">
        <v>54</v>
      </c>
      <c r="G22" s="5">
        <v>2176014</v>
      </c>
      <c r="H22" s="5">
        <v>209920.50335733115</v>
      </c>
      <c r="I22" s="5">
        <v>2385934.5033573313</v>
      </c>
      <c r="J22" s="69"/>
    </row>
    <row r="23" spans="1:10" x14ac:dyDescent="0.2">
      <c r="A23" s="25" t="s">
        <v>55</v>
      </c>
      <c r="B23" s="5">
        <v>93992</v>
      </c>
      <c r="C23" s="5">
        <v>16274.432011657458</v>
      </c>
      <c r="D23" s="5">
        <v>110266.43201165745</v>
      </c>
      <c r="E23" s="69"/>
      <c r="F23" s="25" t="s">
        <v>55</v>
      </c>
      <c r="G23" s="5">
        <v>1740461</v>
      </c>
      <c r="H23" s="5">
        <v>229854.86649250568</v>
      </c>
      <c r="I23" s="5">
        <v>1970315.8664925057</v>
      </c>
      <c r="J23" s="69"/>
    </row>
    <row r="24" spans="1:10" x14ac:dyDescent="0.2">
      <c r="A24" s="25" t="s">
        <v>56</v>
      </c>
      <c r="B24" s="5">
        <v>61125</v>
      </c>
      <c r="C24" s="5">
        <v>9888.1760111128388</v>
      </c>
      <c r="D24" s="5">
        <v>71013.176011112839</v>
      </c>
      <c r="E24" s="69"/>
      <c r="F24" s="25" t="s">
        <v>56</v>
      </c>
      <c r="G24" s="5">
        <v>1121481</v>
      </c>
      <c r="H24" s="5">
        <v>143998.5104323081</v>
      </c>
      <c r="I24" s="5">
        <v>1265479.5104323081</v>
      </c>
      <c r="J24" s="69"/>
    </row>
    <row r="25" spans="1:10" x14ac:dyDescent="0.2">
      <c r="A25" s="25" t="s">
        <v>57</v>
      </c>
      <c r="B25" s="5">
        <v>36217</v>
      </c>
      <c r="C25" s="5">
        <v>6681.3846475531</v>
      </c>
      <c r="D25" s="5">
        <v>42898.384647553103</v>
      </c>
      <c r="E25" s="69"/>
      <c r="F25" s="25" t="s">
        <v>57</v>
      </c>
      <c r="G25" s="5">
        <v>720095</v>
      </c>
      <c r="H25" s="5">
        <v>101958.15481836675</v>
      </c>
      <c r="I25" s="5">
        <v>822053.15481836675</v>
      </c>
      <c r="J25" s="69"/>
    </row>
    <row r="26" spans="1:10" x14ac:dyDescent="0.2">
      <c r="A26" s="25" t="s">
        <v>3</v>
      </c>
      <c r="B26" s="5">
        <v>6390</v>
      </c>
      <c r="C26" s="5">
        <v>791.10873434217683</v>
      </c>
      <c r="D26" s="5">
        <v>7181.1087343421768</v>
      </c>
      <c r="E26" s="69"/>
      <c r="F26" s="25" t="s">
        <v>3</v>
      </c>
      <c r="G26" s="5">
        <v>130603</v>
      </c>
      <c r="H26" s="5">
        <v>12423.228357771559</v>
      </c>
      <c r="I26" s="5">
        <v>143026.22835777156</v>
      </c>
      <c r="J26" s="69"/>
    </row>
    <row r="27" spans="1:10" x14ac:dyDescent="0.2">
      <c r="A27" s="29" t="s">
        <v>60</v>
      </c>
      <c r="B27" s="58">
        <v>340995</v>
      </c>
      <c r="C27" s="58">
        <v>51355.117252133095</v>
      </c>
      <c r="D27" s="58">
        <v>392350.11725213309</v>
      </c>
      <c r="E27" s="69"/>
      <c r="F27" s="29" t="s">
        <v>60</v>
      </c>
      <c r="G27" s="58">
        <v>6317279</v>
      </c>
      <c r="H27" s="58">
        <v>713081.67961948633</v>
      </c>
      <c r="I27" s="58">
        <v>7030360.6796194874</v>
      </c>
      <c r="J27" s="69"/>
    </row>
    <row r="28" spans="1:10" ht="26.25" customHeight="1" x14ac:dyDescent="0.2">
      <c r="A28" s="149" t="s">
        <v>1109</v>
      </c>
      <c r="B28" s="149"/>
      <c r="C28" s="149"/>
      <c r="D28" s="149"/>
      <c r="E28" s="69"/>
      <c r="F28" s="149" t="s">
        <v>1109</v>
      </c>
      <c r="G28" s="149"/>
      <c r="H28" s="149"/>
      <c r="I28" s="149"/>
      <c r="J28" s="69"/>
    </row>
    <row r="29" spans="1:10" x14ac:dyDescent="0.2">
      <c r="E29" s="69"/>
      <c r="J29" s="69"/>
    </row>
    <row r="30" spans="1:10" x14ac:dyDescent="0.2">
      <c r="A30" s="7" t="s">
        <v>324</v>
      </c>
      <c r="B30" s="7"/>
      <c r="E30" s="69"/>
      <c r="F30" s="7" t="s">
        <v>325</v>
      </c>
      <c r="G30" s="7"/>
      <c r="H30" s="6"/>
      <c r="I30" s="6"/>
      <c r="J30" s="69"/>
    </row>
    <row r="31" spans="1:10" ht="27.75" customHeight="1" x14ac:dyDescent="0.2">
      <c r="A31" s="148" t="s">
        <v>1061</v>
      </c>
      <c r="B31" s="148"/>
      <c r="C31" s="148"/>
      <c r="D31" s="148"/>
      <c r="E31" s="69"/>
      <c r="F31" s="148" t="s">
        <v>1060</v>
      </c>
      <c r="G31" s="148"/>
      <c r="H31" s="148"/>
      <c r="I31" s="148"/>
      <c r="J31" s="69"/>
    </row>
    <row r="32" spans="1:10" ht="15" customHeight="1" x14ac:dyDescent="0.2">
      <c r="A32" s="24" t="s">
        <v>513</v>
      </c>
      <c r="B32" s="24" t="s">
        <v>0</v>
      </c>
      <c r="C32" s="24" t="s">
        <v>1</v>
      </c>
      <c r="D32" s="24" t="s">
        <v>59</v>
      </c>
      <c r="E32" s="69"/>
      <c r="F32" s="24" t="s">
        <v>513</v>
      </c>
      <c r="G32" s="24" t="s">
        <v>0</v>
      </c>
      <c r="H32" s="24" t="s">
        <v>1</v>
      </c>
      <c r="I32" s="24" t="s">
        <v>59</v>
      </c>
      <c r="J32" s="69"/>
    </row>
    <row r="33" spans="1:10" ht="15" customHeight="1" x14ac:dyDescent="0.2">
      <c r="A33" s="89" t="s">
        <v>310</v>
      </c>
      <c r="B33" s="88">
        <v>7461</v>
      </c>
      <c r="C33" s="88">
        <v>1538.4947061645789</v>
      </c>
      <c r="D33" s="88">
        <v>8999.4947061645798</v>
      </c>
      <c r="E33" s="69"/>
      <c r="F33" s="89" t="s">
        <v>310</v>
      </c>
      <c r="G33" s="88">
        <v>140854</v>
      </c>
      <c r="H33" s="88">
        <v>19528.950421247777</v>
      </c>
      <c r="I33" s="88">
        <v>160382.95042124778</v>
      </c>
      <c r="J33" s="69"/>
    </row>
    <row r="34" spans="1:10" ht="27.75" customHeight="1" x14ac:dyDescent="0.2">
      <c r="A34" s="149" t="s">
        <v>1109</v>
      </c>
      <c r="B34" s="149"/>
      <c r="C34" s="149"/>
      <c r="D34" s="149"/>
      <c r="E34" s="69"/>
      <c r="F34" s="149" t="s">
        <v>1109</v>
      </c>
      <c r="G34" s="149"/>
      <c r="H34" s="149"/>
      <c r="I34" s="149"/>
      <c r="J34" s="69"/>
    </row>
    <row r="35" spans="1:10" ht="15" customHeight="1" x14ac:dyDescent="0.2">
      <c r="E35" s="69"/>
      <c r="H35" s="6"/>
      <c r="I35" s="6"/>
      <c r="J35" s="69"/>
    </row>
    <row r="36" spans="1:10" ht="15" customHeight="1" x14ac:dyDescent="0.2">
      <c r="A36" s="7" t="s">
        <v>326</v>
      </c>
      <c r="B36" s="7"/>
      <c r="E36" s="69"/>
      <c r="F36" s="7" t="s">
        <v>327</v>
      </c>
      <c r="G36" s="7"/>
      <c r="H36" s="6"/>
      <c r="I36" s="6"/>
      <c r="J36" s="69"/>
    </row>
    <row r="37" spans="1:10" ht="27" customHeight="1" x14ac:dyDescent="0.2">
      <c r="A37" s="148" t="s">
        <v>1062</v>
      </c>
      <c r="B37" s="148"/>
      <c r="C37" s="148"/>
      <c r="D37" s="148"/>
      <c r="E37" s="69"/>
      <c r="F37" s="148" t="s">
        <v>1063</v>
      </c>
      <c r="G37" s="148"/>
      <c r="H37" s="148"/>
      <c r="I37" s="148"/>
      <c r="J37" s="69"/>
    </row>
    <row r="38" spans="1:10" ht="15" customHeight="1" x14ac:dyDescent="0.2">
      <c r="A38" s="44" t="s">
        <v>66</v>
      </c>
      <c r="B38" s="44" t="s">
        <v>0</v>
      </c>
      <c r="C38" s="44" t="s">
        <v>1</v>
      </c>
      <c r="D38" s="44" t="s">
        <v>59</v>
      </c>
      <c r="E38" s="69"/>
      <c r="F38" s="44" t="s">
        <v>66</v>
      </c>
      <c r="G38" s="44" t="s">
        <v>0</v>
      </c>
      <c r="H38" s="44" t="s">
        <v>1</v>
      </c>
      <c r="I38" s="44" t="s">
        <v>59</v>
      </c>
      <c r="J38" s="69"/>
    </row>
    <row r="39" spans="1:10" x14ac:dyDescent="0.2">
      <c r="A39" s="22" t="s">
        <v>5</v>
      </c>
      <c r="B39" s="4">
        <v>1799</v>
      </c>
      <c r="C39" s="4">
        <v>403.06921697917477</v>
      </c>
      <c r="D39" s="4">
        <v>2202.0692169791746</v>
      </c>
      <c r="E39" s="69"/>
      <c r="F39" s="22" t="s">
        <v>5</v>
      </c>
      <c r="G39" s="4">
        <v>35989</v>
      </c>
      <c r="H39" s="4">
        <v>5697.7771344902185</v>
      </c>
      <c r="I39" s="4">
        <v>41686.777134490221</v>
      </c>
      <c r="J39" s="69"/>
    </row>
    <row r="40" spans="1:10" x14ac:dyDescent="0.2">
      <c r="A40" s="25" t="s">
        <v>6</v>
      </c>
      <c r="B40" s="5">
        <v>5662</v>
      </c>
      <c r="C40" s="5">
        <v>1135.4254891854041</v>
      </c>
      <c r="D40" s="5">
        <v>6797.4254891854043</v>
      </c>
      <c r="E40" s="69"/>
      <c r="F40" s="25" t="s">
        <v>6</v>
      </c>
      <c r="G40" s="5">
        <v>104865</v>
      </c>
      <c r="H40" s="5">
        <v>13831.173286757557</v>
      </c>
      <c r="I40" s="5">
        <v>118696.17328675756</v>
      </c>
      <c r="J40" s="69"/>
    </row>
    <row r="41" spans="1:10" x14ac:dyDescent="0.2">
      <c r="A41" s="29" t="s">
        <v>60</v>
      </c>
      <c r="B41" s="58">
        <v>7461</v>
      </c>
      <c r="C41" s="58">
        <v>1538.4947061645789</v>
      </c>
      <c r="D41" s="58">
        <v>8999.4947061645798</v>
      </c>
      <c r="E41" s="69"/>
      <c r="F41" s="29" t="s">
        <v>60</v>
      </c>
      <c r="G41" s="58">
        <v>140854</v>
      </c>
      <c r="H41" s="58">
        <v>19528.950421247777</v>
      </c>
      <c r="I41" s="58">
        <v>160382.95042124778</v>
      </c>
      <c r="J41" s="69"/>
    </row>
    <row r="42" spans="1:10" ht="23.25" customHeight="1" x14ac:dyDescent="0.2">
      <c r="A42" s="149" t="s">
        <v>1109</v>
      </c>
      <c r="B42" s="149"/>
      <c r="C42" s="149"/>
      <c r="D42" s="149"/>
      <c r="E42" s="69"/>
      <c r="F42" s="149" t="s">
        <v>1109</v>
      </c>
      <c r="G42" s="149"/>
      <c r="H42" s="149"/>
      <c r="I42" s="149"/>
      <c r="J42" s="69"/>
    </row>
    <row r="43" spans="1:10" ht="15" customHeight="1" x14ac:dyDescent="0.2">
      <c r="E43" s="69"/>
      <c r="H43" s="6"/>
      <c r="I43" s="6"/>
      <c r="J43" s="69"/>
    </row>
    <row r="44" spans="1:10" ht="15" customHeight="1" x14ac:dyDescent="0.2">
      <c r="A44" s="7" t="s">
        <v>328</v>
      </c>
      <c r="B44" s="7"/>
      <c r="E44" s="69"/>
      <c r="F44" s="7" t="s">
        <v>329</v>
      </c>
      <c r="G44" s="7"/>
      <c r="H44" s="6"/>
      <c r="I44" s="6"/>
      <c r="J44" s="69"/>
    </row>
    <row r="45" spans="1:10" ht="29.25" customHeight="1" x14ac:dyDescent="0.2">
      <c r="A45" s="148" t="s">
        <v>1065</v>
      </c>
      <c r="B45" s="148"/>
      <c r="C45" s="148"/>
      <c r="D45" s="148"/>
      <c r="E45" s="69"/>
      <c r="F45" s="148" t="s">
        <v>1064</v>
      </c>
      <c r="G45" s="148"/>
      <c r="H45" s="148"/>
      <c r="I45" s="148"/>
      <c r="J45" s="69"/>
    </row>
    <row r="46" spans="1:10" ht="15" customHeight="1" x14ac:dyDescent="0.2">
      <c r="A46" s="24" t="s">
        <v>67</v>
      </c>
      <c r="B46" s="44" t="s">
        <v>0</v>
      </c>
      <c r="C46" s="44" t="s">
        <v>1</v>
      </c>
      <c r="D46" s="44" t="s">
        <v>59</v>
      </c>
      <c r="E46" s="69"/>
      <c r="F46" s="24" t="s">
        <v>67</v>
      </c>
      <c r="G46" s="90" t="s">
        <v>0</v>
      </c>
      <c r="H46" s="91" t="s">
        <v>1</v>
      </c>
      <c r="I46" s="91" t="s">
        <v>59</v>
      </c>
      <c r="J46" s="69"/>
    </row>
    <row r="47" spans="1:10" x14ac:dyDescent="0.2">
      <c r="A47" s="22" t="s">
        <v>53</v>
      </c>
      <c r="B47" s="4">
        <v>8</v>
      </c>
      <c r="C47" s="117">
        <v>0</v>
      </c>
      <c r="D47" s="4">
        <v>8</v>
      </c>
      <c r="E47" s="69"/>
      <c r="F47" s="22" t="s">
        <v>53</v>
      </c>
      <c r="G47" s="4">
        <v>110</v>
      </c>
      <c r="H47" s="117">
        <v>0</v>
      </c>
      <c r="I47" s="4">
        <v>110</v>
      </c>
      <c r="J47" s="69"/>
    </row>
    <row r="48" spans="1:10" x14ac:dyDescent="0.2">
      <c r="A48" s="25" t="s">
        <v>2</v>
      </c>
      <c r="B48" s="5">
        <v>117</v>
      </c>
      <c r="C48" s="5">
        <v>15.029699616172618</v>
      </c>
      <c r="D48" s="5">
        <v>132.02969961617262</v>
      </c>
      <c r="E48" s="69"/>
      <c r="F48" s="25" t="s">
        <v>2</v>
      </c>
      <c r="G48" s="5">
        <v>1567</v>
      </c>
      <c r="H48" s="5">
        <v>210.56319250460268</v>
      </c>
      <c r="I48" s="5">
        <v>1777.5631925046027</v>
      </c>
      <c r="J48" s="69"/>
    </row>
    <row r="49" spans="1:10" x14ac:dyDescent="0.2">
      <c r="A49" s="25" t="s">
        <v>54</v>
      </c>
      <c r="B49" s="5">
        <v>978</v>
      </c>
      <c r="C49" s="5">
        <v>189.92074969527218</v>
      </c>
      <c r="D49" s="5">
        <v>1167.9207496952722</v>
      </c>
      <c r="E49" s="69"/>
      <c r="F49" s="25" t="s">
        <v>54</v>
      </c>
      <c r="G49" s="5">
        <v>16858</v>
      </c>
      <c r="H49" s="5">
        <v>2583.327525951991</v>
      </c>
      <c r="I49" s="5">
        <v>19441.327525951991</v>
      </c>
      <c r="J49" s="69"/>
    </row>
    <row r="50" spans="1:10" x14ac:dyDescent="0.2">
      <c r="A50" s="25" t="s">
        <v>55</v>
      </c>
      <c r="B50" s="5">
        <v>1694</v>
      </c>
      <c r="C50" s="5">
        <v>381.20783571928729</v>
      </c>
      <c r="D50" s="5">
        <v>2075.2078357192872</v>
      </c>
      <c r="E50" s="69"/>
      <c r="F50" s="25" t="s">
        <v>55</v>
      </c>
      <c r="G50" s="5">
        <v>30950</v>
      </c>
      <c r="H50" s="5">
        <v>4093.4113169738062</v>
      </c>
      <c r="I50" s="5">
        <v>35043.411316973805</v>
      </c>
      <c r="J50" s="69"/>
    </row>
    <row r="51" spans="1:10" x14ac:dyDescent="0.2">
      <c r="A51" s="25" t="s">
        <v>56</v>
      </c>
      <c r="B51" s="5">
        <v>2616</v>
      </c>
      <c r="C51" s="5">
        <v>517.84146859358384</v>
      </c>
      <c r="D51" s="5">
        <v>3133.8414685935841</v>
      </c>
      <c r="E51" s="69"/>
      <c r="F51" s="25" t="s">
        <v>56</v>
      </c>
      <c r="G51" s="5">
        <v>50708</v>
      </c>
      <c r="H51" s="5">
        <v>7207.8609255120327</v>
      </c>
      <c r="I51" s="5">
        <v>57915.860925512032</v>
      </c>
      <c r="J51" s="69"/>
    </row>
    <row r="52" spans="1:10" x14ac:dyDescent="0.2">
      <c r="A52" s="25" t="s">
        <v>57</v>
      </c>
      <c r="B52" s="5">
        <v>1784</v>
      </c>
      <c r="C52" s="5">
        <v>389.40585369174511</v>
      </c>
      <c r="D52" s="5">
        <v>2173.4058536917451</v>
      </c>
      <c r="E52" s="69"/>
      <c r="F52" s="25" t="s">
        <v>57</v>
      </c>
      <c r="G52" s="5">
        <v>35053</v>
      </c>
      <c r="H52" s="5">
        <v>4696.8162865392342</v>
      </c>
      <c r="I52" s="5">
        <v>39749.816286539237</v>
      </c>
      <c r="J52" s="69"/>
    </row>
    <row r="53" spans="1:10" x14ac:dyDescent="0.2">
      <c r="A53" s="25" t="s">
        <v>3</v>
      </c>
      <c r="B53" s="5">
        <v>264</v>
      </c>
      <c r="C53" s="5">
        <v>45.08909884851785</v>
      </c>
      <c r="D53" s="5">
        <v>309.08909884851784</v>
      </c>
      <c r="E53" s="69"/>
      <c r="F53" s="25" t="s">
        <v>3</v>
      </c>
      <c r="G53" s="5">
        <v>5608</v>
      </c>
      <c r="H53" s="5">
        <v>736.97117376610925</v>
      </c>
      <c r="I53" s="5">
        <v>6344.9711737661091</v>
      </c>
      <c r="J53" s="69"/>
    </row>
    <row r="54" spans="1:10" x14ac:dyDescent="0.2">
      <c r="A54" s="29" t="s">
        <v>60</v>
      </c>
      <c r="B54" s="58">
        <v>7461</v>
      </c>
      <c r="C54" s="58">
        <v>1538.4947061645787</v>
      </c>
      <c r="D54" s="58">
        <v>8999.494706164578</v>
      </c>
      <c r="E54" s="69"/>
      <c r="F54" s="29" t="s">
        <v>60</v>
      </c>
      <c r="G54" s="59">
        <v>140854</v>
      </c>
      <c r="H54" s="58">
        <v>19528.950421247777</v>
      </c>
      <c r="I54" s="58">
        <v>160382.95042124778</v>
      </c>
      <c r="J54" s="69"/>
    </row>
    <row r="55" spans="1:10" ht="28.5" customHeight="1" x14ac:dyDescent="0.2">
      <c r="A55" s="149" t="s">
        <v>1109</v>
      </c>
      <c r="B55" s="149"/>
      <c r="C55" s="149"/>
      <c r="D55" s="149"/>
      <c r="E55" s="69"/>
      <c r="F55" s="149" t="s">
        <v>1109</v>
      </c>
      <c r="G55" s="149"/>
      <c r="H55" s="149"/>
      <c r="I55" s="149"/>
      <c r="J55" s="69"/>
    </row>
    <row r="56" spans="1:10" ht="15" customHeight="1" x14ac:dyDescent="0.2">
      <c r="E56" s="69"/>
      <c r="J56" s="69"/>
    </row>
    <row r="57" spans="1:10" ht="15" customHeight="1" x14ac:dyDescent="0.2">
      <c r="A57" s="7" t="s">
        <v>437</v>
      </c>
      <c r="B57" s="7"/>
      <c r="E57" s="69"/>
      <c r="F57" s="7" t="s">
        <v>440</v>
      </c>
      <c r="G57" s="7"/>
      <c r="H57" s="6"/>
      <c r="I57" s="6"/>
      <c r="J57" s="69"/>
    </row>
    <row r="58" spans="1:10" ht="26.25" customHeight="1" x14ac:dyDescent="0.2">
      <c r="A58" s="148" t="s">
        <v>1066</v>
      </c>
      <c r="B58" s="148"/>
      <c r="C58" s="148"/>
      <c r="D58" s="148"/>
      <c r="E58" s="69"/>
      <c r="F58" s="148" t="s">
        <v>1067</v>
      </c>
      <c r="G58" s="148"/>
      <c r="H58" s="148"/>
      <c r="I58" s="148"/>
      <c r="J58" s="69"/>
    </row>
    <row r="59" spans="1:10" ht="15" customHeight="1" x14ac:dyDescent="0.2">
      <c r="A59" s="24" t="s">
        <v>315</v>
      </c>
      <c r="B59" s="24" t="s">
        <v>0</v>
      </c>
      <c r="C59" s="24" t="s">
        <v>1</v>
      </c>
      <c r="D59" s="24" t="s">
        <v>59</v>
      </c>
      <c r="E59" s="69"/>
      <c r="F59" s="24" t="s">
        <v>315</v>
      </c>
      <c r="G59" s="24" t="s">
        <v>0</v>
      </c>
      <c r="H59" s="24" t="s">
        <v>1</v>
      </c>
      <c r="I59" s="24" t="s">
        <v>59</v>
      </c>
      <c r="J59" s="69"/>
    </row>
    <row r="60" spans="1:10" ht="15" customHeight="1" x14ac:dyDescent="0.2">
      <c r="A60" s="87" t="s">
        <v>316</v>
      </c>
      <c r="B60" s="88">
        <v>9828</v>
      </c>
      <c r="C60" s="88">
        <v>475.48504240255193</v>
      </c>
      <c r="D60" s="88">
        <v>10303.485042402552</v>
      </c>
      <c r="E60" s="69"/>
      <c r="F60" s="87" t="s">
        <v>316</v>
      </c>
      <c r="G60" s="88">
        <v>318238</v>
      </c>
      <c r="H60" s="88">
        <v>11629.68796810869</v>
      </c>
      <c r="I60" s="88">
        <v>329867.68796810869</v>
      </c>
      <c r="J60" s="69"/>
    </row>
    <row r="61" spans="1:10" ht="27" customHeight="1" x14ac:dyDescent="0.2">
      <c r="A61" s="149" t="s">
        <v>1109</v>
      </c>
      <c r="B61" s="149"/>
      <c r="C61" s="149"/>
      <c r="D61" s="149"/>
      <c r="E61" s="69"/>
      <c r="F61" s="149" t="s">
        <v>1109</v>
      </c>
      <c r="G61" s="149"/>
      <c r="H61" s="149"/>
      <c r="I61" s="149"/>
      <c r="J61" s="69"/>
    </row>
    <row r="62" spans="1:10" x14ac:dyDescent="0.2">
      <c r="E62" s="69"/>
      <c r="H62" s="6"/>
      <c r="I62" s="6"/>
      <c r="J62" s="69"/>
    </row>
    <row r="63" spans="1:10" x14ac:dyDescent="0.2">
      <c r="A63" s="7" t="s">
        <v>438</v>
      </c>
      <c r="B63" s="7"/>
      <c r="E63" s="69"/>
      <c r="F63" s="7" t="s">
        <v>441</v>
      </c>
      <c r="G63" s="7"/>
      <c r="H63" s="6"/>
      <c r="I63" s="6"/>
      <c r="J63" s="69"/>
    </row>
    <row r="64" spans="1:10" ht="24" customHeight="1" x14ac:dyDescent="0.2">
      <c r="A64" s="148" t="s">
        <v>1069</v>
      </c>
      <c r="B64" s="148"/>
      <c r="C64" s="148"/>
      <c r="D64" s="148"/>
      <c r="E64" s="69"/>
      <c r="F64" s="148" t="s">
        <v>1068</v>
      </c>
      <c r="G64" s="148"/>
      <c r="H64" s="148"/>
      <c r="I64" s="148"/>
      <c r="J64" s="69"/>
    </row>
    <row r="65" spans="1:10" x14ac:dyDescent="0.2">
      <c r="A65" s="44" t="s">
        <v>66</v>
      </c>
      <c r="B65" s="44" t="s">
        <v>0</v>
      </c>
      <c r="C65" s="44" t="s">
        <v>1</v>
      </c>
      <c r="D65" s="44" t="s">
        <v>59</v>
      </c>
      <c r="E65" s="69"/>
      <c r="F65" s="44" t="s">
        <v>66</v>
      </c>
      <c r="G65" s="44" t="s">
        <v>0</v>
      </c>
      <c r="H65" s="44" t="s">
        <v>1</v>
      </c>
      <c r="I65" s="44" t="s">
        <v>59</v>
      </c>
      <c r="J65" s="69"/>
    </row>
    <row r="66" spans="1:10" x14ac:dyDescent="0.2">
      <c r="A66" s="22" t="s">
        <v>5</v>
      </c>
      <c r="B66" s="4">
        <v>7014</v>
      </c>
      <c r="C66" s="4">
        <v>322.45537358333979</v>
      </c>
      <c r="D66" s="4">
        <v>7336.4553735833397</v>
      </c>
      <c r="E66" s="69"/>
      <c r="F66" s="22" t="s">
        <v>5</v>
      </c>
      <c r="G66" s="4">
        <v>229076</v>
      </c>
      <c r="H66" s="4">
        <v>7864.6923767577337</v>
      </c>
      <c r="I66" s="4">
        <v>236940.69237675774</v>
      </c>
      <c r="J66" s="69"/>
    </row>
    <row r="67" spans="1:10" x14ac:dyDescent="0.2">
      <c r="A67" s="25" t="s">
        <v>6</v>
      </c>
      <c r="B67" s="5">
        <v>2814</v>
      </c>
      <c r="C67" s="5">
        <v>153.02966881921211</v>
      </c>
      <c r="D67" s="5">
        <v>2967.029668819212</v>
      </c>
      <c r="E67" s="69"/>
      <c r="F67" s="25" t="s">
        <v>6</v>
      </c>
      <c r="G67" s="5">
        <v>89162</v>
      </c>
      <c r="H67" s="5">
        <v>3764.9955913509552</v>
      </c>
      <c r="I67" s="5">
        <v>92926.995591350962</v>
      </c>
      <c r="J67" s="69"/>
    </row>
    <row r="68" spans="1:10" x14ac:dyDescent="0.2">
      <c r="A68" s="29" t="s">
        <v>60</v>
      </c>
      <c r="B68" s="58">
        <v>9828</v>
      </c>
      <c r="C68" s="58">
        <v>475.48504240255193</v>
      </c>
      <c r="D68" s="58">
        <v>10303.485042402552</v>
      </c>
      <c r="E68" s="69"/>
      <c r="F68" s="29" t="s">
        <v>60</v>
      </c>
      <c r="G68" s="58">
        <v>318238</v>
      </c>
      <c r="H68" s="58">
        <v>11629.687968108688</v>
      </c>
      <c r="I68" s="58">
        <v>329867.68796810869</v>
      </c>
      <c r="J68" s="69"/>
    </row>
    <row r="69" spans="1:10" ht="24" customHeight="1" x14ac:dyDescent="0.2">
      <c r="A69" s="149" t="s">
        <v>1109</v>
      </c>
      <c r="B69" s="149"/>
      <c r="C69" s="149"/>
      <c r="D69" s="149"/>
      <c r="E69" s="69"/>
      <c r="F69" s="149" t="s">
        <v>1109</v>
      </c>
      <c r="G69" s="149"/>
      <c r="H69" s="149"/>
      <c r="I69" s="149"/>
      <c r="J69" s="69"/>
    </row>
    <row r="70" spans="1:10" x14ac:dyDescent="0.2">
      <c r="E70" s="69"/>
      <c r="H70" s="6"/>
      <c r="I70" s="6"/>
      <c r="J70" s="69"/>
    </row>
    <row r="71" spans="1:10" x14ac:dyDescent="0.2">
      <c r="A71" s="7" t="s">
        <v>439</v>
      </c>
      <c r="B71" s="7"/>
      <c r="E71" s="69"/>
      <c r="F71" s="7" t="s">
        <v>442</v>
      </c>
      <c r="G71" s="7"/>
      <c r="H71" s="6"/>
      <c r="I71" s="6"/>
      <c r="J71" s="69"/>
    </row>
    <row r="72" spans="1:10" ht="24.75" customHeight="1" x14ac:dyDescent="0.2">
      <c r="A72" s="148" t="s">
        <v>1070</v>
      </c>
      <c r="B72" s="148"/>
      <c r="C72" s="148"/>
      <c r="D72" s="148"/>
      <c r="E72" s="69"/>
      <c r="F72" s="148" t="s">
        <v>1071</v>
      </c>
      <c r="G72" s="148"/>
      <c r="H72" s="148"/>
      <c r="I72" s="148"/>
      <c r="J72" s="69"/>
    </row>
    <row r="73" spans="1:10" x14ac:dyDescent="0.2">
      <c r="A73" s="24" t="s">
        <v>67</v>
      </c>
      <c r="B73" s="44" t="s">
        <v>0</v>
      </c>
      <c r="C73" s="44" t="s">
        <v>1</v>
      </c>
      <c r="D73" s="44" t="s">
        <v>59</v>
      </c>
      <c r="E73" s="69"/>
      <c r="F73" s="24" t="s">
        <v>67</v>
      </c>
      <c r="G73" s="44" t="s">
        <v>0</v>
      </c>
      <c r="H73" s="44" t="s">
        <v>1</v>
      </c>
      <c r="I73" s="44" t="s">
        <v>59</v>
      </c>
      <c r="J73" s="69"/>
    </row>
    <row r="74" spans="1:10" x14ac:dyDescent="0.2">
      <c r="A74" s="22" t="s">
        <v>53</v>
      </c>
      <c r="B74" s="4">
        <v>12</v>
      </c>
      <c r="C74" s="117">
        <v>0</v>
      </c>
      <c r="D74" s="4">
        <v>12</v>
      </c>
      <c r="E74" s="69"/>
      <c r="F74" s="22" t="s">
        <v>53</v>
      </c>
      <c r="G74" s="4">
        <v>234</v>
      </c>
      <c r="H74" s="117">
        <v>0</v>
      </c>
      <c r="I74" s="4">
        <v>234</v>
      </c>
      <c r="J74" s="69"/>
    </row>
    <row r="75" spans="1:10" x14ac:dyDescent="0.2">
      <c r="A75" s="25" t="s">
        <v>2</v>
      </c>
      <c r="B75" s="5">
        <v>219</v>
      </c>
      <c r="C75" s="5">
        <v>9.5643543012007566</v>
      </c>
      <c r="D75" s="5">
        <v>228.56435430120075</v>
      </c>
      <c r="E75" s="69"/>
      <c r="F75" s="25" t="s">
        <v>2</v>
      </c>
      <c r="G75" s="5">
        <v>6252</v>
      </c>
      <c r="H75" s="5">
        <v>119.42390022649106</v>
      </c>
      <c r="I75" s="5">
        <v>6371.4239002264912</v>
      </c>
      <c r="J75" s="69"/>
    </row>
    <row r="76" spans="1:10" x14ac:dyDescent="0.2">
      <c r="A76" s="25" t="s">
        <v>54</v>
      </c>
      <c r="B76" s="5">
        <v>1266</v>
      </c>
      <c r="C76" s="5">
        <v>92.910870354521649</v>
      </c>
      <c r="D76" s="5">
        <v>1358.9108703545216</v>
      </c>
      <c r="E76" s="69"/>
      <c r="F76" s="25" t="s">
        <v>54</v>
      </c>
      <c r="G76" s="5">
        <v>39925</v>
      </c>
      <c r="H76" s="5">
        <v>2426.1908151276602</v>
      </c>
      <c r="I76" s="5">
        <v>42351.190815127658</v>
      </c>
      <c r="J76" s="69"/>
    </row>
    <row r="77" spans="1:10" x14ac:dyDescent="0.2">
      <c r="A77" s="25" t="s">
        <v>55</v>
      </c>
      <c r="B77" s="5">
        <v>1883</v>
      </c>
      <c r="C77" s="5">
        <v>94.277206683264609</v>
      </c>
      <c r="D77" s="5">
        <v>1977.2772066832647</v>
      </c>
      <c r="E77" s="69"/>
      <c r="F77" s="25" t="s">
        <v>55</v>
      </c>
      <c r="G77" s="5">
        <v>61886</v>
      </c>
      <c r="H77" s="5">
        <v>1921.7819733815602</v>
      </c>
      <c r="I77" s="5">
        <v>63807.781973381563</v>
      </c>
      <c r="J77" s="69"/>
    </row>
    <row r="78" spans="1:10" x14ac:dyDescent="0.2">
      <c r="A78" s="25" t="s">
        <v>56</v>
      </c>
      <c r="B78" s="5">
        <v>2462</v>
      </c>
      <c r="C78" s="5">
        <v>107.94056997069426</v>
      </c>
      <c r="D78" s="5">
        <v>2569.9405699706945</v>
      </c>
      <c r="E78" s="69"/>
      <c r="F78" s="25" t="s">
        <v>56</v>
      </c>
      <c r="G78" s="5">
        <v>81394</v>
      </c>
      <c r="H78" s="5">
        <v>2779.7484144824039</v>
      </c>
      <c r="I78" s="5">
        <v>84173.748414482397</v>
      </c>
      <c r="J78" s="69"/>
    </row>
    <row r="79" spans="1:10" x14ac:dyDescent="0.2">
      <c r="A79" s="25" t="s">
        <v>57</v>
      </c>
      <c r="B79" s="5">
        <v>2684</v>
      </c>
      <c r="C79" s="5">
        <v>127.06927857309579</v>
      </c>
      <c r="D79" s="5">
        <v>2811.0692785730957</v>
      </c>
      <c r="E79" s="69"/>
      <c r="F79" s="25" t="s">
        <v>57</v>
      </c>
      <c r="G79" s="5">
        <v>86404</v>
      </c>
      <c r="H79" s="5">
        <v>3411.4379919962121</v>
      </c>
      <c r="I79" s="5">
        <v>89815.437991996208</v>
      </c>
      <c r="J79" s="69"/>
    </row>
    <row r="80" spans="1:10" x14ac:dyDescent="0.2">
      <c r="A80" s="25" t="s">
        <v>3</v>
      </c>
      <c r="B80" s="5">
        <v>1302</v>
      </c>
      <c r="C80" s="5">
        <v>43.722762519774889</v>
      </c>
      <c r="D80" s="5">
        <v>1345.722762519775</v>
      </c>
      <c r="E80" s="69"/>
      <c r="F80" s="25" t="s">
        <v>3</v>
      </c>
      <c r="G80" s="5">
        <v>42143</v>
      </c>
      <c r="H80" s="5">
        <v>971.10487289436151</v>
      </c>
      <c r="I80" s="5">
        <v>43114.104872894364</v>
      </c>
      <c r="J80" s="69"/>
    </row>
    <row r="81" spans="1:10" x14ac:dyDescent="0.2">
      <c r="A81" s="29" t="s">
        <v>60</v>
      </c>
      <c r="B81" s="58">
        <v>9828</v>
      </c>
      <c r="C81" s="58">
        <v>475.48504240255198</v>
      </c>
      <c r="D81" s="58">
        <v>10303.485042402552</v>
      </c>
      <c r="E81" s="69"/>
      <c r="F81" s="29" t="s">
        <v>60</v>
      </c>
      <c r="G81" s="58">
        <v>318238</v>
      </c>
      <c r="H81" s="58">
        <v>11629.68796810869</v>
      </c>
      <c r="I81" s="58">
        <v>329867.68796810869</v>
      </c>
      <c r="J81" s="69"/>
    </row>
    <row r="82" spans="1:10" ht="27.75" customHeight="1" x14ac:dyDescent="0.2">
      <c r="A82" s="149" t="s">
        <v>1109</v>
      </c>
      <c r="B82" s="149"/>
      <c r="C82" s="149"/>
      <c r="D82" s="149"/>
      <c r="F82" s="149" t="s">
        <v>1109</v>
      </c>
      <c r="G82" s="149"/>
      <c r="H82" s="149"/>
      <c r="I82" s="149"/>
    </row>
    <row r="613" s="3" customFormat="1" ht="15" customHeight="1" x14ac:dyDescent="0.2"/>
    <row r="614" s="3" customFormat="1" ht="15" customHeight="1" x14ac:dyDescent="0.2"/>
    <row r="615" s="3" customFormat="1" ht="15" customHeight="1" x14ac:dyDescent="0.2"/>
    <row r="616" s="3" customFormat="1" ht="15" customHeight="1" x14ac:dyDescent="0.2"/>
    <row r="617" s="3" customFormat="1" ht="15" customHeight="1" x14ac:dyDescent="0.2"/>
    <row r="618" s="3" customFormat="1" ht="15" customHeight="1" x14ac:dyDescent="0.2"/>
    <row r="619" s="3" customFormat="1" ht="15" customHeight="1" x14ac:dyDescent="0.2"/>
    <row r="620" s="3" customFormat="1" ht="15" customHeight="1" x14ac:dyDescent="0.2"/>
    <row r="621" s="3" customFormat="1" ht="15" customHeight="1" x14ac:dyDescent="0.2"/>
    <row r="622" s="3" customFormat="1" ht="15" customHeight="1" x14ac:dyDescent="0.2"/>
    <row r="623" s="3" customFormat="1" ht="15" customHeight="1" x14ac:dyDescent="0.2"/>
    <row r="624" s="3" customFormat="1" ht="15" customHeight="1" x14ac:dyDescent="0.2"/>
    <row r="625" s="3" customFormat="1" ht="15" customHeight="1" x14ac:dyDescent="0.2"/>
  </sheetData>
  <mergeCells count="36">
    <mergeCell ref="F45:I45"/>
    <mergeCell ref="A45:D45"/>
    <mergeCell ref="A58:D58"/>
    <mergeCell ref="F58:I58"/>
    <mergeCell ref="F64:I64"/>
    <mergeCell ref="A64:D64"/>
    <mergeCell ref="A4:D4"/>
    <mergeCell ref="F4:I4"/>
    <mergeCell ref="F10:I10"/>
    <mergeCell ref="A10:D10"/>
    <mergeCell ref="A18:D18"/>
    <mergeCell ref="F18:I18"/>
    <mergeCell ref="A7:D7"/>
    <mergeCell ref="F7:I7"/>
    <mergeCell ref="A15:D15"/>
    <mergeCell ref="F15:I15"/>
    <mergeCell ref="A28:D28"/>
    <mergeCell ref="F28:I28"/>
    <mergeCell ref="A34:D34"/>
    <mergeCell ref="F34:I34"/>
    <mergeCell ref="A42:D42"/>
    <mergeCell ref="F42:I42"/>
    <mergeCell ref="F31:I31"/>
    <mergeCell ref="A31:D31"/>
    <mergeCell ref="A37:D37"/>
    <mergeCell ref="F37:I37"/>
    <mergeCell ref="A82:D82"/>
    <mergeCell ref="F82:I82"/>
    <mergeCell ref="A55:D55"/>
    <mergeCell ref="F55:I55"/>
    <mergeCell ref="A61:D61"/>
    <mergeCell ref="F61:I61"/>
    <mergeCell ref="A69:D69"/>
    <mergeCell ref="F69:I69"/>
    <mergeCell ref="A72:D72"/>
    <mergeCell ref="F72:I7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14"/>
  <sheetViews>
    <sheetView showGridLines="0" zoomScale="90" zoomScaleNormal="90" workbookViewId="0"/>
  </sheetViews>
  <sheetFormatPr baseColWidth="10" defaultColWidth="33.140625" defaultRowHeight="12.75" x14ac:dyDescent="0.2"/>
  <cols>
    <col min="1" max="1" width="40.7109375" style="3" customWidth="1"/>
    <col min="2" max="2" width="15.7109375" style="3" customWidth="1"/>
    <col min="3" max="4" width="15.7109375" style="6" customWidth="1"/>
    <col min="5" max="5" width="7.85546875" style="3" customWidth="1"/>
    <col min="6" max="6" width="40.7109375" style="3" customWidth="1"/>
    <col min="7" max="9" width="15.7109375" style="3" customWidth="1"/>
    <col min="10" max="10" width="7.7109375" style="3" customWidth="1"/>
    <col min="11" max="16384" width="33.140625" style="3"/>
  </cols>
  <sheetData>
    <row r="1" spans="1:10" ht="18.75" x14ac:dyDescent="0.3">
      <c r="A1" s="1" t="s">
        <v>330</v>
      </c>
      <c r="B1" s="1"/>
    </row>
    <row r="2" spans="1:10" x14ac:dyDescent="0.2">
      <c r="A2" s="7"/>
      <c r="B2" s="7"/>
    </row>
    <row r="3" spans="1:10" x14ac:dyDescent="0.2">
      <c r="A3" s="7" t="s">
        <v>331</v>
      </c>
      <c r="B3" s="7"/>
      <c r="F3" s="7" t="s">
        <v>332</v>
      </c>
      <c r="G3" s="7"/>
      <c r="H3" s="6"/>
      <c r="I3" s="6"/>
    </row>
    <row r="4" spans="1:10" x14ac:dyDescent="0.2">
      <c r="A4" s="148" t="s">
        <v>487</v>
      </c>
      <c r="B4" s="148"/>
      <c r="C4" s="148"/>
      <c r="D4" s="148"/>
      <c r="F4" s="148" t="s">
        <v>488</v>
      </c>
      <c r="G4" s="148"/>
      <c r="H4" s="148"/>
      <c r="I4" s="148"/>
    </row>
    <row r="5" spans="1:10" x14ac:dyDescent="0.2">
      <c r="A5" s="61" t="s">
        <v>300</v>
      </c>
      <c r="B5" s="61" t="s">
        <v>0</v>
      </c>
      <c r="C5" s="61" t="s">
        <v>1</v>
      </c>
      <c r="D5" s="61" t="s">
        <v>59</v>
      </c>
      <c r="F5" s="8" t="s">
        <v>300</v>
      </c>
      <c r="G5" s="8" t="s">
        <v>0</v>
      </c>
      <c r="H5" s="8" t="s">
        <v>1</v>
      </c>
      <c r="I5" s="8" t="s">
        <v>59</v>
      </c>
    </row>
    <row r="6" spans="1:10" x14ac:dyDescent="0.2">
      <c r="A6" s="87" t="s">
        <v>301</v>
      </c>
      <c r="B6" s="15">
        <v>57338</v>
      </c>
      <c r="C6" s="15">
        <v>39553</v>
      </c>
      <c r="D6" s="15">
        <v>96891</v>
      </c>
      <c r="E6" s="69"/>
      <c r="F6" s="89" t="s">
        <v>301</v>
      </c>
      <c r="G6" s="88">
        <v>1226806</v>
      </c>
      <c r="H6" s="88">
        <v>765153</v>
      </c>
      <c r="I6" s="88">
        <v>1991959</v>
      </c>
      <c r="J6" s="69"/>
    </row>
    <row r="7" spans="1:10" x14ac:dyDescent="0.2">
      <c r="E7" s="69"/>
      <c r="H7" s="6"/>
      <c r="I7" s="6"/>
      <c r="J7" s="69"/>
    </row>
    <row r="8" spans="1:10" x14ac:dyDescent="0.2">
      <c r="E8" s="69"/>
      <c r="H8" s="6"/>
      <c r="I8" s="6"/>
      <c r="J8" s="69"/>
    </row>
    <row r="9" spans="1:10" x14ac:dyDescent="0.2">
      <c r="A9" s="7" t="s">
        <v>333</v>
      </c>
      <c r="B9" s="7"/>
      <c r="E9" s="69"/>
      <c r="F9" s="7" t="s">
        <v>334</v>
      </c>
      <c r="G9" s="7"/>
      <c r="H9" s="6"/>
      <c r="I9" s="6"/>
      <c r="J9" s="69"/>
    </row>
    <row r="10" spans="1:10" ht="23.25" customHeight="1" x14ac:dyDescent="0.2">
      <c r="A10" s="148" t="s">
        <v>490</v>
      </c>
      <c r="B10" s="148"/>
      <c r="C10" s="148"/>
      <c r="D10" s="148"/>
      <c r="E10" s="69"/>
      <c r="F10" s="148" t="s">
        <v>489</v>
      </c>
      <c r="G10" s="148"/>
      <c r="H10" s="148"/>
      <c r="I10" s="148"/>
      <c r="J10" s="69"/>
    </row>
    <row r="11" spans="1:10" x14ac:dyDescent="0.2">
      <c r="A11" s="44" t="s">
        <v>66</v>
      </c>
      <c r="B11" s="44" t="s">
        <v>0</v>
      </c>
      <c r="C11" s="44" t="s">
        <v>1</v>
      </c>
      <c r="D11" s="44" t="s">
        <v>59</v>
      </c>
      <c r="E11" s="69"/>
      <c r="F11" s="44" t="s">
        <v>66</v>
      </c>
      <c r="G11" s="44" t="s">
        <v>0</v>
      </c>
      <c r="H11" s="44" t="s">
        <v>1</v>
      </c>
      <c r="I11" s="44" t="s">
        <v>59</v>
      </c>
      <c r="J11" s="69"/>
    </row>
    <row r="12" spans="1:10" x14ac:dyDescent="0.2">
      <c r="A12" s="22" t="s">
        <v>5</v>
      </c>
      <c r="B12" s="4">
        <v>10591</v>
      </c>
      <c r="C12" s="4">
        <v>12023</v>
      </c>
      <c r="D12" s="4">
        <v>22614</v>
      </c>
      <c r="E12" s="69"/>
      <c r="F12" s="22" t="s">
        <v>5</v>
      </c>
      <c r="G12" s="4">
        <v>238833</v>
      </c>
      <c r="H12" s="4">
        <v>230738</v>
      </c>
      <c r="I12" s="4">
        <v>469571</v>
      </c>
      <c r="J12" s="69"/>
    </row>
    <row r="13" spans="1:10" x14ac:dyDescent="0.2">
      <c r="A13" s="25" t="s">
        <v>6</v>
      </c>
      <c r="B13" s="5">
        <v>46747</v>
      </c>
      <c r="C13" s="5">
        <v>27530</v>
      </c>
      <c r="D13" s="5">
        <v>74277</v>
      </c>
      <c r="E13" s="69"/>
      <c r="F13" s="25" t="s">
        <v>6</v>
      </c>
      <c r="G13" s="5">
        <v>987973</v>
      </c>
      <c r="H13" s="5">
        <v>534415</v>
      </c>
      <c r="I13" s="5">
        <v>1522388</v>
      </c>
      <c r="J13" s="69"/>
    </row>
    <row r="14" spans="1:10" x14ac:dyDescent="0.2">
      <c r="A14" s="29" t="s">
        <v>60</v>
      </c>
      <c r="B14" s="58">
        <v>57338</v>
      </c>
      <c r="C14" s="58">
        <v>39553</v>
      </c>
      <c r="D14" s="58">
        <v>96891</v>
      </c>
      <c r="E14" s="69"/>
      <c r="F14" s="29" t="s">
        <v>60</v>
      </c>
      <c r="G14" s="58">
        <v>1226806</v>
      </c>
      <c r="H14" s="58">
        <v>765153</v>
      </c>
      <c r="I14" s="58">
        <v>1991959</v>
      </c>
      <c r="J14" s="69"/>
    </row>
    <row r="15" spans="1:10" x14ac:dyDescent="0.2">
      <c r="E15" s="69"/>
      <c r="H15" s="6"/>
      <c r="I15" s="6"/>
      <c r="J15" s="69"/>
    </row>
    <row r="16" spans="1:10" x14ac:dyDescent="0.2">
      <c r="E16" s="69"/>
      <c r="H16" s="6"/>
      <c r="I16" s="6"/>
      <c r="J16" s="69"/>
    </row>
    <row r="17" spans="1:10" x14ac:dyDescent="0.2">
      <c r="A17" s="7" t="s">
        <v>335</v>
      </c>
      <c r="B17" s="7"/>
      <c r="E17" s="69"/>
      <c r="F17" s="7" t="s">
        <v>336</v>
      </c>
      <c r="G17" s="7"/>
      <c r="H17" s="6"/>
      <c r="I17" s="6"/>
      <c r="J17" s="69"/>
    </row>
    <row r="18" spans="1:10" ht="23.25" customHeight="1" x14ac:dyDescent="0.2">
      <c r="A18" s="148" t="s">
        <v>491</v>
      </c>
      <c r="B18" s="148"/>
      <c r="C18" s="148"/>
      <c r="D18" s="148"/>
      <c r="E18" s="69"/>
      <c r="F18" s="148" t="s">
        <v>492</v>
      </c>
      <c r="G18" s="148"/>
      <c r="H18" s="148"/>
      <c r="I18" s="148"/>
      <c r="J18" s="69"/>
    </row>
    <row r="19" spans="1:10" x14ac:dyDescent="0.2">
      <c r="A19" s="24" t="s">
        <v>67</v>
      </c>
      <c r="B19" s="44" t="s">
        <v>0</v>
      </c>
      <c r="C19" s="44" t="s">
        <v>1</v>
      </c>
      <c r="D19" s="44" t="s">
        <v>59</v>
      </c>
      <c r="E19" s="69"/>
      <c r="F19" s="24" t="s">
        <v>67</v>
      </c>
      <c r="G19" s="44" t="s">
        <v>0</v>
      </c>
      <c r="H19" s="44" t="s">
        <v>1</v>
      </c>
      <c r="I19" s="44" t="s">
        <v>59</v>
      </c>
      <c r="J19" s="69"/>
    </row>
    <row r="20" spans="1:10" x14ac:dyDescent="0.2">
      <c r="A20" s="22" t="s">
        <v>53</v>
      </c>
      <c r="B20" s="4">
        <v>67</v>
      </c>
      <c r="C20" s="4">
        <v>24</v>
      </c>
      <c r="D20" s="4">
        <v>91</v>
      </c>
      <c r="E20" s="69"/>
      <c r="F20" s="22" t="s">
        <v>53</v>
      </c>
      <c r="G20" s="4">
        <v>1119</v>
      </c>
      <c r="H20" s="4">
        <v>425</v>
      </c>
      <c r="I20" s="4">
        <v>1544</v>
      </c>
      <c r="J20" s="69"/>
    </row>
    <row r="21" spans="1:10" x14ac:dyDescent="0.2">
      <c r="A21" s="25" t="s">
        <v>2</v>
      </c>
      <c r="B21" s="5">
        <v>3419</v>
      </c>
      <c r="C21" s="5">
        <v>790</v>
      </c>
      <c r="D21" s="5">
        <v>4209</v>
      </c>
      <c r="E21" s="69"/>
      <c r="F21" s="25" t="s">
        <v>2</v>
      </c>
      <c r="G21" s="5">
        <v>65432</v>
      </c>
      <c r="H21" s="5">
        <v>14033</v>
      </c>
      <c r="I21" s="5">
        <v>79465</v>
      </c>
      <c r="J21" s="69"/>
    </row>
    <row r="22" spans="1:10" x14ac:dyDescent="0.2">
      <c r="A22" s="25" t="s">
        <v>54</v>
      </c>
      <c r="B22" s="5">
        <v>20542</v>
      </c>
      <c r="C22" s="5">
        <v>13553</v>
      </c>
      <c r="D22" s="5">
        <v>34095</v>
      </c>
      <c r="E22" s="69"/>
      <c r="F22" s="25" t="s">
        <v>54</v>
      </c>
      <c r="G22" s="5">
        <v>421092</v>
      </c>
      <c r="H22" s="5">
        <v>256197</v>
      </c>
      <c r="I22" s="5">
        <v>677289</v>
      </c>
      <c r="J22" s="69"/>
    </row>
    <row r="23" spans="1:10" x14ac:dyDescent="0.2">
      <c r="A23" s="25" t="s">
        <v>55</v>
      </c>
      <c r="B23" s="5">
        <v>16273</v>
      </c>
      <c r="C23" s="5">
        <v>12827</v>
      </c>
      <c r="D23" s="5">
        <v>29100</v>
      </c>
      <c r="E23" s="69"/>
      <c r="F23" s="25" t="s">
        <v>55</v>
      </c>
      <c r="G23" s="5">
        <v>340219</v>
      </c>
      <c r="H23" s="5">
        <v>244716</v>
      </c>
      <c r="I23" s="5">
        <v>584935</v>
      </c>
      <c r="J23" s="69"/>
    </row>
    <row r="24" spans="1:10" x14ac:dyDescent="0.2">
      <c r="A24" s="25" t="s">
        <v>56</v>
      </c>
      <c r="B24" s="5">
        <v>8796</v>
      </c>
      <c r="C24" s="5">
        <v>6834</v>
      </c>
      <c r="D24" s="5">
        <v>15630</v>
      </c>
      <c r="E24" s="69"/>
      <c r="F24" s="25" t="s">
        <v>56</v>
      </c>
      <c r="G24" s="5">
        <v>196289</v>
      </c>
      <c r="H24" s="5">
        <v>132730</v>
      </c>
      <c r="I24" s="5">
        <v>329019</v>
      </c>
      <c r="J24" s="69"/>
    </row>
    <row r="25" spans="1:10" x14ac:dyDescent="0.2">
      <c r="A25" s="25" t="s">
        <v>57</v>
      </c>
      <c r="B25" s="5">
        <v>7032</v>
      </c>
      <c r="C25" s="5">
        <v>4905</v>
      </c>
      <c r="D25" s="5">
        <v>11937</v>
      </c>
      <c r="E25" s="69"/>
      <c r="F25" s="25" t="s">
        <v>57</v>
      </c>
      <c r="G25" s="5">
        <v>172542</v>
      </c>
      <c r="H25" s="5">
        <v>103845</v>
      </c>
      <c r="I25" s="5">
        <v>276387</v>
      </c>
      <c r="J25" s="69"/>
    </row>
    <row r="26" spans="1:10" x14ac:dyDescent="0.2">
      <c r="A26" s="25" t="s">
        <v>3</v>
      </c>
      <c r="B26" s="5">
        <v>1209</v>
      </c>
      <c r="C26" s="5">
        <v>620</v>
      </c>
      <c r="D26" s="5">
        <v>1829</v>
      </c>
      <c r="E26" s="69"/>
      <c r="F26" s="25" t="s">
        <v>3</v>
      </c>
      <c r="G26" s="5">
        <v>30113</v>
      </c>
      <c r="H26" s="5">
        <v>13207</v>
      </c>
      <c r="I26" s="5">
        <v>43320</v>
      </c>
      <c r="J26" s="69"/>
    </row>
    <row r="27" spans="1:10" x14ac:dyDescent="0.2">
      <c r="A27" s="29" t="s">
        <v>60</v>
      </c>
      <c r="B27" s="58">
        <v>57338</v>
      </c>
      <c r="C27" s="58">
        <v>39553</v>
      </c>
      <c r="D27" s="58">
        <v>96891</v>
      </c>
      <c r="E27" s="69"/>
      <c r="F27" s="29" t="s">
        <v>60</v>
      </c>
      <c r="G27" s="58">
        <v>1226806</v>
      </c>
      <c r="H27" s="58">
        <v>765153</v>
      </c>
      <c r="I27" s="58">
        <v>1991959</v>
      </c>
      <c r="J27" s="69"/>
    </row>
    <row r="28" spans="1:10" x14ac:dyDescent="0.2">
      <c r="E28" s="69"/>
      <c r="J28" s="69"/>
    </row>
    <row r="29" spans="1:10" x14ac:dyDescent="0.2">
      <c r="E29" s="69"/>
      <c r="J29" s="69"/>
    </row>
    <row r="30" spans="1:10" ht="15" customHeight="1" x14ac:dyDescent="0.2">
      <c r="A30" s="7" t="s">
        <v>337</v>
      </c>
      <c r="B30" s="7"/>
      <c r="E30" s="69"/>
      <c r="F30" s="7" t="s">
        <v>338</v>
      </c>
      <c r="G30" s="7"/>
      <c r="H30" s="6"/>
      <c r="I30" s="6"/>
      <c r="J30" s="69"/>
    </row>
    <row r="31" spans="1:10" ht="27.75" customHeight="1" x14ac:dyDescent="0.2">
      <c r="A31" s="148" t="s">
        <v>514</v>
      </c>
      <c r="B31" s="148"/>
      <c r="C31" s="148"/>
      <c r="D31" s="148"/>
      <c r="E31" s="69"/>
      <c r="F31" s="148" t="s">
        <v>515</v>
      </c>
      <c r="G31" s="148"/>
      <c r="H31" s="148"/>
      <c r="I31" s="148"/>
      <c r="J31" s="69"/>
    </row>
    <row r="32" spans="1:10" ht="15" customHeight="1" x14ac:dyDescent="0.2">
      <c r="A32" s="24" t="s">
        <v>513</v>
      </c>
      <c r="B32" s="24" t="s">
        <v>0</v>
      </c>
      <c r="C32" s="24" t="s">
        <v>1</v>
      </c>
      <c r="D32" s="24" t="s">
        <v>59</v>
      </c>
      <c r="E32" s="69"/>
      <c r="F32" s="24" t="s">
        <v>513</v>
      </c>
      <c r="G32" s="24" t="s">
        <v>0</v>
      </c>
      <c r="H32" s="24" t="s">
        <v>1</v>
      </c>
      <c r="I32" s="24" t="s">
        <v>59</v>
      </c>
      <c r="J32" s="69"/>
    </row>
    <row r="33" spans="1:10" ht="15" customHeight="1" x14ac:dyDescent="0.2">
      <c r="A33" s="87" t="s">
        <v>310</v>
      </c>
      <c r="B33" s="88">
        <v>618</v>
      </c>
      <c r="C33" s="88">
        <v>354</v>
      </c>
      <c r="D33" s="88">
        <v>972</v>
      </c>
      <c r="E33" s="69"/>
      <c r="F33" s="87" t="s">
        <v>310</v>
      </c>
      <c r="G33" s="88">
        <v>16629</v>
      </c>
      <c r="H33" s="88">
        <v>8472</v>
      </c>
      <c r="I33" s="88">
        <v>25101</v>
      </c>
      <c r="J33" s="69"/>
    </row>
    <row r="34" spans="1:10" ht="15" customHeight="1" x14ac:dyDescent="0.2">
      <c r="E34" s="69"/>
      <c r="H34" s="6"/>
      <c r="I34" s="6"/>
      <c r="J34" s="69"/>
    </row>
    <row r="35" spans="1:10" ht="15" customHeight="1" x14ac:dyDescent="0.2">
      <c r="E35" s="69"/>
      <c r="H35" s="6"/>
      <c r="I35" s="6"/>
      <c r="J35" s="69"/>
    </row>
    <row r="36" spans="1:10" ht="15" customHeight="1" x14ac:dyDescent="0.2">
      <c r="A36" s="7" t="s">
        <v>339</v>
      </c>
      <c r="B36" s="7"/>
      <c r="E36" s="69"/>
      <c r="F36" s="7" t="s">
        <v>340</v>
      </c>
      <c r="G36" s="7"/>
      <c r="H36" s="6"/>
      <c r="I36" s="6"/>
      <c r="J36" s="69"/>
    </row>
    <row r="37" spans="1:10" ht="26.25" customHeight="1" x14ac:dyDescent="0.2">
      <c r="A37" s="148" t="s">
        <v>517</v>
      </c>
      <c r="B37" s="148"/>
      <c r="C37" s="148"/>
      <c r="D37" s="148"/>
      <c r="E37" s="69"/>
      <c r="F37" s="148" t="s">
        <v>516</v>
      </c>
      <c r="G37" s="148"/>
      <c r="H37" s="148"/>
      <c r="I37" s="148"/>
      <c r="J37" s="69"/>
    </row>
    <row r="38" spans="1:10" ht="15" customHeight="1" x14ac:dyDescent="0.2">
      <c r="A38" s="44" t="s">
        <v>66</v>
      </c>
      <c r="B38" s="24" t="s">
        <v>0</v>
      </c>
      <c r="C38" s="24" t="s">
        <v>1</v>
      </c>
      <c r="D38" s="24" t="s">
        <v>59</v>
      </c>
      <c r="E38" s="69"/>
      <c r="F38" s="44" t="s">
        <v>66</v>
      </c>
      <c r="G38" s="24" t="s">
        <v>0</v>
      </c>
      <c r="H38" s="24" t="s">
        <v>1</v>
      </c>
      <c r="I38" s="24" t="s">
        <v>59</v>
      </c>
      <c r="J38" s="69"/>
    </row>
    <row r="39" spans="1:10" x14ac:dyDescent="0.2">
      <c r="A39" s="22" t="s">
        <v>5</v>
      </c>
      <c r="B39" s="4">
        <v>127</v>
      </c>
      <c r="C39" s="4">
        <v>90</v>
      </c>
      <c r="D39" s="4">
        <v>217</v>
      </c>
      <c r="E39" s="69"/>
      <c r="F39" s="22" t="s">
        <v>5</v>
      </c>
      <c r="G39" s="4">
        <v>3555</v>
      </c>
      <c r="H39" s="4">
        <v>2384</v>
      </c>
      <c r="I39" s="4">
        <v>5939</v>
      </c>
      <c r="J39" s="69"/>
    </row>
    <row r="40" spans="1:10" x14ac:dyDescent="0.2">
      <c r="A40" s="25" t="s">
        <v>6</v>
      </c>
      <c r="B40" s="5">
        <v>491</v>
      </c>
      <c r="C40" s="5">
        <v>264</v>
      </c>
      <c r="D40" s="5">
        <v>755</v>
      </c>
      <c r="E40" s="69"/>
      <c r="F40" s="25" t="s">
        <v>6</v>
      </c>
      <c r="G40" s="5">
        <v>13074</v>
      </c>
      <c r="H40" s="5">
        <v>6088</v>
      </c>
      <c r="I40" s="5">
        <v>19162</v>
      </c>
      <c r="J40" s="69"/>
    </row>
    <row r="41" spans="1:10" x14ac:dyDescent="0.2">
      <c r="A41" s="29" t="s">
        <v>60</v>
      </c>
      <c r="B41" s="58">
        <v>618</v>
      </c>
      <c r="C41" s="58">
        <v>354</v>
      </c>
      <c r="D41" s="58">
        <v>972</v>
      </c>
      <c r="E41" s="69"/>
      <c r="F41" s="29" t="s">
        <v>60</v>
      </c>
      <c r="G41" s="58">
        <v>16629</v>
      </c>
      <c r="H41" s="58">
        <v>8472</v>
      </c>
      <c r="I41" s="58">
        <v>25101</v>
      </c>
      <c r="J41" s="69"/>
    </row>
    <row r="42" spans="1:10" ht="15" customHeight="1" x14ac:dyDescent="0.2">
      <c r="E42" s="69"/>
      <c r="H42" s="6"/>
      <c r="I42" s="6"/>
      <c r="J42" s="69"/>
    </row>
    <row r="43" spans="1:10" ht="15" customHeight="1" x14ac:dyDescent="0.2">
      <c r="E43" s="69"/>
      <c r="H43" s="6"/>
      <c r="I43" s="6"/>
      <c r="J43" s="69"/>
    </row>
    <row r="44" spans="1:10" ht="15" customHeight="1" x14ac:dyDescent="0.2">
      <c r="A44" s="7" t="s">
        <v>341</v>
      </c>
      <c r="B44" s="7"/>
      <c r="E44" s="69"/>
      <c r="F44" s="7" t="s">
        <v>342</v>
      </c>
      <c r="G44" s="7"/>
      <c r="H44" s="6"/>
      <c r="I44" s="6"/>
      <c r="J44" s="69"/>
    </row>
    <row r="45" spans="1:10" ht="24.75" customHeight="1" x14ac:dyDescent="0.2">
      <c r="A45" s="148" t="s">
        <v>518</v>
      </c>
      <c r="B45" s="148"/>
      <c r="C45" s="148"/>
      <c r="D45" s="148"/>
      <c r="E45" s="69"/>
      <c r="F45" s="148" t="s">
        <v>519</v>
      </c>
      <c r="G45" s="148"/>
      <c r="H45" s="148"/>
      <c r="I45" s="148"/>
      <c r="J45" s="69"/>
    </row>
    <row r="46" spans="1:10" ht="15" customHeight="1" x14ac:dyDescent="0.2">
      <c r="A46" s="24" t="s">
        <v>67</v>
      </c>
      <c r="B46" s="44" t="s">
        <v>0</v>
      </c>
      <c r="C46" s="44" t="s">
        <v>1</v>
      </c>
      <c r="D46" s="44" t="s">
        <v>59</v>
      </c>
      <c r="E46" s="69"/>
      <c r="F46" s="24" t="s">
        <v>67</v>
      </c>
      <c r="G46" s="24" t="s">
        <v>0</v>
      </c>
      <c r="H46" s="24" t="s">
        <v>1</v>
      </c>
      <c r="I46" s="24" t="s">
        <v>59</v>
      </c>
      <c r="J46" s="69"/>
    </row>
    <row r="47" spans="1:10" x14ac:dyDescent="0.2">
      <c r="A47" s="22" t="s">
        <v>53</v>
      </c>
      <c r="B47" s="4">
        <v>1</v>
      </c>
      <c r="C47" s="117">
        <v>0</v>
      </c>
      <c r="D47" s="4">
        <v>1</v>
      </c>
      <c r="E47" s="69"/>
      <c r="F47" s="22" t="s">
        <v>53</v>
      </c>
      <c r="G47" s="4">
        <v>30</v>
      </c>
      <c r="H47" s="117">
        <v>0</v>
      </c>
      <c r="I47" s="4">
        <v>30</v>
      </c>
      <c r="J47" s="69"/>
    </row>
    <row r="48" spans="1:10" x14ac:dyDescent="0.2">
      <c r="A48" s="25" t="s">
        <v>2</v>
      </c>
      <c r="B48" s="5">
        <v>9</v>
      </c>
      <c r="C48" s="5">
        <v>3</v>
      </c>
      <c r="D48" s="5">
        <v>12</v>
      </c>
      <c r="E48" s="69"/>
      <c r="F48" s="25" t="s">
        <v>2</v>
      </c>
      <c r="G48" s="5">
        <v>209</v>
      </c>
      <c r="H48" s="5">
        <v>40</v>
      </c>
      <c r="I48" s="5">
        <v>249</v>
      </c>
      <c r="J48" s="69"/>
    </row>
    <row r="49" spans="1:10" x14ac:dyDescent="0.2">
      <c r="A49" s="25" t="s">
        <v>54</v>
      </c>
      <c r="B49" s="5">
        <v>67</v>
      </c>
      <c r="C49" s="5">
        <v>72</v>
      </c>
      <c r="D49" s="5">
        <v>139</v>
      </c>
      <c r="E49" s="69"/>
      <c r="F49" s="25" t="s">
        <v>54</v>
      </c>
      <c r="G49" s="5">
        <v>1660</v>
      </c>
      <c r="H49" s="5">
        <v>1663</v>
      </c>
      <c r="I49" s="5">
        <v>3323</v>
      </c>
      <c r="J49" s="69"/>
    </row>
    <row r="50" spans="1:10" x14ac:dyDescent="0.2">
      <c r="A50" s="25" t="s">
        <v>55</v>
      </c>
      <c r="B50" s="5">
        <v>67</v>
      </c>
      <c r="C50" s="5">
        <v>77</v>
      </c>
      <c r="D50" s="5">
        <v>144</v>
      </c>
      <c r="E50" s="69"/>
      <c r="F50" s="25" t="s">
        <v>55</v>
      </c>
      <c r="G50" s="5">
        <v>1766</v>
      </c>
      <c r="H50" s="5">
        <v>1868</v>
      </c>
      <c r="I50" s="5">
        <v>3634</v>
      </c>
      <c r="J50" s="69"/>
    </row>
    <row r="51" spans="1:10" x14ac:dyDescent="0.2">
      <c r="A51" s="25" t="s">
        <v>56</v>
      </c>
      <c r="B51" s="5">
        <v>268</v>
      </c>
      <c r="C51" s="5">
        <v>93</v>
      </c>
      <c r="D51" s="5">
        <v>361</v>
      </c>
      <c r="E51" s="69"/>
      <c r="F51" s="25" t="s">
        <v>56</v>
      </c>
      <c r="G51" s="5">
        <v>7557</v>
      </c>
      <c r="H51" s="5">
        <v>2143</v>
      </c>
      <c r="I51" s="5">
        <v>9700</v>
      </c>
      <c r="J51" s="69"/>
    </row>
    <row r="52" spans="1:10" x14ac:dyDescent="0.2">
      <c r="A52" s="25" t="s">
        <v>57</v>
      </c>
      <c r="B52" s="5">
        <v>188</v>
      </c>
      <c r="C52" s="5">
        <v>85</v>
      </c>
      <c r="D52" s="5">
        <v>273</v>
      </c>
      <c r="E52" s="69"/>
      <c r="F52" s="25" t="s">
        <v>57</v>
      </c>
      <c r="G52" s="5">
        <v>4920</v>
      </c>
      <c r="H52" s="5">
        <v>2140</v>
      </c>
      <c r="I52" s="5">
        <v>7060</v>
      </c>
      <c r="J52" s="69"/>
    </row>
    <row r="53" spans="1:10" x14ac:dyDescent="0.2">
      <c r="A53" s="25" t="s">
        <v>3</v>
      </c>
      <c r="B53" s="5">
        <v>18</v>
      </c>
      <c r="C53" s="5">
        <v>24</v>
      </c>
      <c r="D53" s="5">
        <v>42</v>
      </c>
      <c r="E53" s="69"/>
      <c r="F53" s="25" t="s">
        <v>3</v>
      </c>
      <c r="G53" s="5">
        <v>487</v>
      </c>
      <c r="H53" s="5">
        <v>618</v>
      </c>
      <c r="I53" s="5">
        <v>1105</v>
      </c>
      <c r="J53" s="69"/>
    </row>
    <row r="54" spans="1:10" x14ac:dyDescent="0.2">
      <c r="A54" s="29" t="s">
        <v>60</v>
      </c>
      <c r="B54" s="58">
        <v>618</v>
      </c>
      <c r="C54" s="58">
        <v>354</v>
      </c>
      <c r="D54" s="58">
        <v>972</v>
      </c>
      <c r="E54" s="69"/>
      <c r="F54" s="29" t="s">
        <v>60</v>
      </c>
      <c r="G54" s="58">
        <v>16629</v>
      </c>
      <c r="H54" s="58">
        <v>8472</v>
      </c>
      <c r="I54" s="58">
        <v>25101</v>
      </c>
      <c r="J54" s="69"/>
    </row>
    <row r="55" spans="1:10" ht="15" customHeight="1" x14ac:dyDescent="0.2">
      <c r="E55" s="69"/>
      <c r="J55" s="69"/>
    </row>
    <row r="56" spans="1:10" ht="15" customHeight="1" x14ac:dyDescent="0.2">
      <c r="E56" s="69"/>
      <c r="J56" s="69"/>
    </row>
    <row r="57" spans="1:10" ht="15" customHeight="1" x14ac:dyDescent="0.2">
      <c r="A57" s="7" t="s">
        <v>443</v>
      </c>
      <c r="B57" s="7"/>
      <c r="E57" s="69"/>
      <c r="F57" s="7" t="s">
        <v>446</v>
      </c>
      <c r="G57" s="7"/>
      <c r="H57" s="6"/>
      <c r="I57" s="6"/>
      <c r="J57" s="69"/>
    </row>
    <row r="58" spans="1:10" ht="27.75" customHeight="1" x14ac:dyDescent="0.2">
      <c r="A58" s="148" t="s">
        <v>493</v>
      </c>
      <c r="B58" s="148"/>
      <c r="C58" s="148"/>
      <c r="D58" s="148"/>
      <c r="E58" s="69"/>
      <c r="F58" s="148" t="s">
        <v>494</v>
      </c>
      <c r="G58" s="148"/>
      <c r="H58" s="148"/>
      <c r="I58" s="148"/>
      <c r="J58" s="69"/>
    </row>
    <row r="59" spans="1:10" ht="15" customHeight="1" x14ac:dyDescent="0.2">
      <c r="A59" s="24" t="s">
        <v>315</v>
      </c>
      <c r="B59" s="24" t="s">
        <v>0</v>
      </c>
      <c r="C59" s="24" t="s">
        <v>1</v>
      </c>
      <c r="D59" s="24" t="s">
        <v>59</v>
      </c>
      <c r="E59" s="69"/>
      <c r="F59" s="24" t="s">
        <v>315</v>
      </c>
      <c r="G59" s="24" t="s">
        <v>0</v>
      </c>
      <c r="H59" s="24" t="s">
        <v>1</v>
      </c>
      <c r="I59" s="24" t="s">
        <v>59</v>
      </c>
      <c r="J59" s="69"/>
    </row>
    <row r="60" spans="1:10" ht="15" customHeight="1" x14ac:dyDescent="0.2">
      <c r="A60" s="87" t="s">
        <v>316</v>
      </c>
      <c r="B60" s="88">
        <v>601</v>
      </c>
      <c r="C60" s="88">
        <v>100</v>
      </c>
      <c r="D60" s="88">
        <v>701</v>
      </c>
      <c r="E60" s="69"/>
      <c r="F60" s="87" t="s">
        <v>316</v>
      </c>
      <c r="G60" s="88">
        <v>19445</v>
      </c>
      <c r="H60" s="88">
        <v>2744</v>
      </c>
      <c r="I60" s="88">
        <v>22189</v>
      </c>
      <c r="J60" s="69"/>
    </row>
    <row r="61" spans="1:10" x14ac:dyDescent="0.2">
      <c r="E61" s="69"/>
      <c r="H61" s="6"/>
      <c r="I61" s="6"/>
      <c r="J61" s="69"/>
    </row>
    <row r="62" spans="1:10" x14ac:dyDescent="0.2">
      <c r="E62" s="69"/>
      <c r="H62" s="6"/>
      <c r="I62" s="6"/>
      <c r="J62" s="69"/>
    </row>
    <row r="63" spans="1:10" x14ac:dyDescent="0.2">
      <c r="A63" s="7" t="s">
        <v>444</v>
      </c>
      <c r="B63" s="7"/>
      <c r="E63" s="69"/>
      <c r="F63" s="7" t="s">
        <v>447</v>
      </c>
      <c r="G63" s="7"/>
      <c r="H63" s="6"/>
      <c r="I63" s="6"/>
      <c r="J63" s="69"/>
    </row>
    <row r="64" spans="1:10" ht="26.25" customHeight="1" x14ac:dyDescent="0.2">
      <c r="A64" s="148" t="s">
        <v>495</v>
      </c>
      <c r="B64" s="148"/>
      <c r="C64" s="148"/>
      <c r="D64" s="148"/>
      <c r="E64" s="69"/>
      <c r="F64" s="148" t="s">
        <v>496</v>
      </c>
      <c r="G64" s="148"/>
      <c r="H64" s="148"/>
      <c r="I64" s="148"/>
      <c r="J64" s="69"/>
    </row>
    <row r="65" spans="1:10" x14ac:dyDescent="0.2">
      <c r="A65" s="44" t="s">
        <v>66</v>
      </c>
      <c r="B65" s="44" t="s">
        <v>0</v>
      </c>
      <c r="C65" s="44" t="s">
        <v>1</v>
      </c>
      <c r="D65" s="44" t="s">
        <v>59</v>
      </c>
      <c r="E65" s="69"/>
      <c r="F65" s="44" t="s">
        <v>66</v>
      </c>
      <c r="G65" s="44" t="s">
        <v>0</v>
      </c>
      <c r="H65" s="44" t="s">
        <v>1</v>
      </c>
      <c r="I65" s="44" t="s">
        <v>59</v>
      </c>
      <c r="J65" s="69"/>
    </row>
    <row r="66" spans="1:10" x14ac:dyDescent="0.2">
      <c r="A66" s="22" t="s">
        <v>5</v>
      </c>
      <c r="B66" s="4">
        <v>429</v>
      </c>
      <c r="C66" s="4">
        <v>64</v>
      </c>
      <c r="D66" s="4">
        <v>493</v>
      </c>
      <c r="E66" s="69"/>
      <c r="F66" s="22" t="s">
        <v>5</v>
      </c>
      <c r="G66" s="4">
        <v>14377</v>
      </c>
      <c r="H66" s="4">
        <v>1753</v>
      </c>
      <c r="I66" s="4">
        <v>16130</v>
      </c>
      <c r="J66" s="69"/>
    </row>
    <row r="67" spans="1:10" x14ac:dyDescent="0.2">
      <c r="A67" s="25" t="s">
        <v>6</v>
      </c>
      <c r="B67" s="5">
        <v>172</v>
      </c>
      <c r="C67" s="5">
        <v>36</v>
      </c>
      <c r="D67" s="5">
        <v>208</v>
      </c>
      <c r="E67" s="69"/>
      <c r="F67" s="25" t="s">
        <v>6</v>
      </c>
      <c r="G67" s="5">
        <v>5068</v>
      </c>
      <c r="H67" s="5">
        <v>991</v>
      </c>
      <c r="I67" s="5">
        <v>6059</v>
      </c>
      <c r="J67" s="69"/>
    </row>
    <row r="68" spans="1:10" x14ac:dyDescent="0.2">
      <c r="A68" s="29" t="s">
        <v>60</v>
      </c>
      <c r="B68" s="58">
        <v>601</v>
      </c>
      <c r="C68" s="58">
        <v>100</v>
      </c>
      <c r="D68" s="58">
        <v>701</v>
      </c>
      <c r="E68" s="69"/>
      <c r="F68" s="29" t="s">
        <v>60</v>
      </c>
      <c r="G68" s="58">
        <v>19445</v>
      </c>
      <c r="H68" s="58">
        <v>2744</v>
      </c>
      <c r="I68" s="58">
        <v>22189</v>
      </c>
      <c r="J68" s="69"/>
    </row>
    <row r="69" spans="1:10" x14ac:dyDescent="0.2">
      <c r="E69" s="69"/>
      <c r="H69" s="6"/>
      <c r="I69" s="6"/>
      <c r="J69" s="69"/>
    </row>
    <row r="70" spans="1:10" x14ac:dyDescent="0.2">
      <c r="E70" s="69"/>
      <c r="H70" s="6"/>
      <c r="I70" s="6"/>
      <c r="J70" s="69"/>
    </row>
    <row r="71" spans="1:10" x14ac:dyDescent="0.2">
      <c r="A71" s="7" t="s">
        <v>445</v>
      </c>
      <c r="B71" s="7"/>
      <c r="E71" s="69"/>
      <c r="F71" s="7" t="s">
        <v>448</v>
      </c>
      <c r="G71" s="7"/>
      <c r="H71" s="6"/>
      <c r="I71" s="6"/>
      <c r="J71" s="69"/>
    </row>
    <row r="72" spans="1:10" ht="25.5" customHeight="1" x14ac:dyDescent="0.2">
      <c r="A72" s="148" t="s">
        <v>498</v>
      </c>
      <c r="B72" s="148"/>
      <c r="C72" s="148"/>
      <c r="D72" s="148"/>
      <c r="E72" s="69"/>
      <c r="F72" s="148" t="s">
        <v>497</v>
      </c>
      <c r="G72" s="148"/>
      <c r="H72" s="148"/>
      <c r="I72" s="148"/>
      <c r="J72" s="69"/>
    </row>
    <row r="73" spans="1:10" x14ac:dyDescent="0.2">
      <c r="A73" s="24" t="s">
        <v>67</v>
      </c>
      <c r="B73" s="44" t="s">
        <v>0</v>
      </c>
      <c r="C73" s="44" t="s">
        <v>1</v>
      </c>
      <c r="D73" s="44" t="s">
        <v>59</v>
      </c>
      <c r="E73" s="69"/>
      <c r="F73" s="92" t="s">
        <v>67</v>
      </c>
      <c r="G73" s="44" t="s">
        <v>0</v>
      </c>
      <c r="H73" s="93" t="s">
        <v>1</v>
      </c>
      <c r="I73" s="44" t="s">
        <v>59</v>
      </c>
      <c r="J73" s="69"/>
    </row>
    <row r="74" spans="1:10" x14ac:dyDescent="0.2">
      <c r="A74" s="22" t="s">
        <v>53</v>
      </c>
      <c r="B74" s="4">
        <v>1</v>
      </c>
      <c r="C74" s="117">
        <v>0</v>
      </c>
      <c r="D74" s="4">
        <v>1</v>
      </c>
      <c r="E74" s="69"/>
      <c r="F74" s="30" t="s">
        <v>53</v>
      </c>
      <c r="G74" s="4">
        <v>15</v>
      </c>
      <c r="H74" s="121">
        <v>0</v>
      </c>
      <c r="I74" s="4">
        <v>15</v>
      </c>
      <c r="J74" s="69"/>
    </row>
    <row r="75" spans="1:10" x14ac:dyDescent="0.2">
      <c r="A75" s="25" t="s">
        <v>2</v>
      </c>
      <c r="B75" s="5">
        <v>2</v>
      </c>
      <c r="C75" s="5">
        <v>4</v>
      </c>
      <c r="D75" s="5">
        <v>6</v>
      </c>
      <c r="E75" s="69"/>
      <c r="F75" s="31" t="s">
        <v>2</v>
      </c>
      <c r="G75" s="5">
        <v>40</v>
      </c>
      <c r="H75" s="55">
        <v>103</v>
      </c>
      <c r="I75" s="5">
        <v>143</v>
      </c>
      <c r="J75" s="69"/>
    </row>
    <row r="76" spans="1:10" x14ac:dyDescent="0.2">
      <c r="A76" s="25" t="s">
        <v>54</v>
      </c>
      <c r="B76" s="5">
        <v>60</v>
      </c>
      <c r="C76" s="5">
        <v>6</v>
      </c>
      <c r="D76" s="5">
        <v>66</v>
      </c>
      <c r="E76" s="69"/>
      <c r="F76" s="31" t="s">
        <v>54</v>
      </c>
      <c r="G76" s="5">
        <v>1740</v>
      </c>
      <c r="H76" s="55">
        <v>154</v>
      </c>
      <c r="I76" s="5">
        <v>1894</v>
      </c>
      <c r="J76" s="69"/>
    </row>
    <row r="77" spans="1:10" x14ac:dyDescent="0.2">
      <c r="A77" s="25" t="s">
        <v>55</v>
      </c>
      <c r="B77" s="5">
        <v>78</v>
      </c>
      <c r="C77" s="5">
        <v>18</v>
      </c>
      <c r="D77" s="5">
        <v>96</v>
      </c>
      <c r="E77" s="69"/>
      <c r="F77" s="31" t="s">
        <v>55</v>
      </c>
      <c r="G77" s="5">
        <v>2748</v>
      </c>
      <c r="H77" s="55">
        <v>421</v>
      </c>
      <c r="I77" s="5">
        <v>3169</v>
      </c>
      <c r="J77" s="69"/>
    </row>
    <row r="78" spans="1:10" x14ac:dyDescent="0.2">
      <c r="A78" s="25" t="s">
        <v>56</v>
      </c>
      <c r="B78" s="5">
        <v>153</v>
      </c>
      <c r="C78" s="5">
        <v>17</v>
      </c>
      <c r="D78" s="5">
        <v>170</v>
      </c>
      <c r="E78" s="69"/>
      <c r="F78" s="31" t="s">
        <v>56</v>
      </c>
      <c r="G78" s="5">
        <v>4983</v>
      </c>
      <c r="H78" s="55">
        <v>446</v>
      </c>
      <c r="I78" s="5">
        <v>5429</v>
      </c>
      <c r="J78" s="69"/>
    </row>
    <row r="79" spans="1:10" x14ac:dyDescent="0.2">
      <c r="A79" s="25" t="s">
        <v>57</v>
      </c>
      <c r="B79" s="5">
        <v>173</v>
      </c>
      <c r="C79" s="5">
        <v>38</v>
      </c>
      <c r="D79" s="5">
        <v>211</v>
      </c>
      <c r="E79" s="69"/>
      <c r="F79" s="31" t="s">
        <v>57</v>
      </c>
      <c r="G79" s="5">
        <v>5626</v>
      </c>
      <c r="H79" s="55">
        <v>1138</v>
      </c>
      <c r="I79" s="5">
        <v>6764</v>
      </c>
      <c r="J79" s="69"/>
    </row>
    <row r="80" spans="1:10" x14ac:dyDescent="0.2">
      <c r="A80" s="25" t="s">
        <v>3</v>
      </c>
      <c r="B80" s="5">
        <v>134</v>
      </c>
      <c r="C80" s="5">
        <v>17</v>
      </c>
      <c r="D80" s="5">
        <v>151</v>
      </c>
      <c r="E80" s="69"/>
      <c r="F80" s="31" t="s">
        <v>3</v>
      </c>
      <c r="G80" s="5">
        <v>4293</v>
      </c>
      <c r="H80" s="55">
        <v>482</v>
      </c>
      <c r="I80" s="5">
        <v>4775</v>
      </c>
      <c r="J80" s="69"/>
    </row>
    <row r="81" spans="1:10" x14ac:dyDescent="0.2">
      <c r="A81" s="29" t="s">
        <v>60</v>
      </c>
      <c r="B81" s="58">
        <v>601</v>
      </c>
      <c r="C81" s="58">
        <v>100</v>
      </c>
      <c r="D81" s="58">
        <v>701</v>
      </c>
      <c r="E81" s="69"/>
      <c r="F81" s="94" t="s">
        <v>60</v>
      </c>
      <c r="G81" s="58">
        <v>19445</v>
      </c>
      <c r="H81" s="95">
        <v>2744</v>
      </c>
      <c r="I81" s="58">
        <v>22189</v>
      </c>
      <c r="J81" s="69"/>
    </row>
    <row r="84" spans="1:10" x14ac:dyDescent="0.2">
      <c r="C84" s="3"/>
      <c r="D84" s="3"/>
    </row>
    <row r="85" spans="1:10" x14ac:dyDescent="0.2">
      <c r="C85" s="3"/>
      <c r="D85" s="3"/>
    </row>
    <row r="86" spans="1:10" x14ac:dyDescent="0.2">
      <c r="C86" s="3"/>
      <c r="D86" s="3"/>
    </row>
    <row r="87" spans="1:10" x14ac:dyDescent="0.2">
      <c r="C87" s="3"/>
      <c r="D87" s="3"/>
    </row>
    <row r="88" spans="1:10" x14ac:dyDescent="0.2">
      <c r="C88" s="3"/>
      <c r="D88" s="3"/>
    </row>
    <row r="89" spans="1:10" x14ac:dyDescent="0.2">
      <c r="C89" s="3"/>
      <c r="D89" s="3"/>
    </row>
    <row r="90" spans="1:10" x14ac:dyDescent="0.2">
      <c r="C90" s="3"/>
      <c r="D90" s="3"/>
    </row>
    <row r="91" spans="1:10" x14ac:dyDescent="0.2">
      <c r="C91" s="3"/>
      <c r="D91" s="3"/>
    </row>
    <row r="92" spans="1:10" x14ac:dyDescent="0.2">
      <c r="C92" s="3"/>
      <c r="D92" s="3"/>
    </row>
    <row r="93" spans="1:10" x14ac:dyDescent="0.2">
      <c r="C93" s="3"/>
      <c r="D93" s="3"/>
    </row>
    <row r="94" spans="1:10" x14ac:dyDescent="0.2">
      <c r="C94" s="3"/>
      <c r="D94" s="3"/>
    </row>
    <row r="95" spans="1:10" x14ac:dyDescent="0.2">
      <c r="C95" s="3"/>
      <c r="D95" s="3"/>
    </row>
    <row r="96" spans="1:10" x14ac:dyDescent="0.2">
      <c r="C96" s="3"/>
      <c r="D96" s="3"/>
    </row>
    <row r="97" s="3" customFormat="1" x14ac:dyDescent="0.2"/>
    <row r="98" s="3" customFormat="1" x14ac:dyDescent="0.2"/>
    <row r="99" s="3" customFormat="1" x14ac:dyDescent="0.2"/>
    <row r="100" s="3" customFormat="1" x14ac:dyDescent="0.2"/>
    <row r="101" s="3" customFormat="1" x14ac:dyDescent="0.2"/>
    <row r="102" s="3" customFormat="1" x14ac:dyDescent="0.2"/>
    <row r="103" s="3" customFormat="1" x14ac:dyDescent="0.2"/>
    <row r="104" s="3" customFormat="1" x14ac:dyDescent="0.2"/>
    <row r="105" s="3" customFormat="1" x14ac:dyDescent="0.2"/>
    <row r="106" s="3" customFormat="1" x14ac:dyDescent="0.2"/>
    <row r="107" s="3" customFormat="1" x14ac:dyDescent="0.2"/>
    <row r="108" s="3" customFormat="1" x14ac:dyDescent="0.2"/>
    <row r="109" s="3" customFormat="1" x14ac:dyDescent="0.2"/>
    <row r="110" s="3" customFormat="1" x14ac:dyDescent="0.2"/>
    <row r="111" s="3" customFormat="1" x14ac:dyDescent="0.2"/>
    <row r="112" s="3" customFormat="1" x14ac:dyDescent="0.2"/>
    <row r="702" s="3" customFormat="1" ht="15" customHeight="1" x14ac:dyDescent="0.2"/>
    <row r="703" s="3" customFormat="1" ht="15" customHeight="1" x14ac:dyDescent="0.2"/>
    <row r="704" s="3" customFormat="1" ht="15" customHeight="1" x14ac:dyDescent="0.2"/>
    <row r="705" s="3" customFormat="1" ht="15" customHeight="1" x14ac:dyDescent="0.2"/>
    <row r="706" s="3" customFormat="1" ht="15" customHeight="1" x14ac:dyDescent="0.2"/>
    <row r="707" s="3" customFormat="1" ht="15" customHeight="1" x14ac:dyDescent="0.2"/>
    <row r="708" s="3" customFormat="1" ht="15" customHeight="1" x14ac:dyDescent="0.2"/>
    <row r="709" s="3" customFormat="1" ht="15" customHeight="1" x14ac:dyDescent="0.2"/>
    <row r="710" s="3" customFormat="1" ht="15" customHeight="1" x14ac:dyDescent="0.2"/>
    <row r="711" s="3" customFormat="1" ht="15" customHeight="1" x14ac:dyDescent="0.2"/>
    <row r="712" s="3" customFormat="1" ht="15" customHeight="1" x14ac:dyDescent="0.2"/>
    <row r="713" s="3" customFormat="1" ht="15" customHeight="1" x14ac:dyDescent="0.2"/>
    <row r="714" s="3" customFormat="1" ht="15" customHeight="1" x14ac:dyDescent="0.2"/>
  </sheetData>
  <mergeCells count="18">
    <mergeCell ref="A58:D58"/>
    <mergeCell ref="F58:I58"/>
    <mergeCell ref="F64:I64"/>
    <mergeCell ref="A64:D64"/>
    <mergeCell ref="A72:D72"/>
    <mergeCell ref="F72:I72"/>
    <mergeCell ref="F31:I31"/>
    <mergeCell ref="A31:D31"/>
    <mergeCell ref="A37:D37"/>
    <mergeCell ref="F37:I37"/>
    <mergeCell ref="F45:I45"/>
    <mergeCell ref="A45:D45"/>
    <mergeCell ref="A4:D4"/>
    <mergeCell ref="F4:I4"/>
    <mergeCell ref="F10:I10"/>
    <mergeCell ref="A10:D10"/>
    <mergeCell ref="A18:D18"/>
    <mergeCell ref="F18:I1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62"/>
  <sheetViews>
    <sheetView showGridLines="0" zoomScale="90" zoomScaleNormal="90" workbookViewId="0"/>
  </sheetViews>
  <sheetFormatPr baseColWidth="10" defaultRowHeight="15" x14ac:dyDescent="0.25"/>
  <cols>
    <col min="1" max="1" width="40.7109375" style="3" customWidth="1"/>
    <col min="2" max="2" width="15.7109375" style="3" customWidth="1"/>
    <col min="3" max="4" width="15.7109375" style="6" customWidth="1"/>
    <col min="5" max="5" width="7.42578125" customWidth="1"/>
    <col min="6" max="6" width="40.7109375" customWidth="1"/>
    <col min="7" max="9" width="15.7109375" customWidth="1"/>
  </cols>
  <sheetData>
    <row r="1" spans="1:10" ht="18.75" x14ac:dyDescent="0.3">
      <c r="A1" s="1" t="s">
        <v>343</v>
      </c>
      <c r="B1" s="1"/>
    </row>
    <row r="2" spans="1:10" x14ac:dyDescent="0.25">
      <c r="A2" s="7"/>
      <c r="B2" s="7"/>
    </row>
    <row r="3" spans="1:10" x14ac:dyDescent="0.25">
      <c r="A3" s="7" t="s">
        <v>344</v>
      </c>
      <c r="B3" s="7"/>
      <c r="F3" s="7" t="s">
        <v>857</v>
      </c>
      <c r="G3" s="7"/>
      <c r="H3" s="6"/>
      <c r="I3" s="6"/>
    </row>
    <row r="4" spans="1:10" x14ac:dyDescent="0.25">
      <c r="A4" s="148" t="s">
        <v>499</v>
      </c>
      <c r="B4" s="148"/>
      <c r="C4" s="148"/>
      <c r="D4" s="148"/>
      <c r="F4" s="148" t="s">
        <v>500</v>
      </c>
      <c r="G4" s="148"/>
      <c r="H4" s="148"/>
      <c r="I4" s="148"/>
    </row>
    <row r="5" spans="1:10" x14ac:dyDescent="0.25">
      <c r="A5" s="8" t="s">
        <v>345</v>
      </c>
      <c r="B5" s="8" t="s">
        <v>0</v>
      </c>
      <c r="C5" s="8" t="s">
        <v>1</v>
      </c>
      <c r="D5" s="8" t="s">
        <v>59</v>
      </c>
      <c r="F5" s="8" t="s">
        <v>345</v>
      </c>
      <c r="G5" s="8" t="s">
        <v>0</v>
      </c>
      <c r="H5" s="8" t="s">
        <v>1</v>
      </c>
      <c r="I5" s="8" t="s">
        <v>59</v>
      </c>
    </row>
    <row r="6" spans="1:10" x14ac:dyDescent="0.25">
      <c r="A6" s="29" t="s">
        <v>346</v>
      </c>
      <c r="B6" s="15">
        <v>5265</v>
      </c>
      <c r="C6" s="15">
        <v>1048</v>
      </c>
      <c r="D6" s="15">
        <v>6313</v>
      </c>
      <c r="E6" s="69"/>
      <c r="F6" s="87" t="s">
        <v>346</v>
      </c>
      <c r="G6" s="85">
        <v>87982</v>
      </c>
      <c r="H6" s="88">
        <v>14594</v>
      </c>
      <c r="I6" s="88">
        <v>102576</v>
      </c>
      <c r="J6" s="69"/>
    </row>
    <row r="7" spans="1:10" x14ac:dyDescent="0.25">
      <c r="E7" s="69"/>
      <c r="F7" s="3"/>
      <c r="G7" s="3"/>
      <c r="H7" s="6"/>
      <c r="I7" s="6"/>
      <c r="J7" s="69"/>
    </row>
    <row r="8" spans="1:10" x14ac:dyDescent="0.25">
      <c r="E8" s="69"/>
      <c r="F8" s="3"/>
      <c r="G8" s="3"/>
      <c r="H8" s="6"/>
      <c r="I8" s="6"/>
      <c r="J8" s="69"/>
    </row>
    <row r="9" spans="1:10" x14ac:dyDescent="0.25">
      <c r="A9" s="7" t="s">
        <v>450</v>
      </c>
      <c r="B9" s="7"/>
      <c r="E9" s="69"/>
      <c r="F9" s="7" t="s">
        <v>858</v>
      </c>
      <c r="G9" s="7"/>
      <c r="H9" s="6"/>
      <c r="I9" s="6"/>
      <c r="J9" s="69"/>
    </row>
    <row r="10" spans="1:10" ht="26.25" customHeight="1" x14ac:dyDescent="0.25">
      <c r="A10" s="148" t="s">
        <v>501</v>
      </c>
      <c r="B10" s="148"/>
      <c r="C10" s="148"/>
      <c r="D10" s="148"/>
      <c r="E10" s="69"/>
      <c r="F10" s="148" t="s">
        <v>504</v>
      </c>
      <c r="G10" s="148"/>
      <c r="H10" s="148"/>
      <c r="I10" s="148"/>
      <c r="J10" s="69"/>
    </row>
    <row r="11" spans="1:10" x14ac:dyDescent="0.25">
      <c r="A11" s="44" t="s">
        <v>66</v>
      </c>
      <c r="B11" s="44" t="s">
        <v>0</v>
      </c>
      <c r="C11" s="44" t="s">
        <v>1</v>
      </c>
      <c r="D11" s="44" t="s">
        <v>59</v>
      </c>
      <c r="E11" s="69"/>
      <c r="F11" s="44" t="s">
        <v>66</v>
      </c>
      <c r="G11" s="44" t="s">
        <v>0</v>
      </c>
      <c r="H11" s="44" t="s">
        <v>1</v>
      </c>
      <c r="I11" s="44" t="s">
        <v>59</v>
      </c>
      <c r="J11" s="69"/>
    </row>
    <row r="12" spans="1:10" x14ac:dyDescent="0.25">
      <c r="A12" s="22" t="s">
        <v>5</v>
      </c>
      <c r="B12" s="75">
        <v>3782</v>
      </c>
      <c r="C12" s="75">
        <v>834</v>
      </c>
      <c r="D12" s="4">
        <v>4616</v>
      </c>
      <c r="E12" s="69"/>
      <c r="F12" s="22" t="s">
        <v>5</v>
      </c>
      <c r="G12" s="73">
        <v>67194</v>
      </c>
      <c r="H12" s="4">
        <v>12228</v>
      </c>
      <c r="I12" s="4">
        <v>79422</v>
      </c>
      <c r="J12" s="69"/>
    </row>
    <row r="13" spans="1:10" x14ac:dyDescent="0.25">
      <c r="A13" s="25" t="s">
        <v>6</v>
      </c>
      <c r="B13" s="75">
        <v>1483</v>
      </c>
      <c r="C13" s="75">
        <v>214</v>
      </c>
      <c r="D13" s="5">
        <v>1697</v>
      </c>
      <c r="E13" s="69"/>
      <c r="F13" s="25" t="s">
        <v>6</v>
      </c>
      <c r="G13" s="75">
        <v>20788</v>
      </c>
      <c r="H13" s="5">
        <v>2366</v>
      </c>
      <c r="I13" s="5">
        <v>23154</v>
      </c>
      <c r="J13" s="69"/>
    </row>
    <row r="14" spans="1:10" x14ac:dyDescent="0.25">
      <c r="A14" s="29" t="s">
        <v>60</v>
      </c>
      <c r="B14" s="58">
        <v>5265</v>
      </c>
      <c r="C14" s="58">
        <v>1048</v>
      </c>
      <c r="D14" s="58">
        <v>6313</v>
      </c>
      <c r="E14" s="69"/>
      <c r="F14" s="29" t="s">
        <v>60</v>
      </c>
      <c r="G14" s="58">
        <v>87982</v>
      </c>
      <c r="H14" s="58">
        <v>14594</v>
      </c>
      <c r="I14" s="58">
        <v>102576</v>
      </c>
      <c r="J14" s="69"/>
    </row>
    <row r="15" spans="1:10" x14ac:dyDescent="0.25">
      <c r="E15" s="69"/>
      <c r="F15" s="3"/>
      <c r="G15" s="3"/>
      <c r="H15" s="6"/>
      <c r="I15" s="6"/>
      <c r="J15" s="69"/>
    </row>
    <row r="16" spans="1:10" x14ac:dyDescent="0.25">
      <c r="E16" s="69"/>
      <c r="F16" s="3"/>
      <c r="G16" s="3"/>
      <c r="H16" s="6"/>
      <c r="I16" s="6"/>
      <c r="J16" s="69"/>
    </row>
    <row r="17" spans="1:10" x14ac:dyDescent="0.25">
      <c r="A17" s="7" t="s">
        <v>451</v>
      </c>
      <c r="B17" s="7"/>
      <c r="E17" s="69"/>
      <c r="F17" s="7" t="s">
        <v>859</v>
      </c>
      <c r="G17" s="7"/>
      <c r="H17" s="6"/>
      <c r="I17" s="6"/>
      <c r="J17" s="69"/>
    </row>
    <row r="18" spans="1:10" ht="28.5" customHeight="1" x14ac:dyDescent="0.25">
      <c r="A18" s="148" t="s">
        <v>502</v>
      </c>
      <c r="B18" s="148"/>
      <c r="C18" s="148"/>
      <c r="D18" s="148"/>
      <c r="E18" s="69"/>
      <c r="F18" s="148" t="s">
        <v>503</v>
      </c>
      <c r="G18" s="148"/>
      <c r="H18" s="148"/>
      <c r="I18" s="148"/>
      <c r="J18" s="69"/>
    </row>
    <row r="19" spans="1:10" x14ac:dyDescent="0.25">
      <c r="A19" s="24" t="s">
        <v>67</v>
      </c>
      <c r="B19" s="44" t="s">
        <v>0</v>
      </c>
      <c r="C19" s="44" t="s">
        <v>1</v>
      </c>
      <c r="D19" s="44" t="s">
        <v>59</v>
      </c>
      <c r="E19" s="69"/>
      <c r="F19" s="24" t="s">
        <v>67</v>
      </c>
      <c r="G19" s="44" t="s">
        <v>0</v>
      </c>
      <c r="H19" s="44" t="s">
        <v>1</v>
      </c>
      <c r="I19" s="44" t="s">
        <v>59</v>
      </c>
      <c r="J19" s="69"/>
    </row>
    <row r="20" spans="1:10" x14ac:dyDescent="0.25">
      <c r="A20" s="22" t="s">
        <v>53</v>
      </c>
      <c r="B20" s="73">
        <v>5</v>
      </c>
      <c r="C20" s="122">
        <v>0</v>
      </c>
      <c r="D20" s="4">
        <v>5</v>
      </c>
      <c r="E20" s="69"/>
      <c r="F20" s="22" t="s">
        <v>53</v>
      </c>
      <c r="G20" s="73">
        <v>54</v>
      </c>
      <c r="H20" s="117">
        <v>0</v>
      </c>
      <c r="I20" s="4">
        <v>54</v>
      </c>
      <c r="J20" s="69"/>
    </row>
    <row r="21" spans="1:10" x14ac:dyDescent="0.25">
      <c r="A21" s="25" t="s">
        <v>2</v>
      </c>
      <c r="B21" s="75">
        <v>73</v>
      </c>
      <c r="C21" s="34">
        <v>9</v>
      </c>
      <c r="D21" s="5">
        <v>82</v>
      </c>
      <c r="E21" s="69"/>
      <c r="F21" s="25" t="s">
        <v>2</v>
      </c>
      <c r="G21" s="75">
        <v>930</v>
      </c>
      <c r="H21" s="5">
        <v>94</v>
      </c>
      <c r="I21" s="5">
        <v>1024</v>
      </c>
      <c r="J21" s="69"/>
    </row>
    <row r="22" spans="1:10" x14ac:dyDescent="0.25">
      <c r="A22" s="25" t="s">
        <v>54</v>
      </c>
      <c r="B22" s="75">
        <v>339</v>
      </c>
      <c r="C22" s="34">
        <v>93</v>
      </c>
      <c r="D22" s="5">
        <v>432</v>
      </c>
      <c r="E22" s="69"/>
      <c r="F22" s="25" t="s">
        <v>54</v>
      </c>
      <c r="G22" s="75">
        <v>3918</v>
      </c>
      <c r="H22" s="5">
        <v>1047</v>
      </c>
      <c r="I22" s="5">
        <v>4965</v>
      </c>
      <c r="J22" s="69"/>
    </row>
    <row r="23" spans="1:10" x14ac:dyDescent="0.25">
      <c r="A23" s="25" t="s">
        <v>55</v>
      </c>
      <c r="B23" s="75">
        <v>797</v>
      </c>
      <c r="C23" s="34">
        <v>151</v>
      </c>
      <c r="D23" s="5">
        <v>948</v>
      </c>
      <c r="E23" s="69"/>
      <c r="F23" s="25" t="s">
        <v>55</v>
      </c>
      <c r="G23" s="75">
        <v>12535</v>
      </c>
      <c r="H23" s="5">
        <v>1879</v>
      </c>
      <c r="I23" s="5">
        <v>14414</v>
      </c>
      <c r="J23" s="69"/>
    </row>
    <row r="24" spans="1:10" x14ac:dyDescent="0.25">
      <c r="A24" s="25" t="s">
        <v>56</v>
      </c>
      <c r="B24" s="75">
        <v>1625</v>
      </c>
      <c r="C24" s="34">
        <v>319</v>
      </c>
      <c r="D24" s="5">
        <v>1944</v>
      </c>
      <c r="E24" s="69"/>
      <c r="F24" s="25" t="s">
        <v>56</v>
      </c>
      <c r="G24" s="75">
        <v>26172</v>
      </c>
      <c r="H24" s="5">
        <v>4424</v>
      </c>
      <c r="I24" s="5">
        <v>30596</v>
      </c>
      <c r="J24" s="69"/>
    </row>
    <row r="25" spans="1:10" x14ac:dyDescent="0.25">
      <c r="A25" s="25" t="s">
        <v>57</v>
      </c>
      <c r="B25" s="75">
        <v>1776</v>
      </c>
      <c r="C25" s="34">
        <v>399</v>
      </c>
      <c r="D25" s="5">
        <v>2175</v>
      </c>
      <c r="E25" s="69"/>
      <c r="F25" s="25" t="s">
        <v>57</v>
      </c>
      <c r="G25" s="75">
        <v>31850</v>
      </c>
      <c r="H25" s="5">
        <v>6034</v>
      </c>
      <c r="I25" s="5">
        <v>37884</v>
      </c>
      <c r="J25" s="69"/>
    </row>
    <row r="26" spans="1:10" x14ac:dyDescent="0.25">
      <c r="A26" s="25" t="s">
        <v>3</v>
      </c>
      <c r="B26" s="75">
        <v>650</v>
      </c>
      <c r="C26" s="34">
        <v>77</v>
      </c>
      <c r="D26" s="5">
        <v>727</v>
      </c>
      <c r="E26" s="69"/>
      <c r="F26" s="25" t="s">
        <v>3</v>
      </c>
      <c r="G26" s="75">
        <v>12523</v>
      </c>
      <c r="H26" s="5">
        <v>1116</v>
      </c>
      <c r="I26" s="5">
        <v>13639</v>
      </c>
      <c r="J26" s="69"/>
    </row>
    <row r="27" spans="1:10" x14ac:dyDescent="0.25">
      <c r="A27" s="29" t="s">
        <v>60</v>
      </c>
      <c r="B27" s="58">
        <v>5265</v>
      </c>
      <c r="C27" s="58">
        <v>1048</v>
      </c>
      <c r="D27" s="58">
        <v>6313</v>
      </c>
      <c r="E27" s="69"/>
      <c r="F27" s="29" t="s">
        <v>60</v>
      </c>
      <c r="G27" s="58">
        <v>87982</v>
      </c>
      <c r="H27" s="58">
        <v>14594</v>
      </c>
      <c r="I27" s="58">
        <v>102576</v>
      </c>
      <c r="J27" s="69"/>
    </row>
    <row r="28" spans="1:10" x14ac:dyDescent="0.25">
      <c r="E28" s="69"/>
      <c r="J28" s="69"/>
    </row>
    <row r="29" spans="1:10" x14ac:dyDescent="0.25">
      <c r="E29" s="69"/>
      <c r="J29" s="69"/>
    </row>
    <row r="30" spans="1:10" x14ac:dyDescent="0.25">
      <c r="A30" s="7" t="s">
        <v>452</v>
      </c>
      <c r="B30" s="7"/>
      <c r="E30" s="69"/>
      <c r="F30" s="7" t="s">
        <v>860</v>
      </c>
      <c r="G30" s="7"/>
      <c r="H30" s="6"/>
      <c r="I30" s="6"/>
      <c r="J30" s="69"/>
    </row>
    <row r="31" spans="1:10" ht="24.75" customHeight="1" x14ac:dyDescent="0.25">
      <c r="A31" s="150" t="s">
        <v>520</v>
      </c>
      <c r="B31" s="150"/>
      <c r="C31" s="150"/>
      <c r="D31" s="150"/>
      <c r="E31" s="69"/>
      <c r="F31" s="150" t="s">
        <v>521</v>
      </c>
      <c r="G31" s="150"/>
      <c r="H31" s="150"/>
      <c r="I31" s="150"/>
      <c r="J31" s="69"/>
    </row>
    <row r="32" spans="1:10" x14ac:dyDescent="0.25">
      <c r="A32" s="44" t="s">
        <v>347</v>
      </c>
      <c r="B32" s="24" t="s">
        <v>0</v>
      </c>
      <c r="C32" s="24" t="s">
        <v>1</v>
      </c>
      <c r="D32" s="24" t="s">
        <v>59</v>
      </c>
      <c r="E32" s="69"/>
      <c r="F32" s="44" t="s">
        <v>347</v>
      </c>
      <c r="G32" s="24" t="s">
        <v>0</v>
      </c>
      <c r="H32" s="24" t="s">
        <v>1</v>
      </c>
      <c r="I32" s="24" t="s">
        <v>59</v>
      </c>
      <c r="J32" s="69"/>
    </row>
    <row r="33" spans="1:10" x14ac:dyDescent="0.25">
      <c r="A33" s="87" t="s">
        <v>348</v>
      </c>
      <c r="B33" s="85">
        <v>11271</v>
      </c>
      <c r="C33" s="85">
        <v>1076</v>
      </c>
      <c r="D33" s="88">
        <v>12347</v>
      </c>
      <c r="E33" s="69"/>
      <c r="F33" s="87" t="s">
        <v>348</v>
      </c>
      <c r="G33" s="85">
        <v>265505</v>
      </c>
      <c r="H33" s="88">
        <v>18794</v>
      </c>
      <c r="I33" s="88">
        <v>284299</v>
      </c>
      <c r="J33" s="69"/>
    </row>
    <row r="34" spans="1:10" x14ac:dyDescent="0.25">
      <c r="E34" s="69"/>
      <c r="F34" s="3"/>
      <c r="G34" s="3"/>
      <c r="H34" s="6"/>
      <c r="I34" s="6"/>
      <c r="J34" s="69"/>
    </row>
    <row r="35" spans="1:10" x14ac:dyDescent="0.25">
      <c r="E35" s="69"/>
      <c r="F35" s="3"/>
      <c r="G35" s="3"/>
      <c r="H35" s="6"/>
      <c r="I35" s="6"/>
      <c r="J35" s="69"/>
    </row>
    <row r="36" spans="1:10" x14ac:dyDescent="0.25">
      <c r="A36" s="7" t="s">
        <v>453</v>
      </c>
      <c r="B36" s="7"/>
      <c r="E36" s="69"/>
      <c r="F36" s="7" t="s">
        <v>861</v>
      </c>
      <c r="G36" s="7"/>
      <c r="H36" s="6"/>
      <c r="I36" s="6"/>
      <c r="J36" s="69"/>
    </row>
    <row r="37" spans="1:10" ht="23.25" customHeight="1" x14ac:dyDescent="0.25">
      <c r="A37" s="150" t="s">
        <v>522</v>
      </c>
      <c r="B37" s="150"/>
      <c r="C37" s="150"/>
      <c r="D37" s="150"/>
      <c r="E37" s="69"/>
      <c r="F37" s="150" t="s">
        <v>523</v>
      </c>
      <c r="G37" s="150"/>
      <c r="H37" s="150"/>
      <c r="I37" s="150"/>
      <c r="J37" s="69"/>
    </row>
    <row r="38" spans="1:10" x14ac:dyDescent="0.25">
      <c r="A38" s="44" t="s">
        <v>66</v>
      </c>
      <c r="B38" s="44" t="s">
        <v>0</v>
      </c>
      <c r="C38" s="44" t="s">
        <v>1</v>
      </c>
      <c r="D38" s="44" t="s">
        <v>59</v>
      </c>
      <c r="E38" s="69"/>
      <c r="F38" s="44" t="s">
        <v>66</v>
      </c>
      <c r="G38" s="44" t="s">
        <v>0</v>
      </c>
      <c r="H38" s="44" t="s">
        <v>1</v>
      </c>
      <c r="I38" s="44" t="s">
        <v>59</v>
      </c>
      <c r="J38" s="69"/>
    </row>
    <row r="39" spans="1:10" x14ac:dyDescent="0.25">
      <c r="A39" s="22" t="s">
        <v>5</v>
      </c>
      <c r="B39" s="73">
        <v>9570</v>
      </c>
      <c r="C39" s="73">
        <v>920</v>
      </c>
      <c r="D39" s="4">
        <v>10490</v>
      </c>
      <c r="E39" s="69"/>
      <c r="F39" s="22" t="s">
        <v>5</v>
      </c>
      <c r="G39" s="73">
        <v>231186</v>
      </c>
      <c r="H39" s="4">
        <v>16601</v>
      </c>
      <c r="I39" s="4">
        <v>247787</v>
      </c>
      <c r="J39" s="69"/>
    </row>
    <row r="40" spans="1:10" x14ac:dyDescent="0.25">
      <c r="A40" s="25" t="s">
        <v>6</v>
      </c>
      <c r="B40" s="75">
        <v>1701</v>
      </c>
      <c r="C40" s="75">
        <v>156</v>
      </c>
      <c r="D40" s="5">
        <v>1857</v>
      </c>
      <c r="E40" s="69"/>
      <c r="F40" s="25" t="s">
        <v>6</v>
      </c>
      <c r="G40" s="75">
        <v>34319</v>
      </c>
      <c r="H40" s="5">
        <v>2193</v>
      </c>
      <c r="I40" s="5">
        <v>36512</v>
      </c>
      <c r="J40" s="69"/>
    </row>
    <row r="41" spans="1:10" x14ac:dyDescent="0.25">
      <c r="A41" s="29" t="s">
        <v>60</v>
      </c>
      <c r="B41" s="58">
        <v>11271</v>
      </c>
      <c r="C41" s="58">
        <v>1076</v>
      </c>
      <c r="D41" s="58">
        <v>12347</v>
      </c>
      <c r="E41" s="69"/>
      <c r="F41" s="29" t="s">
        <v>60</v>
      </c>
      <c r="G41" s="58">
        <v>265505</v>
      </c>
      <c r="H41" s="58">
        <v>18794</v>
      </c>
      <c r="I41" s="58">
        <v>284299</v>
      </c>
      <c r="J41" s="69"/>
    </row>
    <row r="42" spans="1:10" x14ac:dyDescent="0.25">
      <c r="E42" s="69"/>
      <c r="F42" s="3"/>
      <c r="G42" s="3"/>
      <c r="H42" s="6"/>
      <c r="I42" s="6"/>
      <c r="J42" s="69"/>
    </row>
    <row r="43" spans="1:10" x14ac:dyDescent="0.25">
      <c r="E43" s="69"/>
      <c r="F43" s="3"/>
      <c r="G43" s="3"/>
      <c r="H43" s="6"/>
      <c r="I43" s="6"/>
      <c r="J43" s="69"/>
    </row>
    <row r="44" spans="1:10" x14ac:dyDescent="0.25">
      <c r="A44" s="7" t="s">
        <v>454</v>
      </c>
      <c r="B44" s="7"/>
      <c r="E44" s="69"/>
      <c r="F44" s="7" t="s">
        <v>862</v>
      </c>
      <c r="G44" s="7"/>
      <c r="H44" s="6"/>
      <c r="I44" s="6"/>
      <c r="J44" s="69"/>
    </row>
    <row r="45" spans="1:10" ht="27" customHeight="1" x14ac:dyDescent="0.25">
      <c r="A45" s="150" t="s">
        <v>524</v>
      </c>
      <c r="B45" s="150"/>
      <c r="C45" s="150"/>
      <c r="D45" s="150"/>
      <c r="E45" s="69"/>
      <c r="F45" s="150" t="s">
        <v>525</v>
      </c>
      <c r="G45" s="150"/>
      <c r="H45" s="150"/>
      <c r="I45" s="150"/>
      <c r="J45" s="69"/>
    </row>
    <row r="46" spans="1:10" x14ac:dyDescent="0.25">
      <c r="A46" s="24" t="s">
        <v>67</v>
      </c>
      <c r="B46" s="44" t="s">
        <v>0</v>
      </c>
      <c r="C46" s="44" t="s">
        <v>1</v>
      </c>
      <c r="D46" s="44" t="s">
        <v>59</v>
      </c>
      <c r="E46" s="69"/>
      <c r="F46" s="24" t="s">
        <v>67</v>
      </c>
      <c r="G46" s="44" t="s">
        <v>0</v>
      </c>
      <c r="H46" s="44" t="s">
        <v>1</v>
      </c>
      <c r="I46" s="44" t="s">
        <v>59</v>
      </c>
      <c r="J46" s="69"/>
    </row>
    <row r="47" spans="1:10" x14ac:dyDescent="0.25">
      <c r="A47" s="22" t="s">
        <v>53</v>
      </c>
      <c r="B47" s="73">
        <v>7</v>
      </c>
      <c r="C47" s="112">
        <v>0</v>
      </c>
      <c r="D47" s="4">
        <v>7</v>
      </c>
      <c r="E47" s="69"/>
      <c r="F47" s="22" t="s">
        <v>53</v>
      </c>
      <c r="G47" s="73">
        <v>62</v>
      </c>
      <c r="H47" s="117">
        <v>0</v>
      </c>
      <c r="I47" s="4">
        <v>62</v>
      </c>
      <c r="J47" s="69"/>
    </row>
    <row r="48" spans="1:10" x14ac:dyDescent="0.25">
      <c r="A48" s="25" t="s">
        <v>2</v>
      </c>
      <c r="B48" s="75">
        <v>102</v>
      </c>
      <c r="C48" s="75">
        <v>17</v>
      </c>
      <c r="D48" s="5">
        <v>119</v>
      </c>
      <c r="E48" s="69"/>
      <c r="F48" s="25" t="s">
        <v>2</v>
      </c>
      <c r="G48" s="75">
        <v>1597</v>
      </c>
      <c r="H48" s="5">
        <v>242</v>
      </c>
      <c r="I48" s="5">
        <v>1839</v>
      </c>
      <c r="J48" s="69"/>
    </row>
    <row r="49" spans="1:10" x14ac:dyDescent="0.25">
      <c r="A49" s="25" t="s">
        <v>54</v>
      </c>
      <c r="B49" s="75">
        <v>390</v>
      </c>
      <c r="C49" s="75">
        <v>51</v>
      </c>
      <c r="D49" s="5">
        <v>441</v>
      </c>
      <c r="E49" s="69"/>
      <c r="F49" s="25" t="s">
        <v>54</v>
      </c>
      <c r="G49" s="75">
        <v>7394</v>
      </c>
      <c r="H49" s="5">
        <v>519</v>
      </c>
      <c r="I49" s="5">
        <v>7913</v>
      </c>
      <c r="J49" s="69"/>
    </row>
    <row r="50" spans="1:10" x14ac:dyDescent="0.25">
      <c r="A50" s="25" t="s">
        <v>55</v>
      </c>
      <c r="B50" s="75">
        <v>1059</v>
      </c>
      <c r="C50" s="75">
        <v>158</v>
      </c>
      <c r="D50" s="5">
        <v>1217</v>
      </c>
      <c r="E50" s="69"/>
      <c r="F50" s="25" t="s">
        <v>55</v>
      </c>
      <c r="G50" s="75">
        <v>23850</v>
      </c>
      <c r="H50" s="5">
        <v>2537</v>
      </c>
      <c r="I50" s="5">
        <v>26387</v>
      </c>
      <c r="J50" s="69"/>
    </row>
    <row r="51" spans="1:10" x14ac:dyDescent="0.25">
      <c r="A51" s="25" t="s">
        <v>56</v>
      </c>
      <c r="B51" s="75">
        <v>3157</v>
      </c>
      <c r="C51" s="75">
        <v>319</v>
      </c>
      <c r="D51" s="5">
        <v>3476</v>
      </c>
      <c r="E51" s="69"/>
      <c r="F51" s="25" t="s">
        <v>56</v>
      </c>
      <c r="G51" s="75">
        <v>73928</v>
      </c>
      <c r="H51" s="5">
        <v>5675</v>
      </c>
      <c r="I51" s="5">
        <v>79603</v>
      </c>
      <c r="J51" s="69"/>
    </row>
    <row r="52" spans="1:10" x14ac:dyDescent="0.25">
      <c r="A52" s="25" t="s">
        <v>57</v>
      </c>
      <c r="B52" s="75">
        <v>4627</v>
      </c>
      <c r="C52" s="75">
        <v>437</v>
      </c>
      <c r="D52" s="5">
        <v>5064</v>
      </c>
      <c r="E52" s="69"/>
      <c r="F52" s="25" t="s">
        <v>57</v>
      </c>
      <c r="G52" s="75">
        <v>110980</v>
      </c>
      <c r="H52" s="5">
        <v>8003</v>
      </c>
      <c r="I52" s="5">
        <v>118983</v>
      </c>
      <c r="J52" s="69"/>
    </row>
    <row r="53" spans="1:10" x14ac:dyDescent="0.25">
      <c r="A53" s="25" t="s">
        <v>3</v>
      </c>
      <c r="B53" s="75">
        <v>1929</v>
      </c>
      <c r="C53" s="75">
        <v>94</v>
      </c>
      <c r="D53" s="5">
        <v>2023</v>
      </c>
      <c r="E53" s="69"/>
      <c r="F53" s="25" t="s">
        <v>3</v>
      </c>
      <c r="G53" s="75">
        <v>47694</v>
      </c>
      <c r="H53" s="5">
        <v>1818</v>
      </c>
      <c r="I53" s="5">
        <v>49512</v>
      </c>
      <c r="J53" s="69"/>
    </row>
    <row r="54" spans="1:10" x14ac:dyDescent="0.25">
      <c r="A54" s="29" t="s">
        <v>60</v>
      </c>
      <c r="B54" s="58">
        <v>11271</v>
      </c>
      <c r="C54" s="58">
        <v>1076</v>
      </c>
      <c r="D54" s="58">
        <v>12347</v>
      </c>
      <c r="E54" s="69"/>
      <c r="F54" s="29" t="s">
        <v>60</v>
      </c>
      <c r="G54" s="58">
        <v>265505</v>
      </c>
      <c r="H54" s="58">
        <v>18794</v>
      </c>
      <c r="I54" s="58">
        <v>284299</v>
      </c>
      <c r="J54" s="69"/>
    </row>
    <row r="55" spans="1:10" x14ac:dyDescent="0.25">
      <c r="E55" s="69"/>
      <c r="J55" s="69"/>
    </row>
    <row r="56" spans="1:10" x14ac:dyDescent="0.25">
      <c r="E56" s="69"/>
      <c r="J56" s="69"/>
    </row>
    <row r="57" spans="1:10" x14ac:dyDescent="0.25">
      <c r="A57" s="7" t="s">
        <v>455</v>
      </c>
      <c r="B57" s="7"/>
      <c r="E57" s="69"/>
      <c r="F57" s="7" t="s">
        <v>863</v>
      </c>
      <c r="G57" s="7"/>
      <c r="H57" s="6"/>
      <c r="I57" s="6"/>
      <c r="J57" s="69"/>
    </row>
    <row r="58" spans="1:10" ht="25.5" customHeight="1" x14ac:dyDescent="0.25">
      <c r="A58" s="150" t="s">
        <v>526</v>
      </c>
      <c r="B58" s="150"/>
      <c r="C58" s="150"/>
      <c r="D58" s="150"/>
      <c r="E58" s="69"/>
      <c r="F58" s="150" t="s">
        <v>527</v>
      </c>
      <c r="G58" s="150"/>
      <c r="H58" s="150"/>
      <c r="I58" s="150"/>
      <c r="J58" s="69"/>
    </row>
    <row r="59" spans="1:10" x14ac:dyDescent="0.25">
      <c r="A59" s="24" t="s">
        <v>349</v>
      </c>
      <c r="B59" s="24" t="s">
        <v>0</v>
      </c>
      <c r="C59" s="24" t="s">
        <v>1</v>
      </c>
      <c r="D59" s="24" t="s">
        <v>59</v>
      </c>
      <c r="E59" s="69"/>
      <c r="F59" s="24" t="s">
        <v>349</v>
      </c>
      <c r="G59" s="24" t="s">
        <v>0</v>
      </c>
      <c r="H59" s="24" t="s">
        <v>1</v>
      </c>
      <c r="I59" s="24" t="s">
        <v>59</v>
      </c>
      <c r="J59" s="69"/>
    </row>
    <row r="60" spans="1:10" x14ac:dyDescent="0.25">
      <c r="A60" s="87" t="s">
        <v>350</v>
      </c>
      <c r="B60" s="85">
        <v>19028</v>
      </c>
      <c r="C60" s="85">
        <v>2711</v>
      </c>
      <c r="D60" s="85">
        <v>21739</v>
      </c>
      <c r="E60" s="69"/>
      <c r="F60" s="87" t="s">
        <v>350</v>
      </c>
      <c r="G60" s="85">
        <v>578561</v>
      </c>
      <c r="H60" s="88">
        <v>73462</v>
      </c>
      <c r="I60" s="88">
        <v>652023</v>
      </c>
      <c r="J60" s="69"/>
    </row>
    <row r="61" spans="1:10" x14ac:dyDescent="0.25">
      <c r="E61" s="69"/>
      <c r="F61" s="3"/>
      <c r="G61" s="3"/>
      <c r="H61" s="6"/>
      <c r="I61" s="6"/>
      <c r="J61" s="69"/>
    </row>
    <row r="62" spans="1:10" x14ac:dyDescent="0.25">
      <c r="E62" s="69"/>
      <c r="F62" s="3"/>
      <c r="G62" s="3"/>
      <c r="H62" s="6"/>
      <c r="I62" s="6"/>
      <c r="J62" s="69"/>
    </row>
    <row r="63" spans="1:10" x14ac:dyDescent="0.25">
      <c r="A63" s="7" t="s">
        <v>456</v>
      </c>
      <c r="B63" s="7"/>
      <c r="E63" s="69"/>
      <c r="F63" s="7" t="s">
        <v>864</v>
      </c>
      <c r="G63" s="7"/>
      <c r="H63" s="6"/>
      <c r="I63" s="6"/>
      <c r="J63" s="69"/>
    </row>
    <row r="64" spans="1:10" ht="25.5" customHeight="1" x14ac:dyDescent="0.25">
      <c r="A64" s="150" t="s">
        <v>528</v>
      </c>
      <c r="B64" s="150"/>
      <c r="C64" s="150"/>
      <c r="D64" s="150"/>
      <c r="E64" s="69"/>
      <c r="F64" s="150" t="s">
        <v>529</v>
      </c>
      <c r="G64" s="150"/>
      <c r="H64" s="150"/>
      <c r="I64" s="150"/>
      <c r="J64" s="69"/>
    </row>
    <row r="65" spans="1:10" x14ac:dyDescent="0.25">
      <c r="A65" s="44" t="s">
        <v>66</v>
      </c>
      <c r="B65" s="44" t="s">
        <v>0</v>
      </c>
      <c r="C65" s="44" t="s">
        <v>1</v>
      </c>
      <c r="D65" s="44" t="s">
        <v>59</v>
      </c>
      <c r="E65" s="69"/>
      <c r="F65" s="44" t="s">
        <v>66</v>
      </c>
      <c r="G65" s="44" t="s">
        <v>0</v>
      </c>
      <c r="H65" s="44" t="s">
        <v>1</v>
      </c>
      <c r="I65" s="44" t="s">
        <v>59</v>
      </c>
      <c r="J65" s="69"/>
    </row>
    <row r="66" spans="1:10" x14ac:dyDescent="0.25">
      <c r="A66" s="22" t="s">
        <v>5</v>
      </c>
      <c r="B66" s="75">
        <v>14513</v>
      </c>
      <c r="C66" s="73">
        <v>1949</v>
      </c>
      <c r="D66" s="73">
        <v>16462</v>
      </c>
      <c r="E66" s="69"/>
      <c r="F66" s="22" t="s">
        <v>5</v>
      </c>
      <c r="G66" s="75">
        <v>449022</v>
      </c>
      <c r="H66" s="4">
        <v>53247</v>
      </c>
      <c r="I66" s="4">
        <v>502269</v>
      </c>
      <c r="J66" s="69"/>
    </row>
    <row r="67" spans="1:10" x14ac:dyDescent="0.25">
      <c r="A67" s="25" t="s">
        <v>6</v>
      </c>
      <c r="B67" s="75">
        <v>4515</v>
      </c>
      <c r="C67" s="75">
        <v>762</v>
      </c>
      <c r="D67" s="75">
        <v>5277</v>
      </c>
      <c r="E67" s="69"/>
      <c r="F67" s="25" t="s">
        <v>6</v>
      </c>
      <c r="G67" s="75">
        <v>129539</v>
      </c>
      <c r="H67" s="5">
        <v>20215</v>
      </c>
      <c r="I67" s="5">
        <v>149754</v>
      </c>
      <c r="J67" s="69"/>
    </row>
    <row r="68" spans="1:10" x14ac:dyDescent="0.25">
      <c r="A68" s="29" t="s">
        <v>60</v>
      </c>
      <c r="B68" s="58">
        <v>19028</v>
      </c>
      <c r="C68" s="58">
        <v>2711</v>
      </c>
      <c r="D68" s="58">
        <v>21739</v>
      </c>
      <c r="E68" s="69"/>
      <c r="F68" s="29" t="s">
        <v>60</v>
      </c>
      <c r="G68" s="58">
        <v>578561</v>
      </c>
      <c r="H68" s="58">
        <v>73462</v>
      </c>
      <c r="I68" s="58">
        <v>652023</v>
      </c>
      <c r="J68" s="69"/>
    </row>
    <row r="69" spans="1:10" x14ac:dyDescent="0.25">
      <c r="E69" s="69"/>
      <c r="F69" s="3"/>
      <c r="G69" s="3"/>
      <c r="H69" s="6"/>
      <c r="I69" s="6"/>
      <c r="J69" s="69"/>
    </row>
    <row r="70" spans="1:10" x14ac:dyDescent="0.25">
      <c r="E70" s="69"/>
      <c r="F70" s="3"/>
      <c r="G70" s="3"/>
      <c r="H70" s="6"/>
      <c r="I70" s="6"/>
      <c r="J70" s="69"/>
    </row>
    <row r="71" spans="1:10" x14ac:dyDescent="0.25">
      <c r="A71" s="7" t="s">
        <v>449</v>
      </c>
      <c r="B71" s="7"/>
      <c r="E71" s="69"/>
      <c r="F71" s="7" t="s">
        <v>865</v>
      </c>
      <c r="G71" s="7"/>
      <c r="H71" s="6"/>
      <c r="I71" s="6"/>
      <c r="J71" s="69"/>
    </row>
    <row r="72" spans="1:10" ht="25.5" customHeight="1" x14ac:dyDescent="0.25">
      <c r="A72" s="150" t="s">
        <v>530</v>
      </c>
      <c r="B72" s="150"/>
      <c r="C72" s="150"/>
      <c r="D72" s="150"/>
      <c r="E72" s="69"/>
      <c r="F72" s="150" t="s">
        <v>531</v>
      </c>
      <c r="G72" s="150"/>
      <c r="H72" s="150"/>
      <c r="I72" s="150"/>
      <c r="J72" s="69"/>
    </row>
    <row r="73" spans="1:10" x14ac:dyDescent="0.25">
      <c r="A73" s="24" t="s">
        <v>67</v>
      </c>
      <c r="B73" s="44" t="s">
        <v>0</v>
      </c>
      <c r="C73" s="44" t="s">
        <v>1</v>
      </c>
      <c r="D73" s="44" t="s">
        <v>59</v>
      </c>
      <c r="E73" s="69"/>
      <c r="F73" s="24" t="s">
        <v>67</v>
      </c>
      <c r="G73" s="44" t="s">
        <v>0</v>
      </c>
      <c r="H73" s="44" t="s">
        <v>1</v>
      </c>
      <c r="I73" s="44" t="s">
        <v>59</v>
      </c>
      <c r="J73" s="69"/>
    </row>
    <row r="74" spans="1:10" x14ac:dyDescent="0.25">
      <c r="A74" s="22" t="s">
        <v>53</v>
      </c>
      <c r="B74" s="75">
        <v>9</v>
      </c>
      <c r="C74" s="111">
        <v>0</v>
      </c>
      <c r="D74" s="73">
        <v>9</v>
      </c>
      <c r="E74" s="69"/>
      <c r="F74" s="22" t="s">
        <v>53</v>
      </c>
      <c r="G74" s="75">
        <v>180</v>
      </c>
      <c r="H74" s="117">
        <v>0</v>
      </c>
      <c r="I74" s="4">
        <v>180</v>
      </c>
      <c r="J74" s="69"/>
    </row>
    <row r="75" spans="1:10" x14ac:dyDescent="0.25">
      <c r="A75" s="25" t="s">
        <v>2</v>
      </c>
      <c r="B75" s="75">
        <v>109</v>
      </c>
      <c r="C75" s="75">
        <v>16</v>
      </c>
      <c r="D75" s="75">
        <v>125</v>
      </c>
      <c r="E75" s="69"/>
      <c r="F75" s="25" t="s">
        <v>2</v>
      </c>
      <c r="G75" s="75">
        <v>2783</v>
      </c>
      <c r="H75" s="5">
        <v>480</v>
      </c>
      <c r="I75" s="5">
        <v>3263</v>
      </c>
      <c r="J75" s="69"/>
    </row>
    <row r="76" spans="1:10" x14ac:dyDescent="0.25">
      <c r="A76" s="25" t="s">
        <v>54</v>
      </c>
      <c r="B76" s="75">
        <v>630</v>
      </c>
      <c r="C76" s="75">
        <v>171</v>
      </c>
      <c r="D76" s="75">
        <v>801</v>
      </c>
      <c r="E76" s="69"/>
      <c r="F76" s="25" t="s">
        <v>54</v>
      </c>
      <c r="G76" s="75">
        <v>17007</v>
      </c>
      <c r="H76" s="5">
        <v>4276</v>
      </c>
      <c r="I76" s="5">
        <v>21283</v>
      </c>
      <c r="J76" s="69"/>
    </row>
    <row r="77" spans="1:10" x14ac:dyDescent="0.25">
      <c r="A77" s="25" t="s">
        <v>55</v>
      </c>
      <c r="B77" s="75">
        <v>1514</v>
      </c>
      <c r="C77" s="75">
        <v>434</v>
      </c>
      <c r="D77" s="75">
        <v>1948</v>
      </c>
      <c r="E77" s="69"/>
      <c r="F77" s="25" t="s">
        <v>55</v>
      </c>
      <c r="G77" s="75">
        <v>44821</v>
      </c>
      <c r="H77" s="5">
        <v>11375</v>
      </c>
      <c r="I77" s="5">
        <v>56196</v>
      </c>
      <c r="J77" s="69"/>
    </row>
    <row r="78" spans="1:10" x14ac:dyDescent="0.25">
      <c r="A78" s="25" t="s">
        <v>56</v>
      </c>
      <c r="B78" s="75">
        <v>4959</v>
      </c>
      <c r="C78" s="75">
        <v>611</v>
      </c>
      <c r="D78" s="75">
        <v>5570</v>
      </c>
      <c r="E78" s="69"/>
      <c r="F78" s="25" t="s">
        <v>56</v>
      </c>
      <c r="G78" s="75">
        <v>150320</v>
      </c>
      <c r="H78" s="5">
        <v>15998</v>
      </c>
      <c r="I78" s="5">
        <v>166318</v>
      </c>
      <c r="J78" s="69"/>
    </row>
    <row r="79" spans="1:10" x14ac:dyDescent="0.25">
      <c r="A79" s="25" t="s">
        <v>57</v>
      </c>
      <c r="B79" s="75">
        <v>7447</v>
      </c>
      <c r="C79" s="75">
        <v>960</v>
      </c>
      <c r="D79" s="75">
        <v>8407</v>
      </c>
      <c r="E79" s="69"/>
      <c r="F79" s="25" t="s">
        <v>57</v>
      </c>
      <c r="G79" s="75">
        <v>229597</v>
      </c>
      <c r="H79" s="5">
        <v>26727</v>
      </c>
      <c r="I79" s="5">
        <v>256324</v>
      </c>
      <c r="J79" s="69"/>
    </row>
    <row r="80" spans="1:10" x14ac:dyDescent="0.25">
      <c r="A80" s="25" t="s">
        <v>3</v>
      </c>
      <c r="B80" s="75">
        <v>4360</v>
      </c>
      <c r="C80" s="75">
        <v>519</v>
      </c>
      <c r="D80" s="75">
        <v>4879</v>
      </c>
      <c r="E80" s="69"/>
      <c r="F80" s="25" t="s">
        <v>3</v>
      </c>
      <c r="G80" s="75">
        <v>133853</v>
      </c>
      <c r="H80" s="5">
        <v>14606</v>
      </c>
      <c r="I80" s="5">
        <v>148459</v>
      </c>
      <c r="J80" s="69"/>
    </row>
    <row r="81" spans="1:10" x14ac:dyDescent="0.25">
      <c r="A81" s="29" t="s">
        <v>60</v>
      </c>
      <c r="B81" s="58">
        <v>19028</v>
      </c>
      <c r="C81" s="58">
        <v>2711</v>
      </c>
      <c r="D81" s="58">
        <v>21739</v>
      </c>
      <c r="E81" s="69"/>
      <c r="F81" s="29" t="s">
        <v>60</v>
      </c>
      <c r="G81" s="58">
        <v>578561</v>
      </c>
      <c r="H81" s="58">
        <v>73462</v>
      </c>
      <c r="I81" s="58">
        <v>652023</v>
      </c>
      <c r="J81" s="69"/>
    </row>
    <row r="82" spans="1:10" x14ac:dyDescent="0.25">
      <c r="E82" s="69"/>
      <c r="J82" s="69"/>
    </row>
    <row r="83" spans="1:10" x14ac:dyDescent="0.25">
      <c r="E83" s="69"/>
      <c r="J83" s="69"/>
    </row>
    <row r="84" spans="1:10" x14ac:dyDescent="0.25">
      <c r="A84" s="7" t="s">
        <v>866</v>
      </c>
      <c r="B84" s="7"/>
      <c r="E84" s="69"/>
      <c r="F84" s="7" t="s">
        <v>867</v>
      </c>
      <c r="G84" s="7"/>
      <c r="H84" s="6"/>
      <c r="I84" s="6"/>
      <c r="J84" s="69"/>
    </row>
    <row r="85" spans="1:10" ht="27" customHeight="1" x14ac:dyDescent="0.25">
      <c r="A85" s="148" t="s">
        <v>505</v>
      </c>
      <c r="B85" s="148"/>
      <c r="C85" s="148"/>
      <c r="D85" s="148"/>
      <c r="E85" s="69"/>
      <c r="F85" s="148" t="s">
        <v>532</v>
      </c>
      <c r="G85" s="148"/>
      <c r="H85" s="148"/>
      <c r="I85" s="148"/>
      <c r="J85" s="69"/>
    </row>
    <row r="86" spans="1:10" x14ac:dyDescent="0.25">
      <c r="A86" s="24" t="s">
        <v>351</v>
      </c>
      <c r="B86" s="24" t="s">
        <v>0</v>
      </c>
      <c r="C86" s="24" t="s">
        <v>1</v>
      </c>
      <c r="D86" s="24" t="s">
        <v>59</v>
      </c>
      <c r="E86" s="69"/>
      <c r="F86" s="24" t="s">
        <v>351</v>
      </c>
      <c r="G86" s="24" t="s">
        <v>0</v>
      </c>
      <c r="H86" s="24" t="s">
        <v>1</v>
      </c>
      <c r="I86" s="24" t="s">
        <v>59</v>
      </c>
      <c r="J86" s="69"/>
    </row>
    <row r="87" spans="1:10" x14ac:dyDescent="0.25">
      <c r="A87" s="87" t="s">
        <v>352</v>
      </c>
      <c r="B87" s="85">
        <v>14010</v>
      </c>
      <c r="C87" s="85">
        <v>2682</v>
      </c>
      <c r="D87" s="85">
        <v>16692</v>
      </c>
      <c r="E87" s="69"/>
      <c r="F87" s="87" t="s">
        <v>352</v>
      </c>
      <c r="G87" s="85">
        <v>437180</v>
      </c>
      <c r="H87" s="88">
        <v>72233</v>
      </c>
      <c r="I87" s="88">
        <v>509413</v>
      </c>
      <c r="J87" s="69"/>
    </row>
    <row r="88" spans="1:10" x14ac:dyDescent="0.25">
      <c r="E88" s="69"/>
      <c r="F88" s="3"/>
      <c r="G88" s="3"/>
      <c r="H88" s="6"/>
      <c r="I88" s="6"/>
      <c r="J88" s="69"/>
    </row>
    <row r="89" spans="1:10" x14ac:dyDescent="0.25">
      <c r="E89" s="69"/>
      <c r="F89" s="3"/>
      <c r="G89" s="3"/>
      <c r="H89" s="6"/>
      <c r="I89" s="6"/>
      <c r="J89" s="69"/>
    </row>
    <row r="90" spans="1:10" x14ac:dyDescent="0.25">
      <c r="A90" s="7" t="s">
        <v>868</v>
      </c>
      <c r="B90" s="7"/>
      <c r="E90" s="69"/>
      <c r="F90" s="7" t="s">
        <v>869</v>
      </c>
      <c r="G90" s="7"/>
      <c r="H90" s="6"/>
      <c r="I90" s="6"/>
      <c r="J90" s="69"/>
    </row>
    <row r="91" spans="1:10" ht="27" customHeight="1" x14ac:dyDescent="0.25">
      <c r="A91" s="148" t="s">
        <v>506</v>
      </c>
      <c r="B91" s="148"/>
      <c r="C91" s="148"/>
      <c r="D91" s="148"/>
      <c r="E91" s="69"/>
      <c r="F91" s="148" t="s">
        <v>533</v>
      </c>
      <c r="G91" s="148"/>
      <c r="H91" s="148"/>
      <c r="I91" s="148"/>
      <c r="J91" s="69"/>
    </row>
    <row r="92" spans="1:10" x14ac:dyDescent="0.25">
      <c r="A92" s="44" t="s">
        <v>66</v>
      </c>
      <c r="B92" s="44" t="s">
        <v>0</v>
      </c>
      <c r="C92" s="44" t="s">
        <v>1</v>
      </c>
      <c r="D92" s="44" t="s">
        <v>59</v>
      </c>
      <c r="E92" s="69"/>
      <c r="F92" s="44" t="s">
        <v>66</v>
      </c>
      <c r="G92" s="44" t="s">
        <v>0</v>
      </c>
      <c r="H92" s="44" t="s">
        <v>1</v>
      </c>
      <c r="I92" s="44" t="s">
        <v>59</v>
      </c>
      <c r="J92" s="69"/>
    </row>
    <row r="93" spans="1:10" x14ac:dyDescent="0.25">
      <c r="A93" s="22" t="s">
        <v>5</v>
      </c>
      <c r="B93" s="75">
        <v>48</v>
      </c>
      <c r="C93" s="75">
        <v>12</v>
      </c>
      <c r="D93" s="73">
        <v>60</v>
      </c>
      <c r="E93" s="69"/>
      <c r="F93" s="22" t="s">
        <v>5</v>
      </c>
      <c r="G93" s="73">
        <v>1337</v>
      </c>
      <c r="H93" s="73">
        <v>331</v>
      </c>
      <c r="I93" s="4">
        <v>1668</v>
      </c>
      <c r="J93" s="69"/>
    </row>
    <row r="94" spans="1:10" x14ac:dyDescent="0.25">
      <c r="A94" s="25" t="s">
        <v>6</v>
      </c>
      <c r="B94" s="75">
        <v>13962</v>
      </c>
      <c r="C94" s="75">
        <v>2670</v>
      </c>
      <c r="D94" s="75">
        <v>16632</v>
      </c>
      <c r="E94" s="69"/>
      <c r="F94" s="25" t="s">
        <v>6</v>
      </c>
      <c r="G94" s="75">
        <v>435843</v>
      </c>
      <c r="H94" s="75">
        <v>71902</v>
      </c>
      <c r="I94" s="5">
        <v>507745</v>
      </c>
      <c r="J94" s="69"/>
    </row>
    <row r="95" spans="1:10" x14ac:dyDescent="0.25">
      <c r="A95" s="29" t="s">
        <v>60</v>
      </c>
      <c r="B95" s="58">
        <v>14010</v>
      </c>
      <c r="C95" s="58">
        <v>2682</v>
      </c>
      <c r="D95" s="58">
        <v>16692</v>
      </c>
      <c r="E95" s="69"/>
      <c r="F95" s="29" t="s">
        <v>60</v>
      </c>
      <c r="G95" s="58">
        <v>437180</v>
      </c>
      <c r="H95" s="77">
        <v>72233</v>
      </c>
      <c r="I95" s="58">
        <v>509413</v>
      </c>
      <c r="J95" s="69"/>
    </row>
    <row r="96" spans="1:10" x14ac:dyDescent="0.25">
      <c r="E96" s="69"/>
      <c r="F96" s="3"/>
      <c r="G96" s="3"/>
      <c r="H96" s="6"/>
      <c r="I96" s="6"/>
      <c r="J96" s="69"/>
    </row>
    <row r="97" spans="1:10" x14ac:dyDescent="0.25">
      <c r="B97" s="69"/>
      <c r="C97" s="69"/>
      <c r="E97" s="69"/>
      <c r="F97" s="3"/>
      <c r="G97" s="3"/>
      <c r="H97" s="6"/>
      <c r="I97" s="6"/>
      <c r="J97" s="69"/>
    </row>
    <row r="98" spans="1:10" x14ac:dyDescent="0.25">
      <c r="A98" s="7" t="s">
        <v>870</v>
      </c>
      <c r="B98" s="96"/>
      <c r="C98" s="96"/>
      <c r="E98" s="69"/>
      <c r="F98" s="7" t="s">
        <v>871</v>
      </c>
      <c r="G98" s="7"/>
      <c r="H98" s="6"/>
      <c r="I98" s="6"/>
      <c r="J98" s="69"/>
    </row>
    <row r="99" spans="1:10" ht="27" customHeight="1" x14ac:dyDescent="0.25">
      <c r="A99" s="148" t="s">
        <v>534</v>
      </c>
      <c r="B99" s="148"/>
      <c r="C99" s="148"/>
      <c r="D99" s="148"/>
      <c r="E99" s="69"/>
      <c r="F99" s="148" t="s">
        <v>535</v>
      </c>
      <c r="G99" s="148"/>
      <c r="H99" s="148"/>
      <c r="I99" s="148"/>
      <c r="J99" s="69"/>
    </row>
    <row r="100" spans="1:10" x14ac:dyDescent="0.25">
      <c r="A100" s="24" t="s">
        <v>67</v>
      </c>
      <c r="B100" s="44" t="s">
        <v>0</v>
      </c>
      <c r="C100" s="44" t="s">
        <v>1</v>
      </c>
      <c r="D100" s="44" t="s">
        <v>59</v>
      </c>
      <c r="E100" s="69"/>
      <c r="F100" s="24" t="s">
        <v>67</v>
      </c>
      <c r="G100" s="44" t="s">
        <v>0</v>
      </c>
      <c r="H100" s="44" t="s">
        <v>1</v>
      </c>
      <c r="I100" s="44" t="s">
        <v>59</v>
      </c>
      <c r="J100" s="69"/>
    </row>
    <row r="101" spans="1:10" x14ac:dyDescent="0.25">
      <c r="A101" s="22" t="s">
        <v>53</v>
      </c>
      <c r="B101" s="75">
        <v>4</v>
      </c>
      <c r="C101" s="111">
        <v>0</v>
      </c>
      <c r="D101" s="73">
        <v>4</v>
      </c>
      <c r="E101" s="69"/>
      <c r="F101" s="22" t="s">
        <v>53</v>
      </c>
      <c r="G101" s="75">
        <v>76</v>
      </c>
      <c r="H101" s="111">
        <v>0</v>
      </c>
      <c r="I101" s="75">
        <v>76</v>
      </c>
      <c r="J101" s="69"/>
    </row>
    <row r="102" spans="1:10" x14ac:dyDescent="0.25">
      <c r="A102" s="25" t="s">
        <v>2</v>
      </c>
      <c r="B102" s="75">
        <v>28</v>
      </c>
      <c r="C102" s="111">
        <v>0</v>
      </c>
      <c r="D102" s="75">
        <v>28</v>
      </c>
      <c r="E102" s="69"/>
      <c r="F102" s="25" t="s">
        <v>2</v>
      </c>
      <c r="G102" s="75">
        <v>642</v>
      </c>
      <c r="H102" s="111">
        <v>0</v>
      </c>
      <c r="I102" s="75">
        <v>642</v>
      </c>
      <c r="J102" s="69"/>
    </row>
    <row r="103" spans="1:10" x14ac:dyDescent="0.25">
      <c r="A103" s="25" t="s">
        <v>54</v>
      </c>
      <c r="B103" s="75">
        <v>675</v>
      </c>
      <c r="C103" s="75">
        <v>108</v>
      </c>
      <c r="D103" s="75">
        <v>783</v>
      </c>
      <c r="E103" s="69"/>
      <c r="F103" s="25" t="s">
        <v>54</v>
      </c>
      <c r="G103" s="75">
        <v>20664</v>
      </c>
      <c r="H103" s="75">
        <v>2772</v>
      </c>
      <c r="I103" s="75">
        <v>23436</v>
      </c>
      <c r="J103" s="69"/>
    </row>
    <row r="104" spans="1:10" x14ac:dyDescent="0.25">
      <c r="A104" s="25" t="s">
        <v>55</v>
      </c>
      <c r="B104" s="75">
        <v>3194</v>
      </c>
      <c r="C104" s="75">
        <v>688</v>
      </c>
      <c r="D104" s="75">
        <v>3882</v>
      </c>
      <c r="E104" s="69"/>
      <c r="F104" s="25" t="s">
        <v>55</v>
      </c>
      <c r="G104" s="75">
        <v>99965</v>
      </c>
      <c r="H104" s="75">
        <v>18351</v>
      </c>
      <c r="I104" s="75">
        <v>118316</v>
      </c>
      <c r="J104" s="69"/>
    </row>
    <row r="105" spans="1:10" x14ac:dyDescent="0.25">
      <c r="A105" s="25" t="s">
        <v>56</v>
      </c>
      <c r="B105" s="75">
        <v>6192</v>
      </c>
      <c r="C105" s="75">
        <v>958</v>
      </c>
      <c r="D105" s="75">
        <v>7150</v>
      </c>
      <c r="E105" s="69"/>
      <c r="F105" s="25" t="s">
        <v>56</v>
      </c>
      <c r="G105" s="75">
        <v>190883</v>
      </c>
      <c r="H105" s="75">
        <v>25744</v>
      </c>
      <c r="I105" s="75">
        <v>216627</v>
      </c>
      <c r="J105" s="69"/>
    </row>
    <row r="106" spans="1:10" x14ac:dyDescent="0.25">
      <c r="A106" s="25" t="s">
        <v>57</v>
      </c>
      <c r="B106" s="75">
        <v>3492</v>
      </c>
      <c r="C106" s="75">
        <v>796</v>
      </c>
      <c r="D106" s="75">
        <v>4288</v>
      </c>
      <c r="E106" s="69"/>
      <c r="F106" s="25" t="s">
        <v>57</v>
      </c>
      <c r="G106" s="75">
        <v>110658</v>
      </c>
      <c r="H106" s="75">
        <v>21814</v>
      </c>
      <c r="I106" s="75">
        <v>132472</v>
      </c>
      <c r="J106" s="69"/>
    </row>
    <row r="107" spans="1:10" x14ac:dyDescent="0.25">
      <c r="A107" s="25" t="s">
        <v>3</v>
      </c>
      <c r="B107" s="75">
        <v>425</v>
      </c>
      <c r="C107" s="75">
        <v>132</v>
      </c>
      <c r="D107" s="75">
        <v>557</v>
      </c>
      <c r="E107" s="69"/>
      <c r="F107" s="25" t="s">
        <v>3</v>
      </c>
      <c r="G107" s="75">
        <v>14292</v>
      </c>
      <c r="H107" s="75">
        <v>3552</v>
      </c>
      <c r="I107" s="75">
        <v>17844</v>
      </c>
      <c r="J107" s="69"/>
    </row>
    <row r="108" spans="1:10" x14ac:dyDescent="0.25">
      <c r="A108" s="29" t="s">
        <v>60</v>
      </c>
      <c r="B108" s="58">
        <v>14010</v>
      </c>
      <c r="C108" s="58">
        <v>2682</v>
      </c>
      <c r="D108" s="58">
        <v>16692</v>
      </c>
      <c r="E108" s="69"/>
      <c r="F108" s="29" t="s">
        <v>60</v>
      </c>
      <c r="G108" s="58">
        <v>437180</v>
      </c>
      <c r="H108" s="58">
        <v>72233</v>
      </c>
      <c r="I108" s="58">
        <v>509413</v>
      </c>
      <c r="J108" s="69"/>
    </row>
    <row r="109" spans="1:10" x14ac:dyDescent="0.25">
      <c r="E109" s="69"/>
      <c r="J109" s="69"/>
    </row>
    <row r="110" spans="1:10" x14ac:dyDescent="0.25">
      <c r="E110" s="69"/>
      <c r="J110" s="69"/>
    </row>
    <row r="111" spans="1:10" x14ac:dyDescent="0.25">
      <c r="A111" s="7" t="s">
        <v>872</v>
      </c>
      <c r="B111" s="7"/>
      <c r="E111" s="69"/>
      <c r="F111" s="7" t="s">
        <v>873</v>
      </c>
      <c r="G111" s="7"/>
      <c r="H111" s="6"/>
      <c r="I111" s="6"/>
      <c r="J111" s="69"/>
    </row>
    <row r="112" spans="1:10" x14ac:dyDescent="0.25">
      <c r="A112" s="148" t="s">
        <v>538</v>
      </c>
      <c r="B112" s="148"/>
      <c r="C112" s="148"/>
      <c r="D112" s="148"/>
      <c r="E112" s="69"/>
      <c r="F112" s="148" t="s">
        <v>539</v>
      </c>
      <c r="G112" s="148"/>
      <c r="H112" s="148"/>
      <c r="I112" s="148"/>
      <c r="J112" s="69"/>
    </row>
    <row r="113" spans="1:10" x14ac:dyDescent="0.25">
      <c r="A113" s="24" t="s">
        <v>353</v>
      </c>
      <c r="B113" s="24" t="s">
        <v>0</v>
      </c>
      <c r="C113" s="24" t="s">
        <v>1</v>
      </c>
      <c r="D113" s="24" t="s">
        <v>59</v>
      </c>
      <c r="E113" s="69"/>
      <c r="F113" s="24" t="s">
        <v>353</v>
      </c>
      <c r="G113" s="24" t="s">
        <v>0</v>
      </c>
      <c r="H113" s="24" t="s">
        <v>1</v>
      </c>
      <c r="I113" s="24" t="s">
        <v>59</v>
      </c>
      <c r="J113" s="69"/>
    </row>
    <row r="114" spans="1:10" x14ac:dyDescent="0.25">
      <c r="A114" s="87" t="s">
        <v>354</v>
      </c>
      <c r="B114" s="85">
        <v>5157</v>
      </c>
      <c r="C114" s="85">
        <v>690</v>
      </c>
      <c r="D114" s="85">
        <v>5847</v>
      </c>
      <c r="E114" s="69"/>
      <c r="F114" s="87" t="s">
        <v>354</v>
      </c>
      <c r="G114" s="85">
        <v>158065</v>
      </c>
      <c r="H114" s="85">
        <v>19105</v>
      </c>
      <c r="I114" s="85">
        <v>177170</v>
      </c>
      <c r="J114" s="69"/>
    </row>
    <row r="115" spans="1:10" x14ac:dyDescent="0.25">
      <c r="E115" s="69"/>
      <c r="F115" s="3"/>
      <c r="G115" s="3"/>
      <c r="H115" s="6"/>
      <c r="I115" s="6"/>
      <c r="J115" s="69"/>
    </row>
    <row r="116" spans="1:10" x14ac:dyDescent="0.25">
      <c r="E116" s="69"/>
      <c r="F116" s="3"/>
      <c r="G116" s="3"/>
      <c r="H116" s="6"/>
      <c r="I116" s="6"/>
      <c r="J116" s="69"/>
    </row>
    <row r="117" spans="1:10" x14ac:dyDescent="0.25">
      <c r="A117" s="7" t="s">
        <v>874</v>
      </c>
      <c r="B117" s="7"/>
      <c r="E117" s="69"/>
      <c r="F117" s="7" t="s">
        <v>875</v>
      </c>
      <c r="G117" s="7"/>
      <c r="H117" s="6"/>
      <c r="I117" s="6"/>
      <c r="J117" s="69"/>
    </row>
    <row r="118" spans="1:10" ht="27" customHeight="1" x14ac:dyDescent="0.25">
      <c r="A118" s="148" t="s">
        <v>537</v>
      </c>
      <c r="B118" s="148"/>
      <c r="C118" s="148"/>
      <c r="D118" s="148"/>
      <c r="E118" s="69"/>
      <c r="F118" s="148" t="s">
        <v>536</v>
      </c>
      <c r="G118" s="148"/>
      <c r="H118" s="148"/>
      <c r="I118" s="148"/>
      <c r="J118" s="69"/>
    </row>
    <row r="119" spans="1:10" x14ac:dyDescent="0.25">
      <c r="A119" s="44" t="s">
        <v>66</v>
      </c>
      <c r="B119" s="44" t="s">
        <v>0</v>
      </c>
      <c r="C119" s="44" t="s">
        <v>1</v>
      </c>
      <c r="D119" s="44" t="s">
        <v>59</v>
      </c>
      <c r="E119" s="69"/>
      <c r="F119" s="44" t="s">
        <v>66</v>
      </c>
      <c r="G119" s="44" t="s">
        <v>0</v>
      </c>
      <c r="H119" s="44" t="s">
        <v>1</v>
      </c>
      <c r="I119" s="44" t="s">
        <v>59</v>
      </c>
      <c r="J119" s="69"/>
    </row>
    <row r="120" spans="1:10" x14ac:dyDescent="0.25">
      <c r="A120" s="22" t="s">
        <v>5</v>
      </c>
      <c r="B120" s="75">
        <v>4183</v>
      </c>
      <c r="C120" s="75">
        <v>574</v>
      </c>
      <c r="D120" s="73">
        <v>4757</v>
      </c>
      <c r="E120" s="69"/>
      <c r="F120" s="22" t="s">
        <v>5</v>
      </c>
      <c r="G120" s="75">
        <v>127858</v>
      </c>
      <c r="H120" s="73">
        <v>15946</v>
      </c>
      <c r="I120" s="73">
        <v>143804</v>
      </c>
      <c r="J120" s="69"/>
    </row>
    <row r="121" spans="1:10" x14ac:dyDescent="0.25">
      <c r="A121" s="25" t="s">
        <v>6</v>
      </c>
      <c r="B121" s="75">
        <v>974</v>
      </c>
      <c r="C121" s="75">
        <v>116</v>
      </c>
      <c r="D121" s="75">
        <v>1090</v>
      </c>
      <c r="E121" s="69"/>
      <c r="F121" s="25" t="s">
        <v>6</v>
      </c>
      <c r="G121" s="75">
        <v>30207</v>
      </c>
      <c r="H121" s="75">
        <v>3159</v>
      </c>
      <c r="I121" s="75">
        <v>33366</v>
      </c>
      <c r="J121" s="69"/>
    </row>
    <row r="122" spans="1:10" x14ac:dyDescent="0.25">
      <c r="A122" s="29" t="s">
        <v>60</v>
      </c>
      <c r="B122" s="58">
        <v>5157</v>
      </c>
      <c r="C122" s="58">
        <v>690</v>
      </c>
      <c r="D122" s="58">
        <v>5847</v>
      </c>
      <c r="E122" s="69"/>
      <c r="F122" s="29" t="s">
        <v>60</v>
      </c>
      <c r="G122" s="77">
        <v>158065</v>
      </c>
      <c r="H122" s="77">
        <v>19105</v>
      </c>
      <c r="I122" s="77">
        <v>177170</v>
      </c>
      <c r="J122" s="69"/>
    </row>
    <row r="123" spans="1:10" x14ac:dyDescent="0.25">
      <c r="E123" s="69"/>
      <c r="F123" s="3"/>
      <c r="G123" s="3"/>
      <c r="H123" s="6"/>
      <c r="I123" s="6"/>
      <c r="J123" s="69"/>
    </row>
    <row r="124" spans="1:10" x14ac:dyDescent="0.25">
      <c r="E124" s="69"/>
      <c r="F124" s="3"/>
      <c r="G124" s="3"/>
      <c r="H124" s="6"/>
      <c r="I124" s="6"/>
      <c r="J124" s="69"/>
    </row>
    <row r="125" spans="1:10" x14ac:dyDescent="0.25">
      <c r="A125" s="7" t="s">
        <v>876</v>
      </c>
      <c r="B125" s="7"/>
      <c r="E125" s="69"/>
      <c r="F125" s="7" t="s">
        <v>878</v>
      </c>
      <c r="G125" s="7"/>
      <c r="H125" s="6"/>
      <c r="I125" s="6"/>
      <c r="J125" s="69"/>
    </row>
    <row r="126" spans="1:10" ht="27" customHeight="1" x14ac:dyDescent="0.25">
      <c r="A126" s="148" t="s">
        <v>540</v>
      </c>
      <c r="B126" s="148"/>
      <c r="C126" s="148"/>
      <c r="D126" s="148"/>
      <c r="E126" s="69"/>
      <c r="F126" s="148" t="s">
        <v>541</v>
      </c>
      <c r="G126" s="148"/>
      <c r="H126" s="148"/>
      <c r="I126" s="148"/>
      <c r="J126" s="69"/>
    </row>
    <row r="127" spans="1:10" x14ac:dyDescent="0.25">
      <c r="A127" s="24" t="s">
        <v>67</v>
      </c>
      <c r="B127" s="44" t="s">
        <v>0</v>
      </c>
      <c r="C127" s="44" t="s">
        <v>1</v>
      </c>
      <c r="D127" s="44" t="s">
        <v>59</v>
      </c>
      <c r="E127" s="69"/>
      <c r="F127" s="24" t="s">
        <v>67</v>
      </c>
      <c r="G127" s="44" t="s">
        <v>0</v>
      </c>
      <c r="H127" s="44" t="s">
        <v>1</v>
      </c>
      <c r="I127" s="44" t="s">
        <v>59</v>
      </c>
      <c r="J127" s="69"/>
    </row>
    <row r="128" spans="1:10" x14ac:dyDescent="0.25">
      <c r="A128" s="22" t="s">
        <v>53</v>
      </c>
      <c r="B128" s="75">
        <v>1</v>
      </c>
      <c r="C128" s="111">
        <v>0</v>
      </c>
      <c r="D128" s="73">
        <v>1</v>
      </c>
      <c r="E128" s="69"/>
      <c r="F128" s="22" t="s">
        <v>53</v>
      </c>
      <c r="G128" s="75">
        <v>30</v>
      </c>
      <c r="H128" s="112">
        <v>0</v>
      </c>
      <c r="I128" s="73">
        <v>30</v>
      </c>
      <c r="J128" s="69"/>
    </row>
    <row r="129" spans="1:10" x14ac:dyDescent="0.25">
      <c r="A129" s="25" t="s">
        <v>2</v>
      </c>
      <c r="B129" s="75">
        <v>92</v>
      </c>
      <c r="C129" s="111">
        <v>0</v>
      </c>
      <c r="D129" s="75">
        <v>92</v>
      </c>
      <c r="E129" s="69"/>
      <c r="F129" s="25" t="s">
        <v>2</v>
      </c>
      <c r="G129" s="75">
        <v>2686</v>
      </c>
      <c r="H129" s="111">
        <v>0</v>
      </c>
      <c r="I129" s="75">
        <v>2686</v>
      </c>
      <c r="J129" s="69"/>
    </row>
    <row r="130" spans="1:10" x14ac:dyDescent="0.25">
      <c r="A130" s="25" t="s">
        <v>54</v>
      </c>
      <c r="B130" s="75">
        <v>469</v>
      </c>
      <c r="C130" s="75">
        <v>15</v>
      </c>
      <c r="D130" s="75">
        <v>484</v>
      </c>
      <c r="E130" s="69"/>
      <c r="F130" s="25" t="s">
        <v>54</v>
      </c>
      <c r="G130" s="75">
        <v>14128</v>
      </c>
      <c r="H130" s="75">
        <v>416</v>
      </c>
      <c r="I130" s="75">
        <v>14544</v>
      </c>
      <c r="J130" s="69"/>
    </row>
    <row r="131" spans="1:10" x14ac:dyDescent="0.25">
      <c r="A131" s="25" t="s">
        <v>55</v>
      </c>
      <c r="B131" s="75">
        <v>1241</v>
      </c>
      <c r="C131" s="75">
        <v>53</v>
      </c>
      <c r="D131" s="75">
        <v>1294</v>
      </c>
      <c r="E131" s="69"/>
      <c r="F131" s="25" t="s">
        <v>55</v>
      </c>
      <c r="G131" s="75">
        <v>37483</v>
      </c>
      <c r="H131" s="75">
        <v>1479</v>
      </c>
      <c r="I131" s="75">
        <v>38962</v>
      </c>
      <c r="J131" s="69"/>
    </row>
    <row r="132" spans="1:10" x14ac:dyDescent="0.25">
      <c r="A132" s="25" t="s">
        <v>56</v>
      </c>
      <c r="B132" s="75">
        <v>2136</v>
      </c>
      <c r="C132" s="75">
        <v>161</v>
      </c>
      <c r="D132" s="75">
        <v>2297</v>
      </c>
      <c r="E132" s="69"/>
      <c r="F132" s="25" t="s">
        <v>56</v>
      </c>
      <c r="G132" s="75">
        <v>65995</v>
      </c>
      <c r="H132" s="75">
        <v>4431</v>
      </c>
      <c r="I132" s="75">
        <v>70426</v>
      </c>
      <c r="J132" s="69"/>
    </row>
    <row r="133" spans="1:10" x14ac:dyDescent="0.25">
      <c r="A133" s="25" t="s">
        <v>57</v>
      </c>
      <c r="B133" s="75">
        <v>1218</v>
      </c>
      <c r="C133" s="75">
        <v>341</v>
      </c>
      <c r="D133" s="75">
        <v>1559</v>
      </c>
      <c r="E133" s="69"/>
      <c r="F133" s="25" t="s">
        <v>57</v>
      </c>
      <c r="G133" s="75">
        <v>37743</v>
      </c>
      <c r="H133" s="75">
        <v>9342</v>
      </c>
      <c r="I133" s="75">
        <v>47085</v>
      </c>
      <c r="J133" s="69"/>
    </row>
    <row r="134" spans="1:10" x14ac:dyDescent="0.25">
      <c r="A134" s="25" t="s">
        <v>3</v>
      </c>
      <c r="B134" s="111">
        <v>0</v>
      </c>
      <c r="C134" s="75">
        <v>120</v>
      </c>
      <c r="D134" s="75">
        <v>120</v>
      </c>
      <c r="E134" s="69"/>
      <c r="F134" s="25" t="s">
        <v>3</v>
      </c>
      <c r="G134" s="111">
        <v>0</v>
      </c>
      <c r="H134" s="75">
        <v>3437</v>
      </c>
      <c r="I134" s="75">
        <v>3437</v>
      </c>
      <c r="J134" s="69"/>
    </row>
    <row r="135" spans="1:10" x14ac:dyDescent="0.25">
      <c r="A135" s="29" t="s">
        <v>60</v>
      </c>
      <c r="B135" s="58">
        <v>5157</v>
      </c>
      <c r="C135" s="58">
        <v>690</v>
      </c>
      <c r="D135" s="58">
        <v>5847</v>
      </c>
      <c r="E135" s="69"/>
      <c r="F135" s="29" t="s">
        <v>60</v>
      </c>
      <c r="G135" s="77">
        <v>158065</v>
      </c>
      <c r="H135" s="77">
        <v>19105</v>
      </c>
      <c r="I135" s="77">
        <v>177170</v>
      </c>
      <c r="J135" s="69"/>
    </row>
    <row r="136" spans="1:10" x14ac:dyDescent="0.25">
      <c r="E136" s="69"/>
      <c r="J136" s="69"/>
    </row>
    <row r="137" spans="1:10" x14ac:dyDescent="0.25">
      <c r="E137" s="69"/>
      <c r="J137" s="69"/>
    </row>
    <row r="138" spans="1:10" x14ac:dyDescent="0.25">
      <c r="A138" s="7" t="s">
        <v>877</v>
      </c>
      <c r="B138" s="7"/>
      <c r="E138" s="69"/>
      <c r="F138" s="7" t="s">
        <v>879</v>
      </c>
      <c r="G138" s="7"/>
      <c r="H138" s="6"/>
      <c r="I138" s="6"/>
      <c r="J138" s="69"/>
    </row>
    <row r="139" spans="1:10" x14ac:dyDescent="0.25">
      <c r="A139" s="148" t="s">
        <v>542</v>
      </c>
      <c r="B139" s="148"/>
      <c r="C139" s="148"/>
      <c r="D139" s="148"/>
      <c r="E139" s="69"/>
      <c r="F139" s="148" t="s">
        <v>543</v>
      </c>
      <c r="G139" s="148"/>
      <c r="H139" s="148"/>
      <c r="I139" s="148"/>
      <c r="J139" s="69"/>
    </row>
    <row r="140" spans="1:10" x14ac:dyDescent="0.25">
      <c r="A140" s="24" t="s">
        <v>544</v>
      </c>
      <c r="B140" s="24" t="s">
        <v>0</v>
      </c>
      <c r="C140" s="24" t="s">
        <v>1</v>
      </c>
      <c r="D140" s="24" t="s">
        <v>59</v>
      </c>
      <c r="E140" s="69"/>
      <c r="F140" s="24" t="s">
        <v>544</v>
      </c>
      <c r="G140" s="24" t="s">
        <v>0</v>
      </c>
      <c r="H140" s="24" t="s">
        <v>1</v>
      </c>
      <c r="I140" s="24" t="s">
        <v>59</v>
      </c>
      <c r="J140" s="69"/>
    </row>
    <row r="141" spans="1:10" x14ac:dyDescent="0.25">
      <c r="A141" s="87" t="s">
        <v>355</v>
      </c>
      <c r="B141" s="85">
        <v>2299</v>
      </c>
      <c r="C141" s="85">
        <v>5</v>
      </c>
      <c r="D141" s="85">
        <v>2304</v>
      </c>
      <c r="E141" s="69"/>
      <c r="F141" s="87" t="s">
        <v>355</v>
      </c>
      <c r="G141" s="85">
        <v>68342</v>
      </c>
      <c r="H141" s="85">
        <v>148</v>
      </c>
      <c r="I141" s="85">
        <v>68490</v>
      </c>
      <c r="J141" s="69"/>
    </row>
    <row r="142" spans="1:10" x14ac:dyDescent="0.25">
      <c r="E142" s="69"/>
      <c r="F142" s="3"/>
      <c r="G142" s="3"/>
      <c r="H142" s="6"/>
      <c r="I142" s="6"/>
      <c r="J142" s="69"/>
    </row>
    <row r="143" spans="1:10" x14ac:dyDescent="0.25">
      <c r="E143" s="69"/>
      <c r="F143" s="3"/>
      <c r="G143" s="3"/>
      <c r="H143" s="6"/>
      <c r="I143" s="6"/>
      <c r="J143" s="69"/>
    </row>
    <row r="144" spans="1:10" x14ac:dyDescent="0.25">
      <c r="A144" s="7" t="s">
        <v>880</v>
      </c>
      <c r="B144" s="7"/>
      <c r="E144" s="69"/>
      <c r="F144" s="7" t="s">
        <v>881</v>
      </c>
      <c r="G144" s="7"/>
      <c r="H144" s="6"/>
      <c r="I144" s="6"/>
      <c r="J144" s="69"/>
    </row>
    <row r="145" spans="1:10" ht="28.5" customHeight="1" x14ac:dyDescent="0.25">
      <c r="A145" s="148" t="s">
        <v>545</v>
      </c>
      <c r="B145" s="148"/>
      <c r="C145" s="148"/>
      <c r="D145" s="148"/>
      <c r="E145" s="69"/>
      <c r="F145" s="148" t="s">
        <v>546</v>
      </c>
      <c r="G145" s="148"/>
      <c r="H145" s="148"/>
      <c r="I145" s="148"/>
      <c r="J145" s="69"/>
    </row>
    <row r="146" spans="1:10" x14ac:dyDescent="0.25">
      <c r="A146" s="44" t="s">
        <v>66</v>
      </c>
      <c r="B146" s="44" t="s">
        <v>0</v>
      </c>
      <c r="C146" s="44" t="s">
        <v>1</v>
      </c>
      <c r="D146" s="44" t="s">
        <v>59</v>
      </c>
      <c r="E146" s="69"/>
      <c r="F146" s="44" t="s">
        <v>66</v>
      </c>
      <c r="G146" s="44" t="s">
        <v>0</v>
      </c>
      <c r="H146" s="44" t="s">
        <v>1</v>
      </c>
      <c r="I146" s="44" t="s">
        <v>59</v>
      </c>
      <c r="J146" s="69"/>
    </row>
    <row r="147" spans="1:10" x14ac:dyDescent="0.25">
      <c r="A147" s="22" t="s">
        <v>5</v>
      </c>
      <c r="B147" s="75">
        <v>1679</v>
      </c>
      <c r="C147" s="75">
        <v>5</v>
      </c>
      <c r="D147" s="73">
        <v>1684</v>
      </c>
      <c r="E147" s="69"/>
      <c r="F147" s="22" t="s">
        <v>5</v>
      </c>
      <c r="G147" s="75">
        <v>50114</v>
      </c>
      <c r="H147" s="73">
        <v>148</v>
      </c>
      <c r="I147" s="73">
        <v>50262</v>
      </c>
      <c r="J147" s="69"/>
    </row>
    <row r="148" spans="1:10" x14ac:dyDescent="0.25">
      <c r="A148" s="25" t="s">
        <v>6</v>
      </c>
      <c r="B148" s="75">
        <v>620</v>
      </c>
      <c r="C148" s="111">
        <v>0</v>
      </c>
      <c r="D148" s="75">
        <v>620</v>
      </c>
      <c r="E148" s="69"/>
      <c r="F148" s="25" t="s">
        <v>6</v>
      </c>
      <c r="G148" s="75">
        <v>18228</v>
      </c>
      <c r="H148" s="111">
        <v>0</v>
      </c>
      <c r="I148" s="75">
        <v>18228</v>
      </c>
      <c r="J148" s="69"/>
    </row>
    <row r="149" spans="1:10" x14ac:dyDescent="0.25">
      <c r="A149" s="29" t="s">
        <v>60</v>
      </c>
      <c r="B149" s="58">
        <v>2299</v>
      </c>
      <c r="C149" s="58">
        <v>5</v>
      </c>
      <c r="D149" s="58">
        <v>2304</v>
      </c>
      <c r="E149" s="69"/>
      <c r="F149" s="29" t="s">
        <v>60</v>
      </c>
      <c r="G149" s="77">
        <v>68342</v>
      </c>
      <c r="H149" s="77">
        <v>148</v>
      </c>
      <c r="I149" s="77">
        <v>68490</v>
      </c>
      <c r="J149" s="69"/>
    </row>
    <row r="150" spans="1:10" x14ac:dyDescent="0.25">
      <c r="E150" s="69"/>
      <c r="F150" s="3"/>
      <c r="G150" s="3"/>
      <c r="H150" s="6"/>
      <c r="I150" s="6"/>
      <c r="J150" s="69"/>
    </row>
    <row r="151" spans="1:10" x14ac:dyDescent="0.25">
      <c r="E151" s="69"/>
      <c r="F151" s="3"/>
      <c r="G151" s="3"/>
      <c r="H151" s="6"/>
      <c r="I151" s="6"/>
      <c r="J151" s="69"/>
    </row>
    <row r="152" spans="1:10" x14ac:dyDescent="0.25">
      <c r="A152" s="7" t="s">
        <v>882</v>
      </c>
      <c r="B152" s="7"/>
      <c r="E152" s="69"/>
      <c r="F152" s="7" t="s">
        <v>883</v>
      </c>
      <c r="G152" s="7"/>
      <c r="H152" s="6"/>
      <c r="I152" s="6"/>
      <c r="J152" s="69"/>
    </row>
    <row r="153" spans="1:10" ht="28.5" customHeight="1" x14ac:dyDescent="0.25">
      <c r="A153" s="148" t="s">
        <v>547</v>
      </c>
      <c r="B153" s="148"/>
      <c r="C153" s="148"/>
      <c r="D153" s="148"/>
      <c r="E153" s="69"/>
      <c r="F153" s="148" t="s">
        <v>548</v>
      </c>
      <c r="G153" s="148"/>
      <c r="H153" s="148"/>
      <c r="I153" s="148"/>
      <c r="J153" s="69"/>
    </row>
    <row r="154" spans="1:10" x14ac:dyDescent="0.25">
      <c r="A154" s="24" t="s">
        <v>67</v>
      </c>
      <c r="B154" s="44" t="s">
        <v>0</v>
      </c>
      <c r="C154" s="44" t="s">
        <v>1</v>
      </c>
      <c r="D154" s="44" t="s">
        <v>59</v>
      </c>
      <c r="E154" s="69"/>
      <c r="F154" s="24" t="s">
        <v>67</v>
      </c>
      <c r="G154" s="44" t="s">
        <v>0</v>
      </c>
      <c r="H154" s="44" t="s">
        <v>1</v>
      </c>
      <c r="I154" s="44" t="s">
        <v>59</v>
      </c>
      <c r="J154" s="69"/>
    </row>
    <row r="155" spans="1:10" x14ac:dyDescent="0.25">
      <c r="A155" s="22" t="s">
        <v>53</v>
      </c>
      <c r="B155" s="111">
        <v>0</v>
      </c>
      <c r="C155" s="111">
        <v>0</v>
      </c>
      <c r="D155" s="111">
        <v>0</v>
      </c>
      <c r="E155" s="69"/>
      <c r="F155" s="22" t="s">
        <v>53</v>
      </c>
      <c r="G155" s="111">
        <v>0</v>
      </c>
      <c r="H155" s="112">
        <v>0</v>
      </c>
      <c r="I155" s="112">
        <v>0</v>
      </c>
      <c r="J155" s="69"/>
    </row>
    <row r="156" spans="1:10" x14ac:dyDescent="0.25">
      <c r="A156" s="25" t="s">
        <v>2</v>
      </c>
      <c r="B156" s="75">
        <v>4</v>
      </c>
      <c r="C156" s="111">
        <v>0</v>
      </c>
      <c r="D156" s="75">
        <v>4</v>
      </c>
      <c r="E156" s="69"/>
      <c r="F156" s="25" t="s">
        <v>2</v>
      </c>
      <c r="G156" s="75">
        <v>119</v>
      </c>
      <c r="H156" s="111">
        <v>0</v>
      </c>
      <c r="I156" s="75">
        <v>119</v>
      </c>
      <c r="J156" s="69"/>
    </row>
    <row r="157" spans="1:10" x14ac:dyDescent="0.25">
      <c r="A157" s="25" t="s">
        <v>54</v>
      </c>
      <c r="B157" s="75">
        <v>56</v>
      </c>
      <c r="C157" s="111">
        <v>0</v>
      </c>
      <c r="D157" s="75">
        <v>56</v>
      </c>
      <c r="E157" s="69"/>
      <c r="F157" s="25" t="s">
        <v>54</v>
      </c>
      <c r="G157" s="75">
        <v>1608</v>
      </c>
      <c r="H157" s="111">
        <v>0</v>
      </c>
      <c r="I157" s="75">
        <v>1608</v>
      </c>
      <c r="J157" s="69"/>
    </row>
    <row r="158" spans="1:10" x14ac:dyDescent="0.25">
      <c r="A158" s="25" t="s">
        <v>55</v>
      </c>
      <c r="B158" s="75">
        <v>91</v>
      </c>
      <c r="C158" s="111">
        <v>0</v>
      </c>
      <c r="D158" s="75">
        <v>91</v>
      </c>
      <c r="E158" s="69"/>
      <c r="F158" s="25" t="s">
        <v>55</v>
      </c>
      <c r="G158" s="75">
        <v>2607</v>
      </c>
      <c r="H158" s="111">
        <v>0</v>
      </c>
      <c r="I158" s="75">
        <v>2607</v>
      </c>
      <c r="J158" s="69"/>
    </row>
    <row r="159" spans="1:10" x14ac:dyDescent="0.25">
      <c r="A159" s="25" t="s">
        <v>56</v>
      </c>
      <c r="B159" s="75">
        <v>442</v>
      </c>
      <c r="C159" s="75">
        <v>1</v>
      </c>
      <c r="D159" s="75">
        <v>443</v>
      </c>
      <c r="E159" s="69"/>
      <c r="F159" s="25" t="s">
        <v>56</v>
      </c>
      <c r="G159" s="75">
        <v>13044</v>
      </c>
      <c r="H159" s="75">
        <v>28</v>
      </c>
      <c r="I159" s="75">
        <v>13072</v>
      </c>
      <c r="J159" s="69"/>
    </row>
    <row r="160" spans="1:10" x14ac:dyDescent="0.25">
      <c r="A160" s="25" t="s">
        <v>57</v>
      </c>
      <c r="B160" s="75">
        <v>934</v>
      </c>
      <c r="C160" s="111">
        <v>0</v>
      </c>
      <c r="D160" s="75">
        <v>934</v>
      </c>
      <c r="E160" s="69"/>
      <c r="F160" s="25" t="s">
        <v>57</v>
      </c>
      <c r="G160" s="75">
        <v>27901</v>
      </c>
      <c r="H160" s="111">
        <v>0</v>
      </c>
      <c r="I160" s="75">
        <v>27901</v>
      </c>
      <c r="J160" s="69"/>
    </row>
    <row r="161" spans="1:10" x14ac:dyDescent="0.25">
      <c r="A161" s="25" t="s">
        <v>3</v>
      </c>
      <c r="B161" s="75">
        <v>772</v>
      </c>
      <c r="C161" s="75">
        <v>4</v>
      </c>
      <c r="D161" s="75">
        <v>776</v>
      </c>
      <c r="E161" s="69"/>
      <c r="F161" s="25" t="s">
        <v>3</v>
      </c>
      <c r="G161" s="75">
        <v>23063</v>
      </c>
      <c r="H161" s="75">
        <v>120</v>
      </c>
      <c r="I161" s="75">
        <v>23183</v>
      </c>
      <c r="J161" s="69"/>
    </row>
    <row r="162" spans="1:10" x14ac:dyDescent="0.25">
      <c r="A162" s="29" t="s">
        <v>60</v>
      </c>
      <c r="B162" s="58">
        <v>2299</v>
      </c>
      <c r="C162" s="58">
        <v>5</v>
      </c>
      <c r="D162" s="58">
        <v>2304</v>
      </c>
      <c r="E162" s="69"/>
      <c r="F162" s="29" t="s">
        <v>60</v>
      </c>
      <c r="G162" s="77">
        <v>68342</v>
      </c>
      <c r="H162" s="77">
        <v>148</v>
      </c>
      <c r="I162" s="77">
        <v>68490</v>
      </c>
      <c r="J162" s="69"/>
    </row>
  </sheetData>
  <mergeCells count="36">
    <mergeCell ref="A58:D58"/>
    <mergeCell ref="F58:I58"/>
    <mergeCell ref="A64:D64"/>
    <mergeCell ref="A31:D31"/>
    <mergeCell ref="F31:I31"/>
    <mergeCell ref="A37:D37"/>
    <mergeCell ref="F37:I37"/>
    <mergeCell ref="A45:D45"/>
    <mergeCell ref="F45:I45"/>
    <mergeCell ref="F64:I64"/>
    <mergeCell ref="A4:D4"/>
    <mergeCell ref="F4:I4"/>
    <mergeCell ref="A10:D10"/>
    <mergeCell ref="F10:I10"/>
    <mergeCell ref="A18:D18"/>
    <mergeCell ref="F18:I18"/>
    <mergeCell ref="A72:D72"/>
    <mergeCell ref="F72:I72"/>
    <mergeCell ref="A85:D85"/>
    <mergeCell ref="F85:I85"/>
    <mergeCell ref="A91:D91"/>
    <mergeCell ref="F91:I91"/>
    <mergeCell ref="A99:D99"/>
    <mergeCell ref="F99:I99"/>
    <mergeCell ref="A112:D112"/>
    <mergeCell ref="F112:I112"/>
    <mergeCell ref="A118:D118"/>
    <mergeCell ref="F118:I118"/>
    <mergeCell ref="A153:D153"/>
    <mergeCell ref="F153:I153"/>
    <mergeCell ref="A126:D126"/>
    <mergeCell ref="F126:I126"/>
    <mergeCell ref="A139:D139"/>
    <mergeCell ref="F139:I139"/>
    <mergeCell ref="A145:D145"/>
    <mergeCell ref="F145:I14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63"/>
  <sheetViews>
    <sheetView showGridLines="0" zoomScale="90" zoomScaleNormal="90" workbookViewId="0"/>
  </sheetViews>
  <sheetFormatPr baseColWidth="10" defaultRowHeight="15" x14ac:dyDescent="0.25"/>
  <cols>
    <col min="1" max="1" width="40.7109375" style="3" customWidth="1"/>
    <col min="2" max="2" width="15.7109375" style="3" customWidth="1"/>
    <col min="3" max="4" width="15.7109375" style="6" customWidth="1"/>
    <col min="5" max="5" width="7" customWidth="1"/>
    <col min="6" max="6" width="40.7109375" customWidth="1"/>
    <col min="7" max="9" width="15.7109375" customWidth="1"/>
  </cols>
  <sheetData>
    <row r="1" spans="1:10" ht="18.75" x14ac:dyDescent="0.3">
      <c r="A1" s="1" t="s">
        <v>356</v>
      </c>
      <c r="B1" s="1"/>
    </row>
    <row r="2" spans="1:10" x14ac:dyDescent="0.25">
      <c r="A2" s="7"/>
      <c r="B2" s="7"/>
    </row>
    <row r="3" spans="1:10" x14ac:dyDescent="0.25">
      <c r="A3" s="7" t="s">
        <v>357</v>
      </c>
      <c r="B3" s="7"/>
      <c r="F3" s="7" t="s">
        <v>358</v>
      </c>
      <c r="G3" s="7"/>
      <c r="H3" s="6"/>
      <c r="I3" s="6"/>
    </row>
    <row r="4" spans="1:10" x14ac:dyDescent="0.25">
      <c r="A4" s="148" t="s">
        <v>1072</v>
      </c>
      <c r="B4" s="148"/>
      <c r="C4" s="148"/>
      <c r="D4" s="148"/>
      <c r="F4" s="148" t="s">
        <v>1073</v>
      </c>
      <c r="G4" s="148"/>
      <c r="H4" s="148"/>
      <c r="I4" s="148"/>
    </row>
    <row r="5" spans="1:10" x14ac:dyDescent="0.25">
      <c r="A5" s="8" t="s">
        <v>345</v>
      </c>
      <c r="B5" s="8" t="s">
        <v>0</v>
      </c>
      <c r="C5" s="8" t="s">
        <v>1</v>
      </c>
      <c r="D5" s="8" t="s">
        <v>59</v>
      </c>
      <c r="F5" s="8" t="s">
        <v>345</v>
      </c>
      <c r="G5" s="8" t="s">
        <v>0</v>
      </c>
      <c r="H5" s="8" t="s">
        <v>1</v>
      </c>
      <c r="I5" s="8" t="s">
        <v>59</v>
      </c>
    </row>
    <row r="6" spans="1:10" x14ac:dyDescent="0.25">
      <c r="A6" s="89" t="s">
        <v>346</v>
      </c>
      <c r="B6" s="85">
        <v>4965</v>
      </c>
      <c r="C6" s="85">
        <v>1134.0591528566611</v>
      </c>
      <c r="D6" s="85">
        <v>6099.0591528566611</v>
      </c>
      <c r="E6" s="69"/>
      <c r="F6" s="87" t="s">
        <v>346</v>
      </c>
      <c r="G6" s="85">
        <v>77905</v>
      </c>
      <c r="H6" s="85">
        <v>13377.048192475244</v>
      </c>
      <c r="I6" s="85">
        <v>91282.048192475238</v>
      </c>
      <c r="J6" s="69"/>
    </row>
    <row r="7" spans="1:10" ht="29.25" customHeight="1" x14ac:dyDescent="0.25">
      <c r="A7" s="149" t="s">
        <v>1109</v>
      </c>
      <c r="B7" s="149"/>
      <c r="C7" s="149"/>
      <c r="D7" s="149"/>
      <c r="E7" s="69"/>
      <c r="F7" s="149" t="s">
        <v>1109</v>
      </c>
      <c r="G7" s="149"/>
      <c r="H7" s="149"/>
      <c r="I7" s="149"/>
      <c r="J7" s="69"/>
    </row>
    <row r="8" spans="1:10" x14ac:dyDescent="0.25">
      <c r="E8" s="69"/>
      <c r="F8" s="3"/>
      <c r="G8" s="3"/>
      <c r="H8" s="6"/>
      <c r="I8" s="6"/>
      <c r="J8" s="69"/>
    </row>
    <row r="9" spans="1:10" x14ac:dyDescent="0.25">
      <c r="A9" s="7" t="s">
        <v>359</v>
      </c>
      <c r="B9" s="7"/>
      <c r="E9" s="69"/>
      <c r="F9" s="7" t="s">
        <v>360</v>
      </c>
      <c r="G9" s="7"/>
      <c r="H9" s="6"/>
      <c r="I9" s="6"/>
      <c r="J9" s="69"/>
    </row>
    <row r="10" spans="1:10" x14ac:dyDescent="0.25">
      <c r="A10" s="148" t="s">
        <v>1074</v>
      </c>
      <c r="B10" s="148"/>
      <c r="C10" s="148"/>
      <c r="D10" s="148"/>
      <c r="F10" s="148" t="s">
        <v>1075</v>
      </c>
      <c r="G10" s="148"/>
      <c r="H10" s="148"/>
      <c r="I10" s="148"/>
    </row>
    <row r="11" spans="1:10" x14ac:dyDescent="0.25">
      <c r="A11" s="44" t="s">
        <v>66</v>
      </c>
      <c r="B11" s="44" t="s">
        <v>0</v>
      </c>
      <c r="C11" s="44" t="s">
        <v>1</v>
      </c>
      <c r="D11" s="44" t="s">
        <v>59</v>
      </c>
      <c r="E11" s="69"/>
      <c r="F11" s="44" t="s">
        <v>66</v>
      </c>
      <c r="G11" s="91" t="s">
        <v>0</v>
      </c>
      <c r="H11" s="44" t="s">
        <v>1</v>
      </c>
      <c r="I11" s="44" t="s">
        <v>59</v>
      </c>
      <c r="J11" s="69"/>
    </row>
    <row r="12" spans="1:10" x14ac:dyDescent="0.25">
      <c r="A12" s="22" t="s">
        <v>5</v>
      </c>
      <c r="B12" s="73">
        <v>3556</v>
      </c>
      <c r="C12" s="73">
        <v>888.11861368292739</v>
      </c>
      <c r="D12" s="73">
        <v>4444.1186136829274</v>
      </c>
      <c r="E12" s="69"/>
      <c r="F12" s="30" t="s">
        <v>5</v>
      </c>
      <c r="G12" s="73">
        <v>60043</v>
      </c>
      <c r="H12" s="72">
        <v>11192.84791201705</v>
      </c>
      <c r="I12" s="73">
        <v>71235.847912017052</v>
      </c>
      <c r="J12" s="69"/>
    </row>
    <row r="13" spans="1:10" x14ac:dyDescent="0.25">
      <c r="A13" s="25" t="s">
        <v>6</v>
      </c>
      <c r="B13" s="75">
        <v>1409</v>
      </c>
      <c r="C13" s="75">
        <v>245.94053917373375</v>
      </c>
      <c r="D13" s="75">
        <v>1654.9405391737337</v>
      </c>
      <c r="E13" s="69"/>
      <c r="F13" s="31" t="s">
        <v>6</v>
      </c>
      <c r="G13" s="75">
        <v>17862</v>
      </c>
      <c r="H13" s="74">
        <v>2184.2002804581921</v>
      </c>
      <c r="I13" s="75">
        <v>20046.200280458193</v>
      </c>
      <c r="J13" s="69"/>
    </row>
    <row r="14" spans="1:10" x14ac:dyDescent="0.25">
      <c r="A14" s="29" t="s">
        <v>60</v>
      </c>
      <c r="B14" s="58">
        <v>4965</v>
      </c>
      <c r="C14" s="58">
        <v>1134.0591528566611</v>
      </c>
      <c r="D14" s="58">
        <v>6099.0591528566611</v>
      </c>
      <c r="E14" s="69"/>
      <c r="F14" s="94" t="s">
        <v>60</v>
      </c>
      <c r="G14" s="58">
        <v>77905</v>
      </c>
      <c r="H14" s="95">
        <v>13377.048192475242</v>
      </c>
      <c r="I14" s="58">
        <v>91282.048192475253</v>
      </c>
      <c r="J14" s="69"/>
    </row>
    <row r="15" spans="1:10" ht="24.75" customHeight="1" x14ac:dyDescent="0.25">
      <c r="A15" s="149" t="s">
        <v>1109</v>
      </c>
      <c r="B15" s="149"/>
      <c r="C15" s="149"/>
      <c r="D15" s="149"/>
      <c r="E15" s="69"/>
      <c r="F15" s="149" t="s">
        <v>1109</v>
      </c>
      <c r="G15" s="149"/>
      <c r="H15" s="149"/>
      <c r="I15" s="149"/>
      <c r="J15" s="69"/>
    </row>
    <row r="16" spans="1:10" x14ac:dyDescent="0.25">
      <c r="E16" s="69"/>
      <c r="F16" s="3"/>
      <c r="G16" s="3"/>
      <c r="H16" s="6"/>
      <c r="I16" s="6"/>
      <c r="J16" s="69"/>
    </row>
    <row r="17" spans="1:10" x14ac:dyDescent="0.25">
      <c r="A17" s="7" t="s">
        <v>361</v>
      </c>
      <c r="B17" s="7"/>
      <c r="E17" s="69"/>
      <c r="F17" s="7" t="s">
        <v>362</v>
      </c>
      <c r="G17" s="7"/>
      <c r="H17" s="6"/>
      <c r="I17" s="6"/>
      <c r="J17" s="69"/>
    </row>
    <row r="18" spans="1:10" ht="27" customHeight="1" x14ac:dyDescent="0.25">
      <c r="A18" s="148" t="s">
        <v>1077</v>
      </c>
      <c r="B18" s="148"/>
      <c r="C18" s="148"/>
      <c r="D18" s="148"/>
      <c r="F18" s="148" t="s">
        <v>1076</v>
      </c>
      <c r="G18" s="148"/>
      <c r="H18" s="148"/>
      <c r="I18" s="148"/>
    </row>
    <row r="19" spans="1:10" x14ac:dyDescent="0.25">
      <c r="A19" s="24" t="s">
        <v>67</v>
      </c>
      <c r="B19" s="44" t="s">
        <v>0</v>
      </c>
      <c r="C19" s="44" t="s">
        <v>1</v>
      </c>
      <c r="D19" s="44" t="s">
        <v>59</v>
      </c>
      <c r="E19" s="69"/>
      <c r="F19" s="24" t="s">
        <v>67</v>
      </c>
      <c r="G19" s="44" t="s">
        <v>0</v>
      </c>
      <c r="H19" s="44" t="s">
        <v>1</v>
      </c>
      <c r="I19" s="44" t="s">
        <v>59</v>
      </c>
      <c r="J19" s="69"/>
    </row>
    <row r="20" spans="1:10" x14ac:dyDescent="0.25">
      <c r="A20" s="22" t="s">
        <v>53</v>
      </c>
      <c r="B20" s="73">
        <v>5</v>
      </c>
      <c r="C20" s="112">
        <v>0</v>
      </c>
      <c r="D20" s="73">
        <v>5</v>
      </c>
      <c r="E20" s="69"/>
      <c r="F20" s="22" t="s">
        <v>53</v>
      </c>
      <c r="G20" s="73">
        <v>51</v>
      </c>
      <c r="H20" s="112">
        <v>0</v>
      </c>
      <c r="I20" s="73">
        <v>51</v>
      </c>
      <c r="J20" s="69"/>
    </row>
    <row r="21" spans="1:10" x14ac:dyDescent="0.25">
      <c r="A21" s="25" t="s">
        <v>2</v>
      </c>
      <c r="B21" s="75">
        <v>73</v>
      </c>
      <c r="C21" s="75">
        <v>9.5643543012007566</v>
      </c>
      <c r="D21" s="75">
        <v>82.564354301200751</v>
      </c>
      <c r="E21" s="69"/>
      <c r="F21" s="25" t="s">
        <v>2</v>
      </c>
      <c r="G21" s="75">
        <v>876</v>
      </c>
      <c r="H21" s="75">
        <v>73.854254087435251</v>
      </c>
      <c r="I21" s="75">
        <v>949.85425408743527</v>
      </c>
      <c r="J21" s="69"/>
    </row>
    <row r="22" spans="1:10" x14ac:dyDescent="0.25">
      <c r="A22" s="25" t="s">
        <v>54</v>
      </c>
      <c r="B22" s="75">
        <v>326</v>
      </c>
      <c r="C22" s="75">
        <v>107.94056997069426</v>
      </c>
      <c r="D22" s="75">
        <v>433.94056997069424</v>
      </c>
      <c r="E22" s="69"/>
      <c r="F22" s="25" t="s">
        <v>54</v>
      </c>
      <c r="G22" s="75">
        <v>3432</v>
      </c>
      <c r="H22" s="75">
        <v>912.96428988935929</v>
      </c>
      <c r="I22" s="75">
        <v>4344.964289889359</v>
      </c>
      <c r="J22" s="69"/>
    </row>
    <row r="23" spans="1:10" x14ac:dyDescent="0.25">
      <c r="A23" s="25" t="s">
        <v>55</v>
      </c>
      <c r="B23" s="75">
        <v>752</v>
      </c>
      <c r="C23" s="75">
        <v>170.79204109287065</v>
      </c>
      <c r="D23" s="75">
        <v>922.7920410928707</v>
      </c>
      <c r="E23" s="69"/>
      <c r="F23" s="25" t="s">
        <v>55</v>
      </c>
      <c r="G23" s="75">
        <v>10934</v>
      </c>
      <c r="H23" s="75">
        <v>1832.2140482116918</v>
      </c>
      <c r="I23" s="75">
        <v>12766.214048211692</v>
      </c>
      <c r="J23" s="69"/>
    </row>
    <row r="24" spans="1:10" x14ac:dyDescent="0.25">
      <c r="A24" s="25" t="s">
        <v>56</v>
      </c>
      <c r="B24" s="75">
        <v>1549</v>
      </c>
      <c r="C24" s="75">
        <v>359.34645445939987</v>
      </c>
      <c r="D24" s="75">
        <v>1908.3464544593999</v>
      </c>
      <c r="E24" s="69"/>
      <c r="F24" s="25" t="s">
        <v>56</v>
      </c>
      <c r="G24" s="75">
        <v>23595</v>
      </c>
      <c r="H24" s="75">
        <v>4281.9753699630019</v>
      </c>
      <c r="I24" s="75">
        <v>27876.975369963002</v>
      </c>
      <c r="J24" s="69"/>
    </row>
    <row r="25" spans="1:10" x14ac:dyDescent="0.25">
      <c r="A25" s="25" t="s">
        <v>57</v>
      </c>
      <c r="B25" s="75">
        <v>1659</v>
      </c>
      <c r="C25" s="75">
        <v>397.60387166420287</v>
      </c>
      <c r="D25" s="75">
        <v>2056.6038716642029</v>
      </c>
      <c r="E25" s="69"/>
      <c r="F25" s="25" t="s">
        <v>57</v>
      </c>
      <c r="G25" s="75">
        <v>28156</v>
      </c>
      <c r="H25" s="75">
        <v>5231.0811033419577</v>
      </c>
      <c r="I25" s="75">
        <v>33387.08110334196</v>
      </c>
      <c r="J25" s="69"/>
    </row>
    <row r="26" spans="1:10" x14ac:dyDescent="0.25">
      <c r="A26" s="25" t="s">
        <v>3</v>
      </c>
      <c r="B26" s="75">
        <v>601</v>
      </c>
      <c r="C26" s="75">
        <v>88.811861368292739</v>
      </c>
      <c r="D26" s="75">
        <v>689.81186136829274</v>
      </c>
      <c r="E26" s="69"/>
      <c r="F26" s="25" t="s">
        <v>3</v>
      </c>
      <c r="G26" s="75">
        <v>10861</v>
      </c>
      <c r="H26" s="75">
        <v>1044.9591269817968</v>
      </c>
      <c r="I26" s="75">
        <v>11905.959126981797</v>
      </c>
      <c r="J26" s="69"/>
    </row>
    <row r="27" spans="1:10" x14ac:dyDescent="0.25">
      <c r="A27" s="29" t="s">
        <v>60</v>
      </c>
      <c r="B27" s="58">
        <v>4965</v>
      </c>
      <c r="C27" s="58">
        <v>1134.0591528566611</v>
      </c>
      <c r="D27" s="58">
        <v>6099.0591528566611</v>
      </c>
      <c r="E27" s="69"/>
      <c r="F27" s="29" t="s">
        <v>60</v>
      </c>
      <c r="G27" s="58">
        <v>77905</v>
      </c>
      <c r="H27" s="58">
        <v>13377.048192475244</v>
      </c>
      <c r="I27" s="58">
        <v>91282.048192475253</v>
      </c>
      <c r="J27" s="69"/>
    </row>
    <row r="28" spans="1:10" ht="27" customHeight="1" x14ac:dyDescent="0.25">
      <c r="A28" s="149" t="s">
        <v>1109</v>
      </c>
      <c r="B28" s="149"/>
      <c r="C28" s="149"/>
      <c r="D28" s="149"/>
      <c r="E28" s="69"/>
      <c r="F28" s="149" t="s">
        <v>1109</v>
      </c>
      <c r="G28" s="149"/>
      <c r="H28" s="149"/>
      <c r="I28" s="149"/>
      <c r="J28" s="69"/>
    </row>
    <row r="29" spans="1:10" x14ac:dyDescent="0.25">
      <c r="E29" s="69"/>
      <c r="J29" s="69"/>
    </row>
    <row r="30" spans="1:10" x14ac:dyDescent="0.25">
      <c r="A30" s="7" t="s">
        <v>363</v>
      </c>
      <c r="B30" s="7"/>
      <c r="E30" s="69"/>
      <c r="F30" s="7" t="s">
        <v>364</v>
      </c>
      <c r="G30" s="7"/>
      <c r="H30" s="6"/>
      <c r="I30" s="6"/>
      <c r="J30" s="69"/>
    </row>
    <row r="31" spans="1:10" ht="28.5" customHeight="1" x14ac:dyDescent="0.25">
      <c r="A31" s="148" t="s">
        <v>1078</v>
      </c>
      <c r="B31" s="148"/>
      <c r="C31" s="148"/>
      <c r="D31" s="148"/>
      <c r="E31" s="69"/>
      <c r="F31" s="148" t="s">
        <v>1079</v>
      </c>
      <c r="G31" s="148"/>
      <c r="H31" s="148"/>
      <c r="I31" s="148"/>
      <c r="J31" s="69"/>
    </row>
    <row r="32" spans="1:10" x14ac:dyDescent="0.25">
      <c r="A32" s="24" t="s">
        <v>347</v>
      </c>
      <c r="B32" s="24" t="s">
        <v>0</v>
      </c>
      <c r="C32" s="24" t="s">
        <v>1</v>
      </c>
      <c r="D32" s="24" t="s">
        <v>59</v>
      </c>
      <c r="E32" s="69"/>
      <c r="F32" s="24" t="s">
        <v>347</v>
      </c>
      <c r="G32" s="24" t="s">
        <v>0</v>
      </c>
      <c r="H32" s="24" t="s">
        <v>1</v>
      </c>
      <c r="I32" s="24" t="s">
        <v>59</v>
      </c>
      <c r="J32" s="69"/>
    </row>
    <row r="33" spans="1:10" x14ac:dyDescent="0.25">
      <c r="A33" s="87" t="s">
        <v>348</v>
      </c>
      <c r="B33" s="85">
        <v>10956</v>
      </c>
      <c r="C33" s="85">
        <v>1349.9402927980498</v>
      </c>
      <c r="D33" s="85">
        <v>12305.94029279805</v>
      </c>
      <c r="E33" s="69"/>
      <c r="F33" s="87" t="s">
        <v>348</v>
      </c>
      <c r="G33" s="85">
        <v>253347</v>
      </c>
      <c r="H33" s="85">
        <v>23856.495437349833</v>
      </c>
      <c r="I33" s="85">
        <v>277203.49543734983</v>
      </c>
      <c r="J33" s="69"/>
    </row>
    <row r="34" spans="1:10" ht="24.75" customHeight="1" x14ac:dyDescent="0.25">
      <c r="A34" s="149" t="s">
        <v>1109</v>
      </c>
      <c r="B34" s="149"/>
      <c r="C34" s="149"/>
      <c r="D34" s="149"/>
      <c r="E34" s="69"/>
      <c r="F34" s="149" t="s">
        <v>1109</v>
      </c>
      <c r="G34" s="149"/>
      <c r="H34" s="149"/>
      <c r="I34" s="149"/>
      <c r="J34" s="69"/>
    </row>
    <row r="35" spans="1:10" x14ac:dyDescent="0.25">
      <c r="E35" s="69"/>
      <c r="F35" s="3"/>
      <c r="G35" s="3"/>
      <c r="H35" s="6"/>
      <c r="I35" s="6"/>
      <c r="J35" s="69"/>
    </row>
    <row r="36" spans="1:10" x14ac:dyDescent="0.25">
      <c r="A36" s="7" t="s">
        <v>365</v>
      </c>
      <c r="B36" s="7"/>
      <c r="E36" s="69"/>
      <c r="F36" s="7" t="s">
        <v>366</v>
      </c>
      <c r="G36" s="7"/>
      <c r="H36" s="6"/>
      <c r="I36" s="6"/>
      <c r="J36" s="69"/>
    </row>
    <row r="37" spans="1:10" ht="28.5" customHeight="1" x14ac:dyDescent="0.25">
      <c r="A37" s="148" t="s">
        <v>1081</v>
      </c>
      <c r="B37" s="148"/>
      <c r="C37" s="148"/>
      <c r="D37" s="148"/>
      <c r="E37" s="69"/>
      <c r="F37" s="148" t="s">
        <v>1080</v>
      </c>
      <c r="G37" s="148"/>
      <c r="H37" s="148"/>
      <c r="I37" s="148"/>
      <c r="J37" s="69"/>
    </row>
    <row r="38" spans="1:10" x14ac:dyDescent="0.25">
      <c r="A38" s="44" t="s">
        <v>66</v>
      </c>
      <c r="B38" s="44" t="s">
        <v>0</v>
      </c>
      <c r="C38" s="44" t="s">
        <v>1</v>
      </c>
      <c r="D38" s="44" t="s">
        <v>59</v>
      </c>
      <c r="E38" s="69"/>
      <c r="F38" s="44" t="s">
        <v>66</v>
      </c>
      <c r="G38" s="44" t="s">
        <v>0</v>
      </c>
      <c r="H38" s="44" t="s">
        <v>1</v>
      </c>
      <c r="I38" s="44" t="s">
        <v>59</v>
      </c>
      <c r="J38" s="69"/>
    </row>
    <row r="39" spans="1:10" x14ac:dyDescent="0.25">
      <c r="A39" s="22" t="s">
        <v>5</v>
      </c>
      <c r="B39" s="73">
        <v>9322</v>
      </c>
      <c r="C39" s="73">
        <v>1157.2868704452917</v>
      </c>
      <c r="D39" s="73">
        <v>10479.286870445292</v>
      </c>
      <c r="E39" s="69"/>
      <c r="F39" s="22" t="s">
        <v>5</v>
      </c>
      <c r="G39" s="75">
        <v>221508</v>
      </c>
      <c r="H39" s="73">
        <v>21226.026898150543</v>
      </c>
      <c r="I39" s="73">
        <v>242734.02689815054</v>
      </c>
      <c r="J39" s="69"/>
    </row>
    <row r="40" spans="1:10" x14ac:dyDescent="0.25">
      <c r="A40" s="25" t="s">
        <v>6</v>
      </c>
      <c r="B40" s="75">
        <v>1634</v>
      </c>
      <c r="C40" s="75">
        <v>192.6534223527581</v>
      </c>
      <c r="D40" s="75">
        <v>1826.6534223527581</v>
      </c>
      <c r="E40" s="69"/>
      <c r="F40" s="25" t="s">
        <v>6</v>
      </c>
      <c r="G40" s="75">
        <v>31839</v>
      </c>
      <c r="H40" s="75">
        <v>2630.4685391992898</v>
      </c>
      <c r="I40" s="75">
        <v>34469.46853919929</v>
      </c>
      <c r="J40" s="69"/>
    </row>
    <row r="41" spans="1:10" x14ac:dyDescent="0.25">
      <c r="A41" s="29" t="s">
        <v>60</v>
      </c>
      <c r="B41" s="58">
        <v>10956</v>
      </c>
      <c r="C41" s="58">
        <v>1349.9402927980498</v>
      </c>
      <c r="D41" s="58">
        <v>12305.94029279805</v>
      </c>
      <c r="E41" s="69"/>
      <c r="F41" s="29" t="s">
        <v>60</v>
      </c>
      <c r="G41" s="58">
        <v>253347</v>
      </c>
      <c r="H41" s="58">
        <v>23856.495437349833</v>
      </c>
      <c r="I41" s="58">
        <v>277203.49543734983</v>
      </c>
      <c r="J41" s="69"/>
    </row>
    <row r="42" spans="1:10" ht="23.25" customHeight="1" x14ac:dyDescent="0.25">
      <c r="A42" s="149" t="s">
        <v>1109</v>
      </c>
      <c r="B42" s="149"/>
      <c r="C42" s="149"/>
      <c r="D42" s="149"/>
      <c r="E42" s="69"/>
      <c r="F42" s="149" t="s">
        <v>1109</v>
      </c>
      <c r="G42" s="149"/>
      <c r="H42" s="149"/>
      <c r="I42" s="149"/>
      <c r="J42" s="69"/>
    </row>
    <row r="43" spans="1:10" x14ac:dyDescent="0.25">
      <c r="E43" s="69"/>
      <c r="F43" s="3"/>
      <c r="G43" s="3"/>
      <c r="H43" s="6"/>
      <c r="I43" s="6"/>
      <c r="J43" s="69"/>
    </row>
    <row r="44" spans="1:10" x14ac:dyDescent="0.25">
      <c r="A44" s="7" t="s">
        <v>367</v>
      </c>
      <c r="B44" s="7"/>
      <c r="E44" s="69"/>
      <c r="F44" s="7" t="s">
        <v>368</v>
      </c>
      <c r="G44" s="7"/>
      <c r="H44" s="6"/>
      <c r="I44" s="6"/>
      <c r="J44" s="69"/>
    </row>
    <row r="45" spans="1:10" ht="28.5" customHeight="1" x14ac:dyDescent="0.25">
      <c r="A45" s="148" t="s">
        <v>1082</v>
      </c>
      <c r="B45" s="148"/>
      <c r="C45" s="148"/>
      <c r="D45" s="148"/>
      <c r="E45" s="69"/>
      <c r="F45" s="148" t="s">
        <v>1083</v>
      </c>
      <c r="G45" s="148"/>
      <c r="H45" s="148"/>
      <c r="I45" s="148"/>
      <c r="J45" s="69"/>
    </row>
    <row r="46" spans="1:10" x14ac:dyDescent="0.25">
      <c r="A46" s="24" t="s">
        <v>67</v>
      </c>
      <c r="B46" s="44" t="s">
        <v>0</v>
      </c>
      <c r="C46" s="44" t="s">
        <v>1</v>
      </c>
      <c r="D46" s="44" t="s">
        <v>59</v>
      </c>
      <c r="E46" s="69"/>
      <c r="F46" s="24" t="s">
        <v>309</v>
      </c>
      <c r="G46" s="90" t="s">
        <v>0</v>
      </c>
      <c r="H46" s="91" t="s">
        <v>1</v>
      </c>
      <c r="I46" s="91" t="s">
        <v>59</v>
      </c>
      <c r="J46" s="69"/>
    </row>
    <row r="47" spans="1:10" x14ac:dyDescent="0.25">
      <c r="A47" s="22" t="s">
        <v>53</v>
      </c>
      <c r="B47" s="73">
        <v>7</v>
      </c>
      <c r="C47" s="111">
        <v>0</v>
      </c>
      <c r="D47" s="73">
        <v>7</v>
      </c>
      <c r="E47" s="69"/>
      <c r="F47" s="22" t="s">
        <v>53</v>
      </c>
      <c r="G47" s="75">
        <v>41</v>
      </c>
      <c r="H47" s="111">
        <v>0</v>
      </c>
      <c r="I47" s="75">
        <v>41</v>
      </c>
      <c r="J47" s="69"/>
    </row>
    <row r="48" spans="1:10" x14ac:dyDescent="0.25">
      <c r="A48" s="25" t="s">
        <v>2</v>
      </c>
      <c r="B48" s="75">
        <v>98</v>
      </c>
      <c r="C48" s="75">
        <v>17.762372273658549</v>
      </c>
      <c r="D48" s="75">
        <v>115.76237227365854</v>
      </c>
      <c r="E48" s="69"/>
      <c r="F48" s="25" t="s">
        <v>2</v>
      </c>
      <c r="G48" s="75">
        <v>1474</v>
      </c>
      <c r="H48" s="75">
        <v>227.84823069527903</v>
      </c>
      <c r="I48" s="75">
        <v>1701.848230695279</v>
      </c>
      <c r="J48" s="69"/>
    </row>
    <row r="49" spans="1:10" x14ac:dyDescent="0.25">
      <c r="A49" s="25" t="s">
        <v>54</v>
      </c>
      <c r="B49" s="75">
        <v>385</v>
      </c>
      <c r="C49" s="75">
        <v>65.584143779662327</v>
      </c>
      <c r="D49" s="75">
        <v>450.58414377966233</v>
      </c>
      <c r="E49" s="69"/>
      <c r="F49" s="25" t="s">
        <v>54</v>
      </c>
      <c r="G49" s="75">
        <v>7074</v>
      </c>
      <c r="H49" s="75">
        <v>575.12036161704907</v>
      </c>
      <c r="I49" s="75">
        <v>7649.1203616170487</v>
      </c>
      <c r="J49" s="69"/>
    </row>
    <row r="50" spans="1:10" x14ac:dyDescent="0.25">
      <c r="A50" s="25" t="s">
        <v>55</v>
      </c>
      <c r="B50" s="75">
        <v>1018</v>
      </c>
      <c r="C50" s="75">
        <v>200.85144032521589</v>
      </c>
      <c r="D50" s="75">
        <v>1218.8514403252159</v>
      </c>
      <c r="E50" s="69"/>
      <c r="F50" s="25" t="s">
        <v>55</v>
      </c>
      <c r="G50" s="75">
        <v>22230</v>
      </c>
      <c r="H50" s="75">
        <v>3320.2986997181001</v>
      </c>
      <c r="I50" s="75">
        <v>25550.2986997181</v>
      </c>
      <c r="J50" s="69"/>
    </row>
    <row r="51" spans="1:10" x14ac:dyDescent="0.25">
      <c r="A51" s="25" t="s">
        <v>56</v>
      </c>
      <c r="B51" s="75">
        <v>3091</v>
      </c>
      <c r="C51" s="75">
        <v>408.53456229414661</v>
      </c>
      <c r="D51" s="75">
        <v>3499.5345622941468</v>
      </c>
      <c r="E51" s="69"/>
      <c r="F51" s="25" t="s">
        <v>56</v>
      </c>
      <c r="G51" s="75">
        <v>71362</v>
      </c>
      <c r="H51" s="75">
        <v>7533.1339169183966</v>
      </c>
      <c r="I51" s="75">
        <v>78895.133916918392</v>
      </c>
      <c r="J51" s="69"/>
    </row>
    <row r="52" spans="1:10" x14ac:dyDescent="0.25">
      <c r="A52" s="25" t="s">
        <v>57</v>
      </c>
      <c r="B52" s="75">
        <v>4502</v>
      </c>
      <c r="C52" s="75">
        <v>542.43552251095718</v>
      </c>
      <c r="D52" s="75">
        <v>5044.4355225109575</v>
      </c>
      <c r="E52" s="69"/>
      <c r="F52" s="25" t="s">
        <v>57</v>
      </c>
      <c r="G52" s="75">
        <v>106406</v>
      </c>
      <c r="H52" s="75">
        <v>9986.0379728861935</v>
      </c>
      <c r="I52" s="75">
        <v>116392.03797288619</v>
      </c>
      <c r="J52" s="69"/>
    </row>
    <row r="53" spans="1:10" x14ac:dyDescent="0.25">
      <c r="A53" s="25" t="s">
        <v>3</v>
      </c>
      <c r="B53" s="75">
        <v>1855</v>
      </c>
      <c r="C53" s="75">
        <v>114.77225161440909</v>
      </c>
      <c r="D53" s="75">
        <v>1969.772251614409</v>
      </c>
      <c r="E53" s="69"/>
      <c r="F53" s="25" t="s">
        <v>3</v>
      </c>
      <c r="G53" s="75">
        <v>44760</v>
      </c>
      <c r="H53" s="75">
        <v>2214.0562555148144</v>
      </c>
      <c r="I53" s="75">
        <v>46974.056255514814</v>
      </c>
      <c r="J53" s="69"/>
    </row>
    <row r="54" spans="1:10" x14ac:dyDescent="0.25">
      <c r="A54" s="29" t="s">
        <v>60</v>
      </c>
      <c r="B54" s="58">
        <v>10956</v>
      </c>
      <c r="C54" s="58">
        <v>1349.9402927980495</v>
      </c>
      <c r="D54" s="58">
        <v>12305.94029279805</v>
      </c>
      <c r="E54" s="69"/>
      <c r="F54" s="29" t="s">
        <v>60</v>
      </c>
      <c r="G54" s="59">
        <v>253347</v>
      </c>
      <c r="H54" s="58">
        <v>23856.495437349833</v>
      </c>
      <c r="I54" s="58">
        <v>277203.49543734977</v>
      </c>
      <c r="J54" s="69"/>
    </row>
    <row r="55" spans="1:10" ht="24" customHeight="1" x14ac:dyDescent="0.25">
      <c r="A55" s="149" t="s">
        <v>1109</v>
      </c>
      <c r="B55" s="149"/>
      <c r="C55" s="149"/>
      <c r="D55" s="149"/>
      <c r="E55" s="69"/>
      <c r="F55" s="149" t="s">
        <v>1109</v>
      </c>
      <c r="G55" s="149"/>
      <c r="H55" s="149"/>
      <c r="I55" s="149"/>
      <c r="J55" s="69"/>
    </row>
    <row r="56" spans="1:10" x14ac:dyDescent="0.25">
      <c r="E56" s="69"/>
      <c r="J56" s="69"/>
    </row>
    <row r="57" spans="1:10" x14ac:dyDescent="0.25">
      <c r="A57" s="7" t="s">
        <v>884</v>
      </c>
      <c r="B57" s="7"/>
      <c r="E57" s="69"/>
      <c r="F57" s="7" t="s">
        <v>885</v>
      </c>
      <c r="G57" s="7"/>
      <c r="H57" s="6"/>
      <c r="I57" s="6"/>
      <c r="J57" s="69"/>
    </row>
    <row r="58" spans="1:10" ht="28.5" customHeight="1" x14ac:dyDescent="0.25">
      <c r="A58" s="148" t="s">
        <v>1085</v>
      </c>
      <c r="B58" s="148"/>
      <c r="C58" s="148"/>
      <c r="D58" s="148"/>
      <c r="E58" s="69"/>
      <c r="F58" s="148" t="s">
        <v>1084</v>
      </c>
      <c r="G58" s="148"/>
      <c r="H58" s="148"/>
      <c r="I58" s="148"/>
      <c r="J58" s="69"/>
    </row>
    <row r="59" spans="1:10" x14ac:dyDescent="0.25">
      <c r="A59" s="24" t="s">
        <v>349</v>
      </c>
      <c r="B59" s="24" t="s">
        <v>0</v>
      </c>
      <c r="C59" s="24" t="s">
        <v>1</v>
      </c>
      <c r="D59" s="24" t="s">
        <v>59</v>
      </c>
      <c r="E59" s="69"/>
      <c r="F59" s="24" t="s">
        <v>349</v>
      </c>
      <c r="G59" s="24" t="s">
        <v>0</v>
      </c>
      <c r="H59" s="24" t="s">
        <v>1</v>
      </c>
      <c r="I59" s="24" t="s">
        <v>59</v>
      </c>
      <c r="J59" s="69"/>
    </row>
    <row r="60" spans="1:10" x14ac:dyDescent="0.25">
      <c r="A60" s="87" t="s">
        <v>350</v>
      </c>
      <c r="B60" s="85">
        <v>17714</v>
      </c>
      <c r="C60" s="85">
        <v>2940.3557794548615</v>
      </c>
      <c r="D60" s="85">
        <v>20654.355779454861</v>
      </c>
      <c r="E60" s="69"/>
      <c r="F60" s="87" t="s">
        <v>350</v>
      </c>
      <c r="G60" s="85">
        <v>534643</v>
      </c>
      <c r="H60" s="85">
        <v>81915.36735272342</v>
      </c>
      <c r="I60" s="85">
        <v>616558.36735272338</v>
      </c>
      <c r="J60" s="69"/>
    </row>
    <row r="61" spans="1:10" ht="23.25" customHeight="1" x14ac:dyDescent="0.25">
      <c r="A61" s="149" t="s">
        <v>1109</v>
      </c>
      <c r="B61" s="149"/>
      <c r="C61" s="149"/>
      <c r="D61" s="149"/>
      <c r="E61" s="69"/>
      <c r="F61" s="149" t="s">
        <v>1109</v>
      </c>
      <c r="G61" s="149"/>
      <c r="H61" s="149"/>
      <c r="I61" s="149"/>
      <c r="J61" s="69"/>
    </row>
    <row r="62" spans="1:10" x14ac:dyDescent="0.25">
      <c r="E62" s="69"/>
      <c r="F62" s="3"/>
      <c r="G62" s="3"/>
      <c r="H62" s="6"/>
      <c r="I62" s="6"/>
      <c r="J62" s="69"/>
    </row>
    <row r="63" spans="1:10" x14ac:dyDescent="0.25">
      <c r="A63" s="7" t="s">
        <v>887</v>
      </c>
      <c r="B63" s="7"/>
      <c r="E63" s="69"/>
      <c r="F63" s="7" t="s">
        <v>886</v>
      </c>
      <c r="G63" s="7"/>
      <c r="H63" s="6"/>
      <c r="I63" s="6"/>
      <c r="J63" s="69"/>
    </row>
    <row r="64" spans="1:10" ht="28.5" customHeight="1" x14ac:dyDescent="0.25">
      <c r="A64" s="148" t="s">
        <v>1086</v>
      </c>
      <c r="B64" s="148"/>
      <c r="C64" s="148"/>
      <c r="D64" s="148"/>
      <c r="E64" s="69"/>
      <c r="F64" s="148" t="s">
        <v>1087</v>
      </c>
      <c r="G64" s="148"/>
      <c r="H64" s="148"/>
      <c r="I64" s="148"/>
      <c r="J64" s="69"/>
    </row>
    <row r="65" spans="1:10" x14ac:dyDescent="0.25">
      <c r="A65" s="44" t="s">
        <v>66</v>
      </c>
      <c r="B65" s="44" t="s">
        <v>0</v>
      </c>
      <c r="C65" s="44" t="s">
        <v>1</v>
      </c>
      <c r="D65" s="44" t="s">
        <v>59</v>
      </c>
      <c r="E65" s="69"/>
      <c r="F65" s="44" t="s">
        <v>66</v>
      </c>
      <c r="G65" s="44" t="s">
        <v>0</v>
      </c>
      <c r="H65" s="44" t="s">
        <v>1</v>
      </c>
      <c r="I65" s="44" t="s">
        <v>59</v>
      </c>
      <c r="J65" s="69"/>
    </row>
    <row r="66" spans="1:10" x14ac:dyDescent="0.25">
      <c r="A66" s="22" t="s">
        <v>5</v>
      </c>
      <c r="B66" s="73">
        <v>13540</v>
      </c>
      <c r="C66" s="73">
        <v>2121.9203185378251</v>
      </c>
      <c r="D66" s="73">
        <v>15661.920318537825</v>
      </c>
      <c r="E66" s="69"/>
      <c r="F66" s="22" t="s">
        <v>5</v>
      </c>
      <c r="G66" s="75">
        <v>415845</v>
      </c>
      <c r="H66" s="73">
        <v>60052.936775734328</v>
      </c>
      <c r="I66" s="73">
        <v>475897.9367757343</v>
      </c>
      <c r="J66" s="69"/>
    </row>
    <row r="67" spans="1:10" x14ac:dyDescent="0.25">
      <c r="A67" s="25" t="s">
        <v>6</v>
      </c>
      <c r="B67" s="75">
        <v>4174</v>
      </c>
      <c r="C67" s="75">
        <v>818.43546091703615</v>
      </c>
      <c r="D67" s="75">
        <v>4992.4354609170359</v>
      </c>
      <c r="E67" s="69"/>
      <c r="F67" s="25" t="s">
        <v>6</v>
      </c>
      <c r="G67" s="75">
        <v>118798</v>
      </c>
      <c r="H67" s="75">
        <v>21862.430576989078</v>
      </c>
      <c r="I67" s="75">
        <v>140660.43057698908</v>
      </c>
      <c r="J67" s="69"/>
    </row>
    <row r="68" spans="1:10" x14ac:dyDescent="0.25">
      <c r="A68" s="29" t="s">
        <v>60</v>
      </c>
      <c r="B68" s="58">
        <v>17714</v>
      </c>
      <c r="C68" s="58">
        <v>2940.3557794548615</v>
      </c>
      <c r="D68" s="58">
        <v>20654.355779454861</v>
      </c>
      <c r="E68" s="69"/>
      <c r="F68" s="29" t="s">
        <v>60</v>
      </c>
      <c r="G68" s="58">
        <v>534643</v>
      </c>
      <c r="H68" s="58">
        <v>81915.367352723406</v>
      </c>
      <c r="I68" s="58">
        <v>616558.36735272338</v>
      </c>
      <c r="J68" s="69"/>
    </row>
    <row r="69" spans="1:10" ht="24.75" customHeight="1" x14ac:dyDescent="0.25">
      <c r="A69" s="149" t="s">
        <v>1109</v>
      </c>
      <c r="B69" s="149"/>
      <c r="C69" s="149"/>
      <c r="D69" s="149"/>
      <c r="E69" s="69"/>
      <c r="F69" s="149" t="s">
        <v>1109</v>
      </c>
      <c r="G69" s="149"/>
      <c r="H69" s="149"/>
      <c r="I69" s="149"/>
      <c r="J69" s="69"/>
    </row>
    <row r="70" spans="1:10" x14ac:dyDescent="0.25">
      <c r="E70" s="69"/>
      <c r="F70" s="3"/>
      <c r="G70" s="3"/>
      <c r="H70" s="6"/>
      <c r="I70" s="6"/>
      <c r="J70" s="69"/>
    </row>
    <row r="71" spans="1:10" x14ac:dyDescent="0.25">
      <c r="A71" s="7" t="s">
        <v>888</v>
      </c>
      <c r="B71" s="7"/>
      <c r="E71" s="69"/>
      <c r="F71" s="7" t="s">
        <v>889</v>
      </c>
      <c r="G71" s="7"/>
      <c r="H71" s="6"/>
      <c r="I71" s="6"/>
      <c r="J71" s="69"/>
    </row>
    <row r="72" spans="1:10" ht="28.5" customHeight="1" x14ac:dyDescent="0.25">
      <c r="A72" s="148" t="s">
        <v>1089</v>
      </c>
      <c r="B72" s="148"/>
      <c r="C72" s="148"/>
      <c r="D72" s="148"/>
      <c r="E72" s="69"/>
      <c r="F72" s="148" t="s">
        <v>1088</v>
      </c>
      <c r="G72" s="148"/>
      <c r="H72" s="148"/>
      <c r="I72" s="148"/>
      <c r="J72" s="69"/>
    </row>
    <row r="73" spans="1:10" x14ac:dyDescent="0.25">
      <c r="A73" s="24" t="s">
        <v>67</v>
      </c>
      <c r="B73" s="44" t="s">
        <v>0</v>
      </c>
      <c r="C73" s="44" t="s">
        <v>1</v>
      </c>
      <c r="D73" s="44" t="s">
        <v>59</v>
      </c>
      <c r="E73" s="69"/>
      <c r="F73" s="24" t="s">
        <v>67</v>
      </c>
      <c r="G73" s="44" t="s">
        <v>0</v>
      </c>
      <c r="H73" s="44" t="s">
        <v>1</v>
      </c>
      <c r="I73" s="44" t="s">
        <v>59</v>
      </c>
      <c r="J73" s="69"/>
    </row>
    <row r="74" spans="1:10" x14ac:dyDescent="0.25">
      <c r="A74" s="22" t="s">
        <v>53</v>
      </c>
      <c r="B74" s="73">
        <v>9</v>
      </c>
      <c r="C74" s="112">
        <v>0</v>
      </c>
      <c r="D74" s="73">
        <v>9</v>
      </c>
      <c r="E74" s="69"/>
      <c r="F74" s="22" t="s">
        <v>53</v>
      </c>
      <c r="G74" s="75">
        <v>173</v>
      </c>
      <c r="H74" s="112">
        <v>0</v>
      </c>
      <c r="I74" s="73">
        <v>173</v>
      </c>
      <c r="J74" s="69"/>
    </row>
    <row r="75" spans="1:10" x14ac:dyDescent="0.25">
      <c r="A75" s="25" t="s">
        <v>2</v>
      </c>
      <c r="B75" s="75">
        <v>109</v>
      </c>
      <c r="C75" s="75">
        <v>19.128708602401513</v>
      </c>
      <c r="D75" s="75">
        <v>128.1287086024015</v>
      </c>
      <c r="E75" s="69"/>
      <c r="F75" s="25" t="s">
        <v>2</v>
      </c>
      <c r="G75" s="75">
        <v>2763</v>
      </c>
      <c r="H75" s="75">
        <v>565.69215896758919</v>
      </c>
      <c r="I75" s="75">
        <v>3328.6921589675894</v>
      </c>
      <c r="J75" s="69"/>
    </row>
    <row r="76" spans="1:10" x14ac:dyDescent="0.25">
      <c r="A76" s="25" t="s">
        <v>54</v>
      </c>
      <c r="B76" s="75">
        <v>612</v>
      </c>
      <c r="C76" s="75">
        <v>217.24747627013147</v>
      </c>
      <c r="D76" s="75">
        <v>829.24747627013153</v>
      </c>
      <c r="E76" s="69"/>
      <c r="F76" s="25" t="s">
        <v>54</v>
      </c>
      <c r="G76" s="75">
        <v>16276</v>
      </c>
      <c r="H76" s="75">
        <v>5491.9280433103459</v>
      </c>
      <c r="I76" s="75">
        <v>21767.928043310345</v>
      </c>
      <c r="J76" s="69"/>
    </row>
    <row r="77" spans="1:10" x14ac:dyDescent="0.25">
      <c r="A77" s="25" t="s">
        <v>55</v>
      </c>
      <c r="B77" s="75">
        <v>1456</v>
      </c>
      <c r="C77" s="75">
        <v>475.48504240255193</v>
      </c>
      <c r="D77" s="75">
        <v>1931.4850424025519</v>
      </c>
      <c r="E77" s="69"/>
      <c r="F77" s="25" t="s">
        <v>55</v>
      </c>
      <c r="G77" s="75">
        <v>42871</v>
      </c>
      <c r="H77" s="75">
        <v>12902.495325785765</v>
      </c>
      <c r="I77" s="75">
        <v>55773.495325785763</v>
      </c>
      <c r="J77" s="69"/>
    </row>
    <row r="78" spans="1:10" x14ac:dyDescent="0.25">
      <c r="A78" s="25" t="s">
        <v>56</v>
      </c>
      <c r="B78" s="75">
        <v>4682</v>
      </c>
      <c r="C78" s="75">
        <v>696.83152765891225</v>
      </c>
      <c r="D78" s="75">
        <v>5378.8315276589119</v>
      </c>
      <c r="E78" s="69"/>
      <c r="F78" s="25" t="s">
        <v>56</v>
      </c>
      <c r="G78" s="75">
        <v>141237</v>
      </c>
      <c r="H78" s="75">
        <v>19671.944828097916</v>
      </c>
      <c r="I78" s="75">
        <v>160908.94482809791</v>
      </c>
      <c r="J78" s="69"/>
    </row>
    <row r="79" spans="1:10" x14ac:dyDescent="0.25">
      <c r="A79" s="25" t="s">
        <v>57</v>
      </c>
      <c r="B79" s="75">
        <v>6922</v>
      </c>
      <c r="C79" s="75">
        <v>1064.37600009077</v>
      </c>
      <c r="D79" s="75">
        <v>7986.3760000907696</v>
      </c>
      <c r="E79" s="69"/>
      <c r="F79" s="25" t="s">
        <v>57</v>
      </c>
      <c r="G79" s="75">
        <v>212123</v>
      </c>
      <c r="H79" s="75">
        <v>30363.526632585355</v>
      </c>
      <c r="I79" s="75">
        <v>242486.52663258536</v>
      </c>
      <c r="J79" s="69"/>
    </row>
    <row r="80" spans="1:10" x14ac:dyDescent="0.25">
      <c r="A80" s="25" t="s">
        <v>3</v>
      </c>
      <c r="B80" s="75">
        <v>3924</v>
      </c>
      <c r="C80" s="75">
        <v>467.28702443009411</v>
      </c>
      <c r="D80" s="75">
        <v>4391.2870244300939</v>
      </c>
      <c r="E80" s="69"/>
      <c r="F80" s="25" t="s">
        <v>3</v>
      </c>
      <c r="G80" s="75">
        <v>119200</v>
      </c>
      <c r="H80" s="75">
        <v>12919.780363976441</v>
      </c>
      <c r="I80" s="75">
        <v>132119.78036397643</v>
      </c>
      <c r="J80" s="69"/>
    </row>
    <row r="81" spans="1:10" x14ac:dyDescent="0.25">
      <c r="A81" s="29" t="s">
        <v>60</v>
      </c>
      <c r="B81" s="58">
        <v>17714</v>
      </c>
      <c r="C81" s="58">
        <v>2940.3557794548615</v>
      </c>
      <c r="D81" s="58">
        <v>20654.355779454861</v>
      </c>
      <c r="E81" s="69"/>
      <c r="F81" s="29" t="s">
        <v>60</v>
      </c>
      <c r="G81" s="58">
        <v>534643</v>
      </c>
      <c r="H81" s="58">
        <v>81915.36735272342</v>
      </c>
      <c r="I81" s="58">
        <v>616558.36735272338</v>
      </c>
      <c r="J81" s="69"/>
    </row>
    <row r="82" spans="1:10" ht="22.5" customHeight="1" x14ac:dyDescent="0.25">
      <c r="A82" s="149" t="s">
        <v>1109</v>
      </c>
      <c r="B82" s="149"/>
      <c r="C82" s="149"/>
      <c r="D82" s="149"/>
      <c r="E82" s="69"/>
      <c r="F82" s="149" t="s">
        <v>1109</v>
      </c>
      <c r="G82" s="149"/>
      <c r="H82" s="149"/>
      <c r="I82" s="149"/>
      <c r="J82" s="69"/>
    </row>
    <row r="83" spans="1:10" x14ac:dyDescent="0.25">
      <c r="E83" s="69"/>
      <c r="J83" s="69"/>
    </row>
    <row r="84" spans="1:10" x14ac:dyDescent="0.25">
      <c r="A84" s="7" t="s">
        <v>890</v>
      </c>
      <c r="B84" s="7"/>
      <c r="E84" s="69"/>
      <c r="F84" s="7" t="s">
        <v>891</v>
      </c>
      <c r="G84" s="7"/>
      <c r="H84" s="6"/>
      <c r="I84" s="6"/>
      <c r="J84" s="69"/>
    </row>
    <row r="85" spans="1:10" ht="29.25" customHeight="1" x14ac:dyDescent="0.25">
      <c r="A85" s="148" t="s">
        <v>1091</v>
      </c>
      <c r="B85" s="148"/>
      <c r="C85" s="148"/>
      <c r="D85" s="148"/>
      <c r="E85" s="69"/>
      <c r="F85" s="148" t="s">
        <v>1090</v>
      </c>
      <c r="G85" s="148"/>
      <c r="H85" s="148"/>
      <c r="I85" s="148"/>
      <c r="J85" s="69"/>
    </row>
    <row r="86" spans="1:10" x14ac:dyDescent="0.25">
      <c r="A86" s="24" t="s">
        <v>351</v>
      </c>
      <c r="B86" s="24" t="s">
        <v>0</v>
      </c>
      <c r="C86" s="24" t="s">
        <v>1</v>
      </c>
      <c r="D86" s="24" t="s">
        <v>59</v>
      </c>
      <c r="E86" s="69"/>
      <c r="F86" s="24" t="s">
        <v>351</v>
      </c>
      <c r="G86" s="24" t="s">
        <v>0</v>
      </c>
      <c r="H86" s="24" t="s">
        <v>1</v>
      </c>
      <c r="I86" s="24" t="s">
        <v>59</v>
      </c>
      <c r="J86" s="69"/>
    </row>
    <row r="87" spans="1:10" x14ac:dyDescent="0.25">
      <c r="A87" s="87" t="s">
        <v>352</v>
      </c>
      <c r="B87" s="85">
        <v>13721</v>
      </c>
      <c r="C87" s="85">
        <v>3307.9002518867192</v>
      </c>
      <c r="D87" s="85">
        <v>17028.90025188672</v>
      </c>
      <c r="E87" s="69"/>
      <c r="F87" s="87" t="s">
        <v>352</v>
      </c>
      <c r="G87" s="85">
        <v>426632</v>
      </c>
      <c r="H87" s="85">
        <v>97941.74048969688</v>
      </c>
      <c r="I87" s="85">
        <v>524573.74048969685</v>
      </c>
      <c r="J87" s="69"/>
    </row>
    <row r="88" spans="1:10" ht="24" customHeight="1" x14ac:dyDescent="0.25">
      <c r="A88" s="149" t="s">
        <v>1109</v>
      </c>
      <c r="B88" s="149"/>
      <c r="C88" s="149"/>
      <c r="D88" s="149"/>
      <c r="E88" s="69"/>
      <c r="F88" s="149" t="s">
        <v>1109</v>
      </c>
      <c r="G88" s="149"/>
      <c r="H88" s="149"/>
      <c r="I88" s="149"/>
      <c r="J88" s="69"/>
    </row>
    <row r="89" spans="1:10" x14ac:dyDescent="0.25">
      <c r="E89" s="69"/>
      <c r="F89" s="3"/>
      <c r="G89" s="3"/>
      <c r="H89" s="6"/>
      <c r="I89" s="6"/>
      <c r="J89" s="69"/>
    </row>
    <row r="90" spans="1:10" x14ac:dyDescent="0.25">
      <c r="A90" s="7" t="s">
        <v>893</v>
      </c>
      <c r="B90" s="7"/>
      <c r="E90" s="69"/>
      <c r="F90" s="7" t="s">
        <v>892</v>
      </c>
      <c r="G90" s="7"/>
      <c r="H90" s="6"/>
      <c r="I90" s="6"/>
      <c r="J90" s="69"/>
    </row>
    <row r="91" spans="1:10" ht="25.5" customHeight="1" x14ac:dyDescent="0.25">
      <c r="A91" s="148" t="s">
        <v>1092</v>
      </c>
      <c r="B91" s="148"/>
      <c r="C91" s="148"/>
      <c r="D91" s="148"/>
      <c r="E91" s="69"/>
      <c r="F91" s="148" t="s">
        <v>1093</v>
      </c>
      <c r="G91" s="148"/>
      <c r="H91" s="148"/>
      <c r="I91" s="148"/>
      <c r="J91" s="69"/>
    </row>
    <row r="92" spans="1:10" x14ac:dyDescent="0.25">
      <c r="A92" s="44" t="s">
        <v>66</v>
      </c>
      <c r="B92" s="44" t="s">
        <v>0</v>
      </c>
      <c r="C92" s="44" t="s">
        <v>1</v>
      </c>
      <c r="D92" s="44" t="s">
        <v>59</v>
      </c>
      <c r="E92" s="69"/>
      <c r="F92" s="44" t="s">
        <v>66</v>
      </c>
      <c r="G92" s="44" t="s">
        <v>0</v>
      </c>
      <c r="H92" s="44" t="s">
        <v>1</v>
      </c>
      <c r="I92" s="44" t="s">
        <v>59</v>
      </c>
      <c r="J92" s="69"/>
    </row>
    <row r="93" spans="1:10" x14ac:dyDescent="0.25">
      <c r="A93" s="22" t="s">
        <v>5</v>
      </c>
      <c r="B93" s="73">
        <v>48</v>
      </c>
      <c r="C93" s="73">
        <v>15.029699616172618</v>
      </c>
      <c r="D93" s="73">
        <v>63.029699616172621</v>
      </c>
      <c r="E93" s="69"/>
      <c r="F93" s="22" t="s">
        <v>5</v>
      </c>
      <c r="G93" s="73">
        <v>1329</v>
      </c>
      <c r="H93" s="73">
        <v>455.69646139055806</v>
      </c>
      <c r="I93" s="73">
        <v>1784.6964613905579</v>
      </c>
      <c r="J93" s="69"/>
    </row>
    <row r="94" spans="1:10" x14ac:dyDescent="0.25">
      <c r="A94" s="25" t="s">
        <v>6</v>
      </c>
      <c r="B94" s="75">
        <v>13673</v>
      </c>
      <c r="C94" s="75">
        <v>3292.8705522705463</v>
      </c>
      <c r="D94" s="75">
        <v>16965.870552270546</v>
      </c>
      <c r="E94" s="69"/>
      <c r="F94" s="25" t="s">
        <v>6</v>
      </c>
      <c r="G94" s="75">
        <v>425303</v>
      </c>
      <c r="H94" s="75">
        <v>97486.044028306293</v>
      </c>
      <c r="I94" s="75">
        <v>522789.04402830626</v>
      </c>
      <c r="J94" s="69"/>
    </row>
    <row r="95" spans="1:10" x14ac:dyDescent="0.25">
      <c r="A95" s="29" t="s">
        <v>60</v>
      </c>
      <c r="B95" s="58">
        <v>13721</v>
      </c>
      <c r="C95" s="58">
        <v>3307.9002518867192</v>
      </c>
      <c r="D95" s="58">
        <v>17028.90025188672</v>
      </c>
      <c r="E95" s="69"/>
      <c r="F95" s="29" t="s">
        <v>60</v>
      </c>
      <c r="G95" s="58">
        <v>426632</v>
      </c>
      <c r="H95" s="58">
        <v>97941.740489696851</v>
      </c>
      <c r="I95" s="58">
        <v>524573.74048969685</v>
      </c>
      <c r="J95" s="69"/>
    </row>
    <row r="96" spans="1:10" ht="25.5" customHeight="1" x14ac:dyDescent="0.25">
      <c r="A96" s="149" t="s">
        <v>1109</v>
      </c>
      <c r="B96" s="149"/>
      <c r="C96" s="149"/>
      <c r="D96" s="149"/>
      <c r="E96" s="69"/>
      <c r="F96" s="149" t="s">
        <v>1109</v>
      </c>
      <c r="G96" s="149"/>
      <c r="H96" s="149"/>
      <c r="I96" s="149"/>
      <c r="J96" s="69"/>
    </row>
    <row r="97" spans="1:10" x14ac:dyDescent="0.25">
      <c r="E97" s="69"/>
      <c r="F97" s="3"/>
      <c r="G97" s="3"/>
      <c r="H97" s="6"/>
      <c r="I97" s="6"/>
      <c r="J97" s="69"/>
    </row>
    <row r="98" spans="1:10" x14ac:dyDescent="0.25">
      <c r="A98" s="7" t="s">
        <v>894</v>
      </c>
      <c r="B98" s="7"/>
      <c r="E98" s="69"/>
      <c r="F98" s="7" t="s">
        <v>895</v>
      </c>
      <c r="G98" s="7"/>
      <c r="H98" s="6"/>
      <c r="I98" s="6"/>
      <c r="J98" s="69"/>
    </row>
    <row r="99" spans="1:10" ht="25.5" customHeight="1" x14ac:dyDescent="0.25">
      <c r="A99" s="148" t="s">
        <v>1095</v>
      </c>
      <c r="B99" s="148"/>
      <c r="C99" s="148"/>
      <c r="D99" s="148"/>
      <c r="E99" s="69"/>
      <c r="F99" s="148" t="s">
        <v>1094</v>
      </c>
      <c r="G99" s="148"/>
      <c r="H99" s="148"/>
      <c r="I99" s="148"/>
      <c r="J99" s="69"/>
    </row>
    <row r="100" spans="1:10" x14ac:dyDescent="0.25">
      <c r="A100" s="24" t="s">
        <v>67</v>
      </c>
      <c r="B100" s="44" t="s">
        <v>0</v>
      </c>
      <c r="C100" s="44" t="s">
        <v>1</v>
      </c>
      <c r="D100" s="44" t="s">
        <v>59</v>
      </c>
      <c r="E100" s="69"/>
      <c r="F100" s="24" t="s">
        <v>67</v>
      </c>
      <c r="G100" s="44" t="s">
        <v>0</v>
      </c>
      <c r="H100" s="44" t="s">
        <v>1</v>
      </c>
      <c r="I100" s="44" t="s">
        <v>59</v>
      </c>
      <c r="J100" s="69"/>
    </row>
    <row r="101" spans="1:10" x14ac:dyDescent="0.25">
      <c r="A101" s="22" t="s">
        <v>53</v>
      </c>
      <c r="B101" s="73">
        <v>4</v>
      </c>
      <c r="C101" s="112">
        <v>0</v>
      </c>
      <c r="D101" s="73">
        <v>4</v>
      </c>
      <c r="E101" s="69"/>
      <c r="F101" s="22" t="s">
        <v>53</v>
      </c>
      <c r="G101" s="73">
        <v>74</v>
      </c>
      <c r="H101" s="112">
        <v>0</v>
      </c>
      <c r="I101" s="73">
        <v>74</v>
      </c>
      <c r="J101" s="69"/>
    </row>
    <row r="102" spans="1:10" x14ac:dyDescent="0.25">
      <c r="A102" s="25" t="s">
        <v>2</v>
      </c>
      <c r="B102" s="75">
        <v>28</v>
      </c>
      <c r="C102" s="111">
        <v>0</v>
      </c>
      <c r="D102" s="75">
        <v>28</v>
      </c>
      <c r="E102" s="69"/>
      <c r="F102" s="25" t="s">
        <v>2</v>
      </c>
      <c r="G102" s="75">
        <v>639</v>
      </c>
      <c r="H102" s="111">
        <v>0</v>
      </c>
      <c r="I102" s="75">
        <v>639</v>
      </c>
      <c r="J102" s="69"/>
    </row>
    <row r="103" spans="1:10" x14ac:dyDescent="0.25">
      <c r="A103" s="25" t="s">
        <v>54</v>
      </c>
      <c r="B103" s="75">
        <v>662</v>
      </c>
      <c r="C103" s="75">
        <v>142.09897818926839</v>
      </c>
      <c r="D103" s="75">
        <v>804.09897818926834</v>
      </c>
      <c r="E103" s="69"/>
      <c r="F103" s="25" t="s">
        <v>54</v>
      </c>
      <c r="G103" s="75">
        <v>20195</v>
      </c>
      <c r="H103" s="75">
        <v>3878.1340231444724</v>
      </c>
      <c r="I103" s="75">
        <v>24073.134023144474</v>
      </c>
      <c r="J103" s="69"/>
    </row>
    <row r="104" spans="1:10" x14ac:dyDescent="0.25">
      <c r="A104" s="25" t="s">
        <v>55</v>
      </c>
      <c r="B104" s="75">
        <v>3120</v>
      </c>
      <c r="C104" s="75">
        <v>852.59386913561036</v>
      </c>
      <c r="D104" s="75">
        <v>3972.5938691356105</v>
      </c>
      <c r="E104" s="69"/>
      <c r="F104" s="25" t="s">
        <v>55</v>
      </c>
      <c r="G104" s="75">
        <v>97453</v>
      </c>
      <c r="H104" s="75">
        <v>25003.593426367446</v>
      </c>
      <c r="I104" s="75">
        <v>122456.59342636744</v>
      </c>
      <c r="J104" s="69"/>
    </row>
    <row r="105" spans="1:10" x14ac:dyDescent="0.25">
      <c r="A105" s="25" t="s">
        <v>56</v>
      </c>
      <c r="B105" s="75">
        <v>6079</v>
      </c>
      <c r="C105" s="75">
        <v>1209.2076509375242</v>
      </c>
      <c r="D105" s="75">
        <v>7288.2076509375238</v>
      </c>
      <c r="E105" s="69"/>
      <c r="F105" s="25" t="s">
        <v>56</v>
      </c>
      <c r="G105" s="75">
        <v>186939</v>
      </c>
      <c r="H105" s="75">
        <v>35838.169637705025</v>
      </c>
      <c r="I105" s="75">
        <v>222777.16963770502</v>
      </c>
      <c r="J105" s="69"/>
    </row>
    <row r="106" spans="1:10" x14ac:dyDescent="0.25">
      <c r="A106" s="25" t="s">
        <v>57</v>
      </c>
      <c r="B106" s="75">
        <v>3417</v>
      </c>
      <c r="C106" s="75">
        <v>985.12849302367806</v>
      </c>
      <c r="D106" s="75">
        <v>4402.1284930236779</v>
      </c>
      <c r="E106" s="69"/>
      <c r="F106" s="25" t="s">
        <v>57</v>
      </c>
      <c r="G106" s="75">
        <v>107497</v>
      </c>
      <c r="H106" s="75">
        <v>29871.688727705201</v>
      </c>
      <c r="I106" s="75">
        <v>137368.68872770522</v>
      </c>
      <c r="J106" s="69"/>
    </row>
    <row r="107" spans="1:10" x14ac:dyDescent="0.25">
      <c r="A107" s="25" t="s">
        <v>3</v>
      </c>
      <c r="B107" s="75">
        <v>411</v>
      </c>
      <c r="C107" s="75">
        <v>118.87126060063798</v>
      </c>
      <c r="D107" s="75">
        <v>529.87126060063792</v>
      </c>
      <c r="E107" s="69"/>
      <c r="F107" s="25" t="s">
        <v>3</v>
      </c>
      <c r="G107" s="75">
        <v>13835</v>
      </c>
      <c r="H107" s="75">
        <v>3350.1546747747229</v>
      </c>
      <c r="I107" s="75">
        <v>17185.154674774723</v>
      </c>
      <c r="J107" s="69"/>
    </row>
    <row r="108" spans="1:10" x14ac:dyDescent="0.25">
      <c r="A108" s="29" t="s">
        <v>60</v>
      </c>
      <c r="B108" s="58">
        <v>13721</v>
      </c>
      <c r="C108" s="58">
        <v>3307.9002518867187</v>
      </c>
      <c r="D108" s="58">
        <v>17028.90025188672</v>
      </c>
      <c r="E108" s="69"/>
      <c r="F108" s="29" t="s">
        <v>60</v>
      </c>
      <c r="G108" s="58">
        <v>426632</v>
      </c>
      <c r="H108" s="58">
        <v>97941.740489696866</v>
      </c>
      <c r="I108" s="58">
        <v>524573.74048969685</v>
      </c>
      <c r="J108" s="69"/>
    </row>
    <row r="109" spans="1:10" ht="25.5" customHeight="1" x14ac:dyDescent="0.25">
      <c r="A109" s="149" t="s">
        <v>1109</v>
      </c>
      <c r="B109" s="149"/>
      <c r="C109" s="149"/>
      <c r="D109" s="149"/>
      <c r="E109" s="69"/>
      <c r="F109" s="149" t="s">
        <v>1109</v>
      </c>
      <c r="G109" s="149"/>
      <c r="H109" s="149"/>
      <c r="I109" s="149"/>
      <c r="J109" s="69"/>
    </row>
    <row r="110" spans="1:10" x14ac:dyDescent="0.25">
      <c r="E110" s="69"/>
      <c r="J110" s="69"/>
    </row>
    <row r="111" spans="1:10" x14ac:dyDescent="0.25">
      <c r="A111" s="7" t="s">
        <v>896</v>
      </c>
      <c r="B111" s="7"/>
      <c r="E111" s="69"/>
      <c r="F111" s="7" t="s">
        <v>897</v>
      </c>
      <c r="G111" s="7"/>
      <c r="H111" s="6"/>
      <c r="I111" s="6"/>
      <c r="J111" s="69"/>
    </row>
    <row r="112" spans="1:10" ht="25.5" customHeight="1" x14ac:dyDescent="0.25">
      <c r="A112" s="148" t="s">
        <v>1096</v>
      </c>
      <c r="B112" s="148"/>
      <c r="C112" s="148"/>
      <c r="D112" s="148"/>
      <c r="E112" s="69"/>
      <c r="F112" s="148" t="s">
        <v>1097</v>
      </c>
      <c r="G112" s="148"/>
      <c r="H112" s="148"/>
      <c r="I112" s="148"/>
      <c r="J112" s="69"/>
    </row>
    <row r="113" spans="1:10" x14ac:dyDescent="0.25">
      <c r="A113" s="24" t="s">
        <v>353</v>
      </c>
      <c r="B113" s="24" t="s">
        <v>0</v>
      </c>
      <c r="C113" s="24" t="s">
        <v>1</v>
      </c>
      <c r="D113" s="24" t="s">
        <v>59</v>
      </c>
      <c r="E113" s="69"/>
      <c r="F113" s="24" t="s">
        <v>353</v>
      </c>
      <c r="G113" s="24" t="s">
        <v>0</v>
      </c>
      <c r="H113" s="24" t="s">
        <v>1</v>
      </c>
      <c r="I113" s="24" t="s">
        <v>59</v>
      </c>
      <c r="J113" s="69"/>
    </row>
    <row r="114" spans="1:10" x14ac:dyDescent="0.25">
      <c r="A114" s="87" t="s">
        <v>354</v>
      </c>
      <c r="B114" s="85">
        <v>4991</v>
      </c>
      <c r="C114" s="85">
        <v>879.92059571046957</v>
      </c>
      <c r="D114" s="85">
        <v>5870.9205957104696</v>
      </c>
      <c r="E114" s="69"/>
      <c r="F114" s="87" t="s">
        <v>354</v>
      </c>
      <c r="G114" s="88">
        <v>152118</v>
      </c>
      <c r="H114" s="85">
        <v>26573.389167502508</v>
      </c>
      <c r="I114" s="85">
        <v>178691.38916750252</v>
      </c>
      <c r="J114" s="69"/>
    </row>
    <row r="115" spans="1:10" ht="29.25" customHeight="1" x14ac:dyDescent="0.25">
      <c r="A115" s="149" t="s">
        <v>1109</v>
      </c>
      <c r="B115" s="149"/>
      <c r="C115" s="149"/>
      <c r="D115" s="149"/>
      <c r="E115" s="69"/>
      <c r="F115" s="149" t="s">
        <v>1109</v>
      </c>
      <c r="G115" s="149"/>
      <c r="H115" s="149"/>
      <c r="I115" s="149"/>
      <c r="J115" s="69"/>
    </row>
    <row r="116" spans="1:10" x14ac:dyDescent="0.25">
      <c r="E116" s="69"/>
      <c r="F116" s="3"/>
      <c r="G116" s="3"/>
      <c r="H116" s="6"/>
      <c r="I116" s="6"/>
      <c r="J116" s="69"/>
    </row>
    <row r="117" spans="1:10" x14ac:dyDescent="0.25">
      <c r="A117" s="7" t="s">
        <v>899</v>
      </c>
      <c r="B117" s="7"/>
      <c r="E117" s="69"/>
      <c r="F117" s="7" t="s">
        <v>898</v>
      </c>
      <c r="G117" s="7"/>
      <c r="H117" s="6"/>
      <c r="I117" s="6"/>
      <c r="J117" s="69"/>
    </row>
    <row r="118" spans="1:10" ht="25.5" customHeight="1" x14ac:dyDescent="0.25">
      <c r="A118" s="148" t="s">
        <v>1099</v>
      </c>
      <c r="B118" s="148"/>
      <c r="C118" s="148"/>
      <c r="D118" s="148"/>
      <c r="E118" s="69"/>
      <c r="F118" s="148" t="s">
        <v>1098</v>
      </c>
      <c r="G118" s="148"/>
      <c r="H118" s="148"/>
      <c r="I118" s="148"/>
      <c r="J118" s="69"/>
    </row>
    <row r="119" spans="1:10" x14ac:dyDescent="0.25">
      <c r="A119" s="44" t="s">
        <v>66</v>
      </c>
      <c r="B119" s="44" t="s">
        <v>0</v>
      </c>
      <c r="C119" s="44" t="s">
        <v>1</v>
      </c>
      <c r="D119" s="44" t="s">
        <v>59</v>
      </c>
      <c r="E119" s="69"/>
      <c r="F119" s="44" t="s">
        <v>66</v>
      </c>
      <c r="G119" s="44" t="s">
        <v>0</v>
      </c>
      <c r="H119" s="44" t="s">
        <v>1</v>
      </c>
      <c r="I119" s="44" t="s">
        <v>59</v>
      </c>
      <c r="J119" s="69"/>
    </row>
    <row r="120" spans="1:10" x14ac:dyDescent="0.25">
      <c r="A120" s="22" t="s">
        <v>5</v>
      </c>
      <c r="B120" s="73">
        <v>4037</v>
      </c>
      <c r="C120" s="73">
        <v>733.72260853497232</v>
      </c>
      <c r="D120" s="73">
        <v>4770.7226085349721</v>
      </c>
      <c r="E120" s="69"/>
      <c r="F120" s="22" t="s">
        <v>5</v>
      </c>
      <c r="G120" s="75">
        <v>122664</v>
      </c>
      <c r="H120" s="73">
        <v>22242.701417183962</v>
      </c>
      <c r="I120" s="73">
        <v>144906.70141718397</v>
      </c>
      <c r="J120" s="69"/>
    </row>
    <row r="121" spans="1:10" x14ac:dyDescent="0.25">
      <c r="A121" s="25" t="s">
        <v>6</v>
      </c>
      <c r="B121" s="75">
        <v>954</v>
      </c>
      <c r="C121" s="75">
        <v>146.19798717549727</v>
      </c>
      <c r="D121" s="75">
        <v>1100.1979871754972</v>
      </c>
      <c r="E121" s="69"/>
      <c r="F121" s="25" t="s">
        <v>6</v>
      </c>
      <c r="G121" s="75">
        <v>29454</v>
      </c>
      <c r="H121" s="75">
        <v>4330.6877503185442</v>
      </c>
      <c r="I121" s="75">
        <v>33784.687750318546</v>
      </c>
      <c r="J121" s="69"/>
    </row>
    <row r="122" spans="1:10" x14ac:dyDescent="0.25">
      <c r="A122" s="29" t="s">
        <v>60</v>
      </c>
      <c r="B122" s="58">
        <v>4991</v>
      </c>
      <c r="C122" s="58">
        <v>879.92059571046957</v>
      </c>
      <c r="D122" s="58">
        <v>5870.9205957104696</v>
      </c>
      <c r="E122" s="69"/>
      <c r="F122" s="29" t="s">
        <v>60</v>
      </c>
      <c r="G122" s="58">
        <v>152118</v>
      </c>
      <c r="H122" s="58">
        <v>26573.389167502508</v>
      </c>
      <c r="I122" s="58">
        <v>178691.38916750252</v>
      </c>
      <c r="J122" s="69"/>
    </row>
    <row r="123" spans="1:10" ht="24.75" customHeight="1" x14ac:dyDescent="0.25">
      <c r="A123" s="149" t="s">
        <v>1109</v>
      </c>
      <c r="B123" s="149"/>
      <c r="C123" s="149"/>
      <c r="D123" s="149"/>
      <c r="E123" s="69"/>
      <c r="F123" s="149" t="s">
        <v>1109</v>
      </c>
      <c r="G123" s="149"/>
      <c r="H123" s="149"/>
      <c r="I123" s="149"/>
      <c r="J123" s="69"/>
    </row>
    <row r="124" spans="1:10" x14ac:dyDescent="0.25">
      <c r="E124" s="69"/>
      <c r="F124" s="3"/>
      <c r="G124" s="3"/>
      <c r="H124" s="6"/>
      <c r="I124" s="6"/>
      <c r="J124" s="69"/>
    </row>
    <row r="125" spans="1:10" x14ac:dyDescent="0.25">
      <c r="A125" s="7" t="s">
        <v>900</v>
      </c>
      <c r="B125" s="7"/>
      <c r="E125" s="69"/>
      <c r="F125" s="7" t="s">
        <v>901</v>
      </c>
      <c r="G125" s="7"/>
      <c r="H125" s="6"/>
      <c r="I125" s="6"/>
      <c r="J125" s="69"/>
    </row>
    <row r="126" spans="1:10" ht="25.5" customHeight="1" x14ac:dyDescent="0.25">
      <c r="A126" s="148" t="s">
        <v>1101</v>
      </c>
      <c r="B126" s="148"/>
      <c r="C126" s="148"/>
      <c r="D126" s="148"/>
      <c r="E126" s="69"/>
      <c r="F126" s="148" t="s">
        <v>1100</v>
      </c>
      <c r="G126" s="148"/>
      <c r="H126" s="148"/>
      <c r="I126" s="148"/>
      <c r="J126" s="69"/>
    </row>
    <row r="127" spans="1:10" x14ac:dyDescent="0.25">
      <c r="A127" s="24" t="s">
        <v>67</v>
      </c>
      <c r="B127" s="44" t="s">
        <v>0</v>
      </c>
      <c r="C127" s="44" t="s">
        <v>1</v>
      </c>
      <c r="D127" s="44" t="s">
        <v>59</v>
      </c>
      <c r="E127" s="69"/>
      <c r="F127" s="24" t="s">
        <v>67</v>
      </c>
      <c r="G127" s="44" t="s">
        <v>0</v>
      </c>
      <c r="H127" s="44" t="s">
        <v>1</v>
      </c>
      <c r="I127" s="44" t="s">
        <v>59</v>
      </c>
      <c r="J127" s="69"/>
    </row>
    <row r="128" spans="1:10" x14ac:dyDescent="0.25">
      <c r="A128" s="22" t="s">
        <v>53</v>
      </c>
      <c r="B128" s="73">
        <v>1</v>
      </c>
      <c r="C128" s="112">
        <v>0</v>
      </c>
      <c r="D128" s="73">
        <v>1</v>
      </c>
      <c r="E128" s="69"/>
      <c r="F128" s="22" t="s">
        <v>53</v>
      </c>
      <c r="G128" s="73">
        <v>30</v>
      </c>
      <c r="H128" s="112">
        <v>0</v>
      </c>
      <c r="I128" s="73">
        <v>30</v>
      </c>
      <c r="J128" s="69"/>
    </row>
    <row r="129" spans="1:10" x14ac:dyDescent="0.25">
      <c r="A129" s="25" t="s">
        <v>2</v>
      </c>
      <c r="B129" s="111">
        <v>0</v>
      </c>
      <c r="C129" s="111">
        <v>0</v>
      </c>
      <c r="D129" s="111">
        <v>0</v>
      </c>
      <c r="E129" s="69"/>
      <c r="F129" s="25" t="s">
        <v>2</v>
      </c>
      <c r="G129" s="111">
        <v>0</v>
      </c>
      <c r="H129" s="111">
        <v>0</v>
      </c>
      <c r="I129" s="111">
        <v>0</v>
      </c>
      <c r="J129" s="69"/>
    </row>
    <row r="130" spans="1:10" x14ac:dyDescent="0.25">
      <c r="A130" s="25" t="s">
        <v>54</v>
      </c>
      <c r="B130" s="75">
        <v>90</v>
      </c>
      <c r="C130" s="75">
        <v>13.663363287429652</v>
      </c>
      <c r="D130" s="75">
        <v>103.66336328742965</v>
      </c>
      <c r="E130" s="69"/>
      <c r="F130" s="25" t="s">
        <v>54</v>
      </c>
      <c r="G130" s="75">
        <v>2579</v>
      </c>
      <c r="H130" s="75">
        <v>417.98365079271872</v>
      </c>
      <c r="I130" s="75">
        <v>2996.9836507927189</v>
      </c>
      <c r="J130" s="69"/>
    </row>
    <row r="131" spans="1:10" x14ac:dyDescent="0.25">
      <c r="A131" s="25" t="s">
        <v>55</v>
      </c>
      <c r="B131" s="75">
        <v>460</v>
      </c>
      <c r="C131" s="75">
        <v>66.950480108405301</v>
      </c>
      <c r="D131" s="75">
        <v>526.95048010840526</v>
      </c>
      <c r="E131" s="69"/>
      <c r="F131" s="25" t="s">
        <v>55</v>
      </c>
      <c r="G131" s="75">
        <v>13714</v>
      </c>
      <c r="H131" s="75">
        <v>1904.4969351908837</v>
      </c>
      <c r="I131" s="75">
        <v>15618.496935190884</v>
      </c>
      <c r="J131" s="69"/>
    </row>
    <row r="132" spans="1:10" x14ac:dyDescent="0.25">
      <c r="A132" s="25" t="s">
        <v>56</v>
      </c>
      <c r="B132" s="75">
        <v>1196</v>
      </c>
      <c r="C132" s="75">
        <v>202.21777665395885</v>
      </c>
      <c r="D132" s="75">
        <v>1398.2177766539589</v>
      </c>
      <c r="E132" s="69"/>
      <c r="F132" s="25" t="s">
        <v>56</v>
      </c>
      <c r="G132" s="75">
        <v>35749</v>
      </c>
      <c r="H132" s="75">
        <v>6199.0432420198322</v>
      </c>
      <c r="I132" s="75">
        <v>41948.043242019834</v>
      </c>
      <c r="J132" s="69"/>
    </row>
    <row r="133" spans="1:10" x14ac:dyDescent="0.25">
      <c r="A133" s="25" t="s">
        <v>57</v>
      </c>
      <c r="B133" s="75">
        <v>2067</v>
      </c>
      <c r="C133" s="75">
        <v>454.98999747140743</v>
      </c>
      <c r="D133" s="75">
        <v>2521.9899974714076</v>
      </c>
      <c r="E133" s="69"/>
      <c r="F133" s="25" t="s">
        <v>57</v>
      </c>
      <c r="G133" s="75">
        <v>63798</v>
      </c>
      <c r="H133" s="75">
        <v>13496.472092701733</v>
      </c>
      <c r="I133" s="75">
        <v>77294.472092701733</v>
      </c>
      <c r="J133" s="69"/>
    </row>
    <row r="134" spans="1:10" x14ac:dyDescent="0.25">
      <c r="A134" s="25" t="s">
        <v>3</v>
      </c>
      <c r="B134" s="75">
        <v>1177</v>
      </c>
      <c r="C134" s="75">
        <v>142.09897818926839</v>
      </c>
      <c r="D134" s="75">
        <v>1319.0989781892683</v>
      </c>
      <c r="E134" s="69"/>
      <c r="F134" s="25" t="s">
        <v>3</v>
      </c>
      <c r="G134" s="75">
        <v>36248</v>
      </c>
      <c r="H134" s="75">
        <v>4555.3932467973373</v>
      </c>
      <c r="I134" s="75">
        <v>40803.393246797335</v>
      </c>
      <c r="J134" s="69"/>
    </row>
    <row r="135" spans="1:10" x14ac:dyDescent="0.25">
      <c r="A135" s="29" t="s">
        <v>60</v>
      </c>
      <c r="B135" s="58">
        <v>4991</v>
      </c>
      <c r="C135" s="58">
        <v>879.92059571046957</v>
      </c>
      <c r="D135" s="58">
        <v>5870.9205957104705</v>
      </c>
      <c r="E135" s="69"/>
      <c r="F135" s="29" t="s">
        <v>60</v>
      </c>
      <c r="G135" s="58">
        <v>152118</v>
      </c>
      <c r="H135" s="58">
        <v>26573.389167502508</v>
      </c>
      <c r="I135" s="58">
        <v>178691.38916750252</v>
      </c>
      <c r="J135" s="69"/>
    </row>
    <row r="136" spans="1:10" ht="27.75" customHeight="1" x14ac:dyDescent="0.25">
      <c r="A136" s="149" t="s">
        <v>1109</v>
      </c>
      <c r="B136" s="149"/>
      <c r="C136" s="149"/>
      <c r="D136" s="149"/>
      <c r="E136" s="69"/>
      <c r="F136" s="149" t="s">
        <v>1109</v>
      </c>
      <c r="G136" s="149"/>
      <c r="H136" s="149"/>
      <c r="I136" s="149"/>
      <c r="J136" s="69"/>
    </row>
    <row r="137" spans="1:10" x14ac:dyDescent="0.25">
      <c r="E137" s="69"/>
      <c r="J137" s="69"/>
    </row>
    <row r="138" spans="1:10" x14ac:dyDescent="0.25">
      <c r="A138" s="7" t="s">
        <v>902</v>
      </c>
      <c r="B138" s="7"/>
      <c r="E138" s="69"/>
      <c r="F138" s="7" t="s">
        <v>905</v>
      </c>
      <c r="G138" s="7"/>
      <c r="H138" s="6"/>
      <c r="I138" s="6"/>
      <c r="J138" s="69"/>
    </row>
    <row r="139" spans="1:10" ht="26.25" customHeight="1" x14ac:dyDescent="0.25">
      <c r="A139" s="148" t="s">
        <v>1103</v>
      </c>
      <c r="B139" s="148"/>
      <c r="C139" s="148"/>
      <c r="D139" s="148"/>
      <c r="E139" s="69"/>
      <c r="F139" s="148" t="s">
        <v>1102</v>
      </c>
      <c r="G139" s="148"/>
      <c r="H139" s="148"/>
      <c r="I139" s="148"/>
      <c r="J139" s="69"/>
    </row>
    <row r="140" spans="1:10" x14ac:dyDescent="0.25">
      <c r="A140" s="24" t="s">
        <v>544</v>
      </c>
      <c r="B140" s="24" t="s">
        <v>0</v>
      </c>
      <c r="C140" s="24" t="s">
        <v>1</v>
      </c>
      <c r="D140" s="24" t="s">
        <v>59</v>
      </c>
      <c r="E140" s="69"/>
      <c r="F140" s="24" t="s">
        <v>544</v>
      </c>
      <c r="G140" s="24" t="s">
        <v>0</v>
      </c>
      <c r="H140" s="24" t="s">
        <v>1</v>
      </c>
      <c r="I140" s="24" t="s">
        <v>59</v>
      </c>
      <c r="J140" s="69"/>
    </row>
    <row r="141" spans="1:10" x14ac:dyDescent="0.25">
      <c r="A141" s="87" t="s">
        <v>355</v>
      </c>
      <c r="B141" s="85">
        <v>2249</v>
      </c>
      <c r="C141" s="85">
        <v>6.831681643714826</v>
      </c>
      <c r="D141" s="85">
        <v>2255.831681643715</v>
      </c>
      <c r="E141" s="69"/>
      <c r="F141" s="87" t="s">
        <v>355</v>
      </c>
      <c r="G141" s="85">
        <v>66140</v>
      </c>
      <c r="H141" s="85">
        <v>237.27643334473885</v>
      </c>
      <c r="I141" s="85">
        <v>66377.276433344741</v>
      </c>
      <c r="J141" s="69"/>
    </row>
    <row r="142" spans="1:10" ht="27.75" customHeight="1" x14ac:dyDescent="0.25">
      <c r="A142" s="149" t="s">
        <v>1109</v>
      </c>
      <c r="B142" s="149"/>
      <c r="C142" s="149"/>
      <c r="D142" s="149"/>
      <c r="E142" s="69"/>
      <c r="F142" s="149" t="s">
        <v>1109</v>
      </c>
      <c r="G142" s="149"/>
      <c r="H142" s="149"/>
      <c r="I142" s="149"/>
      <c r="J142" s="69"/>
    </row>
    <row r="143" spans="1:10" x14ac:dyDescent="0.25">
      <c r="E143" s="69"/>
      <c r="F143" s="3"/>
      <c r="G143" s="3"/>
      <c r="H143" s="6"/>
      <c r="I143" s="6"/>
      <c r="J143" s="69"/>
    </row>
    <row r="144" spans="1:10" x14ac:dyDescent="0.25">
      <c r="A144" s="7" t="s">
        <v>904</v>
      </c>
      <c r="B144" s="7"/>
      <c r="E144" s="69"/>
      <c r="F144" s="7" t="s">
        <v>903</v>
      </c>
      <c r="G144" s="7"/>
      <c r="H144" s="6"/>
      <c r="I144" s="6"/>
      <c r="J144" s="69"/>
    </row>
    <row r="145" spans="1:10" ht="27" customHeight="1" x14ac:dyDescent="0.25">
      <c r="A145" s="148" t="s">
        <v>1105</v>
      </c>
      <c r="B145" s="148"/>
      <c r="C145" s="148"/>
      <c r="D145" s="148"/>
      <c r="E145" s="69"/>
      <c r="F145" s="148" t="s">
        <v>1104</v>
      </c>
      <c r="G145" s="148"/>
      <c r="H145" s="148"/>
      <c r="I145" s="148"/>
      <c r="J145" s="69"/>
    </row>
    <row r="146" spans="1:10" x14ac:dyDescent="0.25">
      <c r="A146" s="44" t="s">
        <v>66</v>
      </c>
      <c r="B146" s="44" t="s">
        <v>0</v>
      </c>
      <c r="C146" s="44" t="s">
        <v>1</v>
      </c>
      <c r="D146" s="44" t="s">
        <v>59</v>
      </c>
      <c r="E146" s="69"/>
      <c r="F146" s="44" t="s">
        <v>66</v>
      </c>
      <c r="G146" s="44" t="s">
        <v>0</v>
      </c>
      <c r="H146" s="44" t="s">
        <v>1</v>
      </c>
      <c r="I146" s="44" t="s">
        <v>59</v>
      </c>
      <c r="J146" s="69"/>
    </row>
    <row r="147" spans="1:10" x14ac:dyDescent="0.25">
      <c r="A147" s="22" t="s">
        <v>5</v>
      </c>
      <c r="B147" s="75">
        <v>1639</v>
      </c>
      <c r="C147" s="75">
        <v>6.831681643714826</v>
      </c>
      <c r="D147" s="73">
        <v>1645.8316816437148</v>
      </c>
      <c r="E147" s="69"/>
      <c r="F147" s="22" t="s">
        <v>5</v>
      </c>
      <c r="G147" s="73">
        <v>48395</v>
      </c>
      <c r="H147" s="73">
        <v>237.27643334473882</v>
      </c>
      <c r="I147" s="73">
        <v>48632.276433344741</v>
      </c>
      <c r="J147" s="69"/>
    </row>
    <row r="148" spans="1:10" x14ac:dyDescent="0.25">
      <c r="A148" s="25" t="s">
        <v>6</v>
      </c>
      <c r="B148" s="75">
        <v>610</v>
      </c>
      <c r="C148" s="111">
        <v>0</v>
      </c>
      <c r="D148" s="75">
        <v>610</v>
      </c>
      <c r="E148" s="69"/>
      <c r="F148" s="25" t="s">
        <v>6</v>
      </c>
      <c r="G148" s="75">
        <v>17745</v>
      </c>
      <c r="H148" s="111">
        <v>0</v>
      </c>
      <c r="I148" s="75">
        <v>17745</v>
      </c>
      <c r="J148" s="69"/>
    </row>
    <row r="149" spans="1:10" x14ac:dyDescent="0.25">
      <c r="A149" s="29" t="s">
        <v>60</v>
      </c>
      <c r="B149" s="58">
        <v>2249</v>
      </c>
      <c r="C149" s="58">
        <v>6.831681643714826</v>
      </c>
      <c r="D149" s="58">
        <v>2255.8316816437145</v>
      </c>
      <c r="E149" s="69"/>
      <c r="F149" s="29" t="s">
        <v>60</v>
      </c>
      <c r="G149" s="58">
        <v>66140</v>
      </c>
      <c r="H149" s="58">
        <v>237.27643334473882</v>
      </c>
      <c r="I149" s="58">
        <v>66377.276433344741</v>
      </c>
      <c r="J149" s="69"/>
    </row>
    <row r="150" spans="1:10" ht="21.75" customHeight="1" x14ac:dyDescent="0.25">
      <c r="A150" s="149" t="s">
        <v>1109</v>
      </c>
      <c r="B150" s="149"/>
      <c r="C150" s="149"/>
      <c r="D150" s="149"/>
      <c r="E150" s="69"/>
      <c r="F150" s="149" t="s">
        <v>1109</v>
      </c>
      <c r="G150" s="149"/>
      <c r="H150" s="149"/>
      <c r="I150" s="149"/>
      <c r="J150" s="69"/>
    </row>
    <row r="151" spans="1:10" x14ac:dyDescent="0.25">
      <c r="E151" s="69"/>
      <c r="F151" s="3"/>
      <c r="G151" s="3"/>
      <c r="H151" s="6"/>
      <c r="I151" s="6"/>
      <c r="J151" s="69"/>
    </row>
    <row r="152" spans="1:10" x14ac:dyDescent="0.25">
      <c r="A152" s="7" t="s">
        <v>906</v>
      </c>
      <c r="B152" s="7"/>
      <c r="E152" s="69"/>
      <c r="F152" s="7" t="s">
        <v>907</v>
      </c>
      <c r="G152" s="7"/>
      <c r="H152" s="6"/>
      <c r="I152" s="6"/>
      <c r="J152" s="69"/>
    </row>
    <row r="153" spans="1:10" ht="27" customHeight="1" x14ac:dyDescent="0.25">
      <c r="A153" s="148" t="s">
        <v>1107</v>
      </c>
      <c r="B153" s="148"/>
      <c r="C153" s="148"/>
      <c r="D153" s="148"/>
      <c r="E153" s="69"/>
      <c r="F153" s="148" t="s">
        <v>1106</v>
      </c>
      <c r="G153" s="148"/>
      <c r="H153" s="148"/>
      <c r="I153" s="148"/>
      <c r="J153" s="69"/>
    </row>
    <row r="154" spans="1:10" x14ac:dyDescent="0.25">
      <c r="A154" s="24" t="s">
        <v>67</v>
      </c>
      <c r="B154" s="44" t="s">
        <v>0</v>
      </c>
      <c r="C154" s="44" t="s">
        <v>1</v>
      </c>
      <c r="D154" s="44" t="s">
        <v>59</v>
      </c>
      <c r="E154" s="69"/>
      <c r="F154" s="24" t="s">
        <v>67</v>
      </c>
      <c r="G154" s="44" t="s">
        <v>0</v>
      </c>
      <c r="H154" s="44" t="s">
        <v>1</v>
      </c>
      <c r="I154" s="44" t="s">
        <v>59</v>
      </c>
      <c r="J154" s="69"/>
    </row>
    <row r="155" spans="1:10" x14ac:dyDescent="0.25">
      <c r="A155" s="22" t="s">
        <v>53</v>
      </c>
      <c r="B155" s="112">
        <v>0</v>
      </c>
      <c r="C155" s="111">
        <v>0</v>
      </c>
      <c r="D155" s="112">
        <v>0</v>
      </c>
      <c r="E155" s="69"/>
      <c r="F155" s="22" t="s">
        <v>53</v>
      </c>
      <c r="G155" s="75">
        <v>119</v>
      </c>
      <c r="H155" s="112">
        <v>0</v>
      </c>
      <c r="I155" s="73">
        <v>119</v>
      </c>
      <c r="J155" s="69"/>
    </row>
    <row r="156" spans="1:10" x14ac:dyDescent="0.25">
      <c r="A156" s="25" t="s">
        <v>2</v>
      </c>
      <c r="B156" s="75">
        <v>4</v>
      </c>
      <c r="C156" s="111">
        <v>0</v>
      </c>
      <c r="D156" s="75">
        <v>4</v>
      </c>
      <c r="E156" s="69"/>
      <c r="F156" s="25" t="s">
        <v>2</v>
      </c>
      <c r="G156" s="75">
        <v>1552</v>
      </c>
      <c r="H156" s="111">
        <v>0</v>
      </c>
      <c r="I156" s="75">
        <v>1552</v>
      </c>
      <c r="J156" s="69"/>
    </row>
    <row r="157" spans="1:10" x14ac:dyDescent="0.25">
      <c r="A157" s="25" t="s">
        <v>54</v>
      </c>
      <c r="B157" s="75">
        <v>56</v>
      </c>
      <c r="C157" s="111">
        <v>0</v>
      </c>
      <c r="D157" s="75">
        <v>56</v>
      </c>
      <c r="E157" s="69"/>
      <c r="F157" s="25" t="s">
        <v>54</v>
      </c>
      <c r="G157" s="75">
        <v>2596</v>
      </c>
      <c r="H157" s="111">
        <v>0</v>
      </c>
      <c r="I157" s="75">
        <v>2596</v>
      </c>
      <c r="J157" s="69"/>
    </row>
    <row r="158" spans="1:10" x14ac:dyDescent="0.25">
      <c r="A158" s="25" t="s">
        <v>55</v>
      </c>
      <c r="B158" s="75">
        <v>91</v>
      </c>
      <c r="C158" s="111">
        <v>0</v>
      </c>
      <c r="D158" s="75">
        <v>91</v>
      </c>
      <c r="E158" s="69"/>
      <c r="F158" s="25" t="s">
        <v>55</v>
      </c>
      <c r="G158" s="75">
        <v>12554</v>
      </c>
      <c r="H158" s="111">
        <v>0</v>
      </c>
      <c r="I158" s="75">
        <v>12554</v>
      </c>
      <c r="J158" s="69"/>
    </row>
    <row r="159" spans="1:10" x14ac:dyDescent="0.25">
      <c r="A159" s="25" t="s">
        <v>56</v>
      </c>
      <c r="B159" s="75">
        <v>433</v>
      </c>
      <c r="C159" s="75">
        <v>1.3663363287429653</v>
      </c>
      <c r="D159" s="75">
        <v>434.36633632874299</v>
      </c>
      <c r="E159" s="69"/>
      <c r="F159" s="25" t="s">
        <v>56</v>
      </c>
      <c r="G159" s="75">
        <v>27123</v>
      </c>
      <c r="H159" s="75">
        <v>43.998279030812498</v>
      </c>
      <c r="I159" s="75">
        <v>27166.998279030813</v>
      </c>
      <c r="J159" s="69"/>
    </row>
    <row r="160" spans="1:10" x14ac:dyDescent="0.25">
      <c r="A160" s="25" t="s">
        <v>57</v>
      </c>
      <c r="B160" s="75">
        <v>917</v>
      </c>
      <c r="C160" s="111">
        <v>0</v>
      </c>
      <c r="D160" s="75">
        <v>917</v>
      </c>
      <c r="E160" s="69"/>
      <c r="F160" s="25" t="s">
        <v>57</v>
      </c>
      <c r="G160" s="75">
        <v>22196</v>
      </c>
      <c r="H160" s="111">
        <v>0</v>
      </c>
      <c r="I160" s="75">
        <v>22196</v>
      </c>
      <c r="J160" s="69"/>
    </row>
    <row r="161" spans="1:10" x14ac:dyDescent="0.25">
      <c r="A161" s="25" t="s">
        <v>3</v>
      </c>
      <c r="B161" s="75">
        <v>748</v>
      </c>
      <c r="C161" s="75">
        <v>5.4653453149718612</v>
      </c>
      <c r="D161" s="75">
        <v>753.46534531497184</v>
      </c>
      <c r="E161" s="69"/>
      <c r="F161" s="25" t="s">
        <v>3</v>
      </c>
      <c r="G161" s="111">
        <v>0</v>
      </c>
      <c r="H161" s="75">
        <v>193.27815431392634</v>
      </c>
      <c r="I161" s="75">
        <v>193.27815431392634</v>
      </c>
      <c r="J161" s="69"/>
    </row>
    <row r="162" spans="1:10" x14ac:dyDescent="0.25">
      <c r="A162" s="29" t="s">
        <v>60</v>
      </c>
      <c r="B162" s="58">
        <v>2249</v>
      </c>
      <c r="C162" s="58">
        <v>6.8316816437148269</v>
      </c>
      <c r="D162" s="58">
        <v>2255.831681643715</v>
      </c>
      <c r="E162" s="69"/>
      <c r="F162" s="29" t="s">
        <v>60</v>
      </c>
      <c r="G162" s="58">
        <v>66140</v>
      </c>
      <c r="H162" s="58">
        <v>237.27643334473885</v>
      </c>
      <c r="I162" s="58">
        <v>66377.276433344741</v>
      </c>
      <c r="J162" s="69"/>
    </row>
    <row r="163" spans="1:10" ht="23.25" customHeight="1" x14ac:dyDescent="0.25">
      <c r="A163" s="149" t="s">
        <v>1109</v>
      </c>
      <c r="B163" s="149"/>
      <c r="C163" s="149"/>
      <c r="D163" s="149"/>
      <c r="F163" s="149" t="s">
        <v>1109</v>
      </c>
      <c r="G163" s="149"/>
      <c r="H163" s="149"/>
      <c r="I163" s="149"/>
    </row>
  </sheetData>
  <mergeCells count="72">
    <mergeCell ref="A4:D4"/>
    <mergeCell ref="F4:I4"/>
    <mergeCell ref="A10:D10"/>
    <mergeCell ref="F10:I10"/>
    <mergeCell ref="A18:D18"/>
    <mergeCell ref="F18:I18"/>
    <mergeCell ref="A7:D7"/>
    <mergeCell ref="F7:I7"/>
    <mergeCell ref="A15:D15"/>
    <mergeCell ref="F15:I15"/>
    <mergeCell ref="A45:D45"/>
    <mergeCell ref="F45:I45"/>
    <mergeCell ref="A55:D55"/>
    <mergeCell ref="F55:I55"/>
    <mergeCell ref="A61:D61"/>
    <mergeCell ref="F61:I61"/>
    <mergeCell ref="A58:D58"/>
    <mergeCell ref="F58:I58"/>
    <mergeCell ref="A109:D109"/>
    <mergeCell ref="F109:I109"/>
    <mergeCell ref="A115:D115"/>
    <mergeCell ref="F115:I115"/>
    <mergeCell ref="F123:I123"/>
    <mergeCell ref="A123:D123"/>
    <mergeCell ref="A112:D112"/>
    <mergeCell ref="F112:I112"/>
    <mergeCell ref="A118:D118"/>
    <mergeCell ref="F118:I118"/>
    <mergeCell ref="A91:D91"/>
    <mergeCell ref="F91:I91"/>
    <mergeCell ref="A99:D99"/>
    <mergeCell ref="F99:I99"/>
    <mergeCell ref="A96:D96"/>
    <mergeCell ref="F96:I96"/>
    <mergeCell ref="F28:I28"/>
    <mergeCell ref="A28:D28"/>
    <mergeCell ref="A34:D34"/>
    <mergeCell ref="F34:I34"/>
    <mergeCell ref="A42:D42"/>
    <mergeCell ref="F42:I42"/>
    <mergeCell ref="A31:D31"/>
    <mergeCell ref="F31:I31"/>
    <mergeCell ref="A37:D37"/>
    <mergeCell ref="F37:I37"/>
    <mergeCell ref="A64:D64"/>
    <mergeCell ref="F64:I64"/>
    <mergeCell ref="A82:D82"/>
    <mergeCell ref="F82:I82"/>
    <mergeCell ref="A88:D88"/>
    <mergeCell ref="F88:I88"/>
    <mergeCell ref="A85:D85"/>
    <mergeCell ref="F85:I85"/>
    <mergeCell ref="A72:D72"/>
    <mergeCell ref="F72:I72"/>
    <mergeCell ref="A69:D69"/>
    <mergeCell ref="F69:I69"/>
    <mergeCell ref="A126:D126"/>
    <mergeCell ref="F126:I126"/>
    <mergeCell ref="A163:D163"/>
    <mergeCell ref="F163:I163"/>
    <mergeCell ref="A136:D136"/>
    <mergeCell ref="F136:I136"/>
    <mergeCell ref="F142:I142"/>
    <mergeCell ref="A142:D142"/>
    <mergeCell ref="A150:D150"/>
    <mergeCell ref="F150:I150"/>
    <mergeCell ref="A139:D139"/>
    <mergeCell ref="F139:I139"/>
    <mergeCell ref="A145:D145"/>
    <mergeCell ref="F145:I145"/>
    <mergeCell ref="A153:D153"/>
    <mergeCell ref="F153:I15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62"/>
  <sheetViews>
    <sheetView showGridLines="0" zoomScale="90" zoomScaleNormal="90" workbookViewId="0"/>
  </sheetViews>
  <sheetFormatPr baseColWidth="10" defaultRowHeight="15" x14ac:dyDescent="0.25"/>
  <cols>
    <col min="1" max="1" width="40.7109375" style="3" customWidth="1"/>
    <col min="2" max="2" width="15.7109375" style="3" customWidth="1"/>
    <col min="3" max="4" width="15.7109375" style="6" customWidth="1"/>
    <col min="5" max="5" width="7.5703125" customWidth="1"/>
    <col min="6" max="6" width="40.7109375" customWidth="1"/>
    <col min="7" max="9" width="15.7109375" customWidth="1"/>
  </cols>
  <sheetData>
    <row r="1" spans="1:10" ht="18.75" x14ac:dyDescent="0.3">
      <c r="A1" s="1" t="s">
        <v>369</v>
      </c>
      <c r="B1" s="1"/>
    </row>
    <row r="2" spans="1:10" x14ac:dyDescent="0.25">
      <c r="A2" s="7"/>
      <c r="B2" s="7"/>
    </row>
    <row r="3" spans="1:10" x14ac:dyDescent="0.25">
      <c r="A3" s="7" t="s">
        <v>370</v>
      </c>
      <c r="B3" s="7"/>
      <c r="F3" s="7" t="s">
        <v>371</v>
      </c>
      <c r="G3" s="7"/>
      <c r="H3" s="6"/>
      <c r="I3" s="6"/>
    </row>
    <row r="4" spans="1:10" x14ac:dyDescent="0.25">
      <c r="A4" s="148" t="s">
        <v>507</v>
      </c>
      <c r="B4" s="148"/>
      <c r="C4" s="148"/>
      <c r="D4" s="148"/>
      <c r="F4" s="148" t="s">
        <v>508</v>
      </c>
      <c r="G4" s="148"/>
      <c r="H4" s="148"/>
      <c r="I4" s="148"/>
    </row>
    <row r="5" spans="1:10" x14ac:dyDescent="0.25">
      <c r="A5" s="61" t="s">
        <v>345</v>
      </c>
      <c r="B5" s="61" t="s">
        <v>0</v>
      </c>
      <c r="C5" s="61" t="s">
        <v>1</v>
      </c>
      <c r="D5" s="61" t="s">
        <v>59</v>
      </c>
      <c r="F5" s="8" t="s">
        <v>345</v>
      </c>
      <c r="G5" s="8" t="s">
        <v>0</v>
      </c>
      <c r="H5" s="8" t="s">
        <v>1</v>
      </c>
      <c r="I5" s="8" t="s">
        <v>59</v>
      </c>
    </row>
    <row r="6" spans="1:10" x14ac:dyDescent="0.25">
      <c r="A6" s="87" t="s">
        <v>346</v>
      </c>
      <c r="B6" s="79">
        <v>237</v>
      </c>
      <c r="C6" s="79">
        <v>218</v>
      </c>
      <c r="D6" s="79">
        <v>455</v>
      </c>
      <c r="E6" s="69"/>
      <c r="F6" s="89" t="s">
        <v>346</v>
      </c>
      <c r="G6" s="85">
        <v>5298</v>
      </c>
      <c r="H6" s="85">
        <v>3750</v>
      </c>
      <c r="I6" s="85">
        <v>9048</v>
      </c>
      <c r="J6" s="69"/>
    </row>
    <row r="7" spans="1:10" x14ac:dyDescent="0.25">
      <c r="E7" s="69"/>
      <c r="F7" s="3"/>
      <c r="G7" s="3"/>
      <c r="H7" s="6"/>
      <c r="I7" s="6"/>
      <c r="J7" s="69"/>
    </row>
    <row r="8" spans="1:10" x14ac:dyDescent="0.25">
      <c r="E8" s="69"/>
      <c r="F8" s="3"/>
      <c r="G8" s="3"/>
      <c r="H8" s="6"/>
      <c r="I8" s="6"/>
      <c r="J8" s="69"/>
    </row>
    <row r="9" spans="1:10" x14ac:dyDescent="0.25">
      <c r="A9" s="7" t="s">
        <v>372</v>
      </c>
      <c r="B9" s="7"/>
      <c r="E9" s="69"/>
      <c r="F9" s="7" t="s">
        <v>373</v>
      </c>
      <c r="G9" s="7"/>
      <c r="H9" s="6"/>
      <c r="I9" s="6"/>
      <c r="J9" s="69"/>
    </row>
    <row r="10" spans="1:10" ht="26.25" customHeight="1" x14ac:dyDescent="0.25">
      <c r="A10" s="148" t="s">
        <v>509</v>
      </c>
      <c r="B10" s="148"/>
      <c r="C10" s="148"/>
      <c r="D10" s="148"/>
      <c r="F10" s="148" t="s">
        <v>510</v>
      </c>
      <c r="G10" s="148"/>
      <c r="H10" s="148"/>
      <c r="I10" s="148"/>
    </row>
    <row r="11" spans="1:10" x14ac:dyDescent="0.25">
      <c r="A11" s="44" t="s">
        <v>66</v>
      </c>
      <c r="B11" s="44" t="s">
        <v>0</v>
      </c>
      <c r="C11" s="44" t="s">
        <v>1</v>
      </c>
      <c r="D11" s="44" t="s">
        <v>59</v>
      </c>
      <c r="E11" s="69"/>
      <c r="F11" s="44" t="s">
        <v>66</v>
      </c>
      <c r="G11" s="44" t="s">
        <v>0</v>
      </c>
      <c r="H11" s="44" t="s">
        <v>1</v>
      </c>
      <c r="I11" s="44" t="s">
        <v>59</v>
      </c>
      <c r="J11" s="69"/>
    </row>
    <row r="12" spans="1:10" x14ac:dyDescent="0.25">
      <c r="A12" s="22" t="s">
        <v>5</v>
      </c>
      <c r="B12" s="73">
        <v>172</v>
      </c>
      <c r="C12" s="73">
        <v>184</v>
      </c>
      <c r="D12" s="73">
        <v>356</v>
      </c>
      <c r="E12" s="69"/>
      <c r="F12" s="22" t="s">
        <v>5</v>
      </c>
      <c r="G12" s="75">
        <v>3795</v>
      </c>
      <c r="H12" s="73">
        <v>3276</v>
      </c>
      <c r="I12" s="73">
        <v>7071</v>
      </c>
      <c r="J12" s="69"/>
    </row>
    <row r="13" spans="1:10" x14ac:dyDescent="0.25">
      <c r="A13" s="25" t="s">
        <v>6</v>
      </c>
      <c r="B13" s="75">
        <v>65</v>
      </c>
      <c r="C13" s="75">
        <v>34</v>
      </c>
      <c r="D13" s="75">
        <v>99</v>
      </c>
      <c r="E13" s="69"/>
      <c r="F13" s="25" t="s">
        <v>6</v>
      </c>
      <c r="G13" s="75">
        <v>1503</v>
      </c>
      <c r="H13" s="75">
        <v>474</v>
      </c>
      <c r="I13" s="75">
        <v>1977</v>
      </c>
      <c r="J13" s="69"/>
    </row>
    <row r="14" spans="1:10" x14ac:dyDescent="0.25">
      <c r="A14" s="29" t="s">
        <v>60</v>
      </c>
      <c r="B14" s="77">
        <v>237</v>
      </c>
      <c r="C14" s="77">
        <v>218</v>
      </c>
      <c r="D14" s="77">
        <v>455</v>
      </c>
      <c r="E14" s="69"/>
      <c r="F14" s="29" t="s">
        <v>60</v>
      </c>
      <c r="G14" s="77">
        <v>5298</v>
      </c>
      <c r="H14" s="77">
        <v>3750</v>
      </c>
      <c r="I14" s="77">
        <v>9048</v>
      </c>
      <c r="J14" s="69"/>
    </row>
    <row r="15" spans="1:10" x14ac:dyDescent="0.25">
      <c r="E15" s="69"/>
      <c r="F15" s="3"/>
      <c r="G15" s="3"/>
      <c r="H15" s="6"/>
      <c r="I15" s="6"/>
      <c r="J15" s="69"/>
    </row>
    <row r="16" spans="1:10" x14ac:dyDescent="0.25">
      <c r="E16" s="69"/>
      <c r="F16" s="3"/>
      <c r="G16" s="3"/>
      <c r="H16" s="6"/>
      <c r="I16" s="6"/>
      <c r="J16" s="69"/>
    </row>
    <row r="17" spans="1:10" x14ac:dyDescent="0.25">
      <c r="A17" s="7" t="s">
        <v>374</v>
      </c>
      <c r="B17" s="7"/>
      <c r="E17" s="69"/>
      <c r="F17" s="7" t="s">
        <v>375</v>
      </c>
      <c r="G17" s="7"/>
      <c r="H17" s="6"/>
      <c r="I17" s="6"/>
      <c r="J17" s="69"/>
    </row>
    <row r="18" spans="1:10" ht="26.25" customHeight="1" x14ac:dyDescent="0.25">
      <c r="A18" s="148" t="s">
        <v>549</v>
      </c>
      <c r="B18" s="148"/>
      <c r="C18" s="148"/>
      <c r="D18" s="148"/>
      <c r="F18" s="148" t="s">
        <v>550</v>
      </c>
      <c r="G18" s="148"/>
      <c r="H18" s="148"/>
      <c r="I18" s="148"/>
    </row>
    <row r="19" spans="1:10" x14ac:dyDescent="0.25">
      <c r="A19" s="24" t="s">
        <v>67</v>
      </c>
      <c r="B19" s="44" t="s">
        <v>0</v>
      </c>
      <c r="C19" s="44" t="s">
        <v>1</v>
      </c>
      <c r="D19" s="44" t="s">
        <v>59</v>
      </c>
      <c r="E19" s="69"/>
      <c r="F19" s="24" t="s">
        <v>67</v>
      </c>
      <c r="G19" s="44" t="s">
        <v>0</v>
      </c>
      <c r="H19" s="44" t="s">
        <v>1</v>
      </c>
      <c r="I19" s="44" t="s">
        <v>59</v>
      </c>
      <c r="J19" s="69"/>
    </row>
    <row r="20" spans="1:10" x14ac:dyDescent="0.25">
      <c r="A20" s="22" t="s">
        <v>53</v>
      </c>
      <c r="B20" s="112">
        <v>0</v>
      </c>
      <c r="C20" s="112">
        <v>0</v>
      </c>
      <c r="D20" s="112">
        <v>0</v>
      </c>
      <c r="E20" s="69"/>
      <c r="F20" s="22" t="s">
        <v>53</v>
      </c>
      <c r="G20" s="111">
        <v>0</v>
      </c>
      <c r="H20" s="112">
        <v>0</v>
      </c>
      <c r="I20" s="112">
        <v>0</v>
      </c>
      <c r="J20" s="69"/>
    </row>
    <row r="21" spans="1:10" x14ac:dyDescent="0.25">
      <c r="A21" s="25" t="s">
        <v>2</v>
      </c>
      <c r="B21" s="111">
        <v>0</v>
      </c>
      <c r="C21" s="75">
        <v>2</v>
      </c>
      <c r="D21" s="75">
        <v>2</v>
      </c>
      <c r="E21" s="69"/>
      <c r="F21" s="25" t="s">
        <v>2</v>
      </c>
      <c r="G21" s="111">
        <v>0</v>
      </c>
      <c r="H21" s="75">
        <v>30</v>
      </c>
      <c r="I21" s="75">
        <v>30</v>
      </c>
      <c r="J21" s="69"/>
    </row>
    <row r="22" spans="1:10" x14ac:dyDescent="0.25">
      <c r="A22" s="25" t="s">
        <v>54</v>
      </c>
      <c r="B22" s="75">
        <v>11</v>
      </c>
      <c r="C22" s="75">
        <v>14</v>
      </c>
      <c r="D22" s="75">
        <v>25</v>
      </c>
      <c r="E22" s="69"/>
      <c r="F22" s="25" t="s">
        <v>54</v>
      </c>
      <c r="G22" s="75">
        <v>139</v>
      </c>
      <c r="H22" s="75">
        <v>180</v>
      </c>
      <c r="I22" s="75">
        <v>319</v>
      </c>
      <c r="J22" s="69"/>
    </row>
    <row r="23" spans="1:10" x14ac:dyDescent="0.25">
      <c r="A23" s="25" t="s">
        <v>55</v>
      </c>
      <c r="B23" s="75">
        <v>33</v>
      </c>
      <c r="C23" s="75">
        <v>26</v>
      </c>
      <c r="D23" s="75">
        <v>59</v>
      </c>
      <c r="E23" s="69"/>
      <c r="F23" s="25" t="s">
        <v>55</v>
      </c>
      <c r="G23" s="75">
        <v>753</v>
      </c>
      <c r="H23" s="75">
        <v>336</v>
      </c>
      <c r="I23" s="75">
        <v>1089</v>
      </c>
      <c r="J23" s="69"/>
    </row>
    <row r="24" spans="1:10" x14ac:dyDescent="0.25">
      <c r="A24" s="25" t="s">
        <v>56</v>
      </c>
      <c r="B24" s="75">
        <v>62</v>
      </c>
      <c r="C24" s="75">
        <v>56</v>
      </c>
      <c r="D24" s="75">
        <v>118</v>
      </c>
      <c r="E24" s="69"/>
      <c r="F24" s="25" t="s">
        <v>56</v>
      </c>
      <c r="G24" s="75">
        <v>1216</v>
      </c>
      <c r="H24" s="75">
        <v>844</v>
      </c>
      <c r="I24" s="75">
        <v>2060</v>
      </c>
      <c r="J24" s="69"/>
    </row>
    <row r="25" spans="1:10" x14ac:dyDescent="0.25">
      <c r="A25" s="25" t="s">
        <v>57</v>
      </c>
      <c r="B25" s="75">
        <v>95</v>
      </c>
      <c r="C25" s="75">
        <v>108</v>
      </c>
      <c r="D25" s="75">
        <v>203</v>
      </c>
      <c r="E25" s="69"/>
      <c r="F25" s="25" t="s">
        <v>57</v>
      </c>
      <c r="G25" s="75">
        <v>2237</v>
      </c>
      <c r="H25" s="75">
        <v>2093</v>
      </c>
      <c r="I25" s="75">
        <v>4330</v>
      </c>
      <c r="J25" s="69"/>
    </row>
    <row r="26" spans="1:10" x14ac:dyDescent="0.25">
      <c r="A26" s="25" t="s">
        <v>3</v>
      </c>
      <c r="B26" s="75">
        <v>36</v>
      </c>
      <c r="C26" s="75">
        <v>12</v>
      </c>
      <c r="D26" s="75">
        <v>48</v>
      </c>
      <c r="E26" s="69"/>
      <c r="F26" s="25" t="s">
        <v>3</v>
      </c>
      <c r="G26" s="75">
        <v>953</v>
      </c>
      <c r="H26" s="75">
        <v>267</v>
      </c>
      <c r="I26" s="75">
        <v>1220</v>
      </c>
      <c r="J26" s="69"/>
    </row>
    <row r="27" spans="1:10" x14ac:dyDescent="0.25">
      <c r="A27" s="29" t="s">
        <v>60</v>
      </c>
      <c r="B27" s="77">
        <v>237</v>
      </c>
      <c r="C27" s="77">
        <v>218</v>
      </c>
      <c r="D27" s="77">
        <v>455</v>
      </c>
      <c r="E27" s="69"/>
      <c r="F27" s="29" t="s">
        <v>60</v>
      </c>
      <c r="G27" s="58">
        <v>5298</v>
      </c>
      <c r="H27" s="58">
        <v>3750</v>
      </c>
      <c r="I27" s="58">
        <v>9048</v>
      </c>
      <c r="J27" s="69"/>
    </row>
    <row r="28" spans="1:10" x14ac:dyDescent="0.25">
      <c r="E28" s="69"/>
      <c r="J28" s="69"/>
    </row>
    <row r="29" spans="1:10" x14ac:dyDescent="0.25">
      <c r="E29" s="69"/>
      <c r="J29" s="69"/>
    </row>
    <row r="30" spans="1:10" x14ac:dyDescent="0.25">
      <c r="A30" s="7" t="s">
        <v>376</v>
      </c>
      <c r="B30" s="7"/>
      <c r="E30" s="69"/>
      <c r="F30" s="7" t="s">
        <v>377</v>
      </c>
      <c r="G30" s="7"/>
      <c r="H30" s="6"/>
      <c r="I30" s="6"/>
      <c r="J30" s="69"/>
    </row>
    <row r="31" spans="1:10" ht="29.25" customHeight="1" x14ac:dyDescent="0.25">
      <c r="A31" s="148" t="s">
        <v>551</v>
      </c>
      <c r="B31" s="148"/>
      <c r="C31" s="148"/>
      <c r="D31" s="148"/>
      <c r="F31" s="148" t="s">
        <v>552</v>
      </c>
      <c r="G31" s="148"/>
      <c r="H31" s="148"/>
      <c r="I31" s="148"/>
      <c r="J31" s="69"/>
    </row>
    <row r="32" spans="1:10" x14ac:dyDescent="0.25">
      <c r="A32" s="24" t="s">
        <v>347</v>
      </c>
      <c r="B32" s="24" t="s">
        <v>0</v>
      </c>
      <c r="C32" s="24" t="s">
        <v>1</v>
      </c>
      <c r="D32" s="24" t="s">
        <v>59</v>
      </c>
      <c r="E32" s="69"/>
      <c r="F32" s="24" t="s">
        <v>347</v>
      </c>
      <c r="G32" s="24" t="s">
        <v>0</v>
      </c>
      <c r="H32" s="24" t="s">
        <v>1</v>
      </c>
      <c r="I32" s="24" t="s">
        <v>59</v>
      </c>
      <c r="J32" s="69"/>
    </row>
    <row r="33" spans="1:10" x14ac:dyDescent="0.25">
      <c r="A33" s="87" t="s">
        <v>348</v>
      </c>
      <c r="B33" s="85">
        <v>302</v>
      </c>
      <c r="C33" s="85">
        <v>88</v>
      </c>
      <c r="D33" s="88">
        <v>390</v>
      </c>
      <c r="E33" s="69"/>
      <c r="F33" s="87" t="s">
        <v>348</v>
      </c>
      <c r="G33" s="85">
        <v>8725</v>
      </c>
      <c r="H33" s="85">
        <v>2024</v>
      </c>
      <c r="I33" s="88">
        <v>10749</v>
      </c>
      <c r="J33" s="69"/>
    </row>
    <row r="34" spans="1:10" x14ac:dyDescent="0.25">
      <c r="E34" s="69"/>
      <c r="F34" s="3"/>
      <c r="G34" s="3"/>
      <c r="H34" s="6"/>
      <c r="I34" s="6"/>
      <c r="J34" s="69"/>
    </row>
    <row r="35" spans="1:10" x14ac:dyDescent="0.25">
      <c r="E35" s="69"/>
      <c r="F35" s="3"/>
      <c r="G35" s="3"/>
      <c r="H35" s="6"/>
      <c r="I35" s="6"/>
      <c r="J35" s="69"/>
    </row>
    <row r="36" spans="1:10" x14ac:dyDescent="0.25">
      <c r="A36" s="7" t="s">
        <v>378</v>
      </c>
      <c r="B36" s="7"/>
      <c r="E36" s="69"/>
      <c r="F36" s="7" t="s">
        <v>379</v>
      </c>
      <c r="G36" s="7"/>
      <c r="H36" s="6"/>
      <c r="I36" s="6"/>
      <c r="J36" s="69"/>
    </row>
    <row r="37" spans="1:10" ht="29.25" customHeight="1" x14ac:dyDescent="0.25">
      <c r="A37" s="148" t="s">
        <v>554</v>
      </c>
      <c r="B37" s="148"/>
      <c r="C37" s="148"/>
      <c r="D37" s="148"/>
      <c r="F37" s="148" t="s">
        <v>553</v>
      </c>
      <c r="G37" s="148"/>
      <c r="H37" s="148"/>
      <c r="I37" s="148"/>
      <c r="J37" s="69"/>
    </row>
    <row r="38" spans="1:10" x14ac:dyDescent="0.25">
      <c r="A38" s="44" t="s">
        <v>66</v>
      </c>
      <c r="B38" s="24" t="s">
        <v>0</v>
      </c>
      <c r="C38" s="24" t="s">
        <v>1</v>
      </c>
      <c r="D38" s="24" t="s">
        <v>59</v>
      </c>
      <c r="E38" s="69"/>
      <c r="F38" s="44" t="s">
        <v>66</v>
      </c>
      <c r="G38" s="24" t="s">
        <v>0</v>
      </c>
      <c r="H38" s="24" t="s">
        <v>1</v>
      </c>
      <c r="I38" s="24" t="s">
        <v>59</v>
      </c>
      <c r="J38" s="69"/>
    </row>
    <row r="39" spans="1:10" x14ac:dyDescent="0.25">
      <c r="A39" s="22" t="s">
        <v>5</v>
      </c>
      <c r="B39" s="75">
        <v>239</v>
      </c>
      <c r="C39" s="75">
        <v>73</v>
      </c>
      <c r="D39" s="4">
        <v>312</v>
      </c>
      <c r="E39" s="69"/>
      <c r="F39" s="22" t="s">
        <v>5</v>
      </c>
      <c r="G39" s="75">
        <v>7127</v>
      </c>
      <c r="H39" s="75">
        <v>1741</v>
      </c>
      <c r="I39" s="75">
        <v>8868</v>
      </c>
      <c r="J39" s="69"/>
    </row>
    <row r="40" spans="1:10" x14ac:dyDescent="0.25">
      <c r="A40" s="25" t="s">
        <v>6</v>
      </c>
      <c r="B40" s="75">
        <v>63</v>
      </c>
      <c r="C40" s="75">
        <v>15</v>
      </c>
      <c r="D40" s="5">
        <v>78</v>
      </c>
      <c r="E40" s="69"/>
      <c r="F40" s="25" t="s">
        <v>6</v>
      </c>
      <c r="G40" s="75">
        <v>1598</v>
      </c>
      <c r="H40" s="75">
        <v>283</v>
      </c>
      <c r="I40" s="75">
        <v>1881</v>
      </c>
      <c r="J40" s="69"/>
    </row>
    <row r="41" spans="1:10" x14ac:dyDescent="0.25">
      <c r="A41" s="29" t="s">
        <v>60</v>
      </c>
      <c r="B41" s="58">
        <v>302</v>
      </c>
      <c r="C41" s="58">
        <v>88</v>
      </c>
      <c r="D41" s="58">
        <v>390</v>
      </c>
      <c r="E41" s="69"/>
      <c r="F41" s="29" t="s">
        <v>60</v>
      </c>
      <c r="G41" s="58">
        <v>8725</v>
      </c>
      <c r="H41" s="58">
        <v>2024</v>
      </c>
      <c r="I41" s="58">
        <v>10749</v>
      </c>
      <c r="J41" s="69"/>
    </row>
    <row r="42" spans="1:10" x14ac:dyDescent="0.25">
      <c r="E42" s="69"/>
      <c r="F42" s="3"/>
      <c r="G42" s="3"/>
      <c r="H42" s="6"/>
      <c r="I42" s="6"/>
      <c r="J42" s="69"/>
    </row>
    <row r="43" spans="1:10" x14ac:dyDescent="0.25">
      <c r="E43" s="69"/>
      <c r="F43" s="3"/>
      <c r="G43" s="3"/>
      <c r="H43" s="6"/>
      <c r="I43" s="6"/>
      <c r="J43" s="69"/>
    </row>
    <row r="44" spans="1:10" x14ac:dyDescent="0.25">
      <c r="A44" s="7" t="s">
        <v>380</v>
      </c>
      <c r="B44" s="7"/>
      <c r="E44" s="69"/>
      <c r="F44" s="7" t="s">
        <v>381</v>
      </c>
      <c r="G44" s="7"/>
      <c r="H44" s="6"/>
      <c r="I44" s="6"/>
      <c r="J44" s="69"/>
    </row>
    <row r="45" spans="1:10" ht="29.25" customHeight="1" x14ac:dyDescent="0.25">
      <c r="A45" s="148" t="s">
        <v>555</v>
      </c>
      <c r="B45" s="148"/>
      <c r="C45" s="148"/>
      <c r="D45" s="148"/>
      <c r="F45" s="148" t="s">
        <v>556</v>
      </c>
      <c r="G45" s="148"/>
      <c r="H45" s="148"/>
      <c r="I45" s="148"/>
      <c r="J45" s="69"/>
    </row>
    <row r="46" spans="1:10" x14ac:dyDescent="0.25">
      <c r="A46" s="24" t="s">
        <v>67</v>
      </c>
      <c r="B46" s="44" t="s">
        <v>0</v>
      </c>
      <c r="C46" s="44" t="s">
        <v>1</v>
      </c>
      <c r="D46" s="44" t="s">
        <v>59</v>
      </c>
      <c r="E46" s="69"/>
      <c r="F46" s="24" t="s">
        <v>67</v>
      </c>
      <c r="G46" s="24" t="s">
        <v>0</v>
      </c>
      <c r="H46" s="24" t="s">
        <v>1</v>
      </c>
      <c r="I46" s="24" t="s">
        <v>59</v>
      </c>
      <c r="J46" s="69"/>
    </row>
    <row r="47" spans="1:10" x14ac:dyDescent="0.25">
      <c r="A47" s="22" t="s">
        <v>53</v>
      </c>
      <c r="B47" s="111">
        <v>0</v>
      </c>
      <c r="C47" s="111">
        <v>0</v>
      </c>
      <c r="D47" s="111">
        <v>0</v>
      </c>
      <c r="E47" s="69"/>
      <c r="F47" s="22" t="s">
        <v>53</v>
      </c>
      <c r="G47" s="111">
        <v>0</v>
      </c>
      <c r="H47" s="111">
        <v>0</v>
      </c>
      <c r="I47" s="111">
        <v>0</v>
      </c>
      <c r="J47" s="69"/>
    </row>
    <row r="48" spans="1:10" x14ac:dyDescent="0.25">
      <c r="A48" s="25" t="s">
        <v>2</v>
      </c>
      <c r="B48" s="75">
        <v>4</v>
      </c>
      <c r="C48" s="75">
        <v>4</v>
      </c>
      <c r="D48" s="75">
        <v>8</v>
      </c>
      <c r="E48" s="69"/>
      <c r="F48" s="25" t="s">
        <v>2</v>
      </c>
      <c r="G48" s="75">
        <v>48</v>
      </c>
      <c r="H48" s="75">
        <v>52</v>
      </c>
      <c r="I48" s="75">
        <v>100</v>
      </c>
      <c r="J48" s="69"/>
    </row>
    <row r="49" spans="1:10" x14ac:dyDescent="0.25">
      <c r="A49" s="25" t="s">
        <v>54</v>
      </c>
      <c r="B49" s="75">
        <v>5</v>
      </c>
      <c r="C49" s="75">
        <v>3</v>
      </c>
      <c r="D49" s="75">
        <v>8</v>
      </c>
      <c r="E49" s="69"/>
      <c r="F49" s="25" t="s">
        <v>54</v>
      </c>
      <c r="G49" s="75">
        <v>62</v>
      </c>
      <c r="H49" s="75">
        <v>41</v>
      </c>
      <c r="I49" s="75">
        <v>103</v>
      </c>
      <c r="J49" s="69"/>
    </row>
    <row r="50" spans="1:10" x14ac:dyDescent="0.25">
      <c r="A50" s="25" t="s">
        <v>55</v>
      </c>
      <c r="B50" s="75">
        <v>40</v>
      </c>
      <c r="C50" s="75">
        <v>11</v>
      </c>
      <c r="D50" s="75">
        <v>51</v>
      </c>
      <c r="E50" s="69"/>
      <c r="F50" s="25" t="s">
        <v>55</v>
      </c>
      <c r="G50" s="75">
        <v>1169</v>
      </c>
      <c r="H50" s="75">
        <v>230</v>
      </c>
      <c r="I50" s="75">
        <v>1399</v>
      </c>
      <c r="J50" s="69"/>
    </row>
    <row r="51" spans="1:10" x14ac:dyDescent="0.25">
      <c r="A51" s="25" t="s">
        <v>56</v>
      </c>
      <c r="B51" s="75">
        <v>63</v>
      </c>
      <c r="C51" s="75">
        <v>20</v>
      </c>
      <c r="D51" s="75">
        <v>83</v>
      </c>
      <c r="E51" s="69"/>
      <c r="F51" s="25" t="s">
        <v>56</v>
      </c>
      <c r="G51" s="75">
        <v>1638</v>
      </c>
      <c r="H51" s="75">
        <v>373</v>
      </c>
      <c r="I51" s="75">
        <v>2011</v>
      </c>
      <c r="J51" s="69"/>
    </row>
    <row r="52" spans="1:10" x14ac:dyDescent="0.25">
      <c r="A52" s="25" t="s">
        <v>57</v>
      </c>
      <c r="B52" s="75">
        <v>118</v>
      </c>
      <c r="C52" s="75">
        <v>40</v>
      </c>
      <c r="D52" s="75">
        <v>158</v>
      </c>
      <c r="E52" s="69"/>
      <c r="F52" s="25" t="s">
        <v>57</v>
      </c>
      <c r="G52" s="75">
        <v>3245</v>
      </c>
      <c r="H52" s="75">
        <v>1038</v>
      </c>
      <c r="I52" s="75">
        <v>4283</v>
      </c>
      <c r="J52" s="69"/>
    </row>
    <row r="53" spans="1:10" x14ac:dyDescent="0.25">
      <c r="A53" s="25" t="s">
        <v>3</v>
      </c>
      <c r="B53" s="75">
        <v>72</v>
      </c>
      <c r="C53" s="75">
        <v>10</v>
      </c>
      <c r="D53" s="75">
        <v>82</v>
      </c>
      <c r="E53" s="69"/>
      <c r="F53" s="25" t="s">
        <v>3</v>
      </c>
      <c r="G53" s="75">
        <v>2563</v>
      </c>
      <c r="H53" s="75">
        <v>290</v>
      </c>
      <c r="I53" s="75">
        <v>2853</v>
      </c>
      <c r="J53" s="69"/>
    </row>
    <row r="54" spans="1:10" x14ac:dyDescent="0.25">
      <c r="A54" s="29" t="s">
        <v>60</v>
      </c>
      <c r="B54" s="58">
        <v>302</v>
      </c>
      <c r="C54" s="58">
        <v>88</v>
      </c>
      <c r="D54" s="58">
        <v>390</v>
      </c>
      <c r="E54" s="69"/>
      <c r="F54" s="29" t="s">
        <v>60</v>
      </c>
      <c r="G54" s="58">
        <v>8725</v>
      </c>
      <c r="H54" s="58">
        <v>2024</v>
      </c>
      <c r="I54" s="58">
        <v>10749</v>
      </c>
      <c r="J54" s="69"/>
    </row>
    <row r="55" spans="1:10" x14ac:dyDescent="0.25">
      <c r="E55" s="69"/>
      <c r="J55" s="69"/>
    </row>
    <row r="56" spans="1:10" x14ac:dyDescent="0.25">
      <c r="E56" s="69"/>
      <c r="J56" s="69"/>
    </row>
    <row r="57" spans="1:10" x14ac:dyDescent="0.25">
      <c r="A57" s="7" t="s">
        <v>908</v>
      </c>
      <c r="B57" s="7"/>
      <c r="E57" s="69"/>
      <c r="F57" s="7" t="s">
        <v>909</v>
      </c>
      <c r="G57" s="7"/>
      <c r="H57" s="6"/>
      <c r="I57" s="6"/>
      <c r="J57" s="69"/>
    </row>
    <row r="58" spans="1:10" ht="29.25" customHeight="1" x14ac:dyDescent="0.25">
      <c r="A58" s="148" t="s">
        <v>557</v>
      </c>
      <c r="B58" s="148"/>
      <c r="C58" s="148"/>
      <c r="D58" s="148"/>
      <c r="F58" s="148" t="s">
        <v>558</v>
      </c>
      <c r="G58" s="148"/>
      <c r="H58" s="148"/>
      <c r="I58" s="148"/>
      <c r="J58" s="69"/>
    </row>
    <row r="59" spans="1:10" x14ac:dyDescent="0.25">
      <c r="A59" s="24" t="s">
        <v>349</v>
      </c>
      <c r="B59" s="24" t="s">
        <v>0</v>
      </c>
      <c r="C59" s="24" t="s">
        <v>1</v>
      </c>
      <c r="D59" s="24" t="s">
        <v>59</v>
      </c>
      <c r="E59" s="69"/>
      <c r="F59" s="24" t="s">
        <v>349</v>
      </c>
      <c r="G59" s="24" t="s">
        <v>0</v>
      </c>
      <c r="H59" s="24" t="s">
        <v>1</v>
      </c>
      <c r="I59" s="24" t="s">
        <v>59</v>
      </c>
      <c r="J59" s="69"/>
    </row>
    <row r="60" spans="1:10" x14ac:dyDescent="0.25">
      <c r="A60" s="87" t="s">
        <v>350</v>
      </c>
      <c r="B60" s="85">
        <v>1206</v>
      </c>
      <c r="C60" s="85">
        <v>559</v>
      </c>
      <c r="D60" s="85">
        <v>1765</v>
      </c>
      <c r="E60" s="69"/>
      <c r="F60" s="87" t="s">
        <v>350</v>
      </c>
      <c r="G60" s="85">
        <v>38703</v>
      </c>
      <c r="H60" s="85">
        <v>16703</v>
      </c>
      <c r="I60" s="88">
        <v>55406</v>
      </c>
      <c r="J60" s="69"/>
    </row>
    <row r="61" spans="1:10" x14ac:dyDescent="0.25">
      <c r="E61" s="69"/>
      <c r="F61" s="3"/>
      <c r="G61" s="3"/>
      <c r="H61" s="6"/>
      <c r="I61" s="6"/>
      <c r="J61" s="69"/>
    </row>
    <row r="62" spans="1:10" x14ac:dyDescent="0.25">
      <c r="E62" s="69"/>
      <c r="F62" s="3"/>
      <c r="G62" s="3"/>
      <c r="H62" s="6"/>
      <c r="I62" s="6"/>
      <c r="J62" s="69"/>
    </row>
    <row r="63" spans="1:10" x14ac:dyDescent="0.25">
      <c r="A63" s="7" t="s">
        <v>911</v>
      </c>
      <c r="B63" s="7"/>
      <c r="E63" s="69"/>
      <c r="F63" s="7" t="s">
        <v>910</v>
      </c>
      <c r="G63" s="7"/>
      <c r="H63" s="6"/>
      <c r="I63" s="6"/>
      <c r="J63" s="69"/>
    </row>
    <row r="64" spans="1:10" ht="29.25" customHeight="1" x14ac:dyDescent="0.25">
      <c r="A64" s="148" t="s">
        <v>559</v>
      </c>
      <c r="B64" s="148"/>
      <c r="C64" s="148"/>
      <c r="D64" s="148"/>
      <c r="F64" s="148" t="s">
        <v>560</v>
      </c>
      <c r="G64" s="148"/>
      <c r="H64" s="148"/>
      <c r="I64" s="148"/>
      <c r="J64" s="69"/>
    </row>
    <row r="65" spans="1:10" x14ac:dyDescent="0.25">
      <c r="A65" s="44" t="s">
        <v>66</v>
      </c>
      <c r="B65" s="44" t="s">
        <v>0</v>
      </c>
      <c r="C65" s="44" t="s">
        <v>1</v>
      </c>
      <c r="D65" s="44" t="s">
        <v>59</v>
      </c>
      <c r="E65" s="69"/>
      <c r="F65" s="44" t="s">
        <v>66</v>
      </c>
      <c r="G65" s="44" t="s">
        <v>0</v>
      </c>
      <c r="H65" s="44" t="s">
        <v>1</v>
      </c>
      <c r="I65" s="44" t="s">
        <v>59</v>
      </c>
      <c r="J65" s="69"/>
    </row>
    <row r="66" spans="1:10" x14ac:dyDescent="0.25">
      <c r="A66" s="22" t="s">
        <v>5</v>
      </c>
      <c r="B66" s="75">
        <v>893</v>
      </c>
      <c r="C66" s="75">
        <v>396</v>
      </c>
      <c r="D66" s="75">
        <v>1289</v>
      </c>
      <c r="E66" s="69"/>
      <c r="F66" s="22" t="s">
        <v>5</v>
      </c>
      <c r="G66" s="75">
        <v>29236</v>
      </c>
      <c r="H66" s="4">
        <v>11709</v>
      </c>
      <c r="I66" s="4">
        <v>40945</v>
      </c>
      <c r="J66" s="69"/>
    </row>
    <row r="67" spans="1:10" x14ac:dyDescent="0.25">
      <c r="A67" s="25" t="s">
        <v>6</v>
      </c>
      <c r="B67" s="75">
        <v>313</v>
      </c>
      <c r="C67" s="75">
        <v>163</v>
      </c>
      <c r="D67" s="75">
        <v>476</v>
      </c>
      <c r="E67" s="69"/>
      <c r="F67" s="25" t="s">
        <v>6</v>
      </c>
      <c r="G67" s="75">
        <v>9467</v>
      </c>
      <c r="H67" s="5">
        <v>4994</v>
      </c>
      <c r="I67" s="5">
        <v>14461</v>
      </c>
      <c r="J67" s="69"/>
    </row>
    <row r="68" spans="1:10" x14ac:dyDescent="0.25">
      <c r="A68" s="29" t="s">
        <v>60</v>
      </c>
      <c r="B68" s="58">
        <v>1206</v>
      </c>
      <c r="C68" s="58">
        <v>559</v>
      </c>
      <c r="D68" s="58">
        <v>1765</v>
      </c>
      <c r="E68" s="69"/>
      <c r="F68" s="29" t="s">
        <v>60</v>
      </c>
      <c r="G68" s="58">
        <v>38703</v>
      </c>
      <c r="H68" s="58">
        <v>16703</v>
      </c>
      <c r="I68" s="58">
        <v>55406</v>
      </c>
      <c r="J68" s="69"/>
    </row>
    <row r="69" spans="1:10" x14ac:dyDescent="0.25">
      <c r="E69" s="69"/>
      <c r="F69" s="3"/>
      <c r="G69" s="3"/>
      <c r="H69" s="6"/>
      <c r="I69" s="6"/>
      <c r="J69" s="69"/>
    </row>
    <row r="70" spans="1:10" x14ac:dyDescent="0.25">
      <c r="E70" s="69"/>
      <c r="F70" s="3"/>
      <c r="G70" s="3"/>
      <c r="H70" s="6"/>
      <c r="I70" s="6"/>
      <c r="J70" s="69"/>
    </row>
    <row r="71" spans="1:10" x14ac:dyDescent="0.25">
      <c r="A71" s="7" t="s">
        <v>912</v>
      </c>
      <c r="B71" s="7"/>
      <c r="E71" s="69"/>
      <c r="F71" s="7" t="s">
        <v>913</v>
      </c>
      <c r="G71" s="7"/>
      <c r="H71" s="6"/>
      <c r="I71" s="6"/>
      <c r="J71" s="69"/>
    </row>
    <row r="72" spans="1:10" ht="29.25" customHeight="1" x14ac:dyDescent="0.25">
      <c r="A72" s="148" t="s">
        <v>562</v>
      </c>
      <c r="B72" s="148"/>
      <c r="C72" s="148"/>
      <c r="D72" s="148"/>
      <c r="F72" s="148" t="s">
        <v>561</v>
      </c>
      <c r="G72" s="148"/>
      <c r="H72" s="148"/>
      <c r="I72" s="148"/>
      <c r="J72" s="69"/>
    </row>
    <row r="73" spans="1:10" x14ac:dyDescent="0.25">
      <c r="A73" s="24" t="s">
        <v>67</v>
      </c>
      <c r="B73" s="44" t="s">
        <v>0</v>
      </c>
      <c r="C73" s="44" t="s">
        <v>1</v>
      </c>
      <c r="D73" s="44" t="s">
        <v>59</v>
      </c>
      <c r="E73" s="69"/>
      <c r="F73" s="92" t="s">
        <v>67</v>
      </c>
      <c r="G73" s="44" t="s">
        <v>0</v>
      </c>
      <c r="H73" s="93" t="s">
        <v>1</v>
      </c>
      <c r="I73" s="44" t="s">
        <v>59</v>
      </c>
      <c r="J73" s="69"/>
    </row>
    <row r="74" spans="1:10" x14ac:dyDescent="0.25">
      <c r="A74" s="22" t="s">
        <v>53</v>
      </c>
      <c r="B74" s="111">
        <v>0</v>
      </c>
      <c r="C74" s="111">
        <v>0</v>
      </c>
      <c r="D74" s="112">
        <v>0</v>
      </c>
      <c r="E74" s="69"/>
      <c r="F74" s="30" t="s">
        <v>53</v>
      </c>
      <c r="G74" s="111">
        <v>0</v>
      </c>
      <c r="H74" s="121">
        <v>0</v>
      </c>
      <c r="I74" s="117">
        <v>0</v>
      </c>
      <c r="J74" s="69"/>
    </row>
    <row r="75" spans="1:10" x14ac:dyDescent="0.25">
      <c r="A75" s="25" t="s">
        <v>2</v>
      </c>
      <c r="B75" s="111">
        <v>0</v>
      </c>
      <c r="C75" s="75">
        <v>2</v>
      </c>
      <c r="D75" s="75">
        <v>2</v>
      </c>
      <c r="E75" s="69"/>
      <c r="F75" s="31" t="s">
        <v>2</v>
      </c>
      <c r="G75" s="111">
        <v>0</v>
      </c>
      <c r="H75" s="55">
        <v>60</v>
      </c>
      <c r="I75" s="5">
        <v>60</v>
      </c>
      <c r="J75" s="69"/>
    </row>
    <row r="76" spans="1:10" x14ac:dyDescent="0.25">
      <c r="A76" s="25" t="s">
        <v>54</v>
      </c>
      <c r="B76" s="75">
        <v>16</v>
      </c>
      <c r="C76" s="75">
        <v>12</v>
      </c>
      <c r="D76" s="75">
        <v>28</v>
      </c>
      <c r="E76" s="69"/>
      <c r="F76" s="31" t="s">
        <v>54</v>
      </c>
      <c r="G76" s="75">
        <v>444</v>
      </c>
      <c r="H76" s="55">
        <v>322</v>
      </c>
      <c r="I76" s="5">
        <v>766</v>
      </c>
      <c r="J76" s="69"/>
    </row>
    <row r="77" spans="1:10" x14ac:dyDescent="0.25">
      <c r="A77" s="25" t="s">
        <v>55</v>
      </c>
      <c r="B77" s="75">
        <v>51</v>
      </c>
      <c r="C77" s="75">
        <v>86</v>
      </c>
      <c r="D77" s="75">
        <v>137</v>
      </c>
      <c r="E77" s="69"/>
      <c r="F77" s="31" t="s">
        <v>55</v>
      </c>
      <c r="G77" s="75">
        <v>1692</v>
      </c>
      <c r="H77" s="55">
        <v>2480</v>
      </c>
      <c r="I77" s="5">
        <v>4172</v>
      </c>
      <c r="J77" s="69"/>
    </row>
    <row r="78" spans="1:10" x14ac:dyDescent="0.25">
      <c r="A78" s="25" t="s">
        <v>56</v>
      </c>
      <c r="B78" s="75">
        <v>253</v>
      </c>
      <c r="C78" s="75">
        <v>101</v>
      </c>
      <c r="D78" s="75">
        <v>354</v>
      </c>
      <c r="E78" s="69"/>
      <c r="F78" s="31" t="s">
        <v>56</v>
      </c>
      <c r="G78" s="75">
        <v>7849</v>
      </c>
      <c r="H78" s="55">
        <v>2877</v>
      </c>
      <c r="I78" s="5">
        <v>10726</v>
      </c>
      <c r="J78" s="69"/>
    </row>
    <row r="79" spans="1:10" x14ac:dyDescent="0.25">
      <c r="A79" s="25" t="s">
        <v>57</v>
      </c>
      <c r="B79" s="75">
        <v>470</v>
      </c>
      <c r="C79" s="75">
        <v>181</v>
      </c>
      <c r="D79" s="75">
        <v>651</v>
      </c>
      <c r="E79" s="69"/>
      <c r="F79" s="31" t="s">
        <v>57</v>
      </c>
      <c r="G79" s="75">
        <v>15014</v>
      </c>
      <c r="H79" s="55">
        <v>5505</v>
      </c>
      <c r="I79" s="5">
        <v>20519</v>
      </c>
      <c r="J79" s="69"/>
    </row>
    <row r="80" spans="1:10" x14ac:dyDescent="0.25">
      <c r="A80" s="25" t="s">
        <v>3</v>
      </c>
      <c r="B80" s="75">
        <v>416</v>
      </c>
      <c r="C80" s="75">
        <v>177</v>
      </c>
      <c r="D80" s="75">
        <v>593</v>
      </c>
      <c r="E80" s="69"/>
      <c r="F80" s="31" t="s">
        <v>3</v>
      </c>
      <c r="G80" s="75">
        <v>13704</v>
      </c>
      <c r="H80" s="55">
        <v>5459</v>
      </c>
      <c r="I80" s="5">
        <v>19163</v>
      </c>
      <c r="J80" s="69"/>
    </row>
    <row r="81" spans="1:10" x14ac:dyDescent="0.25">
      <c r="A81" s="29" t="s">
        <v>60</v>
      </c>
      <c r="B81" s="58">
        <v>1206</v>
      </c>
      <c r="C81" s="58">
        <v>559</v>
      </c>
      <c r="D81" s="58">
        <v>1765</v>
      </c>
      <c r="E81" s="69"/>
      <c r="F81" s="94" t="s">
        <v>60</v>
      </c>
      <c r="G81" s="58">
        <v>38703</v>
      </c>
      <c r="H81" s="95">
        <v>16703</v>
      </c>
      <c r="I81" s="58">
        <v>55406</v>
      </c>
      <c r="J81" s="69"/>
    </row>
    <row r="82" spans="1:10" x14ac:dyDescent="0.25">
      <c r="E82" s="69"/>
      <c r="J82" s="69"/>
    </row>
    <row r="83" spans="1:10" x14ac:dyDescent="0.25">
      <c r="E83" s="69"/>
      <c r="J83" s="69"/>
    </row>
    <row r="84" spans="1:10" x14ac:dyDescent="0.25">
      <c r="A84" s="7" t="s">
        <v>915</v>
      </c>
      <c r="B84" s="7"/>
      <c r="E84" s="69"/>
      <c r="F84" s="7" t="s">
        <v>914</v>
      </c>
      <c r="G84" s="7"/>
      <c r="H84" s="6"/>
      <c r="I84" s="6"/>
      <c r="J84" s="69"/>
    </row>
    <row r="85" spans="1:10" x14ac:dyDescent="0.25">
      <c r="A85" s="148" t="s">
        <v>563</v>
      </c>
      <c r="B85" s="148"/>
      <c r="C85" s="148"/>
      <c r="D85" s="148"/>
      <c r="F85" s="148" t="s">
        <v>564</v>
      </c>
      <c r="G85" s="148"/>
      <c r="H85" s="148"/>
      <c r="I85" s="148"/>
      <c r="J85" s="69"/>
    </row>
    <row r="86" spans="1:10" x14ac:dyDescent="0.25">
      <c r="A86" s="24" t="s">
        <v>351</v>
      </c>
      <c r="B86" s="24" t="s">
        <v>0</v>
      </c>
      <c r="C86" s="24" t="s">
        <v>1</v>
      </c>
      <c r="D86" s="24" t="s">
        <v>59</v>
      </c>
      <c r="E86" s="69"/>
      <c r="F86" s="24" t="s">
        <v>351</v>
      </c>
      <c r="G86" s="24" t="s">
        <v>0</v>
      </c>
      <c r="H86" s="24" t="s">
        <v>1</v>
      </c>
      <c r="I86" s="24" t="s">
        <v>59</v>
      </c>
      <c r="J86" s="69"/>
    </row>
    <row r="87" spans="1:10" x14ac:dyDescent="0.25">
      <c r="A87" s="87" t="s">
        <v>352</v>
      </c>
      <c r="B87" s="85">
        <v>270</v>
      </c>
      <c r="C87" s="85">
        <v>261</v>
      </c>
      <c r="D87" s="85">
        <v>531</v>
      </c>
      <c r="E87" s="69"/>
      <c r="F87" s="87" t="s">
        <v>352</v>
      </c>
      <c r="G87" s="85">
        <v>8330</v>
      </c>
      <c r="H87" s="85">
        <v>7673</v>
      </c>
      <c r="I87" s="88">
        <v>16003</v>
      </c>
      <c r="J87" s="69"/>
    </row>
    <row r="88" spans="1:10" x14ac:dyDescent="0.25">
      <c r="E88" s="69"/>
      <c r="F88" s="3"/>
      <c r="G88" s="3"/>
      <c r="H88" s="6"/>
      <c r="I88" s="6"/>
      <c r="J88" s="69"/>
    </row>
    <row r="89" spans="1:10" x14ac:dyDescent="0.25">
      <c r="E89" s="69"/>
      <c r="F89" s="3"/>
      <c r="G89" s="3"/>
      <c r="H89" s="6"/>
      <c r="I89" s="6"/>
      <c r="J89" s="69"/>
    </row>
    <row r="90" spans="1:10" x14ac:dyDescent="0.25">
      <c r="A90" s="7" t="s">
        <v>916</v>
      </c>
      <c r="B90" s="7"/>
      <c r="E90" s="69"/>
      <c r="F90" s="7" t="s">
        <v>917</v>
      </c>
      <c r="G90" s="7"/>
      <c r="H90" s="6"/>
      <c r="I90" s="6"/>
      <c r="J90" s="69"/>
    </row>
    <row r="91" spans="1:10" ht="27.75" customHeight="1" x14ac:dyDescent="0.25">
      <c r="A91" s="148" t="s">
        <v>565</v>
      </c>
      <c r="B91" s="148"/>
      <c r="C91" s="148"/>
      <c r="D91" s="148"/>
      <c r="F91" s="148" t="s">
        <v>566</v>
      </c>
      <c r="G91" s="148"/>
      <c r="H91" s="148"/>
      <c r="I91" s="148"/>
      <c r="J91" s="69"/>
    </row>
    <row r="92" spans="1:10" x14ac:dyDescent="0.25">
      <c r="A92" s="44" t="s">
        <v>66</v>
      </c>
      <c r="B92" s="44" t="s">
        <v>0</v>
      </c>
      <c r="C92" s="44" t="s">
        <v>1</v>
      </c>
      <c r="D92" s="44" t="s">
        <v>59</v>
      </c>
      <c r="E92" s="69"/>
      <c r="F92" s="44" t="s">
        <v>66</v>
      </c>
      <c r="G92" s="44" t="s">
        <v>0</v>
      </c>
      <c r="H92" s="44" t="s">
        <v>1</v>
      </c>
      <c r="I92" s="44" t="s">
        <v>59</v>
      </c>
      <c r="J92" s="69"/>
    </row>
    <row r="93" spans="1:10" x14ac:dyDescent="0.25">
      <c r="A93" s="22" t="s">
        <v>5</v>
      </c>
      <c r="B93" s="75">
        <v>9</v>
      </c>
      <c r="C93" s="75">
        <v>1</v>
      </c>
      <c r="D93" s="75">
        <v>10</v>
      </c>
      <c r="E93" s="69"/>
      <c r="F93" s="22" t="s">
        <v>5</v>
      </c>
      <c r="G93" s="75">
        <v>126</v>
      </c>
      <c r="H93" s="73">
        <v>30</v>
      </c>
      <c r="I93" s="4">
        <v>156</v>
      </c>
      <c r="J93" s="69"/>
    </row>
    <row r="94" spans="1:10" x14ac:dyDescent="0.25">
      <c r="A94" s="25" t="s">
        <v>6</v>
      </c>
      <c r="B94" s="75">
        <v>261</v>
      </c>
      <c r="C94" s="75">
        <v>260</v>
      </c>
      <c r="D94" s="75">
        <v>521</v>
      </c>
      <c r="E94" s="69"/>
      <c r="F94" s="25" t="s">
        <v>6</v>
      </c>
      <c r="G94" s="75">
        <v>8204</v>
      </c>
      <c r="H94" s="75">
        <v>7643</v>
      </c>
      <c r="I94" s="5">
        <v>15847</v>
      </c>
      <c r="J94" s="69"/>
    </row>
    <row r="95" spans="1:10" x14ac:dyDescent="0.25">
      <c r="A95" s="29" t="s">
        <v>60</v>
      </c>
      <c r="B95" s="58">
        <v>270</v>
      </c>
      <c r="C95" s="58">
        <v>261</v>
      </c>
      <c r="D95" s="58">
        <v>531</v>
      </c>
      <c r="E95" s="69"/>
      <c r="F95" s="29" t="s">
        <v>60</v>
      </c>
      <c r="G95" s="58">
        <v>8330</v>
      </c>
      <c r="H95" s="58">
        <v>7673</v>
      </c>
      <c r="I95" s="58">
        <v>16003</v>
      </c>
      <c r="J95" s="69"/>
    </row>
    <row r="96" spans="1:10" x14ac:dyDescent="0.25">
      <c r="E96" s="69"/>
      <c r="F96" s="3"/>
      <c r="G96" s="3"/>
      <c r="H96" s="6"/>
      <c r="I96" s="6"/>
      <c r="J96" s="69"/>
    </row>
    <row r="97" spans="1:10" x14ac:dyDescent="0.25">
      <c r="E97" s="69"/>
      <c r="F97" s="3"/>
      <c r="G97" s="3"/>
      <c r="H97" s="6"/>
      <c r="I97" s="6"/>
      <c r="J97" s="69"/>
    </row>
    <row r="98" spans="1:10" x14ac:dyDescent="0.25">
      <c r="A98" s="7" t="s">
        <v>919</v>
      </c>
      <c r="B98" s="7"/>
      <c r="E98" s="69"/>
      <c r="F98" s="7" t="s">
        <v>918</v>
      </c>
      <c r="G98" s="7"/>
      <c r="H98" s="6"/>
      <c r="I98" s="6"/>
      <c r="J98" s="69"/>
    </row>
    <row r="99" spans="1:10" ht="27.75" customHeight="1" x14ac:dyDescent="0.25">
      <c r="A99" s="148" t="s">
        <v>567</v>
      </c>
      <c r="B99" s="148"/>
      <c r="C99" s="148"/>
      <c r="D99" s="148"/>
      <c r="F99" s="148" t="s">
        <v>568</v>
      </c>
      <c r="G99" s="148"/>
      <c r="H99" s="148"/>
      <c r="I99" s="148"/>
      <c r="J99" s="69"/>
    </row>
    <row r="100" spans="1:10" x14ac:dyDescent="0.25">
      <c r="A100" s="24" t="s">
        <v>67</v>
      </c>
      <c r="B100" s="44" t="s">
        <v>0</v>
      </c>
      <c r="C100" s="44" t="s">
        <v>1</v>
      </c>
      <c r="D100" s="44" t="s">
        <v>59</v>
      </c>
      <c r="E100" s="69"/>
      <c r="F100" s="92" t="s">
        <v>67</v>
      </c>
      <c r="G100" s="44" t="s">
        <v>0</v>
      </c>
      <c r="H100" s="93" t="s">
        <v>1</v>
      </c>
      <c r="I100" s="44" t="s">
        <v>59</v>
      </c>
      <c r="J100" s="69"/>
    </row>
    <row r="101" spans="1:10" x14ac:dyDescent="0.25">
      <c r="A101" s="22" t="s">
        <v>53</v>
      </c>
      <c r="B101" s="111">
        <v>0</v>
      </c>
      <c r="C101" s="111">
        <v>0</v>
      </c>
      <c r="D101" s="112">
        <v>0</v>
      </c>
      <c r="E101" s="69"/>
      <c r="F101" s="30" t="s">
        <v>53</v>
      </c>
      <c r="G101" s="112">
        <v>0</v>
      </c>
      <c r="H101" s="114">
        <v>0</v>
      </c>
      <c r="I101" s="117">
        <v>0</v>
      </c>
      <c r="J101" s="69"/>
    </row>
    <row r="102" spans="1:10" x14ac:dyDescent="0.25">
      <c r="A102" s="25" t="s">
        <v>2</v>
      </c>
      <c r="B102" s="111">
        <v>0</v>
      </c>
      <c r="C102" s="111">
        <v>0</v>
      </c>
      <c r="D102" s="111">
        <v>0</v>
      </c>
      <c r="E102" s="69"/>
      <c r="F102" s="31" t="s">
        <v>2</v>
      </c>
      <c r="G102" s="111">
        <v>0</v>
      </c>
      <c r="H102" s="115">
        <v>0</v>
      </c>
      <c r="I102" s="118">
        <v>0</v>
      </c>
      <c r="J102" s="69"/>
    </row>
    <row r="103" spans="1:10" x14ac:dyDescent="0.25">
      <c r="A103" s="25" t="s">
        <v>54</v>
      </c>
      <c r="B103" s="75">
        <v>13</v>
      </c>
      <c r="C103" s="75">
        <v>4</v>
      </c>
      <c r="D103" s="75">
        <v>17</v>
      </c>
      <c r="E103" s="69"/>
      <c r="F103" s="31" t="s">
        <v>54</v>
      </c>
      <c r="G103" s="75">
        <v>371</v>
      </c>
      <c r="H103" s="74">
        <v>120</v>
      </c>
      <c r="I103" s="5">
        <v>491</v>
      </c>
      <c r="J103" s="69"/>
    </row>
    <row r="104" spans="1:10" x14ac:dyDescent="0.25">
      <c r="A104" s="25" t="s">
        <v>55</v>
      </c>
      <c r="B104" s="75">
        <v>67</v>
      </c>
      <c r="C104" s="75">
        <v>64</v>
      </c>
      <c r="D104" s="75">
        <v>131</v>
      </c>
      <c r="E104" s="69"/>
      <c r="F104" s="31" t="s">
        <v>55</v>
      </c>
      <c r="G104" s="75">
        <v>2011</v>
      </c>
      <c r="H104" s="74">
        <v>1905</v>
      </c>
      <c r="I104" s="5">
        <v>3916</v>
      </c>
      <c r="J104" s="69"/>
    </row>
    <row r="105" spans="1:10" x14ac:dyDescent="0.25">
      <c r="A105" s="25" t="s">
        <v>56</v>
      </c>
      <c r="B105" s="75">
        <v>104</v>
      </c>
      <c r="C105" s="75">
        <v>73</v>
      </c>
      <c r="D105" s="75">
        <v>177</v>
      </c>
      <c r="E105" s="69"/>
      <c r="F105" s="31" t="s">
        <v>56</v>
      </c>
      <c r="G105" s="75">
        <v>3097</v>
      </c>
      <c r="H105" s="74">
        <v>2075</v>
      </c>
      <c r="I105" s="5">
        <v>5172</v>
      </c>
      <c r="J105" s="69"/>
    </row>
    <row r="106" spans="1:10" x14ac:dyDescent="0.25">
      <c r="A106" s="25" t="s">
        <v>57</v>
      </c>
      <c r="B106" s="75">
        <v>72</v>
      </c>
      <c r="C106" s="75">
        <v>75</v>
      </c>
      <c r="D106" s="75">
        <v>147</v>
      </c>
      <c r="E106" s="69"/>
      <c r="F106" s="31" t="s">
        <v>57</v>
      </c>
      <c r="G106" s="75">
        <v>2431</v>
      </c>
      <c r="H106" s="74">
        <v>2223</v>
      </c>
      <c r="I106" s="5">
        <v>4654</v>
      </c>
      <c r="J106" s="69"/>
    </row>
    <row r="107" spans="1:10" x14ac:dyDescent="0.25">
      <c r="A107" s="25" t="s">
        <v>3</v>
      </c>
      <c r="B107" s="75">
        <v>14</v>
      </c>
      <c r="C107" s="75">
        <v>45</v>
      </c>
      <c r="D107" s="75">
        <v>59</v>
      </c>
      <c r="E107" s="69"/>
      <c r="F107" s="31" t="s">
        <v>3</v>
      </c>
      <c r="G107" s="75">
        <v>420</v>
      </c>
      <c r="H107" s="74">
        <v>1350</v>
      </c>
      <c r="I107" s="5">
        <v>1770</v>
      </c>
      <c r="J107" s="69"/>
    </row>
    <row r="108" spans="1:10" x14ac:dyDescent="0.25">
      <c r="A108" s="29" t="s">
        <v>60</v>
      </c>
      <c r="B108" s="58">
        <v>270</v>
      </c>
      <c r="C108" s="58">
        <v>261</v>
      </c>
      <c r="D108" s="58">
        <v>531</v>
      </c>
      <c r="E108" s="69"/>
      <c r="F108" s="94" t="s">
        <v>60</v>
      </c>
      <c r="G108" s="58">
        <v>8330</v>
      </c>
      <c r="H108" s="95">
        <v>7673</v>
      </c>
      <c r="I108" s="58">
        <v>16003</v>
      </c>
      <c r="J108" s="69"/>
    </row>
    <row r="109" spans="1:10" x14ac:dyDescent="0.25">
      <c r="E109" s="69"/>
      <c r="J109" s="69"/>
    </row>
    <row r="110" spans="1:10" x14ac:dyDescent="0.25">
      <c r="E110" s="69"/>
      <c r="J110" s="69"/>
    </row>
    <row r="111" spans="1:10" x14ac:dyDescent="0.25">
      <c r="A111" s="7" t="s">
        <v>920</v>
      </c>
      <c r="B111" s="7"/>
      <c r="E111" s="69"/>
      <c r="F111" s="7" t="s">
        <v>921</v>
      </c>
      <c r="G111" s="7"/>
      <c r="H111" s="6"/>
      <c r="I111" s="6"/>
      <c r="J111" s="69"/>
    </row>
    <row r="112" spans="1:10" x14ac:dyDescent="0.25">
      <c r="A112" s="148" t="s">
        <v>569</v>
      </c>
      <c r="B112" s="148"/>
      <c r="C112" s="148"/>
      <c r="D112" s="148"/>
      <c r="F112" s="148" t="s">
        <v>570</v>
      </c>
      <c r="G112" s="148"/>
      <c r="H112" s="148"/>
      <c r="I112" s="148"/>
      <c r="J112" s="69"/>
    </row>
    <row r="113" spans="1:10" x14ac:dyDescent="0.25">
      <c r="A113" s="24" t="s">
        <v>353</v>
      </c>
      <c r="B113" s="24" t="s">
        <v>0</v>
      </c>
      <c r="C113" s="24" t="s">
        <v>1</v>
      </c>
      <c r="D113" s="24" t="s">
        <v>59</v>
      </c>
      <c r="E113" s="69"/>
      <c r="F113" s="24" t="s">
        <v>353</v>
      </c>
      <c r="G113" s="24" t="s">
        <v>0</v>
      </c>
      <c r="H113" s="24" t="s">
        <v>1</v>
      </c>
      <c r="I113" s="24" t="s">
        <v>59</v>
      </c>
      <c r="J113" s="69"/>
    </row>
    <row r="114" spans="1:10" x14ac:dyDescent="0.25">
      <c r="A114" s="87" t="s">
        <v>354</v>
      </c>
      <c r="B114" s="85">
        <v>154</v>
      </c>
      <c r="C114" s="85">
        <v>46</v>
      </c>
      <c r="D114" s="85">
        <v>200</v>
      </c>
      <c r="E114" s="69"/>
      <c r="F114" s="87" t="s">
        <v>354</v>
      </c>
      <c r="G114" s="85">
        <v>4936</v>
      </c>
      <c r="H114" s="85">
        <v>1368</v>
      </c>
      <c r="I114" s="85">
        <v>6304</v>
      </c>
      <c r="J114" s="69"/>
    </row>
    <row r="115" spans="1:10" x14ac:dyDescent="0.25">
      <c r="E115" s="69"/>
      <c r="F115" s="3"/>
      <c r="G115" s="3"/>
      <c r="H115" s="6"/>
      <c r="I115" s="6"/>
      <c r="J115" s="69"/>
    </row>
    <row r="116" spans="1:10" x14ac:dyDescent="0.25">
      <c r="E116" s="69"/>
      <c r="F116" s="3"/>
      <c r="G116" s="3"/>
      <c r="H116" s="6"/>
      <c r="I116" s="6"/>
      <c r="J116" s="69"/>
    </row>
    <row r="117" spans="1:10" x14ac:dyDescent="0.25">
      <c r="A117" s="7" t="s">
        <v>923</v>
      </c>
      <c r="B117" s="7"/>
      <c r="E117" s="69"/>
      <c r="F117" s="7" t="s">
        <v>922</v>
      </c>
      <c r="G117" s="7"/>
      <c r="H117" s="6"/>
      <c r="I117" s="6"/>
      <c r="J117" s="69"/>
    </row>
    <row r="118" spans="1:10" ht="27.75" customHeight="1" x14ac:dyDescent="0.25">
      <c r="A118" s="148" t="s">
        <v>572</v>
      </c>
      <c r="B118" s="148"/>
      <c r="C118" s="148"/>
      <c r="D118" s="148"/>
      <c r="F118" s="148" t="s">
        <v>571</v>
      </c>
      <c r="G118" s="148"/>
      <c r="H118" s="148"/>
      <c r="I118" s="148"/>
      <c r="J118" s="69"/>
    </row>
    <row r="119" spans="1:10" x14ac:dyDescent="0.25">
      <c r="A119" s="44" t="s">
        <v>66</v>
      </c>
      <c r="B119" s="44" t="s">
        <v>0</v>
      </c>
      <c r="C119" s="44" t="s">
        <v>1</v>
      </c>
      <c r="D119" s="44" t="s">
        <v>59</v>
      </c>
      <c r="E119" s="69"/>
      <c r="F119" s="44" t="s">
        <v>66</v>
      </c>
      <c r="G119" s="44" t="s">
        <v>0</v>
      </c>
      <c r="H119" s="44" t="s">
        <v>1</v>
      </c>
      <c r="I119" s="44" t="s">
        <v>59</v>
      </c>
      <c r="J119" s="69"/>
    </row>
    <row r="120" spans="1:10" x14ac:dyDescent="0.25">
      <c r="A120" s="22" t="s">
        <v>5</v>
      </c>
      <c r="B120" s="75">
        <v>134</v>
      </c>
      <c r="C120" s="75">
        <v>37</v>
      </c>
      <c r="D120" s="75">
        <v>171</v>
      </c>
      <c r="E120" s="69"/>
      <c r="F120" s="22" t="s">
        <v>5</v>
      </c>
      <c r="G120" s="75">
        <v>4315</v>
      </c>
      <c r="H120" s="73">
        <v>1068</v>
      </c>
      <c r="I120" s="73">
        <v>5383</v>
      </c>
      <c r="J120" s="69"/>
    </row>
    <row r="121" spans="1:10" x14ac:dyDescent="0.25">
      <c r="A121" s="25" t="s">
        <v>6</v>
      </c>
      <c r="B121" s="75">
        <v>20</v>
      </c>
      <c r="C121" s="75">
        <v>9</v>
      </c>
      <c r="D121" s="75">
        <v>29</v>
      </c>
      <c r="E121" s="69"/>
      <c r="F121" s="25" t="s">
        <v>6</v>
      </c>
      <c r="G121" s="75">
        <v>621</v>
      </c>
      <c r="H121" s="75">
        <v>300</v>
      </c>
      <c r="I121" s="75">
        <v>921</v>
      </c>
      <c r="J121" s="69"/>
    </row>
    <row r="122" spans="1:10" x14ac:dyDescent="0.25">
      <c r="A122" s="29" t="s">
        <v>60</v>
      </c>
      <c r="B122" s="58">
        <v>154</v>
      </c>
      <c r="C122" s="58">
        <v>46</v>
      </c>
      <c r="D122" s="58">
        <v>200</v>
      </c>
      <c r="E122" s="69"/>
      <c r="F122" s="29" t="s">
        <v>60</v>
      </c>
      <c r="G122" s="58">
        <v>4936</v>
      </c>
      <c r="H122" s="77">
        <v>1368</v>
      </c>
      <c r="I122" s="77">
        <v>6304</v>
      </c>
      <c r="J122" s="69"/>
    </row>
    <row r="123" spans="1:10" x14ac:dyDescent="0.25">
      <c r="E123" s="69"/>
      <c r="F123" s="3"/>
      <c r="G123" s="3"/>
      <c r="H123" s="6"/>
      <c r="I123" s="6"/>
      <c r="J123" s="69"/>
    </row>
    <row r="124" spans="1:10" x14ac:dyDescent="0.25">
      <c r="E124" s="69"/>
      <c r="F124" s="3"/>
      <c r="G124" s="3"/>
      <c r="H124" s="6"/>
      <c r="I124" s="6"/>
      <c r="J124" s="69"/>
    </row>
    <row r="125" spans="1:10" x14ac:dyDescent="0.25">
      <c r="A125" s="7" t="s">
        <v>924</v>
      </c>
      <c r="B125" s="7"/>
      <c r="E125" s="69"/>
      <c r="F125" s="7" t="s">
        <v>925</v>
      </c>
      <c r="G125" s="7"/>
      <c r="H125" s="6"/>
      <c r="I125" s="6"/>
      <c r="J125" s="69"/>
    </row>
    <row r="126" spans="1:10" ht="27.75" customHeight="1" x14ac:dyDescent="0.25">
      <c r="A126" s="148" t="s">
        <v>573</v>
      </c>
      <c r="B126" s="148"/>
      <c r="C126" s="148"/>
      <c r="D126" s="148"/>
      <c r="F126" s="148" t="s">
        <v>574</v>
      </c>
      <c r="G126" s="148"/>
      <c r="H126" s="148"/>
      <c r="I126" s="148"/>
      <c r="J126" s="69"/>
    </row>
    <row r="127" spans="1:10" x14ac:dyDescent="0.25">
      <c r="A127" s="24" t="s">
        <v>67</v>
      </c>
      <c r="B127" s="44" t="s">
        <v>0</v>
      </c>
      <c r="C127" s="44" t="s">
        <v>1</v>
      </c>
      <c r="D127" s="44" t="s">
        <v>59</v>
      </c>
      <c r="E127" s="69"/>
      <c r="F127" s="92" t="s">
        <v>67</v>
      </c>
      <c r="G127" s="44" t="s">
        <v>0</v>
      </c>
      <c r="H127" s="93" t="s">
        <v>1</v>
      </c>
      <c r="I127" s="44" t="s">
        <v>59</v>
      </c>
      <c r="J127" s="69"/>
    </row>
    <row r="128" spans="1:10" x14ac:dyDescent="0.25">
      <c r="A128" s="22" t="s">
        <v>53</v>
      </c>
      <c r="B128" s="111">
        <v>0</v>
      </c>
      <c r="C128" s="111">
        <v>0</v>
      </c>
      <c r="D128" s="112">
        <v>0</v>
      </c>
      <c r="E128" s="69"/>
      <c r="F128" s="30" t="s">
        <v>53</v>
      </c>
      <c r="G128" s="111">
        <v>0</v>
      </c>
      <c r="H128" s="114">
        <v>0</v>
      </c>
      <c r="I128" s="112">
        <v>0</v>
      </c>
      <c r="J128" s="69"/>
    </row>
    <row r="129" spans="1:10" x14ac:dyDescent="0.25">
      <c r="A129" s="25" t="s">
        <v>2</v>
      </c>
      <c r="B129" s="111">
        <v>0</v>
      </c>
      <c r="C129" s="111">
        <v>0</v>
      </c>
      <c r="D129" s="111">
        <v>0</v>
      </c>
      <c r="E129" s="69"/>
      <c r="F129" s="31" t="s">
        <v>2</v>
      </c>
      <c r="G129" s="111">
        <v>0</v>
      </c>
      <c r="H129" s="115">
        <v>0</v>
      </c>
      <c r="I129" s="111">
        <v>0</v>
      </c>
      <c r="J129" s="69"/>
    </row>
    <row r="130" spans="1:10" x14ac:dyDescent="0.25">
      <c r="A130" s="25" t="s">
        <v>54</v>
      </c>
      <c r="B130" s="75">
        <v>2</v>
      </c>
      <c r="C130" s="75">
        <v>5</v>
      </c>
      <c r="D130" s="75">
        <v>7</v>
      </c>
      <c r="E130" s="69"/>
      <c r="F130" s="31" t="s">
        <v>54</v>
      </c>
      <c r="G130" s="75">
        <v>60</v>
      </c>
      <c r="H130" s="74">
        <v>150</v>
      </c>
      <c r="I130" s="75">
        <v>210</v>
      </c>
      <c r="J130" s="69"/>
    </row>
    <row r="131" spans="1:10" x14ac:dyDescent="0.25">
      <c r="A131" s="25" t="s">
        <v>55</v>
      </c>
      <c r="B131" s="75">
        <v>9</v>
      </c>
      <c r="C131" s="75">
        <v>4</v>
      </c>
      <c r="D131" s="75">
        <v>13</v>
      </c>
      <c r="E131" s="69"/>
      <c r="F131" s="31" t="s">
        <v>55</v>
      </c>
      <c r="G131" s="75">
        <v>307</v>
      </c>
      <c r="H131" s="74">
        <v>150</v>
      </c>
      <c r="I131" s="75">
        <v>457</v>
      </c>
      <c r="J131" s="69"/>
    </row>
    <row r="132" spans="1:10" x14ac:dyDescent="0.25">
      <c r="A132" s="25" t="s">
        <v>56</v>
      </c>
      <c r="B132" s="75">
        <v>44</v>
      </c>
      <c r="C132" s="75">
        <v>13</v>
      </c>
      <c r="D132" s="75">
        <v>57</v>
      </c>
      <c r="E132" s="69"/>
      <c r="F132" s="31" t="s">
        <v>56</v>
      </c>
      <c r="G132" s="75">
        <v>1516</v>
      </c>
      <c r="H132" s="74">
        <v>375</v>
      </c>
      <c r="I132" s="75">
        <v>1891</v>
      </c>
      <c r="J132" s="69"/>
    </row>
    <row r="133" spans="1:10" x14ac:dyDescent="0.25">
      <c r="A133" s="25" t="s">
        <v>57</v>
      </c>
      <c r="B133" s="75">
        <v>63</v>
      </c>
      <c r="C133" s="75">
        <v>8</v>
      </c>
      <c r="D133" s="75">
        <v>71</v>
      </c>
      <c r="E133" s="69"/>
      <c r="F133" s="31" t="s">
        <v>57</v>
      </c>
      <c r="G133" s="75">
        <v>2015</v>
      </c>
      <c r="H133" s="74">
        <v>213</v>
      </c>
      <c r="I133" s="75">
        <v>2228</v>
      </c>
      <c r="J133" s="69"/>
    </row>
    <row r="134" spans="1:10" x14ac:dyDescent="0.25">
      <c r="A134" s="25" t="s">
        <v>3</v>
      </c>
      <c r="B134" s="75">
        <v>36</v>
      </c>
      <c r="C134" s="75">
        <v>16</v>
      </c>
      <c r="D134" s="75">
        <v>52</v>
      </c>
      <c r="E134" s="69"/>
      <c r="F134" s="31" t="s">
        <v>3</v>
      </c>
      <c r="G134" s="75">
        <v>1038</v>
      </c>
      <c r="H134" s="74">
        <v>480</v>
      </c>
      <c r="I134" s="75">
        <v>1518</v>
      </c>
      <c r="J134" s="69"/>
    </row>
    <row r="135" spans="1:10" x14ac:dyDescent="0.25">
      <c r="A135" s="29" t="s">
        <v>60</v>
      </c>
      <c r="B135" s="58">
        <v>154</v>
      </c>
      <c r="C135" s="58">
        <v>46</v>
      </c>
      <c r="D135" s="58">
        <v>200</v>
      </c>
      <c r="E135" s="69"/>
      <c r="F135" s="94" t="s">
        <v>60</v>
      </c>
      <c r="G135" s="58">
        <v>4936</v>
      </c>
      <c r="H135" s="97">
        <v>1368</v>
      </c>
      <c r="I135" s="77">
        <v>6304</v>
      </c>
      <c r="J135" s="69"/>
    </row>
    <row r="136" spans="1:10" x14ac:dyDescent="0.25">
      <c r="E136" s="69"/>
      <c r="J136" s="69"/>
    </row>
    <row r="137" spans="1:10" x14ac:dyDescent="0.25">
      <c r="E137" s="69"/>
      <c r="J137" s="69"/>
    </row>
    <row r="138" spans="1:10" x14ac:dyDescent="0.25">
      <c r="A138" s="7" t="s">
        <v>927</v>
      </c>
      <c r="B138" s="7"/>
      <c r="E138" s="69"/>
      <c r="F138" s="7" t="s">
        <v>926</v>
      </c>
      <c r="G138" s="7"/>
      <c r="H138" s="6"/>
      <c r="I138" s="6"/>
      <c r="J138" s="69"/>
    </row>
    <row r="139" spans="1:10" ht="27" customHeight="1" x14ac:dyDescent="0.25">
      <c r="A139" s="148" t="s">
        <v>575</v>
      </c>
      <c r="B139" s="148"/>
      <c r="C139" s="148"/>
      <c r="D139" s="148"/>
      <c r="F139" s="148" t="s">
        <v>576</v>
      </c>
      <c r="G139" s="148"/>
      <c r="H139" s="148"/>
      <c r="I139" s="148"/>
      <c r="J139" s="69"/>
    </row>
    <row r="140" spans="1:10" x14ac:dyDescent="0.25">
      <c r="A140" s="24" t="s">
        <v>544</v>
      </c>
      <c r="B140" s="24" t="s">
        <v>0</v>
      </c>
      <c r="C140" s="24" t="s">
        <v>1</v>
      </c>
      <c r="D140" s="24" t="s">
        <v>59</v>
      </c>
      <c r="E140" s="69"/>
      <c r="F140" s="24" t="s">
        <v>544</v>
      </c>
      <c r="G140" s="24" t="s">
        <v>0</v>
      </c>
      <c r="H140" s="24" t="s">
        <v>1</v>
      </c>
      <c r="I140" s="24" t="s">
        <v>59</v>
      </c>
      <c r="J140" s="69"/>
    </row>
    <row r="141" spans="1:10" x14ac:dyDescent="0.25">
      <c r="A141" s="87" t="s">
        <v>355</v>
      </c>
      <c r="B141" s="85">
        <v>47</v>
      </c>
      <c r="C141" s="120">
        <v>0</v>
      </c>
      <c r="D141" s="85">
        <v>47</v>
      </c>
      <c r="E141" s="69"/>
      <c r="F141" s="87" t="s">
        <v>355</v>
      </c>
      <c r="G141" s="85">
        <v>1402</v>
      </c>
      <c r="H141" s="119">
        <v>0</v>
      </c>
      <c r="I141" s="88">
        <v>1402</v>
      </c>
      <c r="J141" s="69"/>
    </row>
    <row r="142" spans="1:10" x14ac:dyDescent="0.25">
      <c r="E142" s="69"/>
      <c r="F142" s="3"/>
      <c r="G142" s="3"/>
      <c r="H142" s="6"/>
      <c r="I142" s="6"/>
      <c r="J142" s="69"/>
    </row>
    <row r="143" spans="1:10" x14ac:dyDescent="0.25">
      <c r="E143" s="69"/>
      <c r="F143" s="3"/>
      <c r="G143" s="3"/>
      <c r="H143" s="6"/>
      <c r="I143" s="6"/>
      <c r="J143" s="69"/>
    </row>
    <row r="144" spans="1:10" x14ac:dyDescent="0.25">
      <c r="A144" s="7" t="s">
        <v>928</v>
      </c>
      <c r="B144" s="7"/>
      <c r="E144" s="69"/>
      <c r="F144" s="7" t="s">
        <v>929</v>
      </c>
      <c r="G144" s="7"/>
      <c r="H144" s="6"/>
      <c r="I144" s="6"/>
      <c r="J144" s="69"/>
    </row>
    <row r="145" spans="1:10" ht="27" customHeight="1" x14ac:dyDescent="0.25">
      <c r="A145" s="148" t="s">
        <v>577</v>
      </c>
      <c r="B145" s="148"/>
      <c r="C145" s="148"/>
      <c r="D145" s="148"/>
      <c r="F145" s="148" t="s">
        <v>578</v>
      </c>
      <c r="G145" s="148"/>
      <c r="H145" s="148"/>
      <c r="I145" s="148"/>
      <c r="J145" s="69"/>
    </row>
    <row r="146" spans="1:10" x14ac:dyDescent="0.25">
      <c r="A146" s="44" t="s">
        <v>66</v>
      </c>
      <c r="B146" s="44" t="s">
        <v>0</v>
      </c>
      <c r="C146" s="44" t="s">
        <v>1</v>
      </c>
      <c r="D146" s="44" t="s">
        <v>59</v>
      </c>
      <c r="E146" s="69"/>
      <c r="F146" s="44" t="s">
        <v>66</v>
      </c>
      <c r="G146" s="44" t="s">
        <v>0</v>
      </c>
      <c r="H146" s="44" t="s">
        <v>1</v>
      </c>
      <c r="I146" s="44" t="s">
        <v>59</v>
      </c>
      <c r="J146" s="69"/>
    </row>
    <row r="147" spans="1:10" x14ac:dyDescent="0.25">
      <c r="A147" s="22" t="s">
        <v>5</v>
      </c>
      <c r="B147" s="75">
        <v>37</v>
      </c>
      <c r="C147" s="103">
        <v>0</v>
      </c>
      <c r="D147" s="75">
        <v>37</v>
      </c>
      <c r="E147" s="69"/>
      <c r="F147" s="22" t="s">
        <v>5</v>
      </c>
      <c r="G147" s="75">
        <v>1117</v>
      </c>
      <c r="H147" s="112">
        <v>0</v>
      </c>
      <c r="I147" s="4">
        <v>1117</v>
      </c>
      <c r="J147" s="69"/>
    </row>
    <row r="148" spans="1:10" x14ac:dyDescent="0.25">
      <c r="A148" s="25" t="s">
        <v>6</v>
      </c>
      <c r="B148" s="75">
        <v>10</v>
      </c>
      <c r="C148" s="103">
        <v>0</v>
      </c>
      <c r="D148" s="75">
        <v>10</v>
      </c>
      <c r="E148" s="69"/>
      <c r="F148" s="25" t="s">
        <v>6</v>
      </c>
      <c r="G148" s="75">
        <v>285</v>
      </c>
      <c r="H148" s="111">
        <v>0</v>
      </c>
      <c r="I148" s="5">
        <v>285</v>
      </c>
      <c r="J148" s="69"/>
    </row>
    <row r="149" spans="1:10" x14ac:dyDescent="0.25">
      <c r="A149" s="29" t="s">
        <v>60</v>
      </c>
      <c r="B149" s="58">
        <v>47</v>
      </c>
      <c r="C149" s="113">
        <v>0</v>
      </c>
      <c r="D149" s="58">
        <v>47</v>
      </c>
      <c r="E149" s="69"/>
      <c r="F149" s="29" t="s">
        <v>60</v>
      </c>
      <c r="G149" s="58">
        <v>1402</v>
      </c>
      <c r="H149" s="113">
        <v>0</v>
      </c>
      <c r="I149" s="58">
        <v>1402</v>
      </c>
      <c r="J149" s="69"/>
    </row>
    <row r="150" spans="1:10" x14ac:dyDescent="0.25">
      <c r="E150" s="69"/>
      <c r="F150" s="3"/>
      <c r="G150" s="3"/>
      <c r="H150" s="6"/>
      <c r="I150" s="6"/>
      <c r="J150" s="69"/>
    </row>
    <row r="151" spans="1:10" x14ac:dyDescent="0.25">
      <c r="E151" s="69"/>
      <c r="F151" s="3"/>
      <c r="G151" s="3"/>
      <c r="H151" s="6"/>
      <c r="I151" s="6"/>
      <c r="J151" s="69"/>
    </row>
    <row r="152" spans="1:10" x14ac:dyDescent="0.25">
      <c r="A152" s="7" t="s">
        <v>931</v>
      </c>
      <c r="B152" s="7"/>
      <c r="E152" s="69"/>
      <c r="F152" s="7" t="s">
        <v>930</v>
      </c>
      <c r="G152" s="7"/>
      <c r="H152" s="6"/>
      <c r="I152" s="6"/>
      <c r="J152" s="69"/>
    </row>
    <row r="153" spans="1:10" ht="27" customHeight="1" x14ac:dyDescent="0.25">
      <c r="A153" s="148" t="s">
        <v>580</v>
      </c>
      <c r="B153" s="148"/>
      <c r="C153" s="148"/>
      <c r="D153" s="148"/>
      <c r="F153" s="148" t="s">
        <v>579</v>
      </c>
      <c r="G153" s="148"/>
      <c r="H153" s="148"/>
      <c r="I153" s="148"/>
      <c r="J153" s="69"/>
    </row>
    <row r="154" spans="1:10" x14ac:dyDescent="0.25">
      <c r="A154" s="24" t="s">
        <v>67</v>
      </c>
      <c r="B154" s="44" t="s">
        <v>0</v>
      </c>
      <c r="C154" s="44" t="s">
        <v>1</v>
      </c>
      <c r="D154" s="44" t="s">
        <v>59</v>
      </c>
      <c r="E154" s="69"/>
      <c r="F154" s="92" t="s">
        <v>67</v>
      </c>
      <c r="G154" s="44" t="s">
        <v>0</v>
      </c>
      <c r="H154" s="93" t="s">
        <v>1</v>
      </c>
      <c r="I154" s="44" t="s">
        <v>59</v>
      </c>
      <c r="J154" s="69"/>
    </row>
    <row r="155" spans="1:10" x14ac:dyDescent="0.25">
      <c r="A155" s="22" t="s">
        <v>53</v>
      </c>
      <c r="B155" s="111">
        <v>0</v>
      </c>
      <c r="C155" s="111">
        <v>0</v>
      </c>
      <c r="D155" s="112">
        <v>0</v>
      </c>
      <c r="E155" s="69"/>
      <c r="F155" s="30" t="s">
        <v>53</v>
      </c>
      <c r="G155" s="111">
        <v>0</v>
      </c>
      <c r="H155" s="114">
        <v>0</v>
      </c>
      <c r="I155" s="117">
        <v>0</v>
      </c>
      <c r="J155" s="69"/>
    </row>
    <row r="156" spans="1:10" x14ac:dyDescent="0.25">
      <c r="A156" s="25" t="s">
        <v>2</v>
      </c>
      <c r="B156" s="111">
        <v>0</v>
      </c>
      <c r="C156" s="111">
        <v>0</v>
      </c>
      <c r="D156" s="111">
        <v>0</v>
      </c>
      <c r="E156" s="69"/>
      <c r="F156" s="31" t="s">
        <v>2</v>
      </c>
      <c r="G156" s="111">
        <v>0</v>
      </c>
      <c r="H156" s="115">
        <v>0</v>
      </c>
      <c r="I156" s="118">
        <v>0</v>
      </c>
      <c r="J156" s="69"/>
    </row>
    <row r="157" spans="1:10" x14ac:dyDescent="0.25">
      <c r="A157" s="25" t="s">
        <v>54</v>
      </c>
      <c r="B157" s="111">
        <v>0</v>
      </c>
      <c r="C157" s="111">
        <v>0</v>
      </c>
      <c r="D157" s="111">
        <v>0</v>
      </c>
      <c r="E157" s="69"/>
      <c r="F157" s="31" t="s">
        <v>54</v>
      </c>
      <c r="G157" s="111">
        <v>0</v>
      </c>
      <c r="H157" s="115">
        <v>0</v>
      </c>
      <c r="I157" s="118">
        <v>0</v>
      </c>
      <c r="J157" s="69"/>
    </row>
    <row r="158" spans="1:10" x14ac:dyDescent="0.25">
      <c r="A158" s="25" t="s">
        <v>55</v>
      </c>
      <c r="B158" s="111">
        <v>0</v>
      </c>
      <c r="C158" s="111">
        <v>0</v>
      </c>
      <c r="D158" s="111">
        <v>0</v>
      </c>
      <c r="E158" s="69"/>
      <c r="F158" s="31" t="s">
        <v>55</v>
      </c>
      <c r="G158" s="111">
        <v>0</v>
      </c>
      <c r="H158" s="115">
        <v>0</v>
      </c>
      <c r="I158" s="118">
        <v>0</v>
      </c>
      <c r="J158" s="69"/>
    </row>
    <row r="159" spans="1:10" x14ac:dyDescent="0.25">
      <c r="A159" s="25" t="s">
        <v>56</v>
      </c>
      <c r="B159" s="75">
        <v>9</v>
      </c>
      <c r="C159" s="111">
        <v>0</v>
      </c>
      <c r="D159" s="75">
        <v>9</v>
      </c>
      <c r="E159" s="69"/>
      <c r="F159" s="31" t="s">
        <v>56</v>
      </c>
      <c r="G159" s="75">
        <v>270</v>
      </c>
      <c r="H159" s="115">
        <v>0</v>
      </c>
      <c r="I159" s="5">
        <v>270</v>
      </c>
      <c r="J159" s="69"/>
    </row>
    <row r="160" spans="1:10" x14ac:dyDescent="0.25">
      <c r="A160" s="25" t="s">
        <v>57</v>
      </c>
      <c r="B160" s="75">
        <v>15</v>
      </c>
      <c r="C160" s="111">
        <v>0</v>
      </c>
      <c r="D160" s="75">
        <v>15</v>
      </c>
      <c r="E160" s="69"/>
      <c r="F160" s="31" t="s">
        <v>57</v>
      </c>
      <c r="G160" s="75">
        <v>515</v>
      </c>
      <c r="H160" s="115">
        <v>0</v>
      </c>
      <c r="I160" s="5">
        <v>515</v>
      </c>
      <c r="J160" s="69"/>
    </row>
    <row r="161" spans="1:10" x14ac:dyDescent="0.25">
      <c r="A161" s="25" t="s">
        <v>3</v>
      </c>
      <c r="B161" s="75">
        <v>23</v>
      </c>
      <c r="C161" s="111">
        <v>0</v>
      </c>
      <c r="D161" s="75">
        <v>23</v>
      </c>
      <c r="E161" s="69"/>
      <c r="F161" s="31" t="s">
        <v>3</v>
      </c>
      <c r="G161" s="75">
        <v>617</v>
      </c>
      <c r="H161" s="115">
        <v>0</v>
      </c>
      <c r="I161" s="5">
        <v>617</v>
      </c>
      <c r="J161" s="69"/>
    </row>
    <row r="162" spans="1:10" x14ac:dyDescent="0.25">
      <c r="A162" s="29" t="s">
        <v>60</v>
      </c>
      <c r="B162" s="58">
        <v>47</v>
      </c>
      <c r="C162" s="113">
        <v>0</v>
      </c>
      <c r="D162" s="58">
        <v>47</v>
      </c>
      <c r="E162" s="69"/>
      <c r="F162" s="94" t="s">
        <v>60</v>
      </c>
      <c r="G162" s="58">
        <v>1402</v>
      </c>
      <c r="H162" s="116">
        <v>0</v>
      </c>
      <c r="I162" s="58">
        <v>1402</v>
      </c>
      <c r="J162" s="69"/>
    </row>
  </sheetData>
  <mergeCells count="36">
    <mergeCell ref="A4:D4"/>
    <mergeCell ref="F4:I4"/>
    <mergeCell ref="A10:D10"/>
    <mergeCell ref="F10:I10"/>
    <mergeCell ref="A18:D18"/>
    <mergeCell ref="F18:I18"/>
    <mergeCell ref="A31:D31"/>
    <mergeCell ref="F31:I31"/>
    <mergeCell ref="A37:D37"/>
    <mergeCell ref="F37:I37"/>
    <mergeCell ref="A45:D45"/>
    <mergeCell ref="F45:I45"/>
    <mergeCell ref="A58:D58"/>
    <mergeCell ref="F58:I58"/>
    <mergeCell ref="A64:D64"/>
    <mergeCell ref="F64:I64"/>
    <mergeCell ref="A72:D72"/>
    <mergeCell ref="F72:I72"/>
    <mergeCell ref="A85:D85"/>
    <mergeCell ref="F85:I85"/>
    <mergeCell ref="A91:D91"/>
    <mergeCell ref="F91:I91"/>
    <mergeCell ref="A99:D99"/>
    <mergeCell ref="F99:I99"/>
    <mergeCell ref="A112:D112"/>
    <mergeCell ref="F112:I112"/>
    <mergeCell ref="A118:D118"/>
    <mergeCell ref="F118:I118"/>
    <mergeCell ref="A126:D126"/>
    <mergeCell ref="F126:I126"/>
    <mergeCell ref="A139:D139"/>
    <mergeCell ref="F139:I139"/>
    <mergeCell ref="A145:D145"/>
    <mergeCell ref="F145:I145"/>
    <mergeCell ref="A153:D153"/>
    <mergeCell ref="F153:I15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Introducción</vt:lpstr>
      <vt:lpstr>Índice</vt:lpstr>
      <vt:lpstr>Glosario</vt:lpstr>
      <vt:lpstr>C1_COT</vt:lpstr>
      <vt:lpstr>C2_LMT</vt:lpstr>
      <vt:lpstr>C3_LMA</vt:lpstr>
      <vt:lpstr>C4_LMR</vt:lpstr>
      <vt:lpstr>C5_LMT_DIAG</vt:lpstr>
      <vt:lpstr>C6_LMA_DIAG</vt:lpstr>
      <vt:lpstr>C7_LMR_DIAG</vt:lpstr>
      <vt:lpstr>C8_GTO_SIL</vt:lpstr>
      <vt:lpstr>C9_IND_SIL</vt:lpstr>
      <vt:lpstr>C10_LMT_COT</vt:lpstr>
      <vt:lpstr>C11_LMT_SECTOR</vt:lpstr>
      <vt:lpstr>C12_LMA_SECTOR</vt:lpstr>
      <vt:lpstr>C13_LMR_SECTOR</vt:lpstr>
      <vt:lpstr>C14_LMT_DIAG_ESPECIALES</vt:lpstr>
      <vt:lpstr>C15_LMA_DIAG_ESPECIALES</vt:lpstr>
      <vt:lpstr>C16_LMR_DIAG_ESPECIALES</vt:lpstr>
      <vt:lpstr>C17_LMT_PAT_RELEVANTES</vt:lpstr>
      <vt:lpstr>C18_LMA_PAT_RELEVANTES</vt:lpstr>
      <vt:lpstr>C19_LMR_PAT_RELEVANTES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2026-01-29T14:10:03Z</dcterms:modified>
</cp:coreProperties>
</file>